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46281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46281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46281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46281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46281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46281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46281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46281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46281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46281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46281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46281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46281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46281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46281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46281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46281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46281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46281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46281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46281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46281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46281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46281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46281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46281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46281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46281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46281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46281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46281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46281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54167-2025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46281</v>
      </c>
      <c r="F35" t="inlineStr">
        <is>
          <t>NORRBOTTENS LÄN</t>
        </is>
      </c>
      <c r="G35" t="inlineStr">
        <is>
          <t>BODEN</t>
        </is>
      </c>
      <c r="I35" t="n">
        <v>1.1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Lunglav
Stiftgelélav
Järpe
Spillkråka
Vanlig padda</t>
        </is>
      </c>
      <c r="W35">
        <f>HYPERLINK("https://klasma.github.io/Logging_2582/artfynd/A 54167-2025 artfynd.xlsx", "A 54167-2025")</f>
        <v/>
      </c>
      <c r="X35">
        <f>HYPERLINK("https://klasma.github.io/Logging_2582/kartor/A 54167-2025 karta.png", "A 54167-2025")</f>
        <v/>
      </c>
      <c r="Y35">
        <f>HYPERLINK("https://klasma.github.io/Logging_2582/kartor_geotiff/A 54167-2025 georefererad karta.tif", "A 54167-2025")</f>
        <v/>
      </c>
      <c r="AA35">
        <f>HYPERLINK("https://klasma.github.io/Logging_2582/klagomål/A 54167-2025 FSC-klagomål.docx", "A 54167-2025")</f>
        <v/>
      </c>
      <c r="AB35">
        <f>HYPERLINK("https://klasma.github.io/Logging_2582/klagomålsmail/A 54167-2025 FSC-klagomål mail.docx", "A 54167-2025")</f>
        <v/>
      </c>
      <c r="AC35">
        <f>HYPERLINK("https://klasma.github.io/Logging_2582/tillsyn/A 54167-2025 tillsynsbegäran.docx", "A 54167-2025")</f>
        <v/>
      </c>
      <c r="AD35">
        <f>HYPERLINK("https://klasma.github.io/Logging_2582/tillsynsmail/A 54167-2025 tillsynsbegäran mail.docx", "A 54167-2025")</f>
        <v/>
      </c>
      <c r="AE35">
        <f>HYPERLINK("https://klasma.github.io/Logging_2582/fåglar/A 54167-2025 prioriterade fågelarter.docx", "A 54167-2025")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46281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46281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32309-2025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46281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13.6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t="n">
        <v>4</v>
      </c>
      <c r="V38" s="2" t="inlineStr">
        <is>
          <t>Doftticka
Garnlav
Lunglav
Bårdlav
Stuplav</t>
        </is>
      </c>
      <c r="W38">
        <f>HYPERLINK("https://klasma.github.io/Logging_2582/artfynd/A 32309-2025 artfynd.xlsx", "A 32309-2025")</f>
        <v/>
      </c>
      <c r="X38">
        <f>HYPERLINK("https://klasma.github.io/Logging_2582/kartor/A 32309-2025 karta.png", "A 32309-2025")</f>
        <v/>
      </c>
      <c r="Y38">
        <f>HYPERLINK("https://klasma.github.io/Logging_2582/kartor_geotiff/A 32309-2025 georefererad karta.tif", "A 32309-2025")</f>
        <v/>
      </c>
      <c r="AA38">
        <f>HYPERLINK("https://klasma.github.io/Logging_2582/klagomål/A 32309-2025 FSC-klagomål.docx", "A 32309-2025")</f>
        <v/>
      </c>
      <c r="AB38">
        <f>HYPERLINK("https://klasma.github.io/Logging_2582/klagomålsmail/A 32309-2025 FSC-klagomål mail.docx", "A 32309-2025")</f>
        <v/>
      </c>
      <c r="AC38">
        <f>HYPERLINK("https://klasma.github.io/Logging_2582/tillsyn/A 32309-2025 tillsynsbegäran.docx", "A 32309-2025")</f>
        <v/>
      </c>
      <c r="AD38">
        <f>HYPERLINK("https://klasma.github.io/Logging_2582/tillsynsmail/A 32309-2025 tillsynsbegäran mail.docx", "A 32309-2025")</f>
        <v/>
      </c>
    </row>
    <row r="39" ht="15" customHeight="1">
      <c r="A39" t="inlineStr">
        <is>
          <t>A 19324-2024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46281</v>
      </c>
      <c r="F39" t="inlineStr">
        <is>
          <t>NORRBOTTENS LÄN</t>
        </is>
      </c>
      <c r="G39" t="inlineStr">
        <is>
          <t>BODEN</t>
        </is>
      </c>
      <c r="I39" t="n">
        <v>3.8</v>
      </c>
      <c r="J39" t="n">
        <v>3</v>
      </c>
      <c r="K39" t="n">
        <v>1</v>
      </c>
      <c r="L39" t="n">
        <v>0</v>
      </c>
      <c r="M39" t="n">
        <v>2</v>
      </c>
      <c r="N39" t="n">
        <v>1</v>
      </c>
      <c r="O39" t="n">
        <v>0</v>
      </c>
      <c r="P39" t="n">
        <v>0</v>
      </c>
      <c r="Q39" t="n">
        <v>3</v>
      </c>
      <c r="R39" t="n">
        <v>3</v>
      </c>
      <c r="S39" t="n">
        <v>5</v>
      </c>
      <c r="T39" t="n">
        <v>6</v>
      </c>
      <c r="U39" t="n">
        <v>5</v>
      </c>
      <c r="V39" s="2" t="inlineStr">
        <is>
          <t>Bitter taggsvamp
Knärot
Norna
Ögonpyrola
Nattviol</t>
        </is>
      </c>
      <c r="W39">
        <f>HYPERLINK("https://klasma.github.io/Logging_2582/artfynd/A 19324-2024 artfynd.xlsx", "A 19324-2024")</f>
        <v/>
      </c>
      <c r="X39">
        <f>HYPERLINK("https://klasma.github.io/Logging_2582/kartor/A 19324-2024 karta.png", "A 19324-2024")</f>
        <v/>
      </c>
      <c r="Y39">
        <f>HYPERLINK("https://klasma.github.io/Logging_2582/kartor_geotiff/A 19324-2024 georefererad karta.tif", "A 19324-2024")</f>
        <v/>
      </c>
      <c r="Z39">
        <f>HYPERLINK("https://klasma.github.io/Logging_2582/knärot/A 19324-2024 karta knärot.png", "A 19324-2024")</f>
        <v/>
      </c>
      <c r="AA39">
        <f>HYPERLINK("https://klasma.github.io/Logging_2582/klagomål/A 19324-2024 FSC-klagomål.docx", "A 19324-2024")</f>
        <v/>
      </c>
      <c r="AB39">
        <f>HYPERLINK("https://klasma.github.io/Logging_2582/klagomålsmail/A 19324-2024 FSC-klagomål mail.docx", "A 19324-2024")</f>
        <v/>
      </c>
      <c r="AC39">
        <f>HYPERLINK("https://klasma.github.io/Logging_2582/tillsyn/A 19324-2024 tillsynsbegäran.docx", "A 19324-2024")</f>
        <v/>
      </c>
      <c r="AD39">
        <f>HYPERLINK("https://klasma.github.io/Logging_2582/tillsynsmail/A 19324-2024 tillsynsbegäran mail.docx", "A 19324-2024")</f>
        <v/>
      </c>
    </row>
    <row r="40" ht="15" customHeight="1">
      <c r="A40" t="inlineStr">
        <is>
          <t>A 31030-2025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46281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11.1</v>
      </c>
      <c r="J40" t="n">
        <v>3</v>
      </c>
      <c r="K40" t="n">
        <v>2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9</v>
      </c>
      <c r="U40" t="n">
        <v>9</v>
      </c>
      <c r="V40" s="2" t="inlineStr">
        <is>
          <t>Knärot
Lunglav
Spindelblomster
Stuplav
Fläcknycklar</t>
        </is>
      </c>
      <c r="W40">
        <f>HYPERLINK("https://klasma.github.io/Logging_2582/artfynd/A 31030-2025 artfynd.xlsx", "A 31030-2025")</f>
        <v/>
      </c>
      <c r="X40">
        <f>HYPERLINK("https://klasma.github.io/Logging_2582/kartor/A 31030-2025 karta.png", "A 31030-2025")</f>
        <v/>
      </c>
      <c r="Y40">
        <f>HYPERLINK("https://klasma.github.io/Logging_2582/kartor_geotiff/A 31030-2025 georefererad karta.tif", "A 31030-2025")</f>
        <v/>
      </c>
      <c r="Z40">
        <f>HYPERLINK("https://klasma.github.io/Logging_2582/knärot/A 31030-2025 karta knärot.png", "A 31030-2025")</f>
        <v/>
      </c>
      <c r="AA40">
        <f>HYPERLINK("https://klasma.github.io/Logging_2582/klagomål/A 31030-2025 FSC-klagomål.docx", "A 31030-2025")</f>
        <v/>
      </c>
      <c r="AB40">
        <f>HYPERLINK("https://klasma.github.io/Logging_2582/klagomålsmail/A 31030-2025 FSC-klagomål mail.docx", "A 31030-2025")</f>
        <v/>
      </c>
      <c r="AC40">
        <f>HYPERLINK("https://klasma.github.io/Logging_2582/tillsyn/A 31030-2025 tillsynsbegäran.docx", "A 31030-2025")</f>
        <v/>
      </c>
      <c r="AD40">
        <f>HYPERLINK("https://klasma.github.io/Logging_2582/tillsynsmail/A 31030-2025 tillsynsbegäran mail.docx", "A 31030-2025")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46281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46281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46281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46281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46281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46281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46281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A 28197-2025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46281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7.2</v>
      </c>
      <c r="J48" t="n">
        <v>2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7</v>
      </c>
      <c r="U48" t="n">
        <v>7</v>
      </c>
      <c r="V48" s="2" t="inlineStr">
        <is>
          <t>Knärot
Norna
Lunglav
Stuplav</t>
        </is>
      </c>
      <c r="W48">
        <f>HYPERLINK("https://klasma.github.io/Logging_2582/artfynd/A 28197-2025 artfynd.xlsx", "A 28197-2025")</f>
        <v/>
      </c>
      <c r="X48">
        <f>HYPERLINK("https://klasma.github.io/Logging_2582/kartor/A 28197-2025 karta.png", "A 28197-2025")</f>
        <v/>
      </c>
      <c r="Y48">
        <f>HYPERLINK("https://klasma.github.io/Logging_2582/kartor_geotiff/A 28197-2025 georefererad karta.tif", "A 28197-2025")</f>
        <v/>
      </c>
      <c r="Z48">
        <f>HYPERLINK("https://klasma.github.io/Logging_2582/knärot/A 28197-2025 karta knärot.png", "A 28197-2025")</f>
        <v/>
      </c>
      <c r="AA48">
        <f>HYPERLINK("https://klasma.github.io/Logging_2582/klagomål/A 28197-2025 FSC-klagomål.docx", "A 28197-2025")</f>
        <v/>
      </c>
      <c r="AB48">
        <f>HYPERLINK("https://klasma.github.io/Logging_2582/klagomålsmail/A 28197-2025 FSC-klagomål mail.docx", "A 28197-2025")</f>
        <v/>
      </c>
      <c r="AC48">
        <f>HYPERLINK("https://klasma.github.io/Logging_2582/tillsyn/A 28197-2025 tillsynsbegäran.docx", "A 28197-2025")</f>
        <v/>
      </c>
      <c r="AD48">
        <f>HYPERLINK("https://klasma.github.io/Logging_2582/tillsynsmail/A 28197-2025 tillsynsbegäran mail.docx", "A 28197-2025")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46281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46281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29797-2022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44755</v>
      </c>
      <c r="E51" s="1" t="n">
        <v>46281</v>
      </c>
      <c r="F51" t="inlineStr">
        <is>
          <t>NORRBOTTENS LÄN</t>
        </is>
      </c>
      <c r="G51" t="inlineStr">
        <is>
          <t>BODEN</t>
        </is>
      </c>
      <c r="H51" t="inlineStr">
        <is>
          <t>Kyrkan</t>
        </is>
      </c>
      <c r="I51" t="n">
        <v>29.2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Vanlig groda
Vanlig padda
Revlummer</t>
        </is>
      </c>
      <c r="W51">
        <f>HYPERLINK("https://klasma.github.io/Logging_2582/artfynd/A 29797-2022 artfynd.xlsx", "A 29797-2022")</f>
        <v/>
      </c>
      <c r="X51">
        <f>HYPERLINK("https://klasma.github.io/Logging_2582/kartor/A 29797-2022 karta.png", "A 29797-2022")</f>
        <v/>
      </c>
      <c r="Y51">
        <f>HYPERLINK("https://klasma.github.io/Logging_2582/kartor_geotiff/A 29797-2022 georefererad karta.tif", "A 29797-2022")</f>
        <v/>
      </c>
      <c r="AA51">
        <f>HYPERLINK("https://klasma.github.io/Logging_2582/klagomål/A 29797-2022 FSC-klagomål.docx", "A 29797-2022")</f>
        <v/>
      </c>
      <c r="AB51">
        <f>HYPERLINK("https://klasma.github.io/Logging_2582/klagomålsmail/A 29797-2022 FSC-klagomål mail.docx", "A 29797-2022")</f>
        <v/>
      </c>
      <c r="AC51">
        <f>HYPERLINK("https://klasma.github.io/Logging_2582/tillsyn/A 29797-2022 tillsynsbegäran.docx", "A 29797-2022")</f>
        <v/>
      </c>
      <c r="AD51">
        <f>HYPERLINK("https://klasma.github.io/Logging_2582/tillsynsmail/A 29797-2022 tillsynsbegäran mail.docx", "A 29797-2022")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46281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46281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46281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Grönpyrola
Fläcknycklar
Nattviol</t>
        </is>
      </c>
      <c r="W54">
        <f>HYPERLINK("https://klasma.github.io/Logging_2582/artfynd/A 23323-2025 artfynd.xlsx", "A 23323-2025")</f>
        <v/>
      </c>
      <c r="X54">
        <f>HYPERLINK("https://klasma.github.io/Logging_2582/kartor/A 23323-2025 karta.png", "A 23323-2025")</f>
        <v/>
      </c>
      <c r="Y54">
        <f>HYPERLINK("https://klasma.github.io/Logging_2582/kartor_geotiff/A 23323-2025 georefererad karta.tif", "A 23323-2025")</f>
        <v/>
      </c>
      <c r="AA54">
        <f>HYPERLINK("https://klasma.github.io/Logging_2582/klagomål/A 23323-2025 FSC-klagomål.docx", "A 23323-2025")</f>
        <v/>
      </c>
      <c r="AB54">
        <f>HYPERLINK("https://klasma.github.io/Logging_2582/klagomålsmail/A 23323-2025 FSC-klagomål mail.docx", "A 23323-2025")</f>
        <v/>
      </c>
      <c r="AC54">
        <f>HYPERLINK("https://klasma.github.io/Logging_2582/tillsyn/A 23323-2025 tillsynsbegäran.docx", "A 23323-2025")</f>
        <v/>
      </c>
      <c r="AD54">
        <f>HYPERLINK("https://klasma.github.io/Logging_2582/tillsynsmail/A 23323-2025 tillsynsbegäran mail.docx", "A 23323-2025")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46281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46281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46281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46281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26728-2026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14.4</v>
      </c>
      <c r="J59" t="n">
        <v>2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Plattlummer
Fläcknycklar</t>
        </is>
      </c>
      <c r="W59">
        <f>HYPERLINK("https://klasma.github.io/Logging_2582/artfynd/A 26728-2026 artfynd.xlsx", "A 26728-2026")</f>
        <v/>
      </c>
      <c r="X59">
        <f>HYPERLINK("https://klasma.github.io/Logging_2582/kartor/A 26728-2026 karta.png", "A 26728-2026")</f>
        <v/>
      </c>
      <c r="Y59">
        <f>HYPERLINK("https://klasma.github.io/Logging_2582/kartor_geotiff/A 26728-2026 georefererad karta.tif", "A 26728-2026")</f>
        <v/>
      </c>
      <c r="AA59">
        <f>HYPERLINK("https://klasma.github.io/Logging_2582/klagomål/A 26728-2026 FSC-klagomål.docx", "A 26728-2026")</f>
        <v/>
      </c>
      <c r="AB59">
        <f>HYPERLINK("https://klasma.github.io/Logging_2582/klagomålsmail/A 26728-2026 FSC-klagomål mail.docx", "A 26728-2026")</f>
        <v/>
      </c>
      <c r="AC59">
        <f>HYPERLINK("https://klasma.github.io/Logging_2582/tillsyn/A 26728-2026 tillsynsbegäran.docx", "A 26728-2026")</f>
        <v/>
      </c>
      <c r="AD59">
        <f>HYPERLINK("https://klasma.github.io/Logging_2582/tillsynsmail/A 26728-2026 tillsynsbegäran mail.docx", "A 26728-2026")</f>
        <v/>
      </c>
    </row>
    <row r="60" ht="15" customHeight="1">
      <c r="A60" t="inlineStr">
        <is>
          <t>A 10087-2026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46281</v>
      </c>
      <c r="F60" t="inlineStr">
        <is>
          <t>NORRBOTTENS LÄN</t>
        </is>
      </c>
      <c r="G60" t="inlineStr">
        <is>
          <t>BODEN</t>
        </is>
      </c>
      <c r="I60" t="n">
        <v>5.9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Korthornad vedstekel
Skogsödla
Vanlig padda</t>
        </is>
      </c>
      <c r="W60">
        <f>HYPERLINK("https://klasma.github.io/Logging_2582/artfynd/A 10087-2026 artfynd.xlsx", "A 10087-2026")</f>
        <v/>
      </c>
      <c r="X60">
        <f>HYPERLINK("https://klasma.github.io/Logging_2582/kartor/A 10087-2026 karta.png", "A 10087-2026")</f>
        <v/>
      </c>
      <c r="Y60">
        <f>HYPERLINK("https://klasma.github.io/Logging_2582/kartor_geotiff/A 10087-2026 georefererad karta.tif", "A 10087-2026")</f>
        <v/>
      </c>
      <c r="AA60">
        <f>HYPERLINK("https://klasma.github.io/Logging_2582/klagomål/A 10087-2026 FSC-klagomål.docx", "A 10087-2026")</f>
        <v/>
      </c>
      <c r="AB60">
        <f>HYPERLINK("https://klasma.github.io/Logging_2582/klagomålsmail/A 10087-2026 FSC-klagomål mail.docx", "A 10087-2026")</f>
        <v/>
      </c>
      <c r="AC60">
        <f>HYPERLINK("https://klasma.github.io/Logging_2582/tillsyn/A 10087-2026 tillsynsbegäran.docx", "A 10087-2026")</f>
        <v/>
      </c>
      <c r="AD60">
        <f>HYPERLINK("https://klasma.github.io/Logging_2582/tillsynsmail/A 10087-2026 tillsynsbegäran mail.docx", "A 10087-2026")</f>
        <v/>
      </c>
    </row>
    <row r="61" ht="15" customHeight="1">
      <c r="A61" t="inlineStr">
        <is>
          <t>A 27698-2026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46281</v>
      </c>
      <c r="F61" t="inlineStr">
        <is>
          <t>NORRBOTTENS LÄN</t>
        </is>
      </c>
      <c r="G61" t="inlineStr">
        <is>
          <t>BODEN</t>
        </is>
      </c>
      <c r="I61" t="n">
        <v>22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16</v>
      </c>
      <c r="U61" t="n">
        <v>16</v>
      </c>
      <c r="V61" s="2" t="inlineStr">
        <is>
          <t>Fläckporing
Knärot
Lunglav</t>
        </is>
      </c>
      <c r="W61">
        <f>HYPERLINK("https://klasma.github.io/Logging_2582/artfynd/A 27698-2026 artfynd.xlsx", "A 27698-2026")</f>
        <v/>
      </c>
      <c r="X61">
        <f>HYPERLINK("https://klasma.github.io/Logging_2582/kartor/A 27698-2026 karta.png", "A 27698-2026")</f>
        <v/>
      </c>
      <c r="Y61">
        <f>HYPERLINK("https://klasma.github.io/Logging_2582/kartor_geotiff/A 27698-2026 georefererad karta.tif", "A 27698-2026")</f>
        <v/>
      </c>
      <c r="Z61">
        <f>HYPERLINK("https://klasma.github.io/Logging_2582/knärot/A 27698-2026 karta knärot.png", "A 27698-2026")</f>
        <v/>
      </c>
      <c r="AA61">
        <f>HYPERLINK("https://klasma.github.io/Logging_2582/klagomål/A 27698-2026 FSC-klagomål.docx", "A 27698-2026")</f>
        <v/>
      </c>
      <c r="AB61">
        <f>HYPERLINK("https://klasma.github.io/Logging_2582/klagomålsmail/A 27698-2026 FSC-klagomål mail.docx", "A 27698-2026")</f>
        <v/>
      </c>
      <c r="AC61">
        <f>HYPERLINK("https://klasma.github.io/Logging_2582/tillsyn/A 27698-2026 tillsynsbegäran.docx", "A 27698-2026")</f>
        <v/>
      </c>
      <c r="AD61">
        <f>HYPERLINK("https://klasma.github.io/Logging_2582/tillsynsmail/A 27698-2026 tillsynsbegäran mail.docx", "A 27698-2026")</f>
        <v/>
      </c>
    </row>
    <row r="62" ht="15" customHeight="1">
      <c r="A62" t="inlineStr">
        <is>
          <t>A 37014-2023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46281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2.4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7</v>
      </c>
      <c r="U62" t="n">
        <v>7</v>
      </c>
      <c r="V62" s="2" t="inlineStr">
        <is>
          <t>Garnlav
Talltita
Stuplav</t>
        </is>
      </c>
      <c r="W62">
        <f>HYPERLINK("https://klasma.github.io/Logging_2582/artfynd/A 37014-2023 artfynd.xlsx", "A 37014-2023")</f>
        <v/>
      </c>
      <c r="X62">
        <f>HYPERLINK("https://klasma.github.io/Logging_2582/kartor/A 37014-2023 karta.png", "A 37014-2023")</f>
        <v/>
      </c>
      <c r="Y62">
        <f>HYPERLINK("https://klasma.github.io/Logging_2582/kartor_geotiff/A 37014-2023 georefererad karta.tif", "A 37014-2023")</f>
        <v/>
      </c>
      <c r="AA62">
        <f>HYPERLINK("https://klasma.github.io/Logging_2582/klagomål/A 37014-2023 FSC-klagomål.docx", "A 37014-2023")</f>
        <v/>
      </c>
      <c r="AB62">
        <f>HYPERLINK("https://klasma.github.io/Logging_2582/klagomålsmail/A 37014-2023 FSC-klagomål mail.docx", "A 37014-2023")</f>
        <v/>
      </c>
      <c r="AC62">
        <f>HYPERLINK("https://klasma.github.io/Logging_2582/tillsyn/A 37014-2023 tillsynsbegäran.docx", "A 37014-2023")</f>
        <v/>
      </c>
      <c r="AD62">
        <f>HYPERLINK("https://klasma.github.io/Logging_2582/tillsynsmail/A 37014-2023 tillsynsbegäran mail.docx", "A 37014-2023")</f>
        <v/>
      </c>
      <c r="AE62">
        <f>HYPERLINK("https://klasma.github.io/Logging_2582/fåglar/A 37014-2023 prioriterade fågelarter.docx", "A 37014-2023")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46281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46281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46281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46281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28267-2025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46281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2.6</v>
      </c>
      <c r="J67" t="n">
        <v>2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3</v>
      </c>
      <c r="U67" t="n">
        <v>0</v>
      </c>
      <c r="V67" s="2" t="inlineStr">
        <is>
          <t>Doftticka
Knärot
Lunglav</t>
        </is>
      </c>
      <c r="W67">
        <f>HYPERLINK("https://klasma.github.io/Logging_2582/artfynd/A 28267-2025 artfynd.xlsx", "A 28267-2025")</f>
        <v/>
      </c>
      <c r="X67">
        <f>HYPERLINK("https://klasma.github.io/Logging_2582/kartor/A 28267-2025 karta.png", "A 28267-2025")</f>
        <v/>
      </c>
      <c r="Y67">
        <f>HYPERLINK("https://klasma.github.io/Logging_2582/kartor_geotiff/A 28267-2025 georefererad karta.tif", "A 28267-2025")</f>
        <v/>
      </c>
      <c r="Z67">
        <f>HYPERLINK("https://klasma.github.io/Logging_2582/knärot/A 28267-2025 karta knärot.png", "A 28267-2025")</f>
        <v/>
      </c>
      <c r="AA67">
        <f>HYPERLINK("https://klasma.github.io/Logging_2582/klagomål/A 28267-2025 FSC-klagomål.docx", "A 28267-2025")</f>
        <v/>
      </c>
      <c r="AB67">
        <f>HYPERLINK("https://klasma.github.io/Logging_2582/klagomålsmail/A 28267-2025 FSC-klagomål mail.docx", "A 28267-2025")</f>
        <v/>
      </c>
      <c r="AC67">
        <f>HYPERLINK("https://klasma.github.io/Logging_2582/tillsyn/A 28267-2025 tillsynsbegäran.docx", "A 28267-2025")</f>
        <v/>
      </c>
      <c r="AD67">
        <f>HYPERLINK("https://klasma.github.io/Logging_2582/tillsynsmail/A 28267-2025 tillsynsbegäran mail.docx", "A 28267-2025")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46281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46281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46281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46281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37086-2025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46281</v>
      </c>
      <c r="F73" t="inlineStr">
        <is>
          <t>NORRBOTTENS LÄN</t>
        </is>
      </c>
      <c r="G73" t="inlineStr">
        <is>
          <t>BODEN</t>
        </is>
      </c>
      <c r="H73" t="inlineStr">
        <is>
          <t>Övriga Aktiebolag</t>
        </is>
      </c>
      <c r="I73" t="n">
        <v>22.8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37086-2025 artfynd.xlsx", "A 37086-2025")</f>
        <v/>
      </c>
      <c r="X73">
        <f>HYPERLINK("https://klasma.github.io/Logging_2582/kartor/A 37086-2025 karta.png", "A 37086-2025")</f>
        <v/>
      </c>
      <c r="Y73">
        <f>HYPERLINK("https://klasma.github.io/Logging_2582/kartor_geotiff/A 37086-2025 georefererad karta.tif", "A 37086-2025")</f>
        <v/>
      </c>
      <c r="AA73">
        <f>HYPERLINK("https://klasma.github.io/Logging_2582/klagomål/A 37086-2025 FSC-klagomål.docx", "A 37086-2025")</f>
        <v/>
      </c>
      <c r="AB73">
        <f>HYPERLINK("https://klasma.github.io/Logging_2582/klagomålsmail/A 37086-2025 FSC-klagomål mail.docx", "A 37086-2025")</f>
        <v/>
      </c>
      <c r="AC73">
        <f>HYPERLINK("https://klasma.github.io/Logging_2582/tillsyn/A 37086-2025 tillsynsbegäran.docx", "A 37086-2025")</f>
        <v/>
      </c>
      <c r="AD73">
        <f>HYPERLINK("https://klasma.github.io/Logging_2582/tillsynsmail/A 37086-2025 tillsynsbegäran mail.docx", "A 37086-2025")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46281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25701-2025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45803</v>
      </c>
      <c r="E75" s="1" t="n">
        <v>46281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8.800000000000001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Lunglav
Öring</t>
        </is>
      </c>
      <c r="W75">
        <f>HYPERLINK("https://klasma.github.io/Logging_2582/artfynd/A 25701-2025 artfynd.xlsx", "A 25701-2025")</f>
        <v/>
      </c>
      <c r="X75">
        <f>HYPERLINK("https://klasma.github.io/Logging_2582/kartor/A 25701-2025 karta.png", "A 25701-2025")</f>
        <v/>
      </c>
      <c r="Y75">
        <f>HYPERLINK("https://klasma.github.io/Logging_2582/kartor_geotiff/A 25701-2025 georefererad karta.tif", "A 25701-2025")</f>
        <v/>
      </c>
      <c r="AA75">
        <f>HYPERLINK("https://klasma.github.io/Logging_2582/klagomål/A 25701-2025 FSC-klagomål.docx", "A 25701-2025")</f>
        <v/>
      </c>
      <c r="AB75">
        <f>HYPERLINK("https://klasma.github.io/Logging_2582/klagomålsmail/A 25701-2025 FSC-klagomål mail.docx", "A 25701-2025")</f>
        <v/>
      </c>
      <c r="AC75">
        <f>HYPERLINK("https://klasma.github.io/Logging_2582/tillsyn/A 25701-2025 tillsynsbegäran.docx", "A 25701-2025")</f>
        <v/>
      </c>
      <c r="AD75">
        <f>HYPERLINK("https://klasma.github.io/Logging_2582/tillsynsmail/A 25701-2025 tillsynsbegäran mail.docx", "A 25701-2025")</f>
        <v/>
      </c>
    </row>
    <row r="76" ht="15" customHeight="1">
      <c r="A76" t="inlineStr">
        <is>
          <t>A 43315-2025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46281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43315-2025 artfynd.xlsx", "A 43315-2025")</f>
        <v/>
      </c>
      <c r="X76">
        <f>HYPERLINK("https://klasma.github.io/Logging_2582/kartor/A 43315-2025 karta.png", "A 43315-2025")</f>
        <v/>
      </c>
      <c r="Y76">
        <f>HYPERLINK("https://klasma.github.io/Logging_2582/kartor_geotiff/A 43315-2025 georefererad karta.tif", "A 43315-2025")</f>
        <v/>
      </c>
      <c r="AA76">
        <f>HYPERLINK("https://klasma.github.io/Logging_2582/klagomål/A 43315-2025 FSC-klagomål.docx", "A 43315-2025")</f>
        <v/>
      </c>
      <c r="AB76">
        <f>HYPERLINK("https://klasma.github.io/Logging_2582/klagomålsmail/A 43315-2025 FSC-klagomål mail.docx", "A 43315-2025")</f>
        <v/>
      </c>
      <c r="AC76">
        <f>HYPERLINK("https://klasma.github.io/Logging_2582/tillsyn/A 43315-2025 tillsynsbegäran.docx", "A 43315-2025")</f>
        <v/>
      </c>
      <c r="AD76">
        <f>HYPERLINK("https://klasma.github.io/Logging_2582/tillsynsmail/A 43315-2025 tillsynsbegäran mail.docx", "A 43315-2025")</f>
        <v/>
      </c>
    </row>
    <row r="77" ht="15" customHeight="1">
      <c r="A77" t="inlineStr">
        <is>
          <t>A 43310-2025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46281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43310-2025 artfynd.xlsx", "A 43310-2025")</f>
        <v/>
      </c>
      <c r="X77">
        <f>HYPERLINK("https://klasma.github.io/Logging_2582/kartor/A 43310-2025 karta.png", "A 43310-2025")</f>
        <v/>
      </c>
      <c r="Y77">
        <f>HYPERLINK("https://klasma.github.io/Logging_2582/kartor_geotiff/A 43310-2025 georefererad karta.tif", "A 43310-2025")</f>
        <v/>
      </c>
      <c r="AA77">
        <f>HYPERLINK("https://klasma.github.io/Logging_2582/klagomål/A 43310-2025 FSC-klagomål.docx", "A 43310-2025")</f>
        <v/>
      </c>
      <c r="AB77">
        <f>HYPERLINK("https://klasma.github.io/Logging_2582/klagomålsmail/A 43310-2025 FSC-klagomål mail.docx", "A 43310-2025")</f>
        <v/>
      </c>
      <c r="AC77">
        <f>HYPERLINK("https://klasma.github.io/Logging_2582/tillsyn/A 43310-2025 tillsynsbegäran.docx", "A 43310-2025")</f>
        <v/>
      </c>
      <c r="AD77">
        <f>HYPERLINK("https://klasma.github.io/Logging_2582/tillsynsmail/A 43310-2025 tillsynsbegäran mail.docx", "A 43310-2025")</f>
        <v/>
      </c>
    </row>
    <row r="78" ht="15" customHeight="1">
      <c r="A78" t="inlineStr">
        <is>
          <t>A 45477-2025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46281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9.1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Doftticka
Lunglav</t>
        </is>
      </c>
      <c r="W78">
        <f>HYPERLINK("https://klasma.github.io/Logging_2582/artfynd/A 45477-2025 artfynd.xlsx", "A 45477-2025")</f>
        <v/>
      </c>
      <c r="X78">
        <f>HYPERLINK("https://klasma.github.io/Logging_2582/kartor/A 45477-2025 karta.png", "A 45477-2025")</f>
        <v/>
      </c>
      <c r="Y78">
        <f>HYPERLINK("https://klasma.github.io/Logging_2582/kartor_geotiff/A 45477-2025 georefererad karta.tif", "A 45477-2025")</f>
        <v/>
      </c>
      <c r="AA78">
        <f>HYPERLINK("https://klasma.github.io/Logging_2582/klagomål/A 45477-2025 FSC-klagomål.docx", "A 45477-2025")</f>
        <v/>
      </c>
      <c r="AB78">
        <f>HYPERLINK("https://klasma.github.io/Logging_2582/klagomålsmail/A 45477-2025 FSC-klagomål mail.docx", "A 45477-2025")</f>
        <v/>
      </c>
      <c r="AC78">
        <f>HYPERLINK("https://klasma.github.io/Logging_2582/tillsyn/A 45477-2025 tillsynsbegäran.docx", "A 45477-2025")</f>
        <v/>
      </c>
      <c r="AD78">
        <f>HYPERLINK("https://klasma.github.io/Logging_2582/tillsynsmail/A 45477-2025 tillsynsbegäran mail.docx", "A 45477-2025")</f>
        <v/>
      </c>
    </row>
    <row r="79" ht="15" customHeight="1">
      <c r="A79" t="inlineStr">
        <is>
          <t>A 6895-2025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45701</v>
      </c>
      <c r="E79" s="1" t="n">
        <v>46281</v>
      </c>
      <c r="F79" t="inlineStr">
        <is>
          <t>NORRBOTTENS LÄN</t>
        </is>
      </c>
      <c r="G79" t="inlineStr">
        <is>
          <t>BODEN</t>
        </is>
      </c>
      <c r="I79" t="n">
        <v>1.5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Kolflarnlav
Plattlummer</t>
        </is>
      </c>
      <c r="W79">
        <f>HYPERLINK("https://klasma.github.io/Logging_2582/artfynd/A 6895-2025 artfynd.xlsx", "A 6895-2025")</f>
        <v/>
      </c>
      <c r="X79">
        <f>HYPERLINK("https://klasma.github.io/Logging_2582/kartor/A 6895-2025 karta.png", "A 6895-2025")</f>
        <v/>
      </c>
      <c r="Y79">
        <f>HYPERLINK("https://klasma.github.io/Logging_2582/kartor_geotiff/A 6895-2025 georefererad karta.tif", "A 6895-2025")</f>
        <v/>
      </c>
      <c r="AA79">
        <f>HYPERLINK("https://klasma.github.io/Logging_2582/klagomål/A 6895-2025 FSC-klagomål.docx", "A 6895-2025")</f>
        <v/>
      </c>
      <c r="AB79">
        <f>HYPERLINK("https://klasma.github.io/Logging_2582/klagomålsmail/A 6895-2025 FSC-klagomål mail.docx", "A 6895-2025")</f>
        <v/>
      </c>
      <c r="AC79">
        <f>HYPERLINK("https://klasma.github.io/Logging_2582/tillsyn/A 6895-2025 tillsynsbegäran.docx", "A 6895-2025")</f>
        <v/>
      </c>
      <c r="AD79">
        <f>HYPERLINK("https://klasma.github.io/Logging_2582/tillsynsmail/A 6895-2025 tillsynsbegäran mail.docx", "A 6895-2025")</f>
        <v/>
      </c>
    </row>
    <row r="80" ht="15" customHeight="1">
      <c r="A80" t="inlineStr">
        <is>
          <t>A 50100-2025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46281</v>
      </c>
      <c r="F80" t="inlineStr">
        <is>
          <t>NORRBOTTENS LÄN</t>
        </is>
      </c>
      <c r="G80" t="inlineStr">
        <is>
          <t>BODEN</t>
        </is>
      </c>
      <c r="I80" t="n">
        <v>6.5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Mörk kolflarnlav
Fläcknycklar</t>
        </is>
      </c>
      <c r="W80">
        <f>HYPERLINK("https://klasma.github.io/Logging_2582/artfynd/A 50100-2025 artfynd.xlsx", "A 50100-2025")</f>
        <v/>
      </c>
      <c r="X80">
        <f>HYPERLINK("https://klasma.github.io/Logging_2582/kartor/A 50100-2025 karta.png", "A 50100-2025")</f>
        <v/>
      </c>
      <c r="Y80">
        <f>HYPERLINK("https://klasma.github.io/Logging_2582/kartor_geotiff/A 50100-2025 georefererad karta.tif", "A 50100-2025")</f>
        <v/>
      </c>
      <c r="AA80">
        <f>HYPERLINK("https://klasma.github.io/Logging_2582/klagomål/A 50100-2025 FSC-klagomål.docx", "A 50100-2025")</f>
        <v/>
      </c>
      <c r="AB80">
        <f>HYPERLINK("https://klasma.github.io/Logging_2582/klagomålsmail/A 50100-2025 FSC-klagomål mail.docx", "A 50100-2025")</f>
        <v/>
      </c>
      <c r="AC80">
        <f>HYPERLINK("https://klasma.github.io/Logging_2582/tillsyn/A 50100-2025 tillsynsbegäran.docx", "A 50100-2025")</f>
        <v/>
      </c>
      <c r="AD80">
        <f>HYPERLINK("https://klasma.github.io/Logging_2582/tillsynsmail/A 50100-2025 tillsynsbegäran mail.docx", "A 50100-2025")</f>
        <v/>
      </c>
    </row>
    <row r="81" ht="15" customHeight="1">
      <c r="A81" t="inlineStr">
        <is>
          <t>A 34737-2024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45526</v>
      </c>
      <c r="E81" s="1" t="n">
        <v>46281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4</v>
      </c>
      <c r="U81" t="n">
        <v>1</v>
      </c>
      <c r="V81" s="2" t="inlineStr">
        <is>
          <t>Lunglav
Fläcknycklar</t>
        </is>
      </c>
      <c r="W81">
        <f>HYPERLINK("https://klasma.github.io/Logging_2582/artfynd/A 34737-2024 artfynd.xlsx", "A 34737-2024")</f>
        <v/>
      </c>
      <c r="X81">
        <f>HYPERLINK("https://klasma.github.io/Logging_2582/kartor/A 34737-2024 karta.png", "A 34737-2024")</f>
        <v/>
      </c>
      <c r="Y81">
        <f>HYPERLINK("https://klasma.github.io/Logging_2582/kartor_geotiff/A 34737-2024 georefererad karta.tif", "A 34737-2024")</f>
        <v/>
      </c>
      <c r="AA81">
        <f>HYPERLINK("https://klasma.github.io/Logging_2582/klagomål/A 34737-2024 FSC-klagomål.docx", "A 34737-2024")</f>
        <v/>
      </c>
      <c r="AB81">
        <f>HYPERLINK("https://klasma.github.io/Logging_2582/klagomålsmail/A 34737-2024 FSC-klagomål mail.docx", "A 34737-2024")</f>
        <v/>
      </c>
      <c r="AC81">
        <f>HYPERLINK("https://klasma.github.io/Logging_2582/tillsyn/A 34737-2024 tillsynsbegäran.docx", "A 34737-2024")</f>
        <v/>
      </c>
      <c r="AD81">
        <f>HYPERLINK("https://klasma.github.io/Logging_2582/tillsynsmail/A 34737-2024 tillsynsbegäran mail.docx", "A 34737-2024")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46281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60774-2025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46281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60774-2025 artfynd.xlsx", "A 60774-2025")</f>
        <v/>
      </c>
      <c r="X83">
        <f>HYPERLINK("https://klasma.github.io/Logging_2582/kartor/A 60774-2025 karta.png", "A 60774-2025")</f>
        <v/>
      </c>
      <c r="Y83">
        <f>HYPERLINK("https://klasma.github.io/Logging_2582/kartor_geotiff/A 60774-2025 georefererad karta.tif", "A 60774-2025")</f>
        <v/>
      </c>
      <c r="AA83">
        <f>HYPERLINK("https://klasma.github.io/Logging_2582/klagomål/A 60774-2025 FSC-klagomål.docx", "A 60774-2025")</f>
        <v/>
      </c>
      <c r="AB83">
        <f>HYPERLINK("https://klasma.github.io/Logging_2582/klagomålsmail/A 60774-2025 FSC-klagomål mail.docx", "A 60774-2025")</f>
        <v/>
      </c>
      <c r="AC83">
        <f>HYPERLINK("https://klasma.github.io/Logging_2582/tillsyn/A 60774-2025 tillsynsbegäran.docx", "A 60774-2025")</f>
        <v/>
      </c>
      <c r="AD83">
        <f>HYPERLINK("https://klasma.github.io/Logging_2582/tillsynsmail/A 60774-2025 tillsynsbegäran mail.docx", "A 60774-2025")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46281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34164-2023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45137</v>
      </c>
      <c r="E85" s="1" t="n">
        <v>46281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2.2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Tretåig hackspett</t>
        </is>
      </c>
      <c r="W85">
        <f>HYPERLINK("https://klasma.github.io/Logging_2582/artfynd/A 34164-2023 artfynd.xlsx", "A 34164-2023")</f>
        <v/>
      </c>
      <c r="X85">
        <f>HYPERLINK("https://klasma.github.io/Logging_2582/kartor/A 34164-2023 karta.png", "A 34164-2023")</f>
        <v/>
      </c>
      <c r="Y85">
        <f>HYPERLINK("https://klasma.github.io/Logging_2582/kartor_geotiff/A 34164-2023 georefererad karta.tif", "A 34164-2023")</f>
        <v/>
      </c>
      <c r="AA85">
        <f>HYPERLINK("https://klasma.github.io/Logging_2582/klagomål/A 34164-2023 FSC-klagomål.docx", "A 34164-2023")</f>
        <v/>
      </c>
      <c r="AB85">
        <f>HYPERLINK("https://klasma.github.io/Logging_2582/klagomålsmail/A 34164-2023 FSC-klagomål mail.docx", "A 34164-2023")</f>
        <v/>
      </c>
      <c r="AC85">
        <f>HYPERLINK("https://klasma.github.io/Logging_2582/tillsyn/A 34164-2023 tillsynsbegäran.docx", "A 34164-2023")</f>
        <v/>
      </c>
      <c r="AD85">
        <f>HYPERLINK("https://klasma.github.io/Logging_2582/tillsynsmail/A 34164-2023 tillsynsbegäran mail.docx", "A 34164-2023")</f>
        <v/>
      </c>
      <c r="AE85">
        <f>HYPERLINK("https://klasma.github.io/Logging_2582/fåglar/A 34164-2023 prioriterade fågelarter.docx", "A 34164-2023")</f>
        <v/>
      </c>
    </row>
    <row r="86" ht="15" customHeight="1">
      <c r="A86" t="inlineStr">
        <is>
          <t>A 21657-2026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46281</v>
      </c>
      <c r="F86" t="inlineStr">
        <is>
          <t>NORRBOTTENS LÄN</t>
        </is>
      </c>
      <c r="G86" t="inlineStr">
        <is>
          <t>BODEN</t>
        </is>
      </c>
      <c r="I86" t="n">
        <v>9.800000000000001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Orre
Utter</t>
        </is>
      </c>
      <c r="W86">
        <f>HYPERLINK("https://klasma.github.io/Logging_2582/artfynd/A 21657-2026 artfynd.xlsx", "A 21657-2026")</f>
        <v/>
      </c>
      <c r="X86">
        <f>HYPERLINK("https://klasma.github.io/Logging_2582/kartor/A 21657-2026 karta.png", "A 21657-2026")</f>
        <v/>
      </c>
      <c r="Y86">
        <f>HYPERLINK("https://klasma.github.io/Logging_2582/kartor_geotiff/A 21657-2026 georefererad karta.tif", "A 21657-2026")</f>
        <v/>
      </c>
      <c r="AA86">
        <f>HYPERLINK("https://klasma.github.io/Logging_2582/klagomål/A 21657-2026 FSC-klagomål.docx", "A 21657-2026")</f>
        <v/>
      </c>
      <c r="AB86">
        <f>HYPERLINK("https://klasma.github.io/Logging_2582/klagomålsmail/A 21657-2026 FSC-klagomål mail.docx", "A 21657-2026")</f>
        <v/>
      </c>
      <c r="AC86">
        <f>HYPERLINK("https://klasma.github.io/Logging_2582/tillsyn/A 21657-2026 tillsynsbegäran.docx", "A 21657-2026")</f>
        <v/>
      </c>
      <c r="AD86">
        <f>HYPERLINK("https://klasma.github.io/Logging_2582/tillsynsmail/A 21657-2026 tillsynsbegäran mail.docx", "A 21657-2026")</f>
        <v/>
      </c>
      <c r="AE86">
        <f>HYPERLINK("https://klasma.github.io/Logging_2582/fåglar/A 21657-2026 prioriterade fågelarter.docx", "A 21657-2026")</f>
        <v/>
      </c>
    </row>
    <row r="87" ht="15" customHeight="1">
      <c r="A87" t="inlineStr">
        <is>
          <t>A 59435-2024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46281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Lappranunkel
Ögonpyrola</t>
        </is>
      </c>
      <c r="W87">
        <f>HYPERLINK("https://klasma.github.io/Logging_2582/artfynd/A 59435-2024 artfynd.xlsx", "A 59435-2024")</f>
        <v/>
      </c>
      <c r="X87">
        <f>HYPERLINK("https://klasma.github.io/Logging_2582/kartor/A 59435-2024 karta.png", "A 59435-2024")</f>
        <v/>
      </c>
      <c r="Y87">
        <f>HYPERLINK("https://klasma.github.io/Logging_2582/kartor_geotiff/A 59435-2024 georefererad karta.tif", "A 59435-2024")</f>
        <v/>
      </c>
      <c r="AA87">
        <f>HYPERLINK("https://klasma.github.io/Logging_2582/klagomål/A 59435-2024 FSC-klagomål.docx", "A 59435-2024")</f>
        <v/>
      </c>
      <c r="AB87">
        <f>HYPERLINK("https://klasma.github.io/Logging_2582/klagomålsmail/A 59435-2024 FSC-klagomål mail.docx", "A 59435-2024")</f>
        <v/>
      </c>
      <c r="AC87">
        <f>HYPERLINK("https://klasma.github.io/Logging_2582/tillsyn/A 59435-2024 tillsynsbegäran.docx", "A 59435-2024")</f>
        <v/>
      </c>
      <c r="AD87">
        <f>HYPERLINK("https://klasma.github.io/Logging_2582/tillsynsmail/A 59435-2024 tillsynsbegäran mail.docx", "A 59435-2024")</f>
        <v/>
      </c>
    </row>
    <row r="88" ht="15" customHeight="1">
      <c r="A88" t="inlineStr">
        <is>
          <t>A 8703-2026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46281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8703-2026 artfynd.xlsx", "A 8703-2026")</f>
        <v/>
      </c>
      <c r="X88">
        <f>HYPERLINK("https://klasma.github.io/Logging_2582/kartor/A 8703-2026 karta.png", "A 8703-2026")</f>
        <v/>
      </c>
      <c r="Y88">
        <f>HYPERLINK("https://klasma.github.io/Logging_2582/kartor_geotiff/A 8703-2026 georefererad karta.tif", "A 8703-2026")</f>
        <v/>
      </c>
      <c r="AA88">
        <f>HYPERLINK("https://klasma.github.io/Logging_2582/klagomål/A 8703-2026 FSC-klagomål.docx", "A 8703-2026")</f>
        <v/>
      </c>
      <c r="AB88">
        <f>HYPERLINK("https://klasma.github.io/Logging_2582/klagomålsmail/A 8703-2026 FSC-klagomål mail.docx", "A 8703-2026")</f>
        <v/>
      </c>
      <c r="AC88">
        <f>HYPERLINK("https://klasma.github.io/Logging_2582/tillsyn/A 8703-2026 tillsynsbegäran.docx", "A 8703-2026")</f>
        <v/>
      </c>
      <c r="AD88">
        <f>HYPERLINK("https://klasma.github.io/Logging_2582/tillsynsmail/A 8703-2026 tillsynsbegäran mail.docx", "A 8703-2026")</f>
        <v/>
      </c>
    </row>
    <row r="89" ht="15" customHeight="1">
      <c r="A89" t="inlineStr">
        <is>
          <t>A 8754-2026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46281</v>
      </c>
      <c r="F89" t="inlineStr">
        <is>
          <t>NORRBOTTENS LÄN</t>
        </is>
      </c>
      <c r="G89" t="inlineStr">
        <is>
          <t>BODEN</t>
        </is>
      </c>
      <c r="I89" t="n">
        <v>2.1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Ullticka</t>
        </is>
      </c>
      <c r="W89">
        <f>HYPERLINK("https://klasma.github.io/Logging_2582/artfynd/A 8754-2026 artfynd.xlsx", "A 8754-2026")</f>
        <v/>
      </c>
      <c r="X89">
        <f>HYPERLINK("https://klasma.github.io/Logging_2582/kartor/A 8754-2026 karta.png", "A 8754-2026")</f>
        <v/>
      </c>
      <c r="Y89">
        <f>HYPERLINK("https://klasma.github.io/Logging_2582/kartor_geotiff/A 8754-2026 georefererad karta.tif", "A 8754-2026")</f>
        <v/>
      </c>
      <c r="AA89">
        <f>HYPERLINK("https://klasma.github.io/Logging_2582/klagomål/A 8754-2026 FSC-klagomål.docx", "A 8754-2026")</f>
        <v/>
      </c>
      <c r="AB89">
        <f>HYPERLINK("https://klasma.github.io/Logging_2582/klagomålsmail/A 8754-2026 FSC-klagomål mail.docx", "A 8754-2026")</f>
        <v/>
      </c>
      <c r="AC89">
        <f>HYPERLINK("https://klasma.github.io/Logging_2582/tillsyn/A 8754-2026 tillsynsbegäran.docx", "A 8754-2026")</f>
        <v/>
      </c>
      <c r="AD89">
        <f>HYPERLINK("https://klasma.github.io/Logging_2582/tillsynsmail/A 8754-2026 tillsynsbegäran mail.docx", "A 8754-2026")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46281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Plattlummer
Spindelblomster</t>
        </is>
      </c>
      <c r="W90">
        <f>HYPERLINK("https://klasma.github.io/Logging_2582/artfynd/A 23794-2026 artfynd.xlsx", "A 23794-2026")</f>
        <v/>
      </c>
      <c r="X90">
        <f>HYPERLINK("https://klasma.github.io/Logging_2582/kartor/A 23794-2026 karta.png", "A 23794-2026")</f>
        <v/>
      </c>
      <c r="Y90">
        <f>HYPERLINK("https://klasma.github.io/Logging_2582/kartor_geotiff/A 23794-2026 georefererad karta.tif", "A 23794-2026")</f>
        <v/>
      </c>
      <c r="AA90">
        <f>HYPERLINK("https://klasma.github.io/Logging_2582/klagomål/A 23794-2026 FSC-klagomål.docx", "A 23794-2026")</f>
        <v/>
      </c>
      <c r="AB90">
        <f>HYPERLINK("https://klasma.github.io/Logging_2582/klagomålsmail/A 23794-2026 FSC-klagomål mail.docx", "A 23794-2026")</f>
        <v/>
      </c>
      <c r="AC90">
        <f>HYPERLINK("https://klasma.github.io/Logging_2582/tillsyn/A 23794-2026 tillsynsbegäran.docx", "A 23794-2026")</f>
        <v/>
      </c>
      <c r="AD90">
        <f>HYPERLINK("https://klasma.github.io/Logging_2582/tillsynsmail/A 23794-2026 tillsynsbegäran mail.docx", "A 23794-2026")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46281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Lunglav</t>
        </is>
      </c>
      <c r="W91">
        <f>HYPERLINK("https://klasma.github.io/Logging_2582/artfynd/A 26773-2026 artfynd.xlsx", "A 26773-2026")</f>
        <v/>
      </c>
      <c r="X91">
        <f>HYPERLINK("https://klasma.github.io/Logging_2582/kartor/A 26773-2026 karta.png", "A 26773-2026")</f>
        <v/>
      </c>
      <c r="Y91">
        <f>HYPERLINK("https://klasma.github.io/Logging_2582/kartor_geotiff/A 26773-2026 georefererad karta.tif", "A 26773-2026")</f>
        <v/>
      </c>
      <c r="Z91">
        <f>HYPERLINK("https://klasma.github.io/Logging_2582/knärot/A 26773-2026 karta knärot.png", "A 26773-2026")</f>
        <v/>
      </c>
      <c r="AA91">
        <f>HYPERLINK("https://klasma.github.io/Logging_2582/klagomål/A 26773-2026 FSC-klagomål.docx", "A 26773-2026")</f>
        <v/>
      </c>
      <c r="AB91">
        <f>HYPERLINK("https://klasma.github.io/Logging_2582/klagomålsmail/A 26773-2026 FSC-klagomål mail.docx", "A 26773-2026")</f>
        <v/>
      </c>
      <c r="AC91">
        <f>HYPERLINK("https://klasma.github.io/Logging_2582/tillsyn/A 26773-2026 tillsynsbegäran.docx", "A 26773-2026")</f>
        <v/>
      </c>
      <c r="AD91">
        <f>HYPERLINK("https://klasma.github.io/Logging_2582/tillsynsmail/A 26773-2026 tillsynsbegäran mail.docx", "A 26773-2026")</f>
        <v/>
      </c>
    </row>
    <row r="92" ht="15" customHeight="1">
      <c r="A92" t="inlineStr">
        <is>
          <t>A 26721-2026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46281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Tibast</t>
        </is>
      </c>
      <c r="W92">
        <f>HYPERLINK("https://klasma.github.io/Logging_2582/artfynd/A 26721-2026 artfynd.xlsx", "A 26721-2026")</f>
        <v/>
      </c>
      <c r="X92">
        <f>HYPERLINK("https://klasma.github.io/Logging_2582/kartor/A 26721-2026 karta.png", "A 26721-2026")</f>
        <v/>
      </c>
      <c r="Y92">
        <f>HYPERLINK("https://klasma.github.io/Logging_2582/kartor_geotiff/A 26721-2026 georefererad karta.tif", "A 26721-2026")</f>
        <v/>
      </c>
      <c r="AA92">
        <f>HYPERLINK("https://klasma.github.io/Logging_2582/klagomål/A 26721-2026 FSC-klagomål.docx", "A 26721-2026")</f>
        <v/>
      </c>
      <c r="AB92">
        <f>HYPERLINK("https://klasma.github.io/Logging_2582/klagomålsmail/A 26721-2026 FSC-klagomål mail.docx", "A 26721-2026")</f>
        <v/>
      </c>
      <c r="AC92">
        <f>HYPERLINK("https://klasma.github.io/Logging_2582/tillsyn/A 26721-2026 tillsynsbegäran.docx", "A 26721-2026")</f>
        <v/>
      </c>
      <c r="AD92">
        <f>HYPERLINK("https://klasma.github.io/Logging_2582/tillsynsmail/A 26721-2026 tillsynsbegäran mail.docx", "A 26721-2026")</f>
        <v/>
      </c>
    </row>
    <row r="93" ht="15" customHeight="1">
      <c r="A93" t="inlineStr">
        <is>
          <t>A 17292-2022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44678</v>
      </c>
      <c r="E93" s="1" t="n">
        <v>46281</v>
      </c>
      <c r="F93" t="inlineStr">
        <is>
          <t>NORRBOTTENS LÄN</t>
        </is>
      </c>
      <c r="G93" t="inlineStr">
        <is>
          <t>BODEN</t>
        </is>
      </c>
      <c r="H93" t="inlineStr">
        <is>
          <t>Kyrkan</t>
        </is>
      </c>
      <c r="I93" t="n">
        <v>0.8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Revlummer</t>
        </is>
      </c>
      <c r="W93">
        <f>HYPERLINK("https://klasma.github.io/Logging_2582/artfynd/A 17292-2022 artfynd.xlsx", "A 17292-2022")</f>
        <v/>
      </c>
      <c r="X93">
        <f>HYPERLINK("https://klasma.github.io/Logging_2582/kartor/A 17292-2022 karta.png", "A 17292-2022")</f>
        <v/>
      </c>
      <c r="Y93">
        <f>HYPERLINK("https://klasma.github.io/Logging_2582/kartor_geotiff/A 17292-2022 georefererad karta.tif", "A 17292-2022")</f>
        <v/>
      </c>
      <c r="AA93">
        <f>HYPERLINK("https://klasma.github.io/Logging_2582/klagomål/A 17292-2022 FSC-klagomål.docx", "A 17292-2022")</f>
        <v/>
      </c>
      <c r="AB93">
        <f>HYPERLINK("https://klasma.github.io/Logging_2582/klagomålsmail/A 17292-2022 FSC-klagomål mail.docx", "A 17292-2022")</f>
        <v/>
      </c>
      <c r="AC93">
        <f>HYPERLINK("https://klasma.github.io/Logging_2582/tillsyn/A 17292-2022 tillsynsbegäran.docx", "A 17292-2022")</f>
        <v/>
      </c>
      <c r="AD93">
        <f>HYPERLINK("https://klasma.github.io/Logging_2582/tillsynsmail/A 17292-2022 tillsynsbegäran mail.docx", "A 17292-2022")</f>
        <v/>
      </c>
    </row>
    <row r="94" ht="15" customHeight="1">
      <c r="A94" t="inlineStr">
        <is>
          <t>A 42233-2022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44830</v>
      </c>
      <c r="E94" s="1" t="n">
        <v>46281</v>
      </c>
      <c r="F94" t="inlineStr">
        <is>
          <t>NORRBOTTENS LÄN</t>
        </is>
      </c>
      <c r="G94" t="inlineStr">
        <is>
          <t>BODEN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Enkelbeckasin
Svartvit flugsnappare</t>
        </is>
      </c>
      <c r="W94">
        <f>HYPERLINK("https://klasma.github.io/Logging_2582/artfynd/A 42233-2022 artfynd.xlsx", "A 42233-2022")</f>
        <v/>
      </c>
      <c r="X94">
        <f>HYPERLINK("https://klasma.github.io/Logging_2582/kartor/A 42233-2022 karta.png", "A 42233-2022")</f>
        <v/>
      </c>
      <c r="Y94">
        <f>HYPERLINK("https://klasma.github.io/Logging_2582/kartor_geotiff/A 42233-2022 georefererad karta.tif", "A 42233-2022")</f>
        <v/>
      </c>
      <c r="AA94">
        <f>HYPERLINK("https://klasma.github.io/Logging_2582/klagomål/A 42233-2022 FSC-klagomål.docx", "A 42233-2022")</f>
        <v/>
      </c>
      <c r="AB94">
        <f>HYPERLINK("https://klasma.github.io/Logging_2582/klagomålsmail/A 42233-2022 FSC-klagomål mail.docx", "A 42233-2022")</f>
        <v/>
      </c>
      <c r="AC94">
        <f>HYPERLINK("https://klasma.github.io/Logging_2582/tillsyn/A 42233-2022 tillsynsbegäran.docx", "A 42233-2022")</f>
        <v/>
      </c>
      <c r="AD94">
        <f>HYPERLINK("https://klasma.github.io/Logging_2582/tillsynsmail/A 42233-2022 tillsynsbegäran mail.docx", "A 42233-2022")</f>
        <v/>
      </c>
      <c r="AE94">
        <f>HYPERLINK("https://klasma.github.io/Logging_2582/fåglar/A 42233-2022 prioriterade fågelarter.docx", "A 42233-2022")</f>
        <v/>
      </c>
    </row>
    <row r="95" ht="15" customHeight="1">
      <c r="A95" t="inlineStr">
        <is>
          <t>A 33096-2026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46281</v>
      </c>
      <c r="F95" t="inlineStr">
        <is>
          <t>NORRBOTTENS LÄN</t>
        </is>
      </c>
      <c r="G95" t="inlineStr">
        <is>
          <t>BODEN</t>
        </is>
      </c>
      <c r="I95" t="n">
        <v>36.6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HYPERLINK("https://klasma.github.io/Logging_2582/artfynd/A 33096-2026 artfynd.xlsx", "A 33096-2026")</f>
        <v/>
      </c>
      <c r="X95">
        <f>HYPERLINK("https://klasma.github.io/Logging_2582/kartor/A 33096-2026 karta.png", "A 33096-2026")</f>
        <v/>
      </c>
      <c r="Y95">
        <f>HYPERLINK("https://klasma.github.io/Logging_2582/kartor_geotiff/A 33096-2026 georefererad karta.tif", "A 33096-2026")</f>
        <v/>
      </c>
      <c r="AA95">
        <f>HYPERLINK("https://klasma.github.io/Logging_2582/klagomål/A 33096-2026 FSC-klagomål.docx", "A 33096-2026")</f>
        <v/>
      </c>
      <c r="AB95">
        <f>HYPERLINK("https://klasma.github.io/Logging_2582/klagomålsmail/A 33096-2026 FSC-klagomål mail.docx", "A 33096-2026")</f>
        <v/>
      </c>
      <c r="AC95">
        <f>HYPERLINK("https://klasma.github.io/Logging_2582/tillsyn/A 33096-2026 tillsynsbegäran.docx", "A 33096-2026")</f>
        <v/>
      </c>
      <c r="AD95">
        <f>HYPERLINK("https://klasma.github.io/Logging_2582/tillsynsmail/A 33096-2026 tillsynsbegäran mail.docx", "A 33096-2026")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46281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29807-2026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46281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Mörk kolflarnlav</t>
        </is>
      </c>
      <c r="W97">
        <f>HYPERLINK("https://klasma.github.io/Logging_2582/artfynd/A 29807-2026 artfynd.xlsx", "A 29807-2026")</f>
        <v/>
      </c>
      <c r="X97">
        <f>HYPERLINK("https://klasma.github.io/Logging_2582/kartor/A 29807-2026 karta.png", "A 29807-2026")</f>
        <v/>
      </c>
      <c r="Y97">
        <f>HYPERLINK("https://klasma.github.io/Logging_2582/kartor_geotiff/A 29807-2026 georefererad karta.tif", "A 29807-2026")</f>
        <v/>
      </c>
      <c r="AA97">
        <f>HYPERLINK("https://klasma.github.io/Logging_2582/klagomål/A 29807-2026 FSC-klagomål.docx", "A 29807-2026")</f>
        <v/>
      </c>
      <c r="AB97">
        <f>HYPERLINK("https://klasma.github.io/Logging_2582/klagomålsmail/A 29807-2026 FSC-klagomål mail.docx", "A 29807-2026")</f>
        <v/>
      </c>
      <c r="AC97">
        <f>HYPERLINK("https://klasma.github.io/Logging_2582/tillsyn/A 29807-2026 tillsynsbegäran.docx", "A 29807-2026")</f>
        <v/>
      </c>
      <c r="AD97">
        <f>HYPERLINK("https://klasma.github.io/Logging_2582/tillsynsmail/A 29807-2026 tillsynsbegäran mail.docx", "A 29807-2026")</f>
        <v/>
      </c>
    </row>
    <row r="98" ht="15" customHeight="1">
      <c r="A98" t="inlineStr">
        <is>
          <t>A 29860-2026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46281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Knottrig blåslav
Lunglav</t>
        </is>
      </c>
      <c r="W98">
        <f>HYPERLINK("https://klasma.github.io/Logging_2582/artfynd/A 29860-2026 artfynd.xlsx", "A 29860-2026")</f>
        <v/>
      </c>
      <c r="X98">
        <f>HYPERLINK("https://klasma.github.io/Logging_2582/kartor/A 29860-2026 karta.png", "A 29860-2026")</f>
        <v/>
      </c>
      <c r="Y98">
        <f>HYPERLINK("https://klasma.github.io/Logging_2582/kartor_geotiff/A 29860-2026 georefererad karta.tif", "A 29860-2026")</f>
        <v/>
      </c>
      <c r="AA98">
        <f>HYPERLINK("https://klasma.github.io/Logging_2582/klagomål/A 29860-2026 FSC-klagomål.docx", "A 29860-2026")</f>
        <v/>
      </c>
      <c r="AB98">
        <f>HYPERLINK("https://klasma.github.io/Logging_2582/klagomålsmail/A 29860-2026 FSC-klagomål mail.docx", "A 29860-2026")</f>
        <v/>
      </c>
      <c r="AC98">
        <f>HYPERLINK("https://klasma.github.io/Logging_2582/tillsyn/A 29860-2026 tillsynsbegäran.docx", "A 29860-2026")</f>
        <v/>
      </c>
      <c r="AD98">
        <f>HYPERLINK("https://klasma.github.io/Logging_2582/tillsynsmail/A 29860-2026 tillsynsbegäran mail.docx", "A 29860-2026")</f>
        <v/>
      </c>
    </row>
    <row r="99" ht="15" customHeight="1">
      <c r="A99" t="inlineStr">
        <is>
          <t>A 61210-2024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46281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4</v>
      </c>
      <c r="U99" t="n">
        <v>0</v>
      </c>
      <c r="V99" s="2" t="inlineStr">
        <is>
          <t>Skrovlig taggsvamp
Blå taggsvamp</t>
        </is>
      </c>
      <c r="W99">
        <f>HYPERLINK("https://klasma.github.io/Logging_2582/artfynd/A 61210-2024 artfynd.xlsx", "A 61210-2024")</f>
        <v/>
      </c>
      <c r="X99">
        <f>HYPERLINK("https://klasma.github.io/Logging_2582/kartor/A 61210-2024 karta.png", "A 61210-2024")</f>
        <v/>
      </c>
      <c r="Y99">
        <f>HYPERLINK("https://klasma.github.io/Logging_2582/kartor_geotiff/A 61210-2024 georefererad karta.tif", "A 61210-2024")</f>
        <v/>
      </c>
      <c r="AA99">
        <f>HYPERLINK("https://klasma.github.io/Logging_2582/klagomål/A 61210-2024 FSC-klagomål.docx", "A 61210-2024")</f>
        <v/>
      </c>
      <c r="AB99">
        <f>HYPERLINK("https://klasma.github.io/Logging_2582/klagomålsmail/A 61210-2024 FSC-klagomål mail.docx", "A 61210-2024")</f>
        <v/>
      </c>
      <c r="AC99">
        <f>HYPERLINK("https://klasma.github.io/Logging_2582/tillsyn/A 61210-2024 tillsynsbegäran.docx", "A 61210-2024")</f>
        <v/>
      </c>
      <c r="AD99">
        <f>HYPERLINK("https://klasma.github.io/Logging_2582/tillsynsmail/A 61210-2024 tillsynsbegäran mail.docx", "A 61210-2024")</f>
        <v/>
      </c>
    </row>
    <row r="100" ht="15" customHeight="1">
      <c r="A100" t="inlineStr">
        <is>
          <t>A 1507-2022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46281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15.4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Gråspett</t>
        </is>
      </c>
      <c r="W100">
        <f>HYPERLINK("https://klasma.github.io/Logging_2582/artfynd/A 1507-2022 artfynd.xlsx", "A 1507-2022")</f>
        <v/>
      </c>
      <c r="X100">
        <f>HYPERLINK("https://klasma.github.io/Logging_2582/kartor/A 1507-2022 karta.png", "A 1507-2022")</f>
        <v/>
      </c>
      <c r="Y100">
        <f>HYPERLINK("https://klasma.github.io/Logging_2582/kartor_geotiff/A 1507-2022 georefererad karta.tif", "A 1507-2022")</f>
        <v/>
      </c>
      <c r="AA100">
        <f>HYPERLINK("https://klasma.github.io/Logging_2582/klagomål/A 1507-2022 FSC-klagomål.docx", "A 1507-2022")</f>
        <v/>
      </c>
      <c r="AB100">
        <f>HYPERLINK("https://klasma.github.io/Logging_2582/klagomålsmail/A 1507-2022 FSC-klagomål mail.docx", "A 1507-2022")</f>
        <v/>
      </c>
      <c r="AC100">
        <f>HYPERLINK("https://klasma.github.io/Logging_2582/tillsyn/A 1507-2022 tillsynsbegäran.docx", "A 1507-2022")</f>
        <v/>
      </c>
      <c r="AD100">
        <f>HYPERLINK("https://klasma.github.io/Logging_2582/tillsynsmail/A 1507-2022 tillsynsbegäran mail.docx", "A 1507-2022")</f>
        <v/>
      </c>
      <c r="AE100">
        <f>HYPERLINK("https://klasma.github.io/Logging_2582/fåglar/A 1507-2022 prioriterade fågelarter.docx", "A 1507-2022")</f>
        <v/>
      </c>
    </row>
    <row r="101" ht="15" customHeight="1">
      <c r="A101" t="inlineStr">
        <is>
          <t>A 33416-2026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46281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7</v>
      </c>
      <c r="J101" t="n">
        <v>1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Plattlummer</t>
        </is>
      </c>
      <c r="W101">
        <f>HYPERLINK("https://klasma.github.io/Logging_2582/artfynd/A 33416-2026 artfynd.xlsx", "A 33416-2026")</f>
        <v/>
      </c>
      <c r="X101">
        <f>HYPERLINK("https://klasma.github.io/Logging_2582/kartor/A 33416-2026 karta.png", "A 33416-2026")</f>
        <v/>
      </c>
      <c r="Y101">
        <f>HYPERLINK("https://klasma.github.io/Logging_2582/kartor_geotiff/A 33416-2026 georefererad karta.tif", "A 33416-2026")</f>
        <v/>
      </c>
      <c r="AA101">
        <f>HYPERLINK("https://klasma.github.io/Logging_2582/klagomål/A 33416-2026 FSC-klagomål.docx", "A 33416-2026")</f>
        <v/>
      </c>
      <c r="AB101">
        <f>HYPERLINK("https://klasma.github.io/Logging_2582/klagomålsmail/A 33416-2026 FSC-klagomål mail.docx", "A 33416-2026")</f>
        <v/>
      </c>
      <c r="AC101">
        <f>HYPERLINK("https://klasma.github.io/Logging_2582/tillsyn/A 33416-2026 tillsynsbegäran.docx", "A 33416-2026")</f>
        <v/>
      </c>
      <c r="AD101">
        <f>HYPERLINK("https://klasma.github.io/Logging_2582/tillsynsmail/A 33416-2026 tillsynsbegäran mail.docx", "A 33416-2026")</f>
        <v/>
      </c>
    </row>
    <row r="102" ht="15" customHeight="1">
      <c r="A102" t="inlineStr">
        <is>
          <t>A 32971-2024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45517</v>
      </c>
      <c r="E102" s="1" t="n">
        <v>46281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Lunglav
Fläcknycklar</t>
        </is>
      </c>
      <c r="W102">
        <f>HYPERLINK("https://klasma.github.io/Logging_2582/artfynd/A 32971-2024 artfynd.xlsx", "A 32971-2024")</f>
        <v/>
      </c>
      <c r="X102">
        <f>HYPERLINK("https://klasma.github.io/Logging_2582/kartor/A 32971-2024 karta.png", "A 32971-2024")</f>
        <v/>
      </c>
      <c r="Y102">
        <f>HYPERLINK("https://klasma.github.io/Logging_2582/kartor_geotiff/A 32971-2024 georefererad karta.tif", "A 32971-2024")</f>
        <v/>
      </c>
      <c r="AA102">
        <f>HYPERLINK("https://klasma.github.io/Logging_2582/klagomål/A 32971-2024 FSC-klagomål.docx", "A 32971-2024")</f>
        <v/>
      </c>
      <c r="AB102">
        <f>HYPERLINK("https://klasma.github.io/Logging_2582/klagomålsmail/A 32971-2024 FSC-klagomål mail.docx", "A 32971-2024")</f>
        <v/>
      </c>
      <c r="AC102">
        <f>HYPERLINK("https://klasma.github.io/Logging_2582/tillsyn/A 32971-2024 tillsynsbegäran.docx", "A 32971-2024")</f>
        <v/>
      </c>
      <c r="AD102">
        <f>HYPERLINK("https://klasma.github.io/Logging_2582/tillsynsmail/A 32971-2024 tillsynsbegäran mail.docx", "A 32971-2024")</f>
        <v/>
      </c>
    </row>
    <row r="103" ht="15" customHeight="1">
      <c r="A103" t="inlineStr">
        <is>
          <t>A 900-2024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45301</v>
      </c>
      <c r="E103" s="1" t="n">
        <v>46281</v>
      </c>
      <c r="F103" t="inlineStr">
        <is>
          <t>NORRBOTTENS LÄN</t>
        </is>
      </c>
      <c r="G103" t="inlineStr">
        <is>
          <t>BODEN</t>
        </is>
      </c>
      <c r="I103" t="n">
        <v>5.2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Revlummer</t>
        </is>
      </c>
      <c r="W103">
        <f>HYPERLINK("https://klasma.github.io/Logging_2582/artfynd/A 900-2024 artfynd.xlsx", "A 900-2024")</f>
        <v/>
      </c>
      <c r="X103">
        <f>HYPERLINK("https://klasma.github.io/Logging_2582/kartor/A 900-2024 karta.png", "A 900-2024")</f>
        <v/>
      </c>
      <c r="Y103">
        <f>HYPERLINK("https://klasma.github.io/Logging_2582/kartor_geotiff/A 900-2024 georefererad karta.tif", "A 900-2024")</f>
        <v/>
      </c>
      <c r="Z103">
        <f>HYPERLINK("https://klasma.github.io/Logging_2582/knärot/A 900-2024 karta knärot.png", "A 900-2024")</f>
        <v/>
      </c>
      <c r="AA103">
        <f>HYPERLINK("https://klasma.github.io/Logging_2582/klagomål/A 900-2024 FSC-klagomål.docx", "A 900-2024")</f>
        <v/>
      </c>
      <c r="AB103">
        <f>HYPERLINK("https://klasma.github.io/Logging_2582/klagomålsmail/A 900-2024 FSC-klagomål mail.docx", "A 900-2024")</f>
        <v/>
      </c>
      <c r="AC103">
        <f>HYPERLINK("https://klasma.github.io/Logging_2582/tillsyn/A 900-2024 tillsynsbegäran.docx", "A 900-2024")</f>
        <v/>
      </c>
      <c r="AD103">
        <f>HYPERLINK("https://klasma.github.io/Logging_2582/tillsynsmail/A 900-2024 tillsynsbegäran mail.docx", "A 900-2024")</f>
        <v/>
      </c>
    </row>
    <row r="104" ht="15" customHeight="1">
      <c r="A104" t="inlineStr">
        <is>
          <t>A 48899-2024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46281</v>
      </c>
      <c r="F104" t="inlineStr">
        <is>
          <t>NORRBOTTENS LÄN</t>
        </is>
      </c>
      <c r="G104" t="inlineStr">
        <is>
          <t>BODEN</t>
        </is>
      </c>
      <c r="H104" t="inlineStr">
        <is>
          <t>SCA</t>
        </is>
      </c>
      <c r="I104" t="n">
        <v>18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Hässlebrodd
Fläcknycklar</t>
        </is>
      </c>
      <c r="W104">
        <f>HYPERLINK("https://klasma.github.io/Logging_2582/artfynd/A 48899-2024 artfynd.xlsx", "A 48899-2024")</f>
        <v/>
      </c>
      <c r="X104">
        <f>HYPERLINK("https://klasma.github.io/Logging_2582/kartor/A 48899-2024 karta.png", "A 48899-2024")</f>
        <v/>
      </c>
      <c r="Y104">
        <f>HYPERLINK("https://klasma.github.io/Logging_2582/kartor_geotiff/A 48899-2024 georefererad karta.tif", "A 48899-2024")</f>
        <v/>
      </c>
      <c r="AA104">
        <f>HYPERLINK("https://klasma.github.io/Logging_2582/klagomål/A 48899-2024 FSC-klagomål.docx", "A 48899-2024")</f>
        <v/>
      </c>
      <c r="AB104">
        <f>HYPERLINK("https://klasma.github.io/Logging_2582/klagomålsmail/A 48899-2024 FSC-klagomål mail.docx", "A 48899-2024")</f>
        <v/>
      </c>
      <c r="AC104">
        <f>HYPERLINK("https://klasma.github.io/Logging_2582/tillsyn/A 48899-2024 tillsynsbegäran.docx", "A 48899-2024")</f>
        <v/>
      </c>
      <c r="AD104">
        <f>HYPERLINK("https://klasma.github.io/Logging_2582/tillsynsmail/A 48899-2024 tillsynsbegäran mail.docx", "A 48899-2024")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46281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31233-2026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46217</v>
      </c>
      <c r="E106" s="1" t="n">
        <v>46281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18.5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Lunglav
Fläcknycklar</t>
        </is>
      </c>
      <c r="W106">
        <f>HYPERLINK("https://klasma.github.io/Logging_2582/artfynd/A 31233-2026 artfynd.xlsx", "A 31233-2026")</f>
        <v/>
      </c>
      <c r="X106">
        <f>HYPERLINK("https://klasma.github.io/Logging_2582/kartor/A 31233-2026 karta.png", "A 31233-2026")</f>
        <v/>
      </c>
      <c r="Y106">
        <f>HYPERLINK("https://klasma.github.io/Logging_2582/kartor_geotiff/A 31233-2026 georefererad karta.tif", "A 31233-2026")</f>
        <v/>
      </c>
      <c r="AA106">
        <f>HYPERLINK("https://klasma.github.io/Logging_2582/klagomål/A 31233-2026 FSC-klagomål.docx", "A 31233-2026")</f>
        <v/>
      </c>
      <c r="AB106">
        <f>HYPERLINK("https://klasma.github.io/Logging_2582/klagomålsmail/A 31233-2026 FSC-klagomål mail.docx", "A 31233-2026")</f>
        <v/>
      </c>
      <c r="AC106">
        <f>HYPERLINK("https://klasma.github.io/Logging_2582/tillsyn/A 31233-2026 tillsynsbegäran.docx", "A 31233-2026")</f>
        <v/>
      </c>
      <c r="AD106">
        <f>HYPERLINK("https://klasma.github.io/Logging_2582/tillsynsmail/A 31233-2026 tillsynsbegäran mail.docx", "A 31233-2026")</f>
        <v/>
      </c>
    </row>
    <row r="107" ht="15" customHeight="1">
      <c r="A107" t="inlineStr">
        <is>
          <t>A 35300-2026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46281</v>
      </c>
      <c r="F107" t="inlineStr">
        <is>
          <t>NORRBOTTENS LÄN</t>
        </is>
      </c>
      <c r="G107" t="inlineStr">
        <is>
          <t>BODEN</t>
        </is>
      </c>
      <c r="I107" t="n">
        <v>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Vitgrynig nållav</t>
        </is>
      </c>
      <c r="W107">
        <f>HYPERLINK("https://klasma.github.io/Logging_2582/artfynd/A 35300-2026 artfynd.xlsx", "A 35300-2026")</f>
        <v/>
      </c>
      <c r="X107">
        <f>HYPERLINK("https://klasma.github.io/Logging_2582/kartor/A 35300-2026 karta.png", "A 35300-2026")</f>
        <v/>
      </c>
      <c r="Y107">
        <f>HYPERLINK("https://klasma.github.io/Logging_2582/kartor_geotiff/A 35300-2026 georefererad karta.tif", "A 35300-2026")</f>
        <v/>
      </c>
      <c r="AA107">
        <f>HYPERLINK("https://klasma.github.io/Logging_2582/klagomål/A 35300-2026 FSC-klagomål.docx", "A 35300-2026")</f>
        <v/>
      </c>
      <c r="AB107">
        <f>HYPERLINK("https://klasma.github.io/Logging_2582/klagomålsmail/A 35300-2026 FSC-klagomål mail.docx", "A 35300-2026")</f>
        <v/>
      </c>
      <c r="AC107">
        <f>HYPERLINK("https://klasma.github.io/Logging_2582/tillsyn/A 35300-2026 tillsynsbegäran.docx", "A 35300-2026")</f>
        <v/>
      </c>
      <c r="AD107">
        <f>HYPERLINK("https://klasma.github.io/Logging_2582/tillsynsmail/A 35300-2026 tillsynsbegäran mail.docx", "A 35300-2026")</f>
        <v/>
      </c>
    </row>
    <row r="108" ht="15" customHeight="1">
      <c r="A108" t="inlineStr">
        <is>
          <t>A 35418-2026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46281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8</v>
      </c>
      <c r="U108" t="n">
        <v>8</v>
      </c>
      <c r="V108" s="2" t="inlineStr">
        <is>
          <t>Knärot
Dropptaggsvamp</t>
        </is>
      </c>
      <c r="W108">
        <f>HYPERLINK("https://klasma.github.io/Logging_2582/artfynd/A 35418-2026 artfynd.xlsx", "A 35418-2026")</f>
        <v/>
      </c>
      <c r="X108">
        <f>HYPERLINK("https://klasma.github.io/Logging_2582/kartor/A 35418-2026 karta.png", "A 35418-2026")</f>
        <v/>
      </c>
      <c r="Y108">
        <f>HYPERLINK("https://klasma.github.io/Logging_2582/kartor_geotiff/A 35418-2026 georefererad karta.tif", "A 35418-2026")</f>
        <v/>
      </c>
      <c r="Z108">
        <f>HYPERLINK("https://klasma.github.io/Logging_2582/knärot/A 35418-2026 karta knärot.png", "A 35418-2026")</f>
        <v/>
      </c>
      <c r="AA108">
        <f>HYPERLINK("https://klasma.github.io/Logging_2582/klagomål/A 35418-2026 FSC-klagomål.docx", "A 35418-2026")</f>
        <v/>
      </c>
      <c r="AB108">
        <f>HYPERLINK("https://klasma.github.io/Logging_2582/klagomålsmail/A 35418-2026 FSC-klagomål mail.docx", "A 35418-2026")</f>
        <v/>
      </c>
      <c r="AC108">
        <f>HYPERLINK("https://klasma.github.io/Logging_2582/tillsyn/A 35418-2026 tillsynsbegäran.docx", "A 35418-2026")</f>
        <v/>
      </c>
      <c r="AD108">
        <f>HYPERLINK("https://klasma.github.io/Logging_2582/tillsynsmail/A 35418-2026 tillsynsbegäran mail.docx", "A 35418-2026")</f>
        <v/>
      </c>
    </row>
    <row r="109" ht="15" customHeight="1">
      <c r="A109" t="inlineStr">
        <is>
          <t>A 31655-2026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46225</v>
      </c>
      <c r="E109" s="1" t="n">
        <v>46281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Dropptaggsvamp
Lunglav</t>
        </is>
      </c>
      <c r="W109">
        <f>HYPERLINK("https://klasma.github.io/Logging_2582/artfynd/A 31655-2026 artfynd.xlsx", "A 31655-2026")</f>
        <v/>
      </c>
      <c r="X109">
        <f>HYPERLINK("https://klasma.github.io/Logging_2582/kartor/A 31655-2026 karta.png", "A 31655-2026")</f>
        <v/>
      </c>
      <c r="Y109">
        <f>HYPERLINK("https://klasma.github.io/Logging_2582/kartor_geotiff/A 31655-2026 georefererad karta.tif", "A 31655-2026")</f>
        <v/>
      </c>
      <c r="AA109">
        <f>HYPERLINK("https://klasma.github.io/Logging_2582/klagomål/A 31655-2026 FSC-klagomål.docx", "A 31655-2026")</f>
        <v/>
      </c>
      <c r="AB109">
        <f>HYPERLINK("https://klasma.github.io/Logging_2582/klagomålsmail/A 31655-2026 FSC-klagomål mail.docx", "A 31655-2026")</f>
        <v/>
      </c>
      <c r="AC109">
        <f>HYPERLINK("https://klasma.github.io/Logging_2582/tillsyn/A 31655-2026 tillsynsbegäran.docx", "A 31655-2026")</f>
        <v/>
      </c>
      <c r="AD109">
        <f>HYPERLINK("https://klasma.github.io/Logging_2582/tillsynsmail/A 31655-2026 tillsynsbegäran mail.docx", "A 31655-2026")</f>
        <v/>
      </c>
    </row>
    <row r="110" ht="15" customHeight="1">
      <c r="A110" t="inlineStr">
        <is>
          <t>A 22906-2023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45072</v>
      </c>
      <c r="E110" s="1" t="n">
        <v>46281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3.5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Talltita
Utter</t>
        </is>
      </c>
      <c r="W110">
        <f>HYPERLINK("https://klasma.github.io/Logging_2582/artfynd/A 22906-2023 artfynd.xlsx", "A 22906-2023")</f>
        <v/>
      </c>
      <c r="X110">
        <f>HYPERLINK("https://klasma.github.io/Logging_2582/kartor/A 22906-2023 karta.png", "A 22906-2023")</f>
        <v/>
      </c>
      <c r="Y110">
        <f>HYPERLINK("https://klasma.github.io/Logging_2582/kartor_geotiff/A 22906-2023 georefererad karta.tif", "A 22906-2023")</f>
        <v/>
      </c>
      <c r="AA110">
        <f>HYPERLINK("https://klasma.github.io/Logging_2582/klagomål/A 22906-2023 FSC-klagomål.docx", "A 22906-2023")</f>
        <v/>
      </c>
      <c r="AB110">
        <f>HYPERLINK("https://klasma.github.io/Logging_2582/klagomålsmail/A 22906-2023 FSC-klagomål mail.docx", "A 22906-2023")</f>
        <v/>
      </c>
      <c r="AC110">
        <f>HYPERLINK("https://klasma.github.io/Logging_2582/tillsyn/A 22906-2023 tillsynsbegäran.docx", "A 22906-2023")</f>
        <v/>
      </c>
      <c r="AD110">
        <f>HYPERLINK("https://klasma.github.io/Logging_2582/tillsynsmail/A 22906-2023 tillsynsbegäran mail.docx", "A 22906-2023")</f>
        <v/>
      </c>
      <c r="AE110">
        <f>HYPERLINK("https://klasma.github.io/Logging_2582/fåglar/A 22906-2023 prioriterade fågelarter.docx", "A 22906-2023")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46281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A 6639-2024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45341</v>
      </c>
      <c r="E112" s="1" t="n">
        <v>46281</v>
      </c>
      <c r="F112" t="inlineStr">
        <is>
          <t>NORRBOTTENS LÄN</t>
        </is>
      </c>
      <c r="G112" t="inlineStr">
        <is>
          <t>BODEN</t>
        </is>
      </c>
      <c r="H112" t="inlineStr">
        <is>
          <t>Övriga statliga verk och myndigheter</t>
        </is>
      </c>
      <c r="I112" t="n">
        <v>23.8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Kungsfågel</t>
        </is>
      </c>
      <c r="W112">
        <f>HYPERLINK("https://klasma.github.io/Logging_2582/artfynd/A 6639-2024 artfynd.xlsx", "A 6639-2024")</f>
        <v/>
      </c>
      <c r="X112">
        <f>HYPERLINK("https://klasma.github.io/Logging_2582/kartor/A 6639-2024 karta.png", "A 6639-2024")</f>
        <v/>
      </c>
      <c r="Y112">
        <f>HYPERLINK("https://klasma.github.io/Logging_2582/kartor_geotiff/A 6639-2024 georefererad karta.tif", "A 6639-2024")</f>
        <v/>
      </c>
      <c r="AA112">
        <f>HYPERLINK("https://klasma.github.io/Logging_2582/klagomål/A 6639-2024 FSC-klagomål.docx", "A 6639-2024")</f>
        <v/>
      </c>
      <c r="AB112">
        <f>HYPERLINK("https://klasma.github.io/Logging_2582/klagomålsmail/A 6639-2024 FSC-klagomål mail.docx", "A 6639-2024")</f>
        <v/>
      </c>
      <c r="AC112">
        <f>HYPERLINK("https://klasma.github.io/Logging_2582/tillsyn/A 6639-2024 tillsynsbegäran.docx", "A 6639-2024")</f>
        <v/>
      </c>
      <c r="AD112">
        <f>HYPERLINK("https://klasma.github.io/Logging_2582/tillsynsmail/A 6639-2024 tillsynsbegäran mail.docx", "A 6639-2024")</f>
        <v/>
      </c>
    </row>
    <row r="113" ht="15" customHeight="1">
      <c r="A113" t="inlineStr">
        <is>
          <t>A 28867-2025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46281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8.199999999999999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12</v>
      </c>
      <c r="U113" t="n">
        <v>12</v>
      </c>
      <c r="V113" s="2" t="inlineStr">
        <is>
          <t>Knärot
Fläcknycklar</t>
        </is>
      </c>
      <c r="W113">
        <f>HYPERLINK("https://klasma.github.io/Logging_2582/artfynd/A 28867-2025 artfynd.xlsx", "A 28867-2025")</f>
        <v/>
      </c>
      <c r="X113">
        <f>HYPERLINK("https://klasma.github.io/Logging_2582/kartor/A 28867-2025 karta.png", "A 28867-2025")</f>
        <v/>
      </c>
      <c r="Y113">
        <f>HYPERLINK("https://klasma.github.io/Logging_2582/kartor_geotiff/A 28867-2025 georefererad karta.tif", "A 28867-2025")</f>
        <v/>
      </c>
      <c r="Z113">
        <f>HYPERLINK("https://klasma.github.io/Logging_2582/knärot/A 28867-2025 karta knärot.png", "A 28867-2025")</f>
        <v/>
      </c>
      <c r="AA113">
        <f>HYPERLINK("https://klasma.github.io/Logging_2582/klagomål/A 28867-2025 FSC-klagomål.docx", "A 28867-2025")</f>
        <v/>
      </c>
      <c r="AB113">
        <f>HYPERLINK("https://klasma.github.io/Logging_2582/klagomålsmail/A 28867-2025 FSC-klagomål mail.docx", "A 28867-2025")</f>
        <v/>
      </c>
      <c r="AC113">
        <f>HYPERLINK("https://klasma.github.io/Logging_2582/tillsyn/A 28867-2025 tillsynsbegäran.docx", "A 28867-2025")</f>
        <v/>
      </c>
      <c r="AD113">
        <f>HYPERLINK("https://klasma.github.io/Logging_2582/tillsynsmail/A 28867-2025 tillsynsbegäran mail.docx", "A 28867-2025")</f>
        <v/>
      </c>
    </row>
    <row r="114" ht="15" customHeight="1">
      <c r="A114" t="inlineStr">
        <is>
          <t>S 884-2024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45376</v>
      </c>
      <c r="E114" s="1" t="n">
        <v>46281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1.6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Spindelblomster
Ögonpyrola</t>
        </is>
      </c>
      <c r="W114">
        <f>HYPERLINK("https://klasma.github.io/Logging_2582/artfynd/S 884-2024 artfynd.xlsx", "S 884-2024")</f>
        <v/>
      </c>
      <c r="X114">
        <f>HYPERLINK("https://klasma.github.io/Logging_2582/kartor/S 884-2024 karta.png", "S 884-2024")</f>
        <v/>
      </c>
      <c r="Y114">
        <f>HYPERLINK("https://klasma.github.io/Logging_2582/kartor_geotiff/S 884-2024 georefererad karta.tif", "S 884-2024")</f>
        <v/>
      </c>
      <c r="Z114">
        <f>HYPERLINK("https://klasma.github.io/Logging_2582/knärot/S 884-2024 karta knärot.png", "S 884-2024")</f>
        <v/>
      </c>
      <c r="AA114">
        <f>HYPERLINK("https://klasma.github.io/Logging_2582/klagomål/S 884-2024 FSC-klagomål.docx", "S 884-2024")</f>
        <v/>
      </c>
      <c r="AB114">
        <f>HYPERLINK("https://klasma.github.io/Logging_2582/klagomålsmail/S 884-2024 FSC-klagomål mail.docx", "S 884-2024")</f>
        <v/>
      </c>
      <c r="AC114">
        <f>HYPERLINK("https://klasma.github.io/Logging_2582/tillsyn/S 884-2024 tillsynsbegäran.docx", "S 884-2024")</f>
        <v/>
      </c>
      <c r="AD114">
        <f>HYPERLINK("https://klasma.github.io/Logging_2582/tillsynsmail/S 884-2024 tillsynsbegäran mail.docx", "S 884-2024")</f>
        <v/>
      </c>
    </row>
    <row r="115" ht="15" customHeight="1">
      <c r="A115" t="inlineStr">
        <is>
          <t>A 13647-2022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46281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Gammelgransskål</t>
        </is>
      </c>
      <c r="W115">
        <f>HYPERLINK("https://klasma.github.io/Logging_2582/artfynd/A 13647-2022 artfynd.xlsx", "A 13647-2022")</f>
        <v/>
      </c>
      <c r="X115">
        <f>HYPERLINK("https://klasma.github.io/Logging_2582/kartor/A 13647-2022 karta.png", "A 13647-2022")</f>
        <v/>
      </c>
      <c r="Y115">
        <f>HYPERLINK("https://klasma.github.io/Logging_2582/kartor_geotiff/A 13647-2022 georefererad karta.tif", "A 13647-2022")</f>
        <v/>
      </c>
      <c r="AA115">
        <f>HYPERLINK("https://klasma.github.io/Logging_2582/klagomål/A 13647-2022 FSC-klagomål.docx", "A 13647-2022")</f>
        <v/>
      </c>
      <c r="AB115">
        <f>HYPERLINK("https://klasma.github.io/Logging_2582/klagomålsmail/A 13647-2022 FSC-klagomål mail.docx", "A 13647-2022")</f>
        <v/>
      </c>
      <c r="AC115">
        <f>HYPERLINK("https://klasma.github.io/Logging_2582/tillsyn/A 13647-2022 tillsynsbegäran.docx", "A 13647-2022")</f>
        <v/>
      </c>
      <c r="AD115">
        <f>HYPERLINK("https://klasma.github.io/Logging_2582/tillsynsmail/A 13647-2022 tillsynsbegäran mail.docx", "A 13647-2022")</f>
        <v/>
      </c>
    </row>
    <row r="116" ht="15" customHeight="1">
      <c r="A116" t="inlineStr">
        <is>
          <t>A 44768-2022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46281</v>
      </c>
      <c r="F116" t="inlineStr">
        <is>
          <t>NORRBOTTENS LÄN</t>
        </is>
      </c>
      <c r="G116" t="inlineStr">
        <is>
          <t>BODEN</t>
        </is>
      </c>
      <c r="H116" t="inlineStr">
        <is>
          <t>SCA</t>
        </is>
      </c>
      <c r="I116" t="n">
        <v>6.1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HYPERLINK("https://klasma.github.io/Logging_2582/artfynd/A 44768-2022 artfynd.xlsx", "A 44768-2022")</f>
        <v/>
      </c>
      <c r="X116">
        <f>HYPERLINK("https://klasma.github.io/Logging_2582/kartor/A 44768-2022 karta.png", "A 44768-2022")</f>
        <v/>
      </c>
      <c r="Y116">
        <f>HYPERLINK("https://klasma.github.io/Logging_2582/kartor_geotiff/A 44768-2022 georefererad karta.tif", "A 44768-2022")</f>
        <v/>
      </c>
      <c r="AA116">
        <f>HYPERLINK("https://klasma.github.io/Logging_2582/klagomål/A 44768-2022 FSC-klagomål.docx", "A 44768-2022")</f>
        <v/>
      </c>
      <c r="AB116">
        <f>HYPERLINK("https://klasma.github.io/Logging_2582/klagomålsmail/A 44768-2022 FSC-klagomål mail.docx", "A 44768-2022")</f>
        <v/>
      </c>
      <c r="AC116">
        <f>HYPERLINK("https://klasma.github.io/Logging_2582/tillsyn/A 44768-2022 tillsynsbegäran.docx", "A 44768-2022")</f>
        <v/>
      </c>
      <c r="AD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18678-2025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46281</v>
      </c>
      <c r="F117" t="inlineStr">
        <is>
          <t>NORRBOTTENS LÄN</t>
        </is>
      </c>
      <c r="G117" t="inlineStr">
        <is>
          <t>BODEN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HYPERLINK("https://klasma.github.io/Logging_2582/artfynd/A 18678-2025 artfynd.xlsx", "A 18678-2025")</f>
        <v/>
      </c>
      <c r="X117">
        <f>HYPERLINK("https://klasma.github.io/Logging_2582/kartor/A 18678-2025 karta.png", "A 18678-2025")</f>
        <v/>
      </c>
      <c r="Y117">
        <f>HYPERLINK("https://klasma.github.io/Logging_2582/kartor_geotiff/A 18678-2025 georefererad karta.tif", "A 18678-2025")</f>
        <v/>
      </c>
      <c r="AA117">
        <f>HYPERLINK("https://klasma.github.io/Logging_2582/klagomål/A 18678-2025 FSC-klagomål.docx", "A 18678-2025")</f>
        <v/>
      </c>
      <c r="AB117">
        <f>HYPERLINK("https://klasma.github.io/Logging_2582/klagomålsmail/A 18678-2025 FSC-klagomål mail.docx", "A 18678-2025")</f>
        <v/>
      </c>
      <c r="AC117">
        <f>HYPERLINK("https://klasma.github.io/Logging_2582/tillsyn/A 18678-2025 tillsynsbegäran.docx", "A 18678-2025")</f>
        <v/>
      </c>
      <c r="AD117">
        <f>HYPERLINK("https://klasma.github.io/Logging_2582/tillsynsmail/A 18678-2025 tillsynsbegäran mail.docx", "A 18678-2025")</f>
        <v/>
      </c>
    </row>
    <row r="118" ht="15" customHeight="1">
      <c r="A118" t="inlineStr">
        <is>
          <t>A 49410-2023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46281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Lunglav</t>
        </is>
      </c>
      <c r="W118">
        <f>HYPERLINK("https://klasma.github.io/Logging_2582/artfynd/A 49410-2023 artfynd.xlsx", "A 49410-2023")</f>
        <v/>
      </c>
      <c r="X118">
        <f>HYPERLINK("https://klasma.github.io/Logging_2582/kartor/A 49410-2023 karta.png", "A 49410-2023")</f>
        <v/>
      </c>
      <c r="Y118">
        <f>HYPERLINK("https://klasma.github.io/Logging_2582/kartor_geotiff/A 49410-2023 georefererad karta.tif", "A 49410-2023")</f>
        <v/>
      </c>
      <c r="AA118">
        <f>HYPERLINK("https://klasma.github.io/Logging_2582/klagomål/A 49410-2023 FSC-klagomål.docx", "A 49410-2023")</f>
        <v/>
      </c>
      <c r="AB118">
        <f>HYPERLINK("https://klasma.github.io/Logging_2582/klagomålsmail/A 49410-2023 FSC-klagomål mail.docx", "A 49410-2023")</f>
        <v/>
      </c>
      <c r="AC118">
        <f>HYPERLINK("https://klasma.github.io/Logging_2582/tillsyn/A 49410-2023 tillsynsbegäran.docx", "A 49410-2023")</f>
        <v/>
      </c>
      <c r="AD118">
        <f>HYPERLINK("https://klasma.github.io/Logging_2582/tillsynsmail/A 49410-2023 tillsynsbegäran mail.docx", "A 49410-2023")</f>
        <v/>
      </c>
    </row>
    <row r="119" ht="15" customHeight="1">
      <c r="A119" t="inlineStr">
        <is>
          <t>A 19396-2022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46281</v>
      </c>
      <c r="F119" t="inlineStr">
        <is>
          <t>NORRBOTTENS LÄN</t>
        </is>
      </c>
      <c r="G119" t="inlineStr">
        <is>
          <t>BODEN</t>
        </is>
      </c>
      <c r="H119" t="inlineStr">
        <is>
          <t>SCA</t>
        </is>
      </c>
      <c r="I119" t="n">
        <v>13.1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Tallticka</t>
        </is>
      </c>
      <c r="W119">
        <f>HYPERLINK("https://klasma.github.io/Logging_2582/artfynd/A 19396-2022 artfynd.xlsx", "A 19396-2022")</f>
        <v/>
      </c>
      <c r="X119">
        <f>HYPERLINK("https://klasma.github.io/Logging_2582/kartor/A 19396-2022 karta.png", "A 19396-2022")</f>
        <v/>
      </c>
      <c r="Y119">
        <f>HYPERLINK("https://klasma.github.io/Logging_2582/kartor_geotiff/A 19396-2022 georefererad karta.tif", "A 19396-2022")</f>
        <v/>
      </c>
      <c r="AA119">
        <f>HYPERLINK("https://klasma.github.io/Logging_2582/klagomål/A 19396-2022 FSC-klagomål.docx", "A 19396-2022")</f>
        <v/>
      </c>
      <c r="AB119">
        <f>HYPERLINK("https://klasma.github.io/Logging_2582/klagomålsmail/A 19396-2022 FSC-klagomål mail.docx", "A 19396-2022")</f>
        <v/>
      </c>
      <c r="AC119">
        <f>HYPERLINK("https://klasma.github.io/Logging_2582/tillsyn/A 19396-2022 tillsynsbegäran.docx", "A 19396-2022")</f>
        <v/>
      </c>
      <c r="AD119">
        <f>HYPERLINK("https://klasma.github.io/Logging_2582/tillsynsmail/A 19396-2022 tillsynsbegäran mail.docx", "A 19396-2022")</f>
        <v/>
      </c>
    </row>
    <row r="120" ht="15" customHeight="1">
      <c r="A120" t="inlineStr">
        <is>
          <t>A 52078-2021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46281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4</v>
      </c>
      <c r="V120" s="2" t="inlineStr">
        <is>
          <t>Knärot</t>
        </is>
      </c>
      <c r="W120">
        <f>HYPERLINK("https://klasma.github.io/Logging_2582/artfynd/A 52078-2021 artfynd.xlsx", "A 52078-2021")</f>
        <v/>
      </c>
      <c r="X120">
        <f>HYPERLINK("https://klasma.github.io/Logging_2582/kartor/A 52078-2021 karta.png", "A 52078-2021")</f>
        <v/>
      </c>
      <c r="Y120">
        <f>HYPERLINK("https://klasma.github.io/Logging_2582/kartor_geotiff/A 52078-2021 georefererad karta.tif", "A 52078-2021")</f>
        <v/>
      </c>
      <c r="Z120">
        <f>HYPERLINK("https://klasma.github.io/Logging_2582/knärot/A 52078-2021 karta knärot.png", "A 52078-2021")</f>
        <v/>
      </c>
      <c r="AA120">
        <f>HYPERLINK("https://klasma.github.io/Logging_2582/klagomål/A 52078-2021 FSC-klagomål.docx", "A 52078-2021")</f>
        <v/>
      </c>
      <c r="AB120">
        <f>HYPERLINK("https://klasma.github.io/Logging_2582/klagomålsmail/A 52078-2021 FSC-klagomål mail.docx", "A 52078-2021")</f>
        <v/>
      </c>
      <c r="AC120">
        <f>HYPERLINK("https://klasma.github.io/Logging_2582/tillsyn/A 52078-2021 tillsynsbegäran.docx", "A 52078-2021")</f>
        <v/>
      </c>
      <c r="AD120">
        <f>HYPERLINK("https://klasma.github.io/Logging_2582/tillsynsmail/A 52078-2021 tillsynsbegäran mail.docx", "A 52078-2021")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46281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14329-2026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46281</v>
      </c>
      <c r="F122" t="inlineStr">
        <is>
          <t>NORRBOTTENS LÄN</t>
        </is>
      </c>
      <c r="G122" t="inlineStr">
        <is>
          <t>BODEN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HYPERLINK("https://klasma.github.io/Logging_2582/artfynd/A 14329-2026 artfynd.xlsx", "A 14329-2026")</f>
        <v/>
      </c>
      <c r="X122">
        <f>HYPERLINK("https://klasma.github.io/Logging_2582/kartor/A 14329-2026 karta.png", "A 14329-2026")</f>
        <v/>
      </c>
      <c r="Y122">
        <f>HYPERLINK("https://klasma.github.io/Logging_2582/kartor_geotiff/A 14329-2026 georefererad karta.tif", "A 14329-2026")</f>
        <v/>
      </c>
      <c r="AA122">
        <f>HYPERLINK("https://klasma.github.io/Logging_2582/klagomål/A 14329-2026 FSC-klagomål.docx", "A 14329-2026")</f>
        <v/>
      </c>
      <c r="AB122">
        <f>HYPERLINK("https://klasma.github.io/Logging_2582/klagomålsmail/A 14329-2026 FSC-klagomål mail.docx", "A 14329-2026")</f>
        <v/>
      </c>
      <c r="AC122">
        <f>HYPERLINK("https://klasma.github.io/Logging_2582/tillsyn/A 14329-2026 tillsynsbegäran.docx", "A 14329-2026")</f>
        <v/>
      </c>
      <c r="AD122">
        <f>HYPERLINK("https://klasma.github.io/Logging_2582/tillsynsmail/A 14329-2026 tillsynsbegäran mail.docx", "A 14329-2026")</f>
        <v/>
      </c>
      <c r="AE122">
        <f>HYPERLINK("https://klasma.github.io/Logging_2582/fåglar/A 14329-2026 prioriterade fågelarter.docx", "A 14329-2026")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46281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46281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13568-2022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46281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Lavskrika</t>
        </is>
      </c>
      <c r="W125">
        <f>HYPERLINK("https://klasma.github.io/Logging_2582/artfynd/A 13568-2022 artfynd.xlsx", "A 13568-2022")</f>
        <v/>
      </c>
      <c r="X125">
        <f>HYPERLINK("https://klasma.github.io/Logging_2582/kartor/A 13568-2022 karta.png", "A 13568-2022")</f>
        <v/>
      </c>
      <c r="Y125">
        <f>HYPERLINK("https://klasma.github.io/Logging_2582/kartor_geotiff/A 13568-2022 georefererad karta.tif", "A 13568-2022")</f>
        <v/>
      </c>
      <c r="AA125">
        <f>HYPERLINK("https://klasma.github.io/Logging_2582/klagomål/A 13568-2022 FSC-klagomål.docx", "A 13568-2022")</f>
        <v/>
      </c>
      <c r="AB125">
        <f>HYPERLINK("https://klasma.github.io/Logging_2582/klagomålsmail/A 13568-2022 FSC-klagomål mail.docx", "A 13568-2022")</f>
        <v/>
      </c>
      <c r="AC125">
        <f>HYPERLINK("https://klasma.github.io/Logging_2582/tillsyn/A 13568-2022 tillsynsbegäran.docx", "A 13568-2022")</f>
        <v/>
      </c>
      <c r="AD125">
        <f>HYPERLINK("https://klasma.github.io/Logging_2582/tillsynsmail/A 13568-2022 tillsynsbegäran mail.docx", "A 13568-2022")</f>
        <v/>
      </c>
      <c r="AE125">
        <f>HYPERLINK("https://klasma.github.io/Logging_2582/fåglar/A 13568-2022 prioriterade fågelarter.docx", "A 13568-2022")</f>
        <v/>
      </c>
    </row>
    <row r="126" ht="15" customHeight="1">
      <c r="A126" t="inlineStr">
        <is>
          <t>A 26359-2022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46281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Tallticka</t>
        </is>
      </c>
      <c r="W126">
        <f>HYPERLINK("https://klasma.github.io/Logging_2582/artfynd/A 26359-2022 artfynd.xlsx", "A 26359-2022")</f>
        <v/>
      </c>
      <c r="X126">
        <f>HYPERLINK("https://klasma.github.io/Logging_2582/kartor/A 26359-2022 karta.png", "A 26359-2022")</f>
        <v/>
      </c>
      <c r="Y126">
        <f>HYPERLINK("https://klasma.github.io/Logging_2582/kartor_geotiff/A 26359-2022 georefererad karta.tif", "A 26359-2022")</f>
        <v/>
      </c>
      <c r="AA126">
        <f>HYPERLINK("https://klasma.github.io/Logging_2582/klagomål/A 26359-2022 FSC-klagomål.docx", "A 26359-2022")</f>
        <v/>
      </c>
      <c r="AB126">
        <f>HYPERLINK("https://klasma.github.io/Logging_2582/klagomålsmail/A 26359-2022 FSC-klagomål mail.docx", "A 26359-2022")</f>
        <v/>
      </c>
      <c r="AC126">
        <f>HYPERLINK("https://klasma.github.io/Logging_2582/tillsyn/A 26359-2022 tillsynsbegäran.docx", "A 26359-2022")</f>
        <v/>
      </c>
      <c r="AD126">
        <f>HYPERLINK("https://klasma.github.io/Logging_2582/tillsynsmail/A 26359-2022 tillsynsbegäran mail.docx", "A 26359-2022")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46281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41087-2024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45559</v>
      </c>
      <c r="E128" s="1" t="n">
        <v>46281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HYPERLINK("https://klasma.github.io/Logging_2582/artfynd/A 41087-2024 artfynd.xlsx", "A 41087-2024")</f>
        <v/>
      </c>
      <c r="X128">
        <f>HYPERLINK("https://klasma.github.io/Logging_2582/kartor/A 41087-2024 karta.png", "A 41087-2024")</f>
        <v/>
      </c>
      <c r="Y128">
        <f>HYPERLINK("https://klasma.github.io/Logging_2582/kartor_geotiff/A 41087-2024 georefererad karta.tif", "A 41087-2024")</f>
        <v/>
      </c>
      <c r="AA128">
        <f>HYPERLINK("https://klasma.github.io/Logging_2582/klagomål/A 41087-2024 FSC-klagomål.docx", "A 41087-2024")</f>
        <v/>
      </c>
      <c r="AB128">
        <f>HYPERLINK("https://klasma.github.io/Logging_2582/klagomålsmail/A 41087-2024 FSC-klagomål mail.docx", "A 41087-2024")</f>
        <v/>
      </c>
      <c r="AC128">
        <f>HYPERLINK("https://klasma.github.io/Logging_2582/tillsyn/A 41087-2024 tillsynsbegäran.docx", "A 41087-2024")</f>
        <v/>
      </c>
      <c r="AD128">
        <f>HYPERLINK("https://klasma.github.io/Logging_2582/tillsynsmail/A 41087-2024 tillsynsbegäran mail.docx", "A 41087-2024")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46281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19580-2026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46281</v>
      </c>
      <c r="F130" t="inlineStr">
        <is>
          <t>NORRBOTTENS LÄN</t>
        </is>
      </c>
      <c r="G130" t="inlineStr">
        <is>
          <t>BODEN</t>
        </is>
      </c>
      <c r="I130" t="n">
        <v>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Dropptaggsvamp</t>
        </is>
      </c>
      <c r="W130">
        <f>HYPERLINK("https://klasma.github.io/Logging_2582/artfynd/A 19580-2026 artfynd.xlsx", "A 19580-2026")</f>
        <v/>
      </c>
      <c r="X130">
        <f>HYPERLINK("https://klasma.github.io/Logging_2582/kartor/A 19580-2026 karta.png", "A 19580-2026")</f>
        <v/>
      </c>
      <c r="Y130">
        <f>HYPERLINK("https://klasma.github.io/Logging_2582/kartor_geotiff/A 19580-2026 georefererad karta.tif", "A 19580-2026")</f>
        <v/>
      </c>
      <c r="AA130">
        <f>HYPERLINK("https://klasma.github.io/Logging_2582/klagomål/A 19580-2026 FSC-klagomål.docx", "A 19580-2026")</f>
        <v/>
      </c>
      <c r="AB130">
        <f>HYPERLINK("https://klasma.github.io/Logging_2582/klagomålsmail/A 19580-2026 FSC-klagomål mail.docx", "A 19580-2026")</f>
        <v/>
      </c>
      <c r="AC130">
        <f>HYPERLINK("https://klasma.github.io/Logging_2582/tillsyn/A 19580-2026 tillsynsbegäran.docx", "A 19580-2026")</f>
        <v/>
      </c>
      <c r="AD130">
        <f>HYPERLINK("https://klasma.github.io/Logging_2582/tillsynsmail/A 19580-2026 tillsynsbegäran mail.docx", "A 19580-2026")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46281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51184-2025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46281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HYPERLINK("https://klasma.github.io/Logging_2582/artfynd/A 51184-2025 artfynd.xlsx", "A 51184-2025")</f>
        <v/>
      </c>
      <c r="X132">
        <f>HYPERLINK("https://klasma.github.io/Logging_2582/kartor/A 51184-2025 karta.png", "A 51184-2025")</f>
        <v/>
      </c>
      <c r="Y132">
        <f>HYPERLINK("https://klasma.github.io/Logging_2582/kartor_geotiff/A 51184-2025 georefererad karta.tif", "A 51184-2025")</f>
        <v/>
      </c>
      <c r="AA132">
        <f>HYPERLINK("https://klasma.github.io/Logging_2582/klagomål/A 51184-2025 FSC-klagomål.docx", "A 51184-2025")</f>
        <v/>
      </c>
      <c r="AB132">
        <f>HYPERLINK("https://klasma.github.io/Logging_2582/klagomålsmail/A 51184-2025 FSC-klagomål mail.docx", "A 51184-2025")</f>
        <v/>
      </c>
      <c r="AC132">
        <f>HYPERLINK("https://klasma.github.io/Logging_2582/tillsyn/A 51184-2025 tillsynsbegäran.docx", "A 51184-2025")</f>
        <v/>
      </c>
      <c r="AD132">
        <f>HYPERLINK("https://klasma.github.io/Logging_2582/tillsynsmail/A 51184-2025 tillsynsbegäran mail.docx", "A 51184-2025")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46281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46281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Bollvitmossa</t>
        </is>
      </c>
      <c r="W134">
        <f>HYPERLINK("https://klasma.github.io/Logging_2582/artfynd/A 51304-2025 artfynd.xlsx", "A 51304-2025")</f>
        <v/>
      </c>
      <c r="X134">
        <f>HYPERLINK("https://klasma.github.io/Logging_2582/kartor/A 51304-2025 karta.png", "A 51304-2025")</f>
        <v/>
      </c>
      <c r="Y134">
        <f>HYPERLINK("https://klasma.github.io/Logging_2582/kartor_geotiff/A 51304-2025 georefererad karta.tif", "A 51304-2025")</f>
        <v/>
      </c>
      <c r="AA134">
        <f>HYPERLINK("https://klasma.github.io/Logging_2582/klagomål/A 51304-2025 FSC-klagomål.docx", "A 51304-2025")</f>
        <v/>
      </c>
      <c r="AB134">
        <f>HYPERLINK("https://klasma.github.io/Logging_2582/klagomålsmail/A 51304-2025 FSC-klagomål mail.docx", "A 51304-2025")</f>
        <v/>
      </c>
      <c r="AC134">
        <f>HYPERLINK("https://klasma.github.io/Logging_2582/tillsyn/A 51304-2025 tillsynsbegäran.docx", "A 51304-2025")</f>
        <v/>
      </c>
      <c r="AD134">
        <f>HYPERLINK("https://klasma.github.io/Logging_2582/tillsynsmail/A 51304-2025 tillsynsbegäran mail.docx", "A 51304-2025")</f>
        <v/>
      </c>
    </row>
    <row r="135" ht="15" customHeight="1">
      <c r="A135" t="inlineStr">
        <is>
          <t>A 51874-2025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45952</v>
      </c>
      <c r="E135" s="1" t="n">
        <v>46281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0.7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Skinnlav</t>
        </is>
      </c>
      <c r="W135">
        <f>HYPERLINK("https://klasma.github.io/Logging_2582/artfynd/A 51874-2025 artfynd.xlsx", "A 51874-2025")</f>
        <v/>
      </c>
      <c r="X135">
        <f>HYPERLINK("https://klasma.github.io/Logging_2582/kartor/A 51874-2025 karta.png", "A 51874-2025")</f>
        <v/>
      </c>
      <c r="Y135">
        <f>HYPERLINK("https://klasma.github.io/Logging_2582/kartor_geotiff/A 51874-2025 georefererad karta.tif", "A 51874-2025")</f>
        <v/>
      </c>
      <c r="AA135">
        <f>HYPERLINK("https://klasma.github.io/Logging_2582/klagomål/A 51874-2025 FSC-klagomål.docx", "A 51874-2025")</f>
        <v/>
      </c>
      <c r="AB135">
        <f>HYPERLINK("https://klasma.github.io/Logging_2582/klagomålsmail/A 51874-2025 FSC-klagomål mail.docx", "A 51874-2025")</f>
        <v/>
      </c>
      <c r="AC135">
        <f>HYPERLINK("https://klasma.github.io/Logging_2582/tillsyn/A 51874-2025 tillsynsbegäran.docx", "A 51874-2025")</f>
        <v/>
      </c>
      <c r="AD135">
        <f>HYPERLINK("https://klasma.github.io/Logging_2582/tillsynsmail/A 51874-2025 tillsynsbegäran mail.docx", "A 51874-2025")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46281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46281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54563-2025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46281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Tallticka</t>
        </is>
      </c>
      <c r="W138">
        <f>HYPERLINK("https://klasma.github.io/Logging_2582/artfynd/A 54563-2025 artfynd.xlsx", "A 54563-2025")</f>
        <v/>
      </c>
      <c r="X138">
        <f>HYPERLINK("https://klasma.github.io/Logging_2582/kartor/A 54563-2025 karta.png", "A 54563-2025")</f>
        <v/>
      </c>
      <c r="Y138">
        <f>HYPERLINK("https://klasma.github.io/Logging_2582/kartor_geotiff/A 54563-2025 georefererad karta.tif", "A 54563-2025")</f>
        <v/>
      </c>
      <c r="AA138">
        <f>HYPERLINK("https://klasma.github.io/Logging_2582/klagomål/A 54563-2025 FSC-klagomål.docx", "A 54563-2025")</f>
        <v/>
      </c>
      <c r="AB138">
        <f>HYPERLINK("https://klasma.github.io/Logging_2582/klagomålsmail/A 54563-2025 FSC-klagomål mail.docx", "A 54563-2025")</f>
        <v/>
      </c>
      <c r="AC138">
        <f>HYPERLINK("https://klasma.github.io/Logging_2582/tillsyn/A 54563-2025 tillsynsbegäran.docx", "A 54563-2025")</f>
        <v/>
      </c>
      <c r="AD138">
        <f>HYPERLINK("https://klasma.github.io/Logging_2582/tillsynsmail/A 54563-2025 tillsynsbegäran mail.docx", "A 54563-2025")</f>
        <v/>
      </c>
    </row>
    <row r="139" ht="15" customHeight="1">
      <c r="A139" t="inlineStr">
        <is>
          <t>A 54833-2025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46281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Utter</t>
        </is>
      </c>
      <c r="W139">
        <f>HYPERLINK("https://klasma.github.io/Logging_2582/artfynd/A 54833-2025 artfynd.xlsx", "A 54833-2025")</f>
        <v/>
      </c>
      <c r="X139">
        <f>HYPERLINK("https://klasma.github.io/Logging_2582/kartor/A 54833-2025 karta.png", "A 54833-2025")</f>
        <v/>
      </c>
      <c r="Y139">
        <f>HYPERLINK("https://klasma.github.io/Logging_2582/kartor_geotiff/A 54833-2025 georefererad karta.tif", "A 54833-2025")</f>
        <v/>
      </c>
      <c r="AA139">
        <f>HYPERLINK("https://klasma.github.io/Logging_2582/klagomål/A 54833-2025 FSC-klagomål.docx", "A 54833-2025")</f>
        <v/>
      </c>
      <c r="AB139">
        <f>HYPERLINK("https://klasma.github.io/Logging_2582/klagomålsmail/A 54833-2025 FSC-klagomål mail.docx", "A 54833-2025")</f>
        <v/>
      </c>
      <c r="AC139">
        <f>HYPERLINK("https://klasma.github.io/Logging_2582/tillsyn/A 54833-2025 tillsynsbegäran.docx", "A 54833-2025")</f>
        <v/>
      </c>
      <c r="AD139">
        <f>HYPERLINK("https://klasma.github.io/Logging_2582/tillsynsmail/A 54833-2025 tillsynsbegäran mail.docx", "A 54833-2025")</f>
        <v/>
      </c>
    </row>
    <row r="140" ht="15" customHeight="1">
      <c r="A140" t="inlineStr">
        <is>
          <t>A 56598-2025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46281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56598-2025 artfynd.xlsx", "A 56598-2025")</f>
        <v/>
      </c>
      <c r="X140">
        <f>HYPERLINK("https://klasma.github.io/Logging_2582/kartor/A 56598-2025 karta.png", "A 56598-2025")</f>
        <v/>
      </c>
      <c r="Y140">
        <f>HYPERLINK("https://klasma.github.io/Logging_2582/kartor_geotiff/A 56598-2025 georefererad karta.tif", "A 56598-2025")</f>
        <v/>
      </c>
      <c r="AA140">
        <f>HYPERLINK("https://klasma.github.io/Logging_2582/klagomål/A 56598-2025 FSC-klagomål.docx", "A 56598-2025")</f>
        <v/>
      </c>
      <c r="AB140">
        <f>HYPERLINK("https://klasma.github.io/Logging_2582/klagomålsmail/A 56598-2025 FSC-klagomål mail.docx", "A 56598-2025")</f>
        <v/>
      </c>
      <c r="AC140">
        <f>HYPERLINK("https://klasma.github.io/Logging_2582/tillsyn/A 56598-2025 tillsynsbegäran.docx", "A 56598-2025")</f>
        <v/>
      </c>
      <c r="AD140">
        <f>HYPERLINK("https://klasma.github.io/Logging_2582/tillsynsmail/A 56598-2025 tillsynsbegäran mail.docx", "A 56598-2025")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46281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60196-2025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46281</v>
      </c>
      <c r="F142" t="inlineStr">
        <is>
          <t>NORRBOTTENS LÄN</t>
        </is>
      </c>
      <c r="G142" t="inlineStr">
        <is>
          <t>BODEN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HYPERLINK("https://klasma.github.io/Logging_2582/artfynd/A 60196-2025 artfynd.xlsx", "A 60196-2025")</f>
        <v/>
      </c>
      <c r="X142">
        <f>HYPERLINK("https://klasma.github.io/Logging_2582/kartor/A 60196-2025 karta.png", "A 60196-2025")</f>
        <v/>
      </c>
      <c r="Y142">
        <f>HYPERLINK("https://klasma.github.io/Logging_2582/kartor_geotiff/A 60196-2025 georefererad karta.tif", "A 60196-2025")</f>
        <v/>
      </c>
      <c r="AA142">
        <f>HYPERLINK("https://klasma.github.io/Logging_2582/klagomål/A 60196-2025 FSC-klagomål.docx", "A 60196-2025")</f>
        <v/>
      </c>
      <c r="AB142">
        <f>HYPERLINK("https://klasma.github.io/Logging_2582/klagomålsmail/A 60196-2025 FSC-klagomål mail.docx", "A 60196-2025")</f>
        <v/>
      </c>
      <c r="AC142">
        <f>HYPERLINK("https://klasma.github.io/Logging_2582/tillsyn/A 60196-2025 tillsynsbegäran.docx", "A 60196-2025")</f>
        <v/>
      </c>
      <c r="AD142">
        <f>HYPERLINK("https://klasma.github.io/Logging_2582/tillsynsmail/A 60196-2025 tillsynsbegäran mail.docx", "A 60196-2025")</f>
        <v/>
      </c>
    </row>
    <row r="143" ht="15" customHeight="1">
      <c r="A143" t="inlineStr">
        <is>
          <t>A 2568-2024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46281</v>
      </c>
      <c r="F143" t="inlineStr">
        <is>
          <t>NORRBOTTENS LÄN</t>
        </is>
      </c>
      <c r="G143" t="inlineStr">
        <is>
          <t>BODEN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 taggsvamp</t>
        </is>
      </c>
      <c r="W143">
        <f>HYPERLINK("https://klasma.github.io/Logging_2582/artfynd/A 2568-2024 artfynd.xlsx", "A 2568-2024")</f>
        <v/>
      </c>
      <c r="X143">
        <f>HYPERLINK("https://klasma.github.io/Logging_2582/kartor/A 2568-2024 karta.png", "A 2568-2024")</f>
        <v/>
      </c>
      <c r="Y143">
        <f>HYPERLINK("https://klasma.github.io/Logging_2582/kartor_geotiff/A 2568-2024 georefererad karta.tif", "A 2568-2024")</f>
        <v/>
      </c>
      <c r="AA143">
        <f>HYPERLINK("https://klasma.github.io/Logging_2582/klagomål/A 2568-2024 FSC-klagomål.docx", "A 2568-2024")</f>
        <v/>
      </c>
      <c r="AB143">
        <f>HYPERLINK("https://klasma.github.io/Logging_2582/klagomålsmail/A 2568-2024 FSC-klagomål mail.docx", "A 2568-2024")</f>
        <v/>
      </c>
      <c r="AC143">
        <f>HYPERLINK("https://klasma.github.io/Logging_2582/tillsyn/A 2568-2024 tillsynsbegäran.docx", "A 2568-2024")</f>
        <v/>
      </c>
      <c r="AD143">
        <f>HYPERLINK("https://klasma.github.io/Logging_2582/tillsynsmail/A 2568-2024 tillsynsbegäran mail.docx", "A 2568-2024")</f>
        <v/>
      </c>
    </row>
    <row r="144" ht="15" customHeight="1">
      <c r="A144" t="inlineStr">
        <is>
          <t>A 21310-2026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46281</v>
      </c>
      <c r="F144" t="inlineStr">
        <is>
          <t>NORRBOTTENS LÄN</t>
        </is>
      </c>
      <c r="G144" t="inlineStr">
        <is>
          <t>BODEN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HYPERLINK("https://klasma.github.io/Logging_2582/artfynd/A 21310-2026 artfynd.xlsx", "A 21310-2026")</f>
        <v/>
      </c>
      <c r="X144">
        <f>HYPERLINK("https://klasma.github.io/Logging_2582/kartor/A 21310-2026 karta.png", "A 21310-2026")</f>
        <v/>
      </c>
      <c r="Y144">
        <f>HYPERLINK("https://klasma.github.io/Logging_2582/kartor_geotiff/A 21310-2026 georefererad karta.tif", "A 21310-2026")</f>
        <v/>
      </c>
      <c r="AA144">
        <f>HYPERLINK("https://klasma.github.io/Logging_2582/klagomål/A 21310-2026 FSC-klagomål.docx", "A 21310-2026")</f>
        <v/>
      </c>
      <c r="AB144">
        <f>HYPERLINK("https://klasma.github.io/Logging_2582/klagomålsmail/A 21310-2026 FSC-klagomål mail.docx", "A 21310-2026")</f>
        <v/>
      </c>
      <c r="AC144">
        <f>HYPERLINK("https://klasma.github.io/Logging_2582/tillsyn/A 21310-2026 tillsynsbegäran.docx", "A 21310-2026")</f>
        <v/>
      </c>
      <c r="AD144">
        <f>HYPERLINK("https://klasma.github.io/Logging_2582/tillsynsmail/A 21310-2026 tillsynsbegäran mail.docx", "A 21310-2026")</f>
        <v/>
      </c>
    </row>
    <row r="145" ht="15" customHeight="1">
      <c r="A145" t="inlineStr">
        <is>
          <t>A 60781-2025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46281</v>
      </c>
      <c r="F145" t="inlineStr">
        <is>
          <t>NORRBOTTENS LÄN</t>
        </is>
      </c>
      <c r="G145" t="inlineStr">
        <is>
          <t>BODEN</t>
        </is>
      </c>
      <c r="I145" t="n">
        <v>12.3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HYPERLINK("https://klasma.github.io/Logging_2582/artfynd/A 60781-2025 artfynd.xlsx", "A 60781-2025")</f>
        <v/>
      </c>
      <c r="X145">
        <f>HYPERLINK("https://klasma.github.io/Logging_2582/kartor/A 60781-2025 karta.png", "A 60781-2025")</f>
        <v/>
      </c>
      <c r="Y145">
        <f>HYPERLINK("https://klasma.github.io/Logging_2582/kartor_geotiff/A 60781-2025 georefererad karta.tif", "A 60781-2025")</f>
        <v/>
      </c>
      <c r="AA145">
        <f>HYPERLINK("https://klasma.github.io/Logging_2582/klagomål/A 60781-2025 FSC-klagomål.docx", "A 60781-2025")</f>
        <v/>
      </c>
      <c r="AB145">
        <f>HYPERLINK("https://klasma.github.io/Logging_2582/klagomålsmail/A 60781-2025 FSC-klagomål mail.docx", "A 60781-2025")</f>
        <v/>
      </c>
      <c r="AC145">
        <f>HYPERLINK("https://klasma.github.io/Logging_2582/tillsyn/A 60781-2025 tillsynsbegäran.docx", "A 60781-2025")</f>
        <v/>
      </c>
      <c r="AD145">
        <f>HYPERLINK("https://klasma.github.io/Logging_2582/tillsynsmail/A 60781-2025 tillsynsbegäran mail.docx", "A 60781-2025")</f>
        <v/>
      </c>
    </row>
    <row r="146" ht="15" customHeight="1">
      <c r="A146" t="inlineStr">
        <is>
          <t>A 62002-2025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46281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Vitgrynig nållav</t>
        </is>
      </c>
      <c r="W146">
        <f>HYPERLINK("https://klasma.github.io/Logging_2582/artfynd/A 62002-2025 artfynd.xlsx", "A 62002-2025")</f>
        <v/>
      </c>
      <c r="X146">
        <f>HYPERLINK("https://klasma.github.io/Logging_2582/kartor/A 62002-2025 karta.png", "A 62002-2025")</f>
        <v/>
      </c>
      <c r="Y146">
        <f>HYPERLINK("https://klasma.github.io/Logging_2582/kartor_geotiff/A 62002-2025 georefererad karta.tif", "A 62002-2025")</f>
        <v/>
      </c>
      <c r="AA146">
        <f>HYPERLINK("https://klasma.github.io/Logging_2582/klagomål/A 62002-2025 FSC-klagomål.docx", "A 62002-2025")</f>
        <v/>
      </c>
      <c r="AB146">
        <f>HYPERLINK("https://klasma.github.io/Logging_2582/klagomålsmail/A 62002-2025 FSC-klagomål mail.docx", "A 62002-2025")</f>
        <v/>
      </c>
      <c r="AC146">
        <f>HYPERLINK("https://klasma.github.io/Logging_2582/tillsyn/A 62002-2025 tillsynsbegäran.docx", "A 62002-2025")</f>
        <v/>
      </c>
      <c r="AD146">
        <f>HYPERLINK("https://klasma.github.io/Logging_2582/tillsynsmail/A 62002-2025 tillsynsbegäran mail.docx", "A 62002-2025")</f>
        <v/>
      </c>
    </row>
    <row r="147" ht="15" customHeight="1">
      <c r="A147" t="inlineStr">
        <is>
          <t>A 12832-2022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44642</v>
      </c>
      <c r="E147" s="1" t="n">
        <v>46281</v>
      </c>
      <c r="F147" t="inlineStr">
        <is>
          <t>NORRBOTTENS LÄN</t>
        </is>
      </c>
      <c r="G147" t="inlineStr">
        <is>
          <t>BODEN</t>
        </is>
      </c>
      <c r="I147" t="n">
        <v>6.6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Doftticka</t>
        </is>
      </c>
      <c r="W147">
        <f>HYPERLINK("https://klasma.github.io/Logging_2582/artfynd/A 12832-2022 artfynd.xlsx", "A 12832-2022")</f>
        <v/>
      </c>
      <c r="X147">
        <f>HYPERLINK("https://klasma.github.io/Logging_2582/kartor/A 12832-2022 karta.png", "A 12832-2022")</f>
        <v/>
      </c>
      <c r="Y147">
        <f>HYPERLINK("https://klasma.github.io/Logging_2582/kartor_geotiff/A 12832-2022 georefererad karta.tif", "A 12832-2022")</f>
        <v/>
      </c>
      <c r="AA147">
        <f>HYPERLINK("https://klasma.github.io/Logging_2582/klagomål/A 12832-2022 FSC-klagomål.docx", "A 12832-2022")</f>
        <v/>
      </c>
      <c r="AB147">
        <f>HYPERLINK("https://klasma.github.io/Logging_2582/klagomålsmail/A 12832-2022 FSC-klagomål mail.docx", "A 12832-2022")</f>
        <v/>
      </c>
      <c r="AC147">
        <f>HYPERLINK("https://klasma.github.io/Logging_2582/tillsyn/A 12832-2022 tillsynsbegäran.docx", "A 12832-2022")</f>
        <v/>
      </c>
      <c r="AD147">
        <f>HYPERLINK("https://klasma.github.io/Logging_2582/tillsynsmail/A 12832-2022 tillsynsbegäran mail.docx", "A 12832-2022")</f>
        <v/>
      </c>
    </row>
    <row r="148" ht="15" customHeight="1">
      <c r="A148" t="inlineStr">
        <is>
          <t>A 24429-2026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46281</v>
      </c>
      <c r="F148" t="inlineStr">
        <is>
          <t>NORRBOTTENS LÄN</t>
        </is>
      </c>
      <c r="G148" t="inlineStr">
        <is>
          <t>BODEN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Fläcknycklar</t>
        </is>
      </c>
      <c r="W148">
        <f>HYPERLINK("https://klasma.github.io/Logging_2582/artfynd/A 24429-2026 artfynd.xlsx", "A 24429-2026")</f>
        <v/>
      </c>
      <c r="X148">
        <f>HYPERLINK("https://klasma.github.io/Logging_2582/kartor/A 24429-2026 karta.png", "A 24429-2026")</f>
        <v/>
      </c>
      <c r="Y148">
        <f>HYPERLINK("https://klasma.github.io/Logging_2582/kartor_geotiff/A 24429-2026 georefererad karta.tif", "A 24429-2026")</f>
        <v/>
      </c>
      <c r="AA148">
        <f>HYPERLINK("https://klasma.github.io/Logging_2582/klagomål/A 24429-2026 FSC-klagomål.docx", "A 24429-2026")</f>
        <v/>
      </c>
      <c r="AB148">
        <f>HYPERLINK("https://klasma.github.io/Logging_2582/klagomålsmail/A 24429-2026 FSC-klagomål mail.docx", "A 24429-2026")</f>
        <v/>
      </c>
      <c r="AC148">
        <f>HYPERLINK("https://klasma.github.io/Logging_2582/tillsyn/A 24429-2026 tillsynsbegäran.docx", "A 24429-2026")</f>
        <v/>
      </c>
      <c r="AD148">
        <f>HYPERLINK("https://klasma.github.io/Logging_2582/tillsynsmail/A 24429-2026 tillsynsbegäran mail.docx", "A 24429-2026")</f>
        <v/>
      </c>
    </row>
    <row r="149" ht="15" customHeight="1">
      <c r="A149" t="inlineStr">
        <is>
          <t>A 4878-2026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46281</v>
      </c>
      <c r="F149" t="inlineStr">
        <is>
          <t>NORRBOTTENS LÄN</t>
        </is>
      </c>
      <c r="G149" t="inlineStr">
        <is>
          <t>BODEN</t>
        </is>
      </c>
      <c r="I149" t="n">
        <v>1.8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Vanlig padda</t>
        </is>
      </c>
      <c r="W149">
        <f>HYPERLINK("https://klasma.github.io/Logging_2582/artfynd/A 4878-2026 artfynd.xlsx", "A 4878-2026")</f>
        <v/>
      </c>
      <c r="X149">
        <f>HYPERLINK("https://klasma.github.io/Logging_2582/kartor/A 4878-2026 karta.png", "A 4878-2026")</f>
        <v/>
      </c>
      <c r="Y149">
        <f>HYPERLINK("https://klasma.github.io/Logging_2582/kartor_geotiff/A 4878-2026 georefererad karta.tif", "A 4878-2026")</f>
        <v/>
      </c>
      <c r="AA149">
        <f>HYPERLINK("https://klasma.github.io/Logging_2582/klagomål/A 4878-2026 FSC-klagomål.docx", "A 4878-2026")</f>
        <v/>
      </c>
      <c r="AB149">
        <f>HYPERLINK("https://klasma.github.io/Logging_2582/klagomålsmail/A 4878-2026 FSC-klagomål mail.docx", "A 4878-2026")</f>
        <v/>
      </c>
      <c r="AC149">
        <f>HYPERLINK("https://klasma.github.io/Logging_2582/tillsyn/A 4878-2026 tillsynsbegäran.docx", "A 4878-2026")</f>
        <v/>
      </c>
      <c r="AD149">
        <f>HYPERLINK("https://klasma.github.io/Logging_2582/tillsynsmail/A 4878-2026 tillsynsbegäran mail.docx", "A 4878-2026")</f>
        <v/>
      </c>
    </row>
    <row r="150" ht="15" customHeight="1">
      <c r="A150" t="inlineStr">
        <is>
          <t>A 25805-2026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46281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3.6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HYPERLINK("https://klasma.github.io/Logging_2582/artfynd/A 25805-2026 artfynd.xlsx", "A 25805-2026")</f>
        <v/>
      </c>
      <c r="X150">
        <f>HYPERLINK("https://klasma.github.io/Logging_2582/kartor/A 25805-2026 karta.png", "A 25805-2026")</f>
        <v/>
      </c>
      <c r="Y150">
        <f>HYPERLINK("https://klasma.github.io/Logging_2582/kartor_geotiff/A 25805-2026 georefererad karta.tif", "A 25805-2026")</f>
        <v/>
      </c>
      <c r="AA150">
        <f>HYPERLINK("https://klasma.github.io/Logging_2582/klagomål/A 25805-2026 FSC-klagomål.docx", "A 25805-2026")</f>
        <v/>
      </c>
      <c r="AB150">
        <f>HYPERLINK("https://klasma.github.io/Logging_2582/klagomålsmail/A 25805-2026 FSC-klagomål mail.docx", "A 25805-2026")</f>
        <v/>
      </c>
      <c r="AC150">
        <f>HYPERLINK("https://klasma.github.io/Logging_2582/tillsyn/A 25805-2026 tillsynsbegäran.docx", "A 25805-2026")</f>
        <v/>
      </c>
      <c r="AD150">
        <f>HYPERLINK("https://klasma.github.io/Logging_2582/tillsynsmail/A 25805-2026 tillsynsbegäran mail.docx", "A 25805-2026")</f>
        <v/>
      </c>
    </row>
    <row r="151" ht="15" customHeight="1">
      <c r="A151" t="inlineStr">
        <is>
          <t>A 25801-2026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46281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25801-2026 artfynd.xlsx", "A 25801-2026")</f>
        <v/>
      </c>
      <c r="X151">
        <f>HYPERLINK("https://klasma.github.io/Logging_2582/kartor/A 25801-2026 karta.png", "A 25801-2026")</f>
        <v/>
      </c>
      <c r="Y151">
        <f>HYPERLINK("https://klasma.github.io/Logging_2582/kartor_geotiff/A 25801-2026 georefererad karta.tif", "A 25801-2026")</f>
        <v/>
      </c>
      <c r="Z151">
        <f>HYPERLINK("https://klasma.github.io/Logging_2582/knärot/A 25801-2026 karta knärot.png", "A 25801-2026")</f>
        <v/>
      </c>
      <c r="AA151">
        <f>HYPERLINK("https://klasma.github.io/Logging_2582/klagomål/A 25801-2026 FSC-klagomål.docx", "A 25801-2026")</f>
        <v/>
      </c>
      <c r="AB151">
        <f>HYPERLINK("https://klasma.github.io/Logging_2582/klagomålsmail/A 25801-2026 FSC-klagomål mail.docx", "A 25801-2026")</f>
        <v/>
      </c>
      <c r="AC151">
        <f>HYPERLINK("https://klasma.github.io/Logging_2582/tillsyn/A 25801-2026 tillsynsbegäran.docx", "A 25801-2026")</f>
        <v/>
      </c>
      <c r="AD151">
        <f>HYPERLINK("https://klasma.github.io/Logging_2582/tillsynsmail/A 25801-2026 tillsynsbegäran mail.docx", "A 25801-2026")</f>
        <v/>
      </c>
    </row>
    <row r="152" ht="15" customHeight="1">
      <c r="A152" t="inlineStr">
        <is>
          <t>A 38511-2025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46281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5.3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Knärot</t>
        </is>
      </c>
      <c r="W152">
        <f>HYPERLINK("https://klasma.github.io/Logging_2582/artfynd/A 38511-2025 artfynd.xlsx", "A 38511-2025")</f>
        <v/>
      </c>
      <c r="X152">
        <f>HYPERLINK("https://klasma.github.io/Logging_2582/kartor/A 38511-2025 karta.png", "A 38511-2025")</f>
        <v/>
      </c>
      <c r="Y152">
        <f>HYPERLINK("https://klasma.github.io/Logging_2582/kartor_geotiff/A 38511-2025 georefererad karta.tif", "A 38511-2025")</f>
        <v/>
      </c>
      <c r="Z152">
        <f>HYPERLINK("https://klasma.github.io/Logging_2582/knärot/A 38511-2025 karta knärot.png", "A 38511-2025")</f>
        <v/>
      </c>
      <c r="AA152">
        <f>HYPERLINK("https://klasma.github.io/Logging_2582/klagomål/A 38511-2025 FSC-klagomål.docx", "A 38511-2025")</f>
        <v/>
      </c>
      <c r="AB152">
        <f>HYPERLINK("https://klasma.github.io/Logging_2582/klagomålsmail/A 38511-2025 FSC-klagomål mail.docx", "A 38511-2025")</f>
        <v/>
      </c>
      <c r="AC152">
        <f>HYPERLINK("https://klasma.github.io/Logging_2582/tillsyn/A 38511-2025 tillsynsbegäran.docx", "A 38511-2025")</f>
        <v/>
      </c>
      <c r="AD152">
        <f>HYPERLINK("https://klasma.github.io/Logging_2582/tillsynsmail/A 38511-2025 tillsynsbegäran mail.docx", "A 38511-2025")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46281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26438-2026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46281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15.9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Kolflarnlav</t>
        </is>
      </c>
      <c r="W154">
        <f>HYPERLINK("https://klasma.github.io/Logging_2582/artfynd/A 26438-2026 artfynd.xlsx", "A 26438-2026")</f>
        <v/>
      </c>
      <c r="X154">
        <f>HYPERLINK("https://klasma.github.io/Logging_2582/kartor/A 26438-2026 karta.png", "A 26438-2026")</f>
        <v/>
      </c>
      <c r="Y154">
        <f>HYPERLINK("https://klasma.github.io/Logging_2582/kartor_geotiff/A 26438-2026 georefererad karta.tif", "A 26438-2026")</f>
        <v/>
      </c>
      <c r="AA154">
        <f>HYPERLINK("https://klasma.github.io/Logging_2582/klagomål/A 26438-2026 FSC-klagomål.docx", "A 26438-2026")</f>
        <v/>
      </c>
      <c r="AB154">
        <f>HYPERLINK("https://klasma.github.io/Logging_2582/klagomålsmail/A 26438-2026 FSC-klagomål mail.docx", "A 26438-2026")</f>
        <v/>
      </c>
      <c r="AC154">
        <f>HYPERLINK("https://klasma.github.io/Logging_2582/tillsyn/A 26438-2026 tillsynsbegäran.docx", "A 26438-2026")</f>
        <v/>
      </c>
      <c r="AD154">
        <f>HYPERLINK("https://klasma.github.io/Logging_2582/tillsynsmail/A 26438-2026 tillsynsbegäran mail.docx", "A 26438-2026")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46281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36743-2024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46281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HYPERLINK("https://klasma.github.io/Logging_2582/artfynd/A 36743-2024 artfynd.xlsx", "A 36743-2024")</f>
        <v/>
      </c>
      <c r="X156">
        <f>HYPERLINK("https://klasma.github.io/Logging_2582/kartor/A 36743-2024 karta.png", "A 36743-2024")</f>
        <v/>
      </c>
      <c r="Y156">
        <f>HYPERLINK("https://klasma.github.io/Logging_2582/kartor_geotiff/A 36743-2024 georefererad karta.tif", "A 36743-2024")</f>
        <v/>
      </c>
      <c r="AA156">
        <f>HYPERLINK("https://klasma.github.io/Logging_2582/klagomål/A 36743-2024 FSC-klagomål.docx", "A 36743-2024")</f>
        <v/>
      </c>
      <c r="AB156">
        <f>HYPERLINK("https://klasma.github.io/Logging_2582/klagomålsmail/A 36743-2024 FSC-klagomål mail.docx", "A 36743-2024")</f>
        <v/>
      </c>
      <c r="AC156">
        <f>HYPERLINK("https://klasma.github.io/Logging_2582/tillsyn/A 36743-2024 tillsynsbegäran.docx", "A 36743-2024")</f>
        <v/>
      </c>
      <c r="AD156">
        <f>HYPERLINK("https://klasma.github.io/Logging_2582/tillsynsmail/A 36743-2024 tillsynsbegäran mail.docx", "A 36743-2024")</f>
        <v/>
      </c>
    </row>
    <row r="157" ht="15" customHeight="1">
      <c r="A157" t="inlineStr">
        <is>
          <t>A 32708-2026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46241</v>
      </c>
      <c r="E157" s="1" t="n">
        <v>46281</v>
      </c>
      <c r="F157" t="inlineStr">
        <is>
          <t>NORRBOTTENS LÄN</t>
        </is>
      </c>
      <c r="G157" t="inlineStr">
        <is>
          <t>BODEN</t>
        </is>
      </c>
      <c r="H157" t="inlineStr">
        <is>
          <t>SCA</t>
        </is>
      </c>
      <c r="I157" t="n">
        <v>12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Lunglav</t>
        </is>
      </c>
      <c r="W157">
        <f>HYPERLINK("https://klasma.github.io/Logging_2582/artfynd/A 32708-2026 artfynd.xlsx", "A 32708-2026")</f>
        <v/>
      </c>
      <c r="X157">
        <f>HYPERLINK("https://klasma.github.io/Logging_2582/kartor/A 32708-2026 karta.png", "A 32708-2026")</f>
        <v/>
      </c>
      <c r="Y157">
        <f>HYPERLINK("https://klasma.github.io/Logging_2582/kartor_geotiff/A 32708-2026 georefererad karta.tif", "A 32708-2026")</f>
        <v/>
      </c>
      <c r="AA157">
        <f>HYPERLINK("https://klasma.github.io/Logging_2582/klagomål/A 32708-2026 FSC-klagomål.docx", "A 32708-2026")</f>
        <v/>
      </c>
      <c r="AB157">
        <f>HYPERLINK("https://klasma.github.io/Logging_2582/klagomålsmail/A 32708-2026 FSC-klagomål mail.docx", "A 32708-2026")</f>
        <v/>
      </c>
      <c r="AC157">
        <f>HYPERLINK("https://klasma.github.io/Logging_2582/tillsyn/A 32708-2026 tillsynsbegäran.docx", "A 32708-2026")</f>
        <v/>
      </c>
      <c r="AD157">
        <f>HYPERLINK("https://klasma.github.io/Logging_2582/tillsynsmail/A 32708-2026 tillsynsbegäran mail.docx", "A 32708-2026")</f>
        <v/>
      </c>
    </row>
    <row r="158" ht="15" customHeight="1">
      <c r="A158" t="inlineStr">
        <is>
          <t>A 29875-2026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46281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HYPERLINK("https://klasma.github.io/Logging_2582/artfynd/A 29875-2026 artfynd.xlsx", "A 29875-2026")</f>
        <v/>
      </c>
      <c r="X158">
        <f>HYPERLINK("https://klasma.github.io/Logging_2582/kartor/A 29875-2026 karta.png", "A 29875-2026")</f>
        <v/>
      </c>
      <c r="Y158">
        <f>HYPERLINK("https://klasma.github.io/Logging_2582/kartor_geotiff/A 29875-2026 georefererad karta.tif", "A 29875-2026")</f>
        <v/>
      </c>
      <c r="AA158">
        <f>HYPERLINK("https://klasma.github.io/Logging_2582/klagomål/A 29875-2026 FSC-klagomål.docx", "A 29875-2026")</f>
        <v/>
      </c>
      <c r="AB158">
        <f>HYPERLINK("https://klasma.github.io/Logging_2582/klagomålsmail/A 29875-2026 FSC-klagomål mail.docx", "A 29875-2026")</f>
        <v/>
      </c>
      <c r="AC158">
        <f>HYPERLINK("https://klasma.github.io/Logging_2582/tillsyn/A 29875-2026 tillsynsbegäran.docx", "A 29875-2026")</f>
        <v/>
      </c>
      <c r="AD158">
        <f>HYPERLINK("https://klasma.github.io/Logging_2582/tillsynsmail/A 29875-2026 tillsynsbegäran mail.docx", "A 29875-2026")</f>
        <v/>
      </c>
    </row>
    <row r="159" ht="15" customHeight="1">
      <c r="A159" t="inlineStr">
        <is>
          <t>A 33756-2026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46251</v>
      </c>
      <c r="E159" s="1" t="n">
        <v>46281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Bollvitmossa</t>
        </is>
      </c>
      <c r="W159">
        <f>HYPERLINK("https://klasma.github.io/Logging_2582/artfynd/A 33756-2026 artfynd.xlsx", "A 33756-2026")</f>
        <v/>
      </c>
      <c r="X159">
        <f>HYPERLINK("https://klasma.github.io/Logging_2582/kartor/A 33756-2026 karta.png", "A 33756-2026")</f>
        <v/>
      </c>
      <c r="Y159">
        <f>HYPERLINK("https://klasma.github.io/Logging_2582/kartor_geotiff/A 33756-2026 georefererad karta.tif", "A 33756-2026")</f>
        <v/>
      </c>
      <c r="AA159">
        <f>HYPERLINK("https://klasma.github.io/Logging_2582/klagomål/A 33756-2026 FSC-klagomål.docx", "A 33756-2026")</f>
        <v/>
      </c>
      <c r="AB159">
        <f>HYPERLINK("https://klasma.github.io/Logging_2582/klagomålsmail/A 33756-2026 FSC-klagomål mail.docx", "A 33756-2026")</f>
        <v/>
      </c>
      <c r="AC159">
        <f>HYPERLINK("https://klasma.github.io/Logging_2582/tillsyn/A 33756-2026 tillsynsbegäran.docx", "A 33756-2026")</f>
        <v/>
      </c>
      <c r="AD159">
        <f>HYPERLINK("https://klasma.github.io/Logging_2582/tillsynsmail/A 33756-2026 tillsynsbegäran mail.docx", "A 33756-2026")</f>
        <v/>
      </c>
    </row>
    <row r="160" ht="15" customHeight="1">
      <c r="A160" t="inlineStr">
        <is>
          <t>A 68514-2021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44529</v>
      </c>
      <c r="E160" s="1" t="n">
        <v>46281</v>
      </c>
      <c r="F160" t="inlineStr">
        <is>
          <t>NORRBOTTENS LÄN</t>
        </is>
      </c>
      <c r="G160" t="inlineStr">
        <is>
          <t>BODEN</t>
        </is>
      </c>
      <c r="I160" t="n">
        <v>6.2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Spillkråka</t>
        </is>
      </c>
      <c r="W160">
        <f>HYPERLINK("https://klasma.github.io/Logging_2582/artfynd/A 68514-2021 artfynd.xlsx", "A 68514-2021")</f>
        <v/>
      </c>
      <c r="X160">
        <f>HYPERLINK("https://klasma.github.io/Logging_2582/kartor/A 68514-2021 karta.png", "A 68514-2021")</f>
        <v/>
      </c>
      <c r="Y160">
        <f>HYPERLINK("https://klasma.github.io/Logging_2582/kartor_geotiff/A 68514-2021 georefererad karta.tif", "A 68514-2021")</f>
        <v/>
      </c>
      <c r="Z160">
        <f>HYPERLINK("https://klasma.github.io/Logging_2582/knärot/A 68514-2021 karta knärot.png", "A 68514-2021")</f>
        <v/>
      </c>
      <c r="AA160">
        <f>HYPERLINK("https://klasma.github.io/Logging_2582/klagomål/A 68514-2021 FSC-klagomål.docx", "A 68514-2021")</f>
        <v/>
      </c>
      <c r="AB160">
        <f>HYPERLINK("https://klasma.github.io/Logging_2582/klagomålsmail/A 68514-2021 FSC-klagomål mail.docx", "A 68514-2021")</f>
        <v/>
      </c>
      <c r="AC160">
        <f>HYPERLINK("https://klasma.github.io/Logging_2582/tillsyn/A 68514-2021 tillsynsbegäran.docx", "A 68514-2021")</f>
        <v/>
      </c>
      <c r="AD160">
        <f>HYPERLINK("https://klasma.github.io/Logging_2582/tillsynsmail/A 68514-2021 tillsynsbegäran mail.docx", "A 68514-2021")</f>
        <v/>
      </c>
      <c r="AE160">
        <f>HYPERLINK("https://klasma.github.io/Logging_2582/fåglar/A 68514-2021 prioriterade fågelarter.docx", "A 68514-2021")</f>
        <v/>
      </c>
    </row>
    <row r="161" ht="15" customHeight="1">
      <c r="A161" t="inlineStr">
        <is>
          <t>A 34512-2026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46255</v>
      </c>
      <c r="E161" s="1" t="n">
        <v>46281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9.300000000000001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Skarp dropptaggsvamp</t>
        </is>
      </c>
      <c r="W161">
        <f>HYPERLINK("https://klasma.github.io/Logging_2582/artfynd/A 34512-2026 artfynd.xlsx", "A 34512-2026")</f>
        <v/>
      </c>
      <c r="X161">
        <f>HYPERLINK("https://klasma.github.io/Logging_2582/kartor/A 34512-2026 karta.png", "A 34512-2026")</f>
        <v/>
      </c>
      <c r="Y161">
        <f>HYPERLINK("https://klasma.github.io/Logging_2582/kartor_geotiff/A 34512-2026 georefererad karta.tif", "A 34512-2026")</f>
        <v/>
      </c>
      <c r="AA161">
        <f>HYPERLINK("https://klasma.github.io/Logging_2582/klagomål/A 34512-2026 FSC-klagomål.docx", "A 34512-2026")</f>
        <v/>
      </c>
      <c r="AB161">
        <f>HYPERLINK("https://klasma.github.io/Logging_2582/klagomålsmail/A 34512-2026 FSC-klagomål mail.docx", "A 34512-2026")</f>
        <v/>
      </c>
      <c r="AC161">
        <f>HYPERLINK("https://klasma.github.io/Logging_2582/tillsyn/A 34512-2026 tillsynsbegäran.docx", "A 34512-2026")</f>
        <v/>
      </c>
      <c r="AD161">
        <f>HYPERLINK("https://klasma.github.io/Logging_2582/tillsynsmail/A 34512-2026 tillsynsbegäran mail.docx", "A 34512-2026")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46281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35415-2026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46281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2.6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Knärot</t>
        </is>
      </c>
      <c r="W163">
        <f>HYPERLINK("https://klasma.github.io/Logging_2582/artfynd/A 35415-2026 artfynd.xlsx", "A 35415-2026")</f>
        <v/>
      </c>
      <c r="X163">
        <f>HYPERLINK("https://klasma.github.io/Logging_2582/kartor/A 35415-2026 karta.png", "A 35415-2026")</f>
        <v/>
      </c>
      <c r="Y163">
        <f>HYPERLINK("https://klasma.github.io/Logging_2582/kartor_geotiff/A 35415-2026 georefererad karta.tif", "A 35415-2026")</f>
        <v/>
      </c>
      <c r="Z163">
        <f>HYPERLINK("https://klasma.github.io/Logging_2582/knärot/A 35415-2026 karta knärot.png", "A 35415-2026")</f>
        <v/>
      </c>
      <c r="AA163">
        <f>HYPERLINK("https://klasma.github.io/Logging_2582/klagomål/A 35415-2026 FSC-klagomål.docx", "A 35415-2026")</f>
        <v/>
      </c>
      <c r="AB163">
        <f>HYPERLINK("https://klasma.github.io/Logging_2582/klagomålsmail/A 35415-2026 FSC-klagomål mail.docx", "A 35415-2026")</f>
        <v/>
      </c>
      <c r="AC163">
        <f>HYPERLINK("https://klasma.github.io/Logging_2582/tillsyn/A 35415-2026 tillsynsbegäran.docx", "A 35415-2026")</f>
        <v/>
      </c>
      <c r="AD163">
        <f>HYPERLINK("https://klasma.github.io/Logging_2582/tillsynsmail/A 35415-2026 tillsynsbegäran mail.docx", "A 35415-2026")</f>
        <v/>
      </c>
    </row>
    <row r="164" ht="15" customHeight="1">
      <c r="A164" t="inlineStr">
        <is>
          <t>A 35410-2026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46281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9</v>
      </c>
      <c r="U164" t="n">
        <v>9</v>
      </c>
      <c r="V164" s="2" t="inlineStr">
        <is>
          <t>Knärot</t>
        </is>
      </c>
      <c r="W164">
        <f>HYPERLINK("https://klasma.github.io/Logging_2582/artfynd/A 35410-2026 artfynd.xlsx", "A 35410-2026")</f>
        <v/>
      </c>
      <c r="X164">
        <f>HYPERLINK("https://klasma.github.io/Logging_2582/kartor/A 35410-2026 karta.png", "A 35410-2026")</f>
        <v/>
      </c>
      <c r="Y164">
        <f>HYPERLINK("https://klasma.github.io/Logging_2582/kartor_geotiff/A 35410-2026 georefererad karta.tif", "A 35410-2026")</f>
        <v/>
      </c>
      <c r="Z164">
        <f>HYPERLINK("https://klasma.github.io/Logging_2582/knärot/A 35410-2026 karta knärot.png", "A 35410-2026")</f>
        <v/>
      </c>
      <c r="AA164">
        <f>HYPERLINK("https://klasma.github.io/Logging_2582/klagomål/A 35410-2026 FSC-klagomål.docx", "A 35410-2026")</f>
        <v/>
      </c>
      <c r="AB164">
        <f>HYPERLINK("https://klasma.github.io/Logging_2582/klagomålsmail/A 35410-2026 FSC-klagomål mail.docx", "A 35410-2026")</f>
        <v/>
      </c>
      <c r="AC164">
        <f>HYPERLINK("https://klasma.github.io/Logging_2582/tillsyn/A 35410-2026 tillsynsbegäran.docx", "A 35410-2026")</f>
        <v/>
      </c>
      <c r="AD164">
        <f>HYPERLINK("https://klasma.github.io/Logging_2582/tillsynsmail/A 35410-2026 tillsynsbegäran mail.docx", "A 35410-2026")</f>
        <v/>
      </c>
    </row>
    <row r="165" ht="15" customHeight="1">
      <c r="A165" t="inlineStr">
        <is>
          <t>A 35292-2026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46281</v>
      </c>
      <c r="F165" t="inlineStr">
        <is>
          <t>NORRBOTTENS LÄN</t>
        </is>
      </c>
      <c r="G165" t="inlineStr">
        <is>
          <t>BODEN</t>
        </is>
      </c>
      <c r="I165" t="n">
        <v>4.9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Tretåig hackspett</t>
        </is>
      </c>
      <c r="W165">
        <f>HYPERLINK("https://klasma.github.io/Logging_2582/artfynd/A 35292-2026 artfynd.xlsx", "A 35292-2026")</f>
        <v/>
      </c>
      <c r="X165">
        <f>HYPERLINK("https://klasma.github.io/Logging_2582/kartor/A 35292-2026 karta.png", "A 35292-2026")</f>
        <v/>
      </c>
      <c r="Y165">
        <f>HYPERLINK("https://klasma.github.io/Logging_2582/kartor_geotiff/A 35292-2026 georefererad karta.tif", "A 35292-2026")</f>
        <v/>
      </c>
      <c r="AA165">
        <f>HYPERLINK("https://klasma.github.io/Logging_2582/klagomål/A 35292-2026 FSC-klagomål.docx", "A 35292-2026")</f>
        <v/>
      </c>
      <c r="AB165">
        <f>HYPERLINK("https://klasma.github.io/Logging_2582/klagomålsmail/A 35292-2026 FSC-klagomål mail.docx", "A 35292-2026")</f>
        <v/>
      </c>
      <c r="AC165">
        <f>HYPERLINK("https://klasma.github.io/Logging_2582/tillsyn/A 35292-2026 tillsynsbegäran.docx", "A 35292-2026")</f>
        <v/>
      </c>
      <c r="AD165">
        <f>HYPERLINK("https://klasma.github.io/Logging_2582/tillsynsmail/A 35292-2026 tillsynsbegäran mail.docx", "A 35292-2026")</f>
        <v/>
      </c>
      <c r="AE165">
        <f>HYPERLINK("https://klasma.github.io/Logging_2582/fåglar/A 35292-2026 prioriterade fågelarter.docx", "A 35292-2026")</f>
        <v/>
      </c>
    </row>
    <row r="166" ht="15" customHeight="1">
      <c r="A166" t="inlineStr">
        <is>
          <t>A 35299-2026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46261</v>
      </c>
      <c r="E166" s="1" t="n">
        <v>46281</v>
      </c>
      <c r="F166" t="inlineStr">
        <is>
          <t>NORRBOTTENS LÄN</t>
        </is>
      </c>
      <c r="G166" t="inlineStr">
        <is>
          <t>BODEN</t>
        </is>
      </c>
      <c r="I166" t="n">
        <v>3.3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Knärot</t>
        </is>
      </c>
      <c r="W166">
        <f>HYPERLINK("https://klasma.github.io/Logging_2582/artfynd/A 35299-2026 artfynd.xlsx", "A 35299-2026")</f>
        <v/>
      </c>
      <c r="X166">
        <f>HYPERLINK("https://klasma.github.io/Logging_2582/kartor/A 35299-2026 karta.png", "A 35299-2026")</f>
        <v/>
      </c>
      <c r="Y166">
        <f>HYPERLINK("https://klasma.github.io/Logging_2582/kartor_geotiff/A 35299-2026 georefererad karta.tif", "A 35299-2026")</f>
        <v/>
      </c>
      <c r="Z166">
        <f>HYPERLINK("https://klasma.github.io/Logging_2582/knärot/A 35299-2026 karta knärot.png", "A 35299-2026")</f>
        <v/>
      </c>
      <c r="AA166">
        <f>HYPERLINK("https://klasma.github.io/Logging_2582/klagomål/A 35299-2026 FSC-klagomål.docx", "A 35299-2026")</f>
        <v/>
      </c>
      <c r="AB166">
        <f>HYPERLINK("https://klasma.github.io/Logging_2582/klagomålsmail/A 35299-2026 FSC-klagomål mail.docx", "A 35299-2026")</f>
        <v/>
      </c>
      <c r="AC166">
        <f>HYPERLINK("https://klasma.github.io/Logging_2582/tillsyn/A 35299-2026 tillsynsbegäran.docx", "A 35299-2026")</f>
        <v/>
      </c>
      <c r="AD166">
        <f>HYPERLINK("https://klasma.github.io/Logging_2582/tillsynsmail/A 35299-2026 tillsynsbegäran mail.docx", "A 35299-2026")</f>
        <v/>
      </c>
    </row>
    <row r="167" ht="15" customHeight="1">
      <c r="A167" t="inlineStr">
        <is>
          <t>A 36734-2026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46272</v>
      </c>
      <c r="E167" s="1" t="n">
        <v>46281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Fläcknycklar</t>
        </is>
      </c>
      <c r="W167">
        <f>HYPERLINK("https://klasma.github.io/Logging_2582/artfynd/A 36734-2026 artfynd.xlsx", "A 36734-2026")</f>
        <v/>
      </c>
      <c r="X167">
        <f>HYPERLINK("https://klasma.github.io/Logging_2582/kartor/A 36734-2026 karta.png", "A 36734-2026")</f>
        <v/>
      </c>
      <c r="Y167">
        <f>HYPERLINK("https://klasma.github.io/Logging_2582/kartor_geotiff/A 36734-2026 georefererad karta.tif", "A 36734-2026")</f>
        <v/>
      </c>
      <c r="AA167">
        <f>HYPERLINK("https://klasma.github.io/Logging_2582/klagomål/A 36734-2026 FSC-klagomål.docx", "A 36734-2026")</f>
        <v/>
      </c>
      <c r="AB167">
        <f>HYPERLINK("https://klasma.github.io/Logging_2582/klagomålsmail/A 36734-2026 FSC-klagomål mail.docx", "A 36734-2026")</f>
        <v/>
      </c>
      <c r="AC167">
        <f>HYPERLINK("https://klasma.github.io/Logging_2582/tillsyn/A 36734-2026 tillsynsbegäran.docx", "A 36734-2026")</f>
        <v/>
      </c>
      <c r="AD167">
        <f>HYPERLINK("https://klasma.github.io/Logging_2582/tillsynsmail/A 36734-2026 tillsynsbegäran mail.docx", "A 36734-2026")</f>
        <v/>
      </c>
    </row>
    <row r="168" ht="15" customHeight="1">
      <c r="A168" t="inlineStr">
        <is>
          <t>A 36130-2026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46267</v>
      </c>
      <c r="E168" s="1" t="n">
        <v>46281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3.8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Vedflamlav</t>
        </is>
      </c>
      <c r="W168">
        <f>HYPERLINK("https://klasma.github.io/Logging_2582/artfynd/A 36130-2026 artfynd.xlsx", "A 36130-2026")</f>
        <v/>
      </c>
      <c r="X168">
        <f>HYPERLINK("https://klasma.github.io/Logging_2582/kartor/A 36130-2026 karta.png", "A 36130-2026")</f>
        <v/>
      </c>
      <c r="Y168">
        <f>HYPERLINK("https://klasma.github.io/Logging_2582/kartor_geotiff/A 36130-2026 georefererad karta.tif", "A 36130-2026")</f>
        <v/>
      </c>
      <c r="AA168">
        <f>HYPERLINK("https://klasma.github.io/Logging_2582/klagomål/A 36130-2026 FSC-klagomål.docx", "A 36130-2026")</f>
        <v/>
      </c>
      <c r="AB168">
        <f>HYPERLINK("https://klasma.github.io/Logging_2582/klagomålsmail/A 36130-2026 FSC-klagomål mail.docx", "A 36130-2026")</f>
        <v/>
      </c>
      <c r="AC168">
        <f>HYPERLINK("https://klasma.github.io/Logging_2582/tillsyn/A 36130-2026 tillsynsbegäran.docx", "A 36130-2026")</f>
        <v/>
      </c>
      <c r="AD168">
        <f>HYPERLINK("https://klasma.github.io/Logging_2582/tillsynsmail/A 36130-2026 tillsynsbegäran mail.docx", "A 36130-2026")</f>
        <v/>
      </c>
    </row>
    <row r="169" ht="15" customHeight="1">
      <c r="A169" t="inlineStr">
        <is>
          <t>A 32664-2026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46281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14.3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4</v>
      </c>
      <c r="U169" t="n">
        <v>0</v>
      </c>
      <c r="V169" s="2" t="inlineStr">
        <is>
          <t>Lunglav</t>
        </is>
      </c>
      <c r="W169">
        <f>HYPERLINK("https://klasma.github.io/Logging_2582/artfynd/A 32664-2026 artfynd.xlsx", "A 32664-2026")</f>
        <v/>
      </c>
      <c r="X169">
        <f>HYPERLINK("https://klasma.github.io/Logging_2582/kartor/A 32664-2026 karta.png", "A 32664-2026")</f>
        <v/>
      </c>
      <c r="Y169">
        <f>HYPERLINK("https://klasma.github.io/Logging_2582/kartor_geotiff/A 32664-2026 georefererad karta.tif", "A 32664-2026")</f>
        <v/>
      </c>
      <c r="AA169">
        <f>HYPERLINK("https://klasma.github.io/Logging_2582/klagomål/A 32664-2026 FSC-klagomål.docx", "A 32664-2026")</f>
        <v/>
      </c>
      <c r="AB169">
        <f>HYPERLINK("https://klasma.github.io/Logging_2582/klagomålsmail/A 32664-2026 FSC-klagomål mail.docx", "A 32664-2026")</f>
        <v/>
      </c>
      <c r="AC169">
        <f>HYPERLINK("https://klasma.github.io/Logging_2582/tillsyn/A 32664-2026 tillsynsbegäran.docx", "A 32664-2026")</f>
        <v/>
      </c>
      <c r="AD169">
        <f>HYPERLINK("https://klasma.github.io/Logging_2582/tillsynsmail/A 32664-2026 tillsynsbegäran mail.docx", "A 32664-2026")</f>
        <v/>
      </c>
    </row>
    <row r="170" ht="15" customHeight="1">
      <c r="A170" t="inlineStr">
        <is>
          <t>A 36749-2026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46281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0</v>
      </c>
      <c r="V170" s="2" t="inlineStr">
        <is>
          <t>Vedflamlav</t>
        </is>
      </c>
      <c r="W170">
        <f>HYPERLINK("https://klasma.github.io/Logging_2582/artfynd/A 36749-2026 artfynd.xlsx", "A 36749-2026")</f>
        <v/>
      </c>
      <c r="X170">
        <f>HYPERLINK("https://klasma.github.io/Logging_2582/kartor/A 36749-2026 karta.png", "A 36749-2026")</f>
        <v/>
      </c>
      <c r="Y170">
        <f>HYPERLINK("https://klasma.github.io/Logging_2582/kartor_geotiff/A 36749-2026 georefererad karta.tif", "A 36749-2026")</f>
        <v/>
      </c>
      <c r="AA170">
        <f>HYPERLINK("https://klasma.github.io/Logging_2582/klagomål/A 36749-2026 FSC-klagomål.docx", "A 36749-2026")</f>
        <v/>
      </c>
      <c r="AB170">
        <f>HYPERLINK("https://klasma.github.io/Logging_2582/klagomålsmail/A 36749-2026 FSC-klagomål mail.docx", "A 36749-2026")</f>
        <v/>
      </c>
      <c r="AC170">
        <f>HYPERLINK("https://klasma.github.io/Logging_2582/tillsyn/A 36749-2026 tillsynsbegäran.docx", "A 36749-2026")</f>
        <v/>
      </c>
      <c r="AD170">
        <f>HYPERLINK("https://klasma.github.io/Logging_2582/tillsynsmail/A 36749-2026 tillsynsbegäran mail.docx", "A 36749-2026")</f>
        <v/>
      </c>
    </row>
    <row r="171" ht="15" customHeight="1">
      <c r="A171" t="inlineStr">
        <is>
          <t>A 32159-2026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46236</v>
      </c>
      <c r="E171" s="1" t="n">
        <v>46281</v>
      </c>
      <c r="F171" t="inlineStr">
        <is>
          <t>NORRBOTTENS LÄN</t>
        </is>
      </c>
      <c r="G171" t="inlineStr">
        <is>
          <t>BODEN</t>
        </is>
      </c>
      <c r="I171" t="n">
        <v>5.8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Vanlig padda</t>
        </is>
      </c>
      <c r="W171">
        <f>HYPERLINK("https://klasma.github.io/Logging_2582/artfynd/A 32159-2026 artfynd.xlsx", "A 32159-2026")</f>
        <v/>
      </c>
      <c r="X171">
        <f>HYPERLINK("https://klasma.github.io/Logging_2582/kartor/A 32159-2026 karta.png", "A 32159-2026")</f>
        <v/>
      </c>
      <c r="Y171">
        <f>HYPERLINK("https://klasma.github.io/Logging_2582/kartor_geotiff/A 32159-2026 georefererad karta.tif", "A 32159-2026")</f>
        <v/>
      </c>
      <c r="AA171">
        <f>HYPERLINK("https://klasma.github.io/Logging_2582/klagomål/A 32159-2026 FSC-klagomål.docx", "A 32159-2026")</f>
        <v/>
      </c>
      <c r="AB171">
        <f>HYPERLINK("https://klasma.github.io/Logging_2582/klagomålsmail/A 32159-2026 FSC-klagomål mail.docx", "A 32159-2026")</f>
        <v/>
      </c>
      <c r="AC171">
        <f>HYPERLINK("https://klasma.github.io/Logging_2582/tillsyn/A 32159-2026 tillsynsbegäran.docx", "A 32159-2026")</f>
        <v/>
      </c>
      <c r="AD171">
        <f>HYPERLINK("https://klasma.github.io/Logging_2582/tillsynsmail/A 32159-2026 tillsynsbegäran mail.docx", "A 32159-2026")</f>
        <v/>
      </c>
    </row>
    <row r="172" ht="15" customHeight="1">
      <c r="A172" t="inlineStr">
        <is>
          <t>A 16217-2024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46281</v>
      </c>
      <c r="F172" t="inlineStr">
        <is>
          <t>NORRBOTTENS LÄN</t>
        </is>
      </c>
      <c r="G172" t="inlineStr">
        <is>
          <t>BODEN</t>
        </is>
      </c>
      <c r="I172" t="n">
        <v>7.2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Videsparv</t>
        </is>
      </c>
      <c r="W172">
        <f>HYPERLINK("https://klasma.github.io/Logging_2582/artfynd/A 16217-2024 artfynd.xlsx", "A 16217-2024")</f>
        <v/>
      </c>
      <c r="X172">
        <f>HYPERLINK("https://klasma.github.io/Logging_2582/kartor/A 16217-2024 karta.png", "A 16217-2024")</f>
        <v/>
      </c>
      <c r="Y172">
        <f>HYPERLINK("https://klasma.github.io/Logging_2582/kartor_geotiff/A 16217-2024 georefererad karta.tif", "A 16217-2024")</f>
        <v/>
      </c>
      <c r="AA172">
        <f>HYPERLINK("https://klasma.github.io/Logging_2582/klagomål/A 16217-2024 FSC-klagomål.docx", "A 16217-2024")</f>
        <v/>
      </c>
      <c r="AB172">
        <f>HYPERLINK("https://klasma.github.io/Logging_2582/klagomålsmail/A 16217-2024 FSC-klagomål mail.docx", "A 16217-2024")</f>
        <v/>
      </c>
      <c r="AC172">
        <f>HYPERLINK("https://klasma.github.io/Logging_2582/tillsyn/A 16217-2024 tillsynsbegäran.docx", "A 16217-2024")</f>
        <v/>
      </c>
      <c r="AD172">
        <f>HYPERLINK("https://klasma.github.io/Logging_2582/tillsynsmail/A 16217-2024 tillsynsbegäran mail.docx", "A 16217-2024")</f>
        <v/>
      </c>
      <c r="AE172">
        <f>HYPERLINK("https://klasma.github.io/Logging_2582/fåglar/A 16217-2024 prioriterade fågelarter.docx", "A 16217-2024")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46281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46281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46281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46281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46281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46281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46281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46281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46281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46281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46281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46281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46281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46281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46281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46281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46281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46281</v>
      </c>
      <c r="F190" t="inlineStr">
        <is>
          <t>NORRBOTTENS LÄN</t>
        </is>
      </c>
      <c r="G190" t="inlineStr">
        <is>
          <t>BODEN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46281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46281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46281</v>
      </c>
      <c r="F193" t="inlineStr">
        <is>
          <t>NORRBOTTENS LÄN</t>
        </is>
      </c>
      <c r="G193" t="inlineStr">
        <is>
          <t>BODEN</t>
        </is>
      </c>
      <c r="I193" t="n">
        <v>11.7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46281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46281</v>
      </c>
      <c r="F195" t="inlineStr">
        <is>
          <t>NORRBOTTENS LÄN</t>
        </is>
      </c>
      <c r="G195" t="inlineStr">
        <is>
          <t>BODEN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46281</v>
      </c>
      <c r="F196" t="inlineStr">
        <is>
          <t>NORRBOTTENS LÄN</t>
        </is>
      </c>
      <c r="G196" t="inlineStr">
        <is>
          <t>BODEN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46281</v>
      </c>
      <c r="F197" t="inlineStr">
        <is>
          <t>NORRBOTTENS LÄN</t>
        </is>
      </c>
      <c r="G197" t="inlineStr">
        <is>
          <t>BODEN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51328-2021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46281</v>
      </c>
      <c r="F198" t="inlineStr">
        <is>
          <t>NORRBOTTENS LÄN</t>
        </is>
      </c>
      <c r="G198" t="inlineStr">
        <is>
          <t>BODEN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46281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46281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46281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46281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13552-2022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46281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54818-2021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46281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46281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46281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46281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46281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46281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46281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46281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69124-2021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44530</v>
      </c>
      <c r="E212" s="1" t="n">
        <v>46281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56467-2021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46281</v>
      </c>
      <c r="F213" t="inlineStr">
        <is>
          <t>NORRBOTTENS LÄN</t>
        </is>
      </c>
      <c r="G213" t="inlineStr">
        <is>
          <t>BODEN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44565</v>
      </c>
      <c r="E214" s="1" t="n">
        <v>46281</v>
      </c>
      <c r="F214" t="inlineStr">
        <is>
          <t>NORRBOTTENS LÄN</t>
        </is>
      </c>
      <c r="G214" t="inlineStr">
        <is>
          <t>BODEN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43969-2024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45572</v>
      </c>
      <c r="E215" s="1" t="n">
        <v>46281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26022-2022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46281</v>
      </c>
      <c r="F216" t="inlineStr">
        <is>
          <t>NORRBOTTENS LÄN</t>
        </is>
      </c>
      <c r="G216" t="inlineStr">
        <is>
          <t>BODEN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44565</v>
      </c>
      <c r="E217" s="1" t="n">
        <v>46281</v>
      </c>
      <c r="F217" t="inlineStr">
        <is>
          <t>NORRBOTTENS LÄN</t>
        </is>
      </c>
      <c r="G217" t="inlineStr">
        <is>
          <t>BODEN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44573</v>
      </c>
      <c r="E218" s="1" t="n">
        <v>46281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44635</v>
      </c>
      <c r="E219" s="1" t="n">
        <v>46281</v>
      </c>
      <c r="F219" t="inlineStr">
        <is>
          <t>NORRBOTTENS LÄN</t>
        </is>
      </c>
      <c r="G219" t="inlineStr">
        <is>
          <t>BODEN</t>
        </is>
      </c>
      <c r="H219" t="inlineStr">
        <is>
          <t>Kyrkan</t>
        </is>
      </c>
      <c r="I219" t="n">
        <v>16.5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711-2022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44566</v>
      </c>
      <c r="E220" s="1" t="n">
        <v>46281</v>
      </c>
      <c r="F220" t="inlineStr">
        <is>
          <t>NORRBOTTENS LÄN</t>
        </is>
      </c>
      <c r="G220" t="inlineStr">
        <is>
          <t>BODEN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9530-2022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44617</v>
      </c>
      <c r="E221" s="1" t="n">
        <v>46281</v>
      </c>
      <c r="F221" t="inlineStr">
        <is>
          <t>NORRBOTTENS LÄN</t>
        </is>
      </c>
      <c r="G221" t="inlineStr">
        <is>
          <t>BODEN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39971-2022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44820</v>
      </c>
      <c r="E222" s="1" t="n">
        <v>46281</v>
      </c>
      <c r="F222" t="inlineStr">
        <is>
          <t>NORRBOTTENS LÄN</t>
        </is>
      </c>
      <c r="G222" t="inlineStr">
        <is>
          <t>BODEN</t>
        </is>
      </c>
      <c r="H222" t="inlineStr">
        <is>
          <t>Sveaskog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44625</v>
      </c>
      <c r="E223" s="1" t="n">
        <v>46281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46281</v>
      </c>
      <c r="F224" t="inlineStr">
        <is>
          <t>NORRBOTTENS LÄN</t>
        </is>
      </c>
      <c r="G224" t="inlineStr">
        <is>
          <t>BODEN</t>
        </is>
      </c>
      <c r="H224" t="inlineStr">
        <is>
          <t>Övriga statliga verk och myndigheter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46281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46281</v>
      </c>
      <c r="F226" t="inlineStr">
        <is>
          <t>NORRBOTTENS LÄN</t>
        </is>
      </c>
      <c r="G226" t="inlineStr">
        <is>
          <t>BODEN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42632-2022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44831</v>
      </c>
      <c r="E227" s="1" t="n">
        <v>46281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46281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46281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46281</v>
      </c>
      <c r="F230" t="inlineStr">
        <is>
          <t>NORRBOTTENS LÄN</t>
        </is>
      </c>
      <c r="G230" t="inlineStr">
        <is>
          <t>BODEN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45356</v>
      </c>
      <c r="E231" s="1" t="n">
        <v>46281</v>
      </c>
      <c r="F231" t="inlineStr">
        <is>
          <t>NORRBOTTENS LÄN</t>
        </is>
      </c>
      <c r="G231" t="inlineStr">
        <is>
          <t>BODEN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46281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57583-2021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44484</v>
      </c>
      <c r="E233" s="1" t="n">
        <v>46281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38874-2023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46281</v>
      </c>
      <c r="F234" t="inlineStr">
        <is>
          <t>NORRBOTTENS LÄN</t>
        </is>
      </c>
      <c r="G234" t="inlineStr">
        <is>
          <t>BODEN</t>
        </is>
      </c>
      <c r="I234" t="n">
        <v>15.5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46281</v>
      </c>
      <c r="F235" t="inlineStr">
        <is>
          <t>NORRBOTTENS LÄN</t>
        </is>
      </c>
      <c r="G235" t="inlineStr">
        <is>
          <t>BODEN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44799</v>
      </c>
      <c r="E236" s="1" t="n">
        <v>46281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44799</v>
      </c>
      <c r="E237" s="1" t="n">
        <v>46281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46281</v>
      </c>
      <c r="F238" t="inlineStr">
        <is>
          <t>NORRBOTTENS LÄN</t>
        </is>
      </c>
      <c r="G238" t="inlineStr">
        <is>
          <t>BODEN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27688-2022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46281</v>
      </c>
      <c r="F239" t="inlineStr">
        <is>
          <t>NORRBOTTENS LÄN</t>
        </is>
      </c>
      <c r="G239" t="inlineStr">
        <is>
          <t>BODEN</t>
        </is>
      </c>
      <c r="I239" t="n">
        <v>13.5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44795</v>
      </c>
      <c r="E240" s="1" t="n">
        <v>46281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58898-2021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46281</v>
      </c>
      <c r="F241" t="inlineStr">
        <is>
          <t>NORRBOTTENS LÄN</t>
        </is>
      </c>
      <c r="G241" t="inlineStr">
        <is>
          <t>BODEN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45201</v>
      </c>
      <c r="E242" s="1" t="n">
        <v>46281</v>
      </c>
      <c r="F242" t="inlineStr">
        <is>
          <t>NORRBOTTENS LÄN</t>
        </is>
      </c>
      <c r="G242" t="inlineStr">
        <is>
          <t>BODEN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56485-2021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44480</v>
      </c>
      <c r="E243" s="1" t="n">
        <v>46281</v>
      </c>
      <c r="F243" t="inlineStr">
        <is>
          <t>NORRBOTTENS LÄN</t>
        </is>
      </c>
      <c r="G243" t="inlineStr">
        <is>
          <t>BODEN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44812</v>
      </c>
      <c r="E244" s="1" t="n">
        <v>46281</v>
      </c>
      <c r="F244" t="inlineStr">
        <is>
          <t>NORRBOTTENS LÄN</t>
        </is>
      </c>
      <c r="G244" t="inlineStr">
        <is>
          <t>BODEN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44671</v>
      </c>
      <c r="E245" s="1" t="n">
        <v>46281</v>
      </c>
      <c r="F245" t="inlineStr">
        <is>
          <t>NORRBOTTENS LÄN</t>
        </is>
      </c>
      <c r="G245" t="inlineStr">
        <is>
          <t>BODEN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45369</v>
      </c>
      <c r="E246" s="1" t="n">
        <v>46281</v>
      </c>
      <c r="F246" t="inlineStr">
        <is>
          <t>NORRBOTTENS LÄN</t>
        </is>
      </c>
      <c r="G246" t="inlineStr">
        <is>
          <t>BODEN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45868</v>
      </c>
      <c r="E247" s="1" t="n">
        <v>46281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46281</v>
      </c>
      <c r="F248" t="inlineStr">
        <is>
          <t>NORRBOTTENS LÄN</t>
        </is>
      </c>
      <c r="G248" t="inlineStr">
        <is>
          <t>BODEN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45877</v>
      </c>
      <c r="E249" s="1" t="n">
        <v>46281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45301</v>
      </c>
      <c r="E250" s="1" t="n">
        <v>46281</v>
      </c>
      <c r="F250" t="inlineStr">
        <is>
          <t>NORRBOTTENS LÄN</t>
        </is>
      </c>
      <c r="G250" t="inlineStr">
        <is>
          <t>BODEN</t>
        </is>
      </c>
      <c r="H250" t="inlineStr">
        <is>
          <t>Övriga statliga verk och myndigheter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46281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46281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45463</v>
      </c>
      <c r="E253" s="1" t="n">
        <v>46281</v>
      </c>
      <c r="F253" t="inlineStr">
        <is>
          <t>NORRBOTTENS LÄN</t>
        </is>
      </c>
      <c r="G253" t="inlineStr">
        <is>
          <t>BODEN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45881</v>
      </c>
      <c r="E254" s="1" t="n">
        <v>46281</v>
      </c>
      <c r="F254" t="inlineStr">
        <is>
          <t>NORRBOTTENS LÄN</t>
        </is>
      </c>
      <c r="G254" t="inlineStr">
        <is>
          <t>BODEN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46281</v>
      </c>
      <c r="F255" t="inlineStr">
        <is>
          <t>NORRBOTTENS LÄN</t>
        </is>
      </c>
      <c r="G255" t="inlineStr">
        <is>
          <t>BODEN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45882</v>
      </c>
      <c r="E256" s="1" t="n">
        <v>46281</v>
      </c>
      <c r="F256" t="inlineStr">
        <is>
          <t>NORRBOTTENS LÄN</t>
        </is>
      </c>
      <c r="G256" t="inlineStr">
        <is>
          <t>BODEN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46281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46281</v>
      </c>
      <c r="F258" t="inlineStr">
        <is>
          <t>NORRBOTTENS LÄN</t>
        </is>
      </c>
      <c r="G258" t="inlineStr">
        <is>
          <t>BODEN</t>
        </is>
      </c>
      <c r="H258" t="inlineStr">
        <is>
          <t>Övriga Aktiebolag</t>
        </is>
      </c>
      <c r="I258" t="n">
        <v>10.6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46281</v>
      </c>
      <c r="F259" t="inlineStr">
        <is>
          <t>NORRBOTTENS LÄN</t>
        </is>
      </c>
      <c r="G259" t="inlineStr">
        <is>
          <t>BODEN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46281</v>
      </c>
      <c r="F260" t="inlineStr">
        <is>
          <t>NORRBOTTENS LÄN</t>
        </is>
      </c>
      <c r="G260" t="inlineStr">
        <is>
          <t>BODEN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46281</v>
      </c>
      <c r="F261" t="inlineStr">
        <is>
          <t>NORRBOTTENS LÄN</t>
        </is>
      </c>
      <c r="G261" t="inlineStr">
        <is>
          <t>BODEN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45718</v>
      </c>
      <c r="E262" s="1" t="n">
        <v>46281</v>
      </c>
      <c r="F262" t="inlineStr">
        <is>
          <t>NORRBOTTENS LÄN</t>
        </is>
      </c>
      <c r="G262" t="inlineStr">
        <is>
          <t>BODEN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45247</v>
      </c>
      <c r="E263" s="1" t="n">
        <v>46281</v>
      </c>
      <c r="F263" t="inlineStr">
        <is>
          <t>NORRBOTTENS LÄN</t>
        </is>
      </c>
      <c r="G263" t="inlineStr">
        <is>
          <t>BODEN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45429</v>
      </c>
      <c r="E264" s="1" t="n">
        <v>46281</v>
      </c>
      <c r="F264" t="inlineStr">
        <is>
          <t>NORRBOTTENS LÄN</t>
        </is>
      </c>
      <c r="G264" t="inlineStr">
        <is>
          <t>BODEN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46281</v>
      </c>
      <c r="F265" t="inlineStr">
        <is>
          <t>NORRBOTTENS LÄN</t>
        </is>
      </c>
      <c r="G265" t="inlineStr">
        <is>
          <t>BODEN</t>
        </is>
      </c>
      <c r="I265" t="n">
        <v>17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59688-2023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45256</v>
      </c>
      <c r="E266" s="1" t="n">
        <v>46281</v>
      </c>
      <c r="F266" t="inlineStr">
        <is>
          <t>NORRBOTTENS LÄN</t>
        </is>
      </c>
      <c r="G266" t="inlineStr">
        <is>
          <t>BODEN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57604-2021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44484</v>
      </c>
      <c r="E267" s="1" t="n">
        <v>46281</v>
      </c>
      <c r="F267" t="inlineStr">
        <is>
          <t>NORRBOTTENS LÄN</t>
        </is>
      </c>
      <c r="G267" t="inlineStr">
        <is>
          <t>BODEN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46281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56111-2021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44477</v>
      </c>
      <c r="E269" s="1" t="n">
        <v>46281</v>
      </c>
      <c r="F269" t="inlineStr">
        <is>
          <t>NORRBOTTENS LÄN</t>
        </is>
      </c>
      <c r="G269" t="inlineStr">
        <is>
          <t>BODEN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32276-2024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45512</v>
      </c>
      <c r="E270" s="1" t="n">
        <v>46281</v>
      </c>
      <c r="F270" t="inlineStr">
        <is>
          <t>NORRBOTTENS LÄN</t>
        </is>
      </c>
      <c r="G270" t="inlineStr">
        <is>
          <t>BODEN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46281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45680</v>
      </c>
      <c r="E272" s="1" t="n">
        <v>46281</v>
      </c>
      <c r="F272" t="inlineStr">
        <is>
          <t>NORRBOTTENS LÄN</t>
        </is>
      </c>
      <c r="G272" t="inlineStr">
        <is>
          <t>BODEN</t>
        </is>
      </c>
      <c r="H272" t="inlineStr">
        <is>
          <t>Naturvårdsverket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46281</v>
      </c>
      <c r="F273" t="inlineStr">
        <is>
          <t>NORRBOTTENS LÄN</t>
        </is>
      </c>
      <c r="G273" t="inlineStr">
        <is>
          <t>BODEN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59890-2023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45254</v>
      </c>
      <c r="E274" s="1" t="n">
        <v>46281</v>
      </c>
      <c r="F274" t="inlineStr">
        <is>
          <t>NORRBOTTENS LÄN</t>
        </is>
      </c>
      <c r="G274" t="inlineStr">
        <is>
          <t>BODEN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74264-2021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44558</v>
      </c>
      <c r="E275" s="1" t="n">
        <v>46281</v>
      </c>
      <c r="F275" t="inlineStr">
        <is>
          <t>NORRBOTTENS LÄN</t>
        </is>
      </c>
      <c r="G275" t="inlineStr">
        <is>
          <t>BODEN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46281</v>
      </c>
      <c r="F276" t="inlineStr">
        <is>
          <t>NORRBOTTENS LÄN</t>
        </is>
      </c>
      <c r="G276" t="inlineStr">
        <is>
          <t>BODEN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44648</v>
      </c>
      <c r="E277" s="1" t="n">
        <v>46281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46281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46281</v>
      </c>
      <c r="F279" t="inlineStr">
        <is>
          <t>NORRBOTTENS LÄN</t>
        </is>
      </c>
      <c r="G279" t="inlineStr">
        <is>
          <t>BODEN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54590-2022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44883</v>
      </c>
      <c r="E280" s="1" t="n">
        <v>46281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54935-2021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44474</v>
      </c>
      <c r="E281" s="1" t="n">
        <v>46281</v>
      </c>
      <c r="F281" t="inlineStr">
        <is>
          <t>NORRBOTTENS LÄN</t>
        </is>
      </c>
      <c r="G281" t="inlineStr">
        <is>
          <t>BODEN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46281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45260</v>
      </c>
      <c r="E283" s="1" t="n">
        <v>46281</v>
      </c>
      <c r="F283" t="inlineStr">
        <is>
          <t>NORRBOTTENS LÄN</t>
        </is>
      </c>
      <c r="G283" t="inlineStr">
        <is>
          <t>BODEN</t>
        </is>
      </c>
      <c r="I283" t="n">
        <v>33.9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46281</v>
      </c>
      <c r="F284" t="inlineStr">
        <is>
          <t>NORRBOTTENS LÄN</t>
        </is>
      </c>
      <c r="G284" t="inlineStr">
        <is>
          <t>BODEN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45419</v>
      </c>
      <c r="E285" s="1" t="n">
        <v>46281</v>
      </c>
      <c r="F285" t="inlineStr">
        <is>
          <t>NORRBOTTENS LÄN</t>
        </is>
      </c>
      <c r="G285" t="inlineStr">
        <is>
          <t>BODEN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45022</v>
      </c>
      <c r="E286" s="1" t="n">
        <v>46281</v>
      </c>
      <c r="F286" t="inlineStr">
        <is>
          <t>NORRBOTTENS LÄN</t>
        </is>
      </c>
      <c r="G286" t="inlineStr">
        <is>
          <t>BODEN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46281</v>
      </c>
      <c r="F287" t="inlineStr">
        <is>
          <t>NORRBOTTENS LÄN</t>
        </is>
      </c>
      <c r="G287" t="inlineStr">
        <is>
          <t>BODEN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46281</v>
      </c>
      <c r="F288" t="inlineStr">
        <is>
          <t>NORRBOTTENS LÄN</t>
        </is>
      </c>
      <c r="G288" t="inlineStr">
        <is>
          <t>BODEN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46281</v>
      </c>
      <c r="F289" t="inlineStr">
        <is>
          <t>NORRBOTTENS LÄN</t>
        </is>
      </c>
      <c r="G289" t="inlineStr">
        <is>
          <t>BODEN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45649</v>
      </c>
      <c r="E290" s="1" t="n">
        <v>46281</v>
      </c>
      <c r="F290" t="inlineStr">
        <is>
          <t>NORRBOTTENS LÄN</t>
        </is>
      </c>
      <c r="G290" t="inlineStr">
        <is>
          <t>BODEN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46281</v>
      </c>
      <c r="F291" t="inlineStr">
        <is>
          <t>NORRBOTTENS LÄN</t>
        </is>
      </c>
      <c r="G291" t="inlineStr">
        <is>
          <t>BODEN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46281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46281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46281</v>
      </c>
      <c r="F294" t="inlineStr">
        <is>
          <t>NORRBOTTENS LÄN</t>
        </is>
      </c>
      <c r="G294" t="inlineStr">
        <is>
          <t>BODEN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45649</v>
      </c>
      <c r="E295" s="1" t="n">
        <v>46281</v>
      </c>
      <c r="F295" t="inlineStr">
        <is>
          <t>NORRBOTTENS LÄN</t>
        </is>
      </c>
      <c r="G295" t="inlineStr">
        <is>
          <t>BODEN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46086</v>
      </c>
      <c r="E296" s="1" t="n">
        <v>46281</v>
      </c>
      <c r="F296" t="inlineStr">
        <is>
          <t>NORRBOTTENS LÄN</t>
        </is>
      </c>
      <c r="G296" t="inlineStr">
        <is>
          <t>BODEN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44573</v>
      </c>
      <c r="E297" s="1" t="n">
        <v>46281</v>
      </c>
      <c r="F297" t="inlineStr">
        <is>
          <t>NORRBOTTENS LÄN</t>
        </is>
      </c>
      <c r="G297" t="inlineStr">
        <is>
          <t>BODEN</t>
        </is>
      </c>
      <c r="H297" t="inlineStr">
        <is>
          <t>Övriga statliga verk och myndigheter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60466-2024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45643</v>
      </c>
      <c r="E298" s="1" t="n">
        <v>46281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46281</v>
      </c>
      <c r="F299" t="inlineStr">
        <is>
          <t>NORRBOTTENS LÄN</t>
        </is>
      </c>
      <c r="G299" t="inlineStr">
        <is>
          <t>BODEN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46281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46281</v>
      </c>
      <c r="F301" t="inlineStr">
        <is>
          <t>NORRBOTTENS LÄN</t>
        </is>
      </c>
      <c r="G301" t="inlineStr">
        <is>
          <t>BODEN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45527</v>
      </c>
      <c r="E302" s="1" t="n">
        <v>46281</v>
      </c>
      <c r="F302" t="inlineStr">
        <is>
          <t>NORRBOTTENS LÄN</t>
        </is>
      </c>
      <c r="G302" t="inlineStr">
        <is>
          <t>BODEN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46281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46281</v>
      </c>
      <c r="F304" t="inlineStr">
        <is>
          <t>NORRBOTTENS LÄN</t>
        </is>
      </c>
      <c r="G304" t="inlineStr">
        <is>
          <t>BODEN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46281</v>
      </c>
      <c r="F305" t="inlineStr">
        <is>
          <t>NORRBOTTENS LÄN</t>
        </is>
      </c>
      <c r="G305" t="inlineStr">
        <is>
          <t>BODEN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45589</v>
      </c>
      <c r="E306" s="1" t="n">
        <v>46281</v>
      </c>
      <c r="F306" t="inlineStr">
        <is>
          <t>NORRBOTTENS LÄN</t>
        </is>
      </c>
      <c r="G306" t="inlineStr">
        <is>
          <t>BODEN</t>
        </is>
      </c>
      <c r="H306" t="inlineStr">
        <is>
          <t>Naturvårdsverket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7442-2024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45345</v>
      </c>
      <c r="E307" s="1" t="n">
        <v>46281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46281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45483</v>
      </c>
      <c r="E309" s="1" t="n">
        <v>46281</v>
      </c>
      <c r="F309" t="inlineStr">
        <is>
          <t>NORRBOTTENS LÄN</t>
        </is>
      </c>
      <c r="G309" t="inlineStr">
        <is>
          <t>BODEN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46281</v>
      </c>
      <c r="F310" t="inlineStr">
        <is>
          <t>NORRBOTTENS LÄN</t>
        </is>
      </c>
      <c r="G310" t="inlineStr">
        <is>
          <t>BODEN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45285</v>
      </c>
      <c r="E311" s="1" t="n">
        <v>46281</v>
      </c>
      <c r="F311" t="inlineStr">
        <is>
          <t>NORRBOTTENS LÄN</t>
        </is>
      </c>
      <c r="G311" t="inlineStr">
        <is>
          <t>BODEN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45897</v>
      </c>
      <c r="E312" s="1" t="n">
        <v>46281</v>
      </c>
      <c r="F312" t="inlineStr">
        <is>
          <t>NORRBOTTENS LÄN</t>
        </is>
      </c>
      <c r="G312" t="inlineStr">
        <is>
          <t>BODEN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45376-2025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45922</v>
      </c>
      <c r="E313" s="1" t="n">
        <v>46281</v>
      </c>
      <c r="F313" t="inlineStr">
        <is>
          <t>NORRBOTTENS LÄN</t>
        </is>
      </c>
      <c r="G313" t="inlineStr">
        <is>
          <t>BODEN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46097</v>
      </c>
      <c r="E314" s="1" t="n">
        <v>46281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41691-2025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45902</v>
      </c>
      <c r="E315" s="1" t="n">
        <v>46281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14245-2026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46099</v>
      </c>
      <c r="E316" s="1" t="n">
        <v>46281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46281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45761</v>
      </c>
      <c r="E318" s="1" t="n">
        <v>46281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statliga verk och myndigheter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46281</v>
      </c>
      <c r="F319" t="inlineStr">
        <is>
          <t>NORRBOTTENS LÄN</t>
        </is>
      </c>
      <c r="G319" t="inlineStr">
        <is>
          <t>BODEN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45907</v>
      </c>
      <c r="E320" s="1" t="n">
        <v>46281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46281</v>
      </c>
      <c r="F321" t="inlineStr">
        <is>
          <t>NORRBOTTENS LÄN</t>
        </is>
      </c>
      <c r="G321" t="inlineStr">
        <is>
          <t>BODEN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19528-2024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45429</v>
      </c>
      <c r="E322" s="1" t="n">
        <v>46281</v>
      </c>
      <c r="F322" t="inlineStr">
        <is>
          <t>NORRBOTTENS LÄN</t>
        </is>
      </c>
      <c r="G322" t="inlineStr">
        <is>
          <t>BODEN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45429</v>
      </c>
      <c r="E323" s="1" t="n">
        <v>46281</v>
      </c>
      <c r="F323" t="inlineStr">
        <is>
          <t>NORRBOTTENS LÄN</t>
        </is>
      </c>
      <c r="G323" t="inlineStr">
        <is>
          <t>BODEN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35115-2024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45529</v>
      </c>
      <c r="E324" s="1" t="n">
        <v>46281</v>
      </c>
      <c r="F324" t="inlineStr">
        <is>
          <t>NORRBOTTENS LÄN</t>
        </is>
      </c>
      <c r="G324" t="inlineStr">
        <is>
          <t>BODEN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45910</v>
      </c>
      <c r="E325" s="1" t="n">
        <v>46281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46281</v>
      </c>
      <c r="F326" t="inlineStr">
        <is>
          <t>NORRBOTTENS LÄN</t>
        </is>
      </c>
      <c r="G326" t="inlineStr">
        <is>
          <t>BODEN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14984-2026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46281</v>
      </c>
      <c r="F327" t="inlineStr">
        <is>
          <t>NORRBOTTENS LÄN</t>
        </is>
      </c>
      <c r="G327" t="inlineStr">
        <is>
          <t>BODEN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11651-2023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44994</v>
      </c>
      <c r="E328" s="1" t="n">
        <v>46281</v>
      </c>
      <c r="F328" t="inlineStr">
        <is>
          <t>NORRBOTTENS LÄN</t>
        </is>
      </c>
      <c r="G328" t="inlineStr">
        <is>
          <t>BODEN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46281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45590</v>
      </c>
      <c r="E330" s="1" t="n">
        <v>46281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46281</v>
      </c>
      <c r="F331" t="inlineStr">
        <is>
          <t>NORRBOTTENS LÄN</t>
        </is>
      </c>
      <c r="G331" t="inlineStr">
        <is>
          <t>BODEN</t>
        </is>
      </c>
      <c r="I331" t="n">
        <v>9.699999999999999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43710-2025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46281</v>
      </c>
      <c r="F332" t="inlineStr">
        <is>
          <t>NORRBOTTENS LÄN</t>
        </is>
      </c>
      <c r="G332" t="inlineStr">
        <is>
          <t>BODEN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25627-2022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44732</v>
      </c>
      <c r="E333" s="1" t="n">
        <v>46281</v>
      </c>
      <c r="F333" t="inlineStr">
        <is>
          <t>NORRBOTTENS LÄN</t>
        </is>
      </c>
      <c r="G333" t="inlineStr">
        <is>
          <t>BODEN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46281</v>
      </c>
      <c r="F334" t="inlineStr">
        <is>
          <t>NORRBOTTENS LÄN</t>
        </is>
      </c>
      <c r="G334" t="inlineStr">
        <is>
          <t>BODEN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46281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49113-2023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46281</v>
      </c>
      <c r="F336" t="inlineStr">
        <is>
          <t>NORRBOTTENS LÄN</t>
        </is>
      </c>
      <c r="G336" t="inlineStr">
        <is>
          <t>BODEN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56163-2022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44889</v>
      </c>
      <c r="E337" s="1" t="n">
        <v>46281</v>
      </c>
      <c r="F337" t="inlineStr">
        <is>
          <t>NORRBOTTENS LÄN</t>
        </is>
      </c>
      <c r="G337" t="inlineStr">
        <is>
          <t>BODEN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44901</v>
      </c>
      <c r="E338" s="1" t="n">
        <v>46281</v>
      </c>
      <c r="F338" t="inlineStr">
        <is>
          <t>NORRBOTTENS LÄN</t>
        </is>
      </c>
      <c r="G338" t="inlineStr">
        <is>
          <t>BODEN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46281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46281</v>
      </c>
      <c r="F340" t="inlineStr">
        <is>
          <t>NORRBOTTENS LÄN</t>
        </is>
      </c>
      <c r="G340" t="inlineStr">
        <is>
          <t>BODEN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59028-2022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44903</v>
      </c>
      <c r="E341" s="1" t="n">
        <v>46281</v>
      </c>
      <c r="F341" t="inlineStr">
        <is>
          <t>NORRBOTTENS LÄN</t>
        </is>
      </c>
      <c r="G341" t="inlineStr">
        <is>
          <t>BODEN</t>
        </is>
      </c>
      <c r="I341" t="n">
        <v>16.1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44529</v>
      </c>
      <c r="E342" s="1" t="n">
        <v>46281</v>
      </c>
      <c r="F342" t="inlineStr">
        <is>
          <t>NORRBOTTENS LÄN</t>
        </is>
      </c>
      <c r="G342" t="inlineStr">
        <is>
          <t>BODEN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46281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45323</v>
      </c>
      <c r="E344" s="1" t="n">
        <v>46281</v>
      </c>
      <c r="F344" t="inlineStr">
        <is>
          <t>NORRBOTTENS LÄN</t>
        </is>
      </c>
      <c r="G344" t="inlineStr">
        <is>
          <t>BODEN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46281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46281</v>
      </c>
      <c r="F346" t="inlineStr">
        <is>
          <t>NORRBOTTENS LÄN</t>
        </is>
      </c>
      <c r="G346" t="inlineStr">
        <is>
          <t>BODEN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46281</v>
      </c>
      <c r="F347" t="inlineStr">
        <is>
          <t>NORRBOTTENS LÄN</t>
        </is>
      </c>
      <c r="G347" t="inlineStr">
        <is>
          <t>BODEN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46281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45750</v>
      </c>
      <c r="E349" s="1" t="n">
        <v>46281</v>
      </c>
      <c r="F349" t="inlineStr">
        <is>
          <t>NORRBOTTENS LÄN</t>
        </is>
      </c>
      <c r="G349" t="inlineStr">
        <is>
          <t>BODEN</t>
        </is>
      </c>
      <c r="H349" t="inlineStr">
        <is>
          <t>Övriga Aktiebolag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46281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45132</v>
      </c>
      <c r="E351" s="1" t="n">
        <v>46281</v>
      </c>
      <c r="F351" t="inlineStr">
        <is>
          <t>NORRBOTTENS LÄN</t>
        </is>
      </c>
      <c r="G351" t="inlineStr">
        <is>
          <t>BODEN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46281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46281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46281</v>
      </c>
      <c r="F354" t="inlineStr">
        <is>
          <t>NORRBOTTENS LÄN</t>
        </is>
      </c>
      <c r="G354" t="inlineStr">
        <is>
          <t>BODEN</t>
        </is>
      </c>
      <c r="I354" t="n">
        <v>19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46281</v>
      </c>
      <c r="F355" t="inlineStr">
        <is>
          <t>NORRBOTTENS LÄN</t>
        </is>
      </c>
      <c r="G355" t="inlineStr">
        <is>
          <t>BODEN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45616-2025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46281</v>
      </c>
      <c r="F356" t="inlineStr">
        <is>
          <t>NORRBOTTENS LÄN</t>
        </is>
      </c>
      <c r="G356" t="inlineStr">
        <is>
          <t>BODEN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46281</v>
      </c>
      <c r="F357" t="inlineStr">
        <is>
          <t>NORRBOTTENS LÄN</t>
        </is>
      </c>
      <c r="G357" t="inlineStr">
        <is>
          <t>BODEN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46281</v>
      </c>
      <c r="F358" t="inlineStr">
        <is>
          <t>NORRBOTTENS LÄN</t>
        </is>
      </c>
      <c r="G358" t="inlineStr">
        <is>
          <t>BODEN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46281</v>
      </c>
      <c r="F359" t="inlineStr">
        <is>
          <t>NORRBOTTENS LÄN</t>
        </is>
      </c>
      <c r="G359" t="inlineStr">
        <is>
          <t>BODEN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46281</v>
      </c>
      <c r="F360" t="inlineStr">
        <is>
          <t>NORRBOTTENS LÄN</t>
        </is>
      </c>
      <c r="G360" t="inlineStr">
        <is>
          <t>BODEN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45969-2025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45924</v>
      </c>
      <c r="E361" s="1" t="n">
        <v>46281</v>
      </c>
      <c r="F361" t="inlineStr">
        <is>
          <t>NORRBOTTENS LÄN</t>
        </is>
      </c>
      <c r="G361" t="inlineStr">
        <is>
          <t>BODEN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46281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15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46281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46281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46281</v>
      </c>
      <c r="F365" t="inlineStr">
        <is>
          <t>NORRBOTTENS LÄN</t>
        </is>
      </c>
      <c r="G365" t="inlineStr">
        <is>
          <t>BODEN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45653</v>
      </c>
      <c r="E366" s="1" t="n">
        <v>46281</v>
      </c>
      <c r="F366" t="inlineStr">
        <is>
          <t>NORRBOTTENS LÄN</t>
        </is>
      </c>
      <c r="G366" t="inlineStr">
        <is>
          <t>BODEN</t>
        </is>
      </c>
      <c r="I366" t="n">
        <v>47.3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46281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46281</v>
      </c>
      <c r="F368" t="inlineStr">
        <is>
          <t>NORRBOTTENS LÄN</t>
        </is>
      </c>
      <c r="G368" t="inlineStr">
        <is>
          <t>BODEN</t>
        </is>
      </c>
      <c r="I368" t="n">
        <v>11.1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17909-2026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46281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46281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46281</v>
      </c>
      <c r="F371" t="inlineStr">
        <is>
          <t>NORRBOTTENS LÄN</t>
        </is>
      </c>
      <c r="G371" t="inlineStr">
        <is>
          <t>BODEN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46281</v>
      </c>
      <c r="F372" t="inlineStr">
        <is>
          <t>NORRBOTTENS LÄN</t>
        </is>
      </c>
      <c r="G372" t="inlineStr">
        <is>
          <t>BODEN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46281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46281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46281</v>
      </c>
      <c r="F375" t="inlineStr">
        <is>
          <t>NORRBOTTENS LÄN</t>
        </is>
      </c>
      <c r="G375" t="inlineStr">
        <is>
          <t>BODEN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46281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45587</v>
      </c>
      <c r="E377" s="1" t="n">
        <v>46281</v>
      </c>
      <c r="F377" t="inlineStr">
        <is>
          <t>NORRBOTTENS LÄN</t>
        </is>
      </c>
      <c r="G377" t="inlineStr">
        <is>
          <t>BODEN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46901-2024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46281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46126</v>
      </c>
      <c r="E379" s="1" t="n">
        <v>46281</v>
      </c>
      <c r="F379" t="inlineStr">
        <is>
          <t>NORRBOTTENS LÄN</t>
        </is>
      </c>
      <c r="G379" t="inlineStr">
        <is>
          <t>BODEN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46281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46281</v>
      </c>
      <c r="F381" t="inlineStr">
        <is>
          <t>NORRBOTTENS LÄN</t>
        </is>
      </c>
      <c r="G381" t="inlineStr">
        <is>
          <t>BODEN</t>
        </is>
      </c>
      <c r="I381" t="n">
        <v>11.7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46281</v>
      </c>
      <c r="F382" t="inlineStr">
        <is>
          <t>NORRBOTTENS LÄN</t>
        </is>
      </c>
      <c r="G382" t="inlineStr">
        <is>
          <t>BODEN</t>
        </is>
      </c>
      <c r="H382" t="inlineStr">
        <is>
          <t>Övriga Aktiebolag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36438-2024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46281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46281</v>
      </c>
      <c r="F384" t="inlineStr">
        <is>
          <t>NORRBOTTENS LÄN</t>
        </is>
      </c>
      <c r="G384" t="inlineStr">
        <is>
          <t>BODEN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46281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19049-2026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46281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19200-2026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46281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46281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42653-2025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45906</v>
      </c>
      <c r="E389" s="1" t="n">
        <v>46281</v>
      </c>
      <c r="F389" t="inlineStr">
        <is>
          <t>NORRBOTTENS LÄN</t>
        </is>
      </c>
      <c r="G389" t="inlineStr">
        <is>
          <t>BODEN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48173-2025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45933</v>
      </c>
      <c r="E390" s="1" t="n">
        <v>46281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48091-2025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45933</v>
      </c>
      <c r="E391" s="1" t="n">
        <v>46281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46281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48805-2025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46281</v>
      </c>
      <c r="F393" t="inlineStr">
        <is>
          <t>NORRBOTTENS LÄN</t>
        </is>
      </c>
      <c r="G393" t="inlineStr">
        <is>
          <t>BODEN</t>
        </is>
      </c>
      <c r="I393" t="n">
        <v>10.2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46281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46281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45649</v>
      </c>
      <c r="E396" s="1" t="n">
        <v>46281</v>
      </c>
      <c r="F396" t="inlineStr">
        <is>
          <t>NORRBOTTENS LÄN</t>
        </is>
      </c>
      <c r="G396" t="inlineStr">
        <is>
          <t>BODEN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61757-2024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45649</v>
      </c>
      <c r="E397" s="1" t="n">
        <v>46281</v>
      </c>
      <c r="F397" t="inlineStr">
        <is>
          <t>NORRBOTTENS LÄN</t>
        </is>
      </c>
      <c r="G397" t="inlineStr">
        <is>
          <t>BODEN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46281</v>
      </c>
      <c r="F398" t="inlineStr">
        <is>
          <t>NORRBOTTENS LÄN</t>
        </is>
      </c>
      <c r="G398" t="inlineStr">
        <is>
          <t>BODEN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45707</v>
      </c>
      <c r="E399" s="1" t="n">
        <v>46281</v>
      </c>
      <c r="F399" t="inlineStr">
        <is>
          <t>NORRBOTTENS LÄN</t>
        </is>
      </c>
      <c r="G399" t="inlineStr">
        <is>
          <t>BODEN</t>
        </is>
      </c>
      <c r="I399" t="n">
        <v>11.3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45539</v>
      </c>
      <c r="E400" s="1" t="n">
        <v>46281</v>
      </c>
      <c r="F400" t="inlineStr">
        <is>
          <t>NORRBOTTENS LÄN</t>
        </is>
      </c>
      <c r="G400" t="inlineStr">
        <is>
          <t>BODEN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46281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46281</v>
      </c>
      <c r="F402" t="inlineStr">
        <is>
          <t>NORRBOTTENS LÄN</t>
        </is>
      </c>
      <c r="G402" t="inlineStr">
        <is>
          <t>BODEN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46281</v>
      </c>
      <c r="F403" t="inlineStr">
        <is>
          <t>NORRBOTTENS LÄN</t>
        </is>
      </c>
      <c r="G403" t="inlineStr">
        <is>
          <t>BODEN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24400-2022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44726</v>
      </c>
      <c r="E404" s="1" t="n">
        <v>46281</v>
      </c>
      <c r="F404" t="inlineStr">
        <is>
          <t>NORRBOTTENS LÄN</t>
        </is>
      </c>
      <c r="G404" t="inlineStr">
        <is>
          <t>BODEN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46281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46281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50147-2025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45943</v>
      </c>
      <c r="E407" s="1" t="n">
        <v>46281</v>
      </c>
      <c r="F407" t="inlineStr">
        <is>
          <t>NORRBOTTENS LÄN</t>
        </is>
      </c>
      <c r="G407" t="inlineStr">
        <is>
          <t>BODEN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46281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46281</v>
      </c>
      <c r="F409" t="inlineStr">
        <is>
          <t>NORRBOTTENS LÄN</t>
        </is>
      </c>
      <c r="G409" t="inlineStr">
        <is>
          <t>BODEN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44642</v>
      </c>
      <c r="E410" s="1" t="n">
        <v>46281</v>
      </c>
      <c r="F410" t="inlineStr">
        <is>
          <t>NORRBOTTENS LÄN</t>
        </is>
      </c>
      <c r="G410" t="inlineStr">
        <is>
          <t>BODEN</t>
        </is>
      </c>
      <c r="H410" t="inlineStr">
        <is>
          <t>Övriga statliga verk och myndigheter</t>
        </is>
      </c>
      <c r="I410" t="n">
        <v>15.8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46281</v>
      </c>
      <c r="F411" t="inlineStr">
        <is>
          <t>NORRBOTTENS LÄN</t>
        </is>
      </c>
      <c r="G411" t="inlineStr">
        <is>
          <t>BODEN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46281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38994-2024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45548</v>
      </c>
      <c r="E413" s="1" t="n">
        <v>46281</v>
      </c>
      <c r="F413" t="inlineStr">
        <is>
          <t>NORRBOTTENS LÄN</t>
        </is>
      </c>
      <c r="G413" t="inlineStr">
        <is>
          <t>BODEN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20505-2023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46281</v>
      </c>
      <c r="F414" t="inlineStr">
        <is>
          <t>NORRBOTTENS LÄN</t>
        </is>
      </c>
      <c r="G414" t="inlineStr">
        <is>
          <t>BODEN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62589-2025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46007</v>
      </c>
      <c r="E415" s="1" t="n">
        <v>46281</v>
      </c>
      <c r="F415" t="inlineStr">
        <is>
          <t>NORRBOTTENS LÄN</t>
        </is>
      </c>
      <c r="G415" t="inlineStr">
        <is>
          <t>BODEN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51460-2025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46281</v>
      </c>
      <c r="F416" t="inlineStr">
        <is>
          <t>NORRBOTTENS LÄN</t>
        </is>
      </c>
      <c r="G416" t="inlineStr">
        <is>
          <t>BODEN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46281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44963</v>
      </c>
      <c r="E418" s="1" t="n">
        <v>46281</v>
      </c>
      <c r="F418" t="inlineStr">
        <is>
          <t>NORRBOTTENS LÄN</t>
        </is>
      </c>
      <c r="G418" t="inlineStr">
        <is>
          <t>BODEN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55628-2023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45238</v>
      </c>
      <c r="E419" s="1" t="n">
        <v>46281</v>
      </c>
      <c r="F419" t="inlineStr">
        <is>
          <t>NORRBOTTENS LÄN</t>
        </is>
      </c>
      <c r="G419" t="inlineStr">
        <is>
          <t>BODEN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59331-2021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44490</v>
      </c>
      <c r="E420" s="1" t="n">
        <v>46281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52284-2025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46281</v>
      </c>
      <c r="F421" t="inlineStr">
        <is>
          <t>NORRBOTTENS LÄN</t>
        </is>
      </c>
      <c r="G421" t="inlineStr">
        <is>
          <t>BODEN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46281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45953</v>
      </c>
      <c r="E423" s="1" t="n">
        <v>46281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51525-2025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45950</v>
      </c>
      <c r="E424" s="1" t="n">
        <v>46281</v>
      </c>
      <c r="F424" t="inlineStr">
        <is>
          <t>NORRBOTTENS LÄN</t>
        </is>
      </c>
      <c r="G424" t="inlineStr">
        <is>
          <t>BODEN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57600-2021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44484</v>
      </c>
      <c r="E425" s="1" t="n">
        <v>46281</v>
      </c>
      <c r="F425" t="inlineStr">
        <is>
          <t>NORRBOTTENS LÄN</t>
        </is>
      </c>
      <c r="G425" t="inlineStr">
        <is>
          <t>BODEN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46281</v>
      </c>
      <c r="F426" t="inlineStr">
        <is>
          <t>NORRBOTTENS LÄN</t>
        </is>
      </c>
      <c r="G426" t="inlineStr">
        <is>
          <t>BODEN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45764</v>
      </c>
      <c r="E427" s="1" t="n">
        <v>46281</v>
      </c>
      <c r="F427" t="inlineStr">
        <is>
          <t>NORRBOTTENS LÄN</t>
        </is>
      </c>
      <c r="G427" t="inlineStr">
        <is>
          <t>BODEN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45770</v>
      </c>
      <c r="E428" s="1" t="n">
        <v>46281</v>
      </c>
      <c r="F428" t="inlineStr">
        <is>
          <t>NORRBOTTENS LÄN</t>
        </is>
      </c>
      <c r="G428" t="inlineStr">
        <is>
          <t>BODEN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45957</v>
      </c>
      <c r="E429" s="1" t="n">
        <v>46281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44657</v>
      </c>
      <c r="E430" s="1" t="n">
        <v>46281</v>
      </c>
      <c r="F430" t="inlineStr">
        <is>
          <t>NORRBOTTENS LÄN</t>
        </is>
      </c>
      <c r="G430" t="inlineStr">
        <is>
          <t>BODEN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44657</v>
      </c>
      <c r="E431" s="1" t="n">
        <v>46281</v>
      </c>
      <c r="F431" t="inlineStr">
        <is>
          <t>NORRBOTTENS LÄN</t>
        </is>
      </c>
      <c r="G431" t="inlineStr">
        <is>
          <t>BODEN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46281</v>
      </c>
      <c r="F432" t="inlineStr">
        <is>
          <t>NORRBOTTENS LÄN</t>
        </is>
      </c>
      <c r="G432" t="inlineStr">
        <is>
          <t>BODEN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11647-2023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44994</v>
      </c>
      <c r="E433" s="1" t="n">
        <v>46281</v>
      </c>
      <c r="F433" t="inlineStr">
        <is>
          <t>NORRBOTTENS LÄN</t>
        </is>
      </c>
      <c r="G433" t="inlineStr">
        <is>
          <t>BODEN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45935</v>
      </c>
      <c r="E434" s="1" t="n">
        <v>46281</v>
      </c>
      <c r="F434" t="inlineStr">
        <is>
          <t>NORRBOTTENS LÄN</t>
        </is>
      </c>
      <c r="G434" t="inlineStr">
        <is>
          <t>BODEN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16741-2022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44673</v>
      </c>
      <c r="E435" s="1" t="n">
        <v>46281</v>
      </c>
      <c r="F435" t="inlineStr">
        <is>
          <t>NORRBOTTENS LÄN</t>
        </is>
      </c>
      <c r="G435" t="inlineStr">
        <is>
          <t>BODEN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46281</v>
      </c>
      <c r="F436" t="inlineStr">
        <is>
          <t>NORRBOTTENS LÄN</t>
        </is>
      </c>
      <c r="G436" t="inlineStr">
        <is>
          <t>BODEN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45955</v>
      </c>
      <c r="E437" s="1" t="n">
        <v>46281</v>
      </c>
      <c r="F437" t="inlineStr">
        <is>
          <t>NORRBOTTENS LÄN</t>
        </is>
      </c>
      <c r="G437" t="inlineStr">
        <is>
          <t>BODEN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45562</v>
      </c>
      <c r="E438" s="1" t="n">
        <v>46281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45589</v>
      </c>
      <c r="E439" s="1" t="n">
        <v>46281</v>
      </c>
      <c r="F439" t="inlineStr">
        <is>
          <t>NORRBOTTENS LÄN</t>
        </is>
      </c>
      <c r="G439" t="inlineStr">
        <is>
          <t>BODEN</t>
        </is>
      </c>
      <c r="H439" t="inlineStr">
        <is>
          <t>Naturvårdsverket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47924-2024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46281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46281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12.8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53623-2025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45960</v>
      </c>
      <c r="E442" s="1" t="n">
        <v>46281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11.7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46281</v>
      </c>
      <c r="F443" t="inlineStr">
        <is>
          <t>NORRBOTTENS LÄN</t>
        </is>
      </c>
      <c r="G443" t="inlineStr">
        <is>
          <t>BODEN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45964</v>
      </c>
      <c r="E444" s="1" t="n">
        <v>46281</v>
      </c>
      <c r="F444" t="inlineStr">
        <is>
          <t>NORRBOTTENS LÄN</t>
        </is>
      </c>
      <c r="G444" t="inlineStr">
        <is>
          <t>BODEN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20069-2026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46136</v>
      </c>
      <c r="E445" s="1" t="n">
        <v>46281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45944</v>
      </c>
      <c r="E446" s="1" t="n">
        <v>46281</v>
      </c>
      <c r="F446" t="inlineStr">
        <is>
          <t>NORRBOTTENS LÄN</t>
        </is>
      </c>
      <c r="G446" t="inlineStr">
        <is>
          <t>BODEN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45832</v>
      </c>
      <c r="E447" s="1" t="n">
        <v>46281</v>
      </c>
      <c r="F447" t="inlineStr">
        <is>
          <t>NORRBOTTENS LÄN</t>
        </is>
      </c>
      <c r="G447" t="inlineStr">
        <is>
          <t>BODEN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46281</v>
      </c>
      <c r="F448" t="inlineStr">
        <is>
          <t>NORRBOTTENS LÄN</t>
        </is>
      </c>
      <c r="G448" t="inlineStr">
        <is>
          <t>BODEN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46003</v>
      </c>
      <c r="E449" s="1" t="n">
        <v>46281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46281</v>
      </c>
      <c r="F450" t="inlineStr">
        <is>
          <t>NORRBOTTENS LÄN</t>
        </is>
      </c>
      <c r="G450" t="inlineStr">
        <is>
          <t>BODEN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46281</v>
      </c>
      <c r="F451" t="inlineStr">
        <is>
          <t>NORRBOTTENS LÄN</t>
        </is>
      </c>
      <c r="G451" t="inlineStr">
        <is>
          <t>BODEN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54523-2025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46281</v>
      </c>
      <c r="F452" t="inlineStr">
        <is>
          <t>NORRBOTTENS LÄN</t>
        </is>
      </c>
      <c r="G452" t="inlineStr">
        <is>
          <t>BODEN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54416-2025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46281</v>
      </c>
      <c r="F453" t="inlineStr">
        <is>
          <t>NORRBOTTENS LÄN</t>
        </is>
      </c>
      <c r="G453" t="inlineStr">
        <is>
          <t>BODEN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56457-2024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45625</v>
      </c>
      <c r="E454" s="1" t="n">
        <v>46281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32775-2025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45839</v>
      </c>
      <c r="E455" s="1" t="n">
        <v>46281</v>
      </c>
      <c r="F455" t="inlineStr">
        <is>
          <t>NORRBOTTENS LÄN</t>
        </is>
      </c>
      <c r="G455" t="inlineStr">
        <is>
          <t>BODEN</t>
        </is>
      </c>
      <c r="I455" t="n">
        <v>13.6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46281</v>
      </c>
      <c r="F456" t="inlineStr">
        <is>
          <t>NORRBOTTENS LÄN</t>
        </is>
      </c>
      <c r="G456" t="inlineStr">
        <is>
          <t>BODEN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45860</v>
      </c>
      <c r="E457" s="1" t="n">
        <v>46281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59029-2022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46281</v>
      </c>
      <c r="F458" t="inlineStr">
        <is>
          <t>NORRBOTTENS LÄN</t>
        </is>
      </c>
      <c r="G458" t="inlineStr">
        <is>
          <t>BODEN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46281</v>
      </c>
      <c r="F459" t="inlineStr">
        <is>
          <t>NORRBOTTENS LÄN</t>
        </is>
      </c>
      <c r="G459" t="inlineStr">
        <is>
          <t>BODEN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45999</v>
      </c>
      <c r="E460" s="1" t="n">
        <v>46281</v>
      </c>
      <c r="F460" t="inlineStr">
        <is>
          <t>NORRBOTTENS LÄN</t>
        </is>
      </c>
      <c r="G460" t="inlineStr">
        <is>
          <t>BODEN</t>
        </is>
      </c>
      <c r="I460" t="n">
        <v>9.6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45972</v>
      </c>
      <c r="E461" s="1" t="n">
        <v>46281</v>
      </c>
      <c r="F461" t="inlineStr">
        <is>
          <t>NORRBOTTENS LÄN</t>
        </is>
      </c>
      <c r="G461" t="inlineStr">
        <is>
          <t>BODEN</t>
        </is>
      </c>
      <c r="I461" t="n">
        <v>11.9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46281</v>
      </c>
      <c r="F462" t="inlineStr">
        <is>
          <t>NORRBOTTENS LÄN</t>
        </is>
      </c>
      <c r="G462" t="inlineStr">
        <is>
          <t>BODEN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45645</v>
      </c>
      <c r="E463" s="1" t="n">
        <v>46281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46281</v>
      </c>
      <c r="F464" t="inlineStr">
        <is>
          <t>NORRBOTTENS LÄN</t>
        </is>
      </c>
      <c r="G464" t="inlineStr">
        <is>
          <t>BODEN</t>
        </is>
      </c>
      <c r="H464" t="inlineStr">
        <is>
          <t>Naturvårdsverket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19563-2024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46281</v>
      </c>
      <c r="F465" t="inlineStr">
        <is>
          <t>NORRBOTTENS LÄN</t>
        </is>
      </c>
      <c r="G465" t="inlineStr">
        <is>
          <t>BODEN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46281</v>
      </c>
      <c r="F466" t="inlineStr">
        <is>
          <t>NORRBOTTENS LÄN</t>
        </is>
      </c>
      <c r="G466" t="inlineStr">
        <is>
          <t>BODEN</t>
        </is>
      </c>
      <c r="H466" t="inlineStr">
        <is>
          <t>Naturvårdsverket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45212</v>
      </c>
      <c r="E467" s="1" t="n">
        <v>46281</v>
      </c>
      <c r="F467" t="inlineStr">
        <is>
          <t>NORRBOTTENS LÄN</t>
        </is>
      </c>
      <c r="G467" t="inlineStr">
        <is>
          <t>BODEN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46281</v>
      </c>
      <c r="F468" t="inlineStr">
        <is>
          <t>NORRBOTTENS LÄN</t>
        </is>
      </c>
      <c r="G468" t="inlineStr">
        <is>
          <t>BODEN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56440-2025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45975</v>
      </c>
      <c r="E469" s="1" t="n">
        <v>46281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46281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46281</v>
      </c>
      <c r="F471" t="inlineStr">
        <is>
          <t>NORRBOTTENS LÄN</t>
        </is>
      </c>
      <c r="G471" t="inlineStr">
        <is>
          <t>BODEN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45408</v>
      </c>
      <c r="E472" s="1" t="n">
        <v>46281</v>
      </c>
      <c r="F472" t="inlineStr">
        <is>
          <t>NORRBOTTENS LÄN</t>
        </is>
      </c>
      <c r="G472" t="inlineStr">
        <is>
          <t>BODEN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28432-2022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44747</v>
      </c>
      <c r="E473" s="1" t="n">
        <v>46281</v>
      </c>
      <c r="F473" t="inlineStr">
        <is>
          <t>NORRBOTTENS LÄN</t>
        </is>
      </c>
      <c r="G473" t="inlineStr">
        <is>
          <t>BODEN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44706</v>
      </c>
      <c r="E474" s="1" t="n">
        <v>46281</v>
      </c>
      <c r="F474" t="inlineStr">
        <is>
          <t>NORRBOTTENS LÄN</t>
        </is>
      </c>
      <c r="G474" t="inlineStr">
        <is>
          <t>BODEN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62017-2025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46281</v>
      </c>
      <c r="F475" t="inlineStr">
        <is>
          <t>NORRBOTTENS LÄN</t>
        </is>
      </c>
      <c r="G475" t="inlineStr">
        <is>
          <t>BODEN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46076</v>
      </c>
      <c r="E476" s="1" t="n">
        <v>46281</v>
      </c>
      <c r="F476" t="inlineStr">
        <is>
          <t>NORRBOTTENS LÄN</t>
        </is>
      </c>
      <c r="G476" t="inlineStr">
        <is>
          <t>BODEN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45161</v>
      </c>
      <c r="E477" s="1" t="n">
        <v>46281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53840-2022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44880</v>
      </c>
      <c r="E478" s="1" t="n">
        <v>46281</v>
      </c>
      <c r="F478" t="inlineStr">
        <is>
          <t>NORRBOTTENS LÄN</t>
        </is>
      </c>
      <c r="G478" t="inlineStr">
        <is>
          <t>BODEN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44979</v>
      </c>
      <c r="E479" s="1" t="n">
        <v>46281</v>
      </c>
      <c r="F479" t="inlineStr">
        <is>
          <t>NORRBOTTENS LÄN</t>
        </is>
      </c>
      <c r="G479" t="inlineStr">
        <is>
          <t>BODEN</t>
        </is>
      </c>
      <c r="H479" t="inlineStr">
        <is>
          <t>Övriga statliga verk och myndigheter</t>
        </is>
      </c>
      <c r="I479" t="n">
        <v>18.8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877-2023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44931</v>
      </c>
      <c r="E480" s="1" t="n">
        <v>46281</v>
      </c>
      <c r="F480" t="inlineStr">
        <is>
          <t>NORRBOTTENS LÄN</t>
        </is>
      </c>
      <c r="G480" t="inlineStr">
        <is>
          <t>BODEN</t>
        </is>
      </c>
      <c r="I480" t="n">
        <v>8.699999999999999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46281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57777-2025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45981</v>
      </c>
      <c r="E482" s="1" t="n">
        <v>46281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46281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46281</v>
      </c>
      <c r="F484" t="inlineStr">
        <is>
          <t>NORRBOTTENS LÄN</t>
        </is>
      </c>
      <c r="G484" t="inlineStr">
        <is>
          <t>BODEN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45929-2023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45195</v>
      </c>
      <c r="E485" s="1" t="n">
        <v>46281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46281</v>
      </c>
      <c r="F486" t="inlineStr">
        <is>
          <t>NORRBOTTENS LÄN</t>
        </is>
      </c>
      <c r="G486" t="inlineStr">
        <is>
          <t>BODEN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58294-2025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46281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58203-2025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45984</v>
      </c>
      <c r="E488" s="1" t="n">
        <v>46281</v>
      </c>
      <c r="F488" t="inlineStr">
        <is>
          <t>NORRBOTTENS LÄN</t>
        </is>
      </c>
      <c r="G488" t="inlineStr">
        <is>
          <t>BODEN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45988</v>
      </c>
      <c r="E489" s="1" t="n">
        <v>46281</v>
      </c>
      <c r="F489" t="inlineStr">
        <is>
          <t>NORRBOTTENS LÄN</t>
        </is>
      </c>
      <c r="G489" t="inlineStr">
        <is>
          <t>BODEN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46281</v>
      </c>
      <c r="F490" t="inlineStr">
        <is>
          <t>NORRBOTTENS LÄN</t>
        </is>
      </c>
      <c r="G490" t="inlineStr">
        <is>
          <t>BODEN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46281</v>
      </c>
      <c r="F491" t="inlineStr">
        <is>
          <t>NORRBOTTENS LÄN</t>
        </is>
      </c>
      <c r="G491" t="inlineStr">
        <is>
          <t>BODEN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35040-2022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44796</v>
      </c>
      <c r="E492" s="1" t="n">
        <v>46281</v>
      </c>
      <c r="F492" t="inlineStr">
        <is>
          <t>NORRBOTTENS LÄN</t>
        </is>
      </c>
      <c r="G492" t="inlineStr">
        <is>
          <t>BODEN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46281</v>
      </c>
      <c r="F493" t="inlineStr">
        <is>
          <t>NORRBOTTENS LÄN</t>
        </is>
      </c>
      <c r="G493" t="inlineStr">
        <is>
          <t>BODEN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43648-2023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45187</v>
      </c>
      <c r="E494" s="1" t="n">
        <v>46281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46281</v>
      </c>
      <c r="F495" t="inlineStr">
        <is>
          <t>NORRBOTTENS LÄN</t>
        </is>
      </c>
      <c r="G495" t="inlineStr">
        <is>
          <t>BODEN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48471-2024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45591</v>
      </c>
      <c r="E496" s="1" t="n">
        <v>46281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46281</v>
      </c>
      <c r="F497" t="inlineStr">
        <is>
          <t>NORRBOTTENS LÄN</t>
        </is>
      </c>
      <c r="G497" t="inlineStr">
        <is>
          <t>BODEN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46281</v>
      </c>
      <c r="F498" t="inlineStr">
        <is>
          <t>NORRBOTTENS LÄN</t>
        </is>
      </c>
      <c r="G498" t="inlineStr">
        <is>
          <t>BODEN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45153</v>
      </c>
      <c r="E499" s="1" t="n">
        <v>46281</v>
      </c>
      <c r="F499" t="inlineStr">
        <is>
          <t>NORRBOTTENS LÄN</t>
        </is>
      </c>
      <c r="G499" t="inlineStr">
        <is>
          <t>BODEN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45893</v>
      </c>
      <c r="E500" s="1" t="n">
        <v>46281</v>
      </c>
      <c r="F500" t="inlineStr">
        <is>
          <t>NORRBOTTENS LÄN</t>
        </is>
      </c>
      <c r="G500" t="inlineStr">
        <is>
          <t>BODEN</t>
        </is>
      </c>
      <c r="H500" t="inlineStr">
        <is>
          <t>Övriga statliga verk och myndigheter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45994</v>
      </c>
      <c r="E501" s="1" t="n">
        <v>46281</v>
      </c>
      <c r="F501" t="inlineStr">
        <is>
          <t>NORRBOTTENS LÄN</t>
        </is>
      </c>
      <c r="G501" t="inlineStr">
        <is>
          <t>BODEN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46281</v>
      </c>
      <c r="F502" t="inlineStr">
        <is>
          <t>NORRBOTTENS LÄN</t>
        </is>
      </c>
      <c r="G502" t="inlineStr">
        <is>
          <t>BODEN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46281</v>
      </c>
      <c r="F503" t="inlineStr">
        <is>
          <t>NORRBOTTENS LÄN</t>
        </is>
      </c>
      <c r="G503" t="inlineStr">
        <is>
          <t>BODEN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60236-2025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46281</v>
      </c>
      <c r="F504" t="inlineStr">
        <is>
          <t>NORRBOTTENS LÄN</t>
        </is>
      </c>
      <c r="G504" t="inlineStr">
        <is>
          <t>BODEN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61750-2024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45649</v>
      </c>
      <c r="E505" s="1" t="n">
        <v>46281</v>
      </c>
      <c r="F505" t="inlineStr">
        <is>
          <t>NORRBOTTENS LÄN</t>
        </is>
      </c>
      <c r="G505" t="inlineStr">
        <is>
          <t>BODEN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45149</v>
      </c>
      <c r="E506" s="1" t="n">
        <v>46281</v>
      </c>
      <c r="F506" t="inlineStr">
        <is>
          <t>NORRBOTTENS LÄN</t>
        </is>
      </c>
      <c r="G506" t="inlineStr">
        <is>
          <t>BODEN</t>
        </is>
      </c>
      <c r="I506" t="n">
        <v>16.1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33511-2025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45841</v>
      </c>
      <c r="E507" s="1" t="n">
        <v>46281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60397-2025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45995</v>
      </c>
      <c r="E508" s="1" t="n">
        <v>46281</v>
      </c>
      <c r="F508" t="inlineStr">
        <is>
          <t>NORRBOTTENS LÄN</t>
        </is>
      </c>
      <c r="G508" t="inlineStr">
        <is>
          <t>BODEN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46281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46281</v>
      </c>
      <c r="F510" t="inlineStr">
        <is>
          <t>NORRBOTTENS LÄN</t>
        </is>
      </c>
      <c r="G510" t="inlineStr">
        <is>
          <t>BODEN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46281</v>
      </c>
      <c r="F511" t="inlineStr">
        <is>
          <t>NORRBOTTENS LÄN</t>
        </is>
      </c>
      <c r="G511" t="inlineStr">
        <is>
          <t>BODEN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60613-2025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45996</v>
      </c>
      <c r="E512" s="1" t="n">
        <v>46281</v>
      </c>
      <c r="F512" t="inlineStr">
        <is>
          <t>NORRBOTTENS LÄN</t>
        </is>
      </c>
      <c r="G512" t="inlineStr">
        <is>
          <t>BODEN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46281</v>
      </c>
      <c r="F513" t="inlineStr">
        <is>
          <t>NORRBOTTENS LÄN</t>
        </is>
      </c>
      <c r="G513" t="inlineStr">
        <is>
          <t>BODEN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46148</v>
      </c>
      <c r="E514" s="1" t="n">
        <v>46281</v>
      </c>
      <c r="F514" t="inlineStr">
        <is>
          <t>NORRBOTTENS LÄN</t>
        </is>
      </c>
      <c r="G514" t="inlineStr">
        <is>
          <t>BODEN</t>
        </is>
      </c>
      <c r="H514" t="inlineStr">
        <is>
          <t>Sveaskog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42652-2025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45906</v>
      </c>
      <c r="E515" s="1" t="n">
        <v>46281</v>
      </c>
      <c r="F515" t="inlineStr">
        <is>
          <t>NORRBOTTENS LÄN</t>
        </is>
      </c>
      <c r="G515" t="inlineStr">
        <is>
          <t>BODEN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14757-2023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45014</v>
      </c>
      <c r="E516" s="1" t="n">
        <v>46281</v>
      </c>
      <c r="F516" t="inlineStr">
        <is>
          <t>NORRBOTTENS LÄN</t>
        </is>
      </c>
      <c r="G516" t="inlineStr">
        <is>
          <t>BODEN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45999</v>
      </c>
      <c r="E517" s="1" t="n">
        <v>46281</v>
      </c>
      <c r="F517" t="inlineStr">
        <is>
          <t>NORRBOTTENS LÄN</t>
        </is>
      </c>
      <c r="G517" t="inlineStr">
        <is>
          <t>BODEN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46147</v>
      </c>
      <c r="E518" s="1" t="n">
        <v>46281</v>
      </c>
      <c r="F518" t="inlineStr">
        <is>
          <t>NORRBOTTENS LÄN</t>
        </is>
      </c>
      <c r="G518" t="inlineStr">
        <is>
          <t>BODEN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46281</v>
      </c>
      <c r="F519" t="inlineStr">
        <is>
          <t>NORRBOTTENS LÄN</t>
        </is>
      </c>
      <c r="G519" t="inlineStr">
        <is>
          <t>BODEN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46281</v>
      </c>
      <c r="F520" t="inlineStr">
        <is>
          <t>NORRBOTTENS LÄN</t>
        </is>
      </c>
      <c r="G520" t="inlineStr">
        <is>
          <t>BODEN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61227-2025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46000</v>
      </c>
      <c r="E521" s="1" t="n">
        <v>46281</v>
      </c>
      <c r="F521" t="inlineStr">
        <is>
          <t>NORRBOTTENS LÄN</t>
        </is>
      </c>
      <c r="G521" t="inlineStr">
        <is>
          <t>BODEN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22259-2026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46150</v>
      </c>
      <c r="E522" s="1" t="n">
        <v>46281</v>
      </c>
      <c r="F522" t="inlineStr">
        <is>
          <t>NORRBOTTENS LÄN</t>
        </is>
      </c>
      <c r="G522" t="inlineStr">
        <is>
          <t>BODEN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48107-2022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44856</v>
      </c>
      <c r="E523" s="1" t="n">
        <v>46281</v>
      </c>
      <c r="F523" t="inlineStr">
        <is>
          <t>NORRBOTTENS LÄN</t>
        </is>
      </c>
      <c r="G523" t="inlineStr">
        <is>
          <t>BODEN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46281</v>
      </c>
      <c r="F524" t="inlineStr">
        <is>
          <t>NORRBOTTENS LÄN</t>
        </is>
      </c>
      <c r="G524" t="inlineStr">
        <is>
          <t>BODEN</t>
        </is>
      </c>
      <c r="I524" t="n">
        <v>11.6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46281</v>
      </c>
      <c r="F525" t="inlineStr">
        <is>
          <t>NORRBOTTENS LÄN</t>
        </is>
      </c>
      <c r="G525" t="inlineStr">
        <is>
          <t>BODEN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46281</v>
      </c>
      <c r="F526" t="inlineStr">
        <is>
          <t>NORRBOTTENS LÄN</t>
        </is>
      </c>
      <c r="G526" t="inlineStr">
        <is>
          <t>BODEN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45103</v>
      </c>
      <c r="E527" s="1" t="n">
        <v>46281</v>
      </c>
      <c r="F527" t="inlineStr">
        <is>
          <t>NORRBOTTENS LÄN</t>
        </is>
      </c>
      <c r="G527" t="inlineStr">
        <is>
          <t>BODEN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37984-2024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46281</v>
      </c>
      <c r="F528" t="inlineStr">
        <is>
          <t>NORRBOTTENS LÄN</t>
        </is>
      </c>
      <c r="G528" t="inlineStr">
        <is>
          <t>BODEN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12801-2023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45001</v>
      </c>
      <c r="E529" s="1" t="n">
        <v>46281</v>
      </c>
      <c r="F529" t="inlineStr">
        <is>
          <t>NORRBOTTENS LÄN</t>
        </is>
      </c>
      <c r="G529" t="inlineStr">
        <is>
          <t>BODEN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46001</v>
      </c>
      <c r="E530" s="1" t="n">
        <v>46281</v>
      </c>
      <c r="F530" t="inlineStr">
        <is>
          <t>NORRBOTTENS LÄN</t>
        </is>
      </c>
      <c r="G530" t="inlineStr">
        <is>
          <t>BODEN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46281</v>
      </c>
      <c r="F531" t="inlineStr">
        <is>
          <t>NORRBOTTENS LÄN</t>
        </is>
      </c>
      <c r="G531" t="inlineStr">
        <is>
          <t>BODEN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40624-2022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44823</v>
      </c>
      <c r="E532" s="1" t="n">
        <v>46281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44964</v>
      </c>
      <c r="E533" s="1" t="n">
        <v>46281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22239-2026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46281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46281</v>
      </c>
      <c r="F535" t="inlineStr">
        <is>
          <t>NORRBOTTENS LÄN</t>
        </is>
      </c>
      <c r="G535" t="inlineStr">
        <is>
          <t>BODEN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718-2022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44568</v>
      </c>
      <c r="E536" s="1" t="n">
        <v>46281</v>
      </c>
      <c r="F536" t="inlineStr">
        <is>
          <t>NORRBOTTENS LÄN</t>
        </is>
      </c>
      <c r="G536" t="inlineStr">
        <is>
          <t>BODEN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61959-2025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46003</v>
      </c>
      <c r="E537" s="1" t="n">
        <v>46281</v>
      </c>
      <c r="F537" t="inlineStr">
        <is>
          <t>NORRBOTTENS LÄN</t>
        </is>
      </c>
      <c r="G537" t="inlineStr">
        <is>
          <t>BODEN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45667</v>
      </c>
      <c r="E538" s="1" t="n">
        <v>46281</v>
      </c>
      <c r="F538" t="inlineStr">
        <is>
          <t>NORRBOTTENS LÄN</t>
        </is>
      </c>
      <c r="G538" t="inlineStr">
        <is>
          <t>BODEN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45408</v>
      </c>
      <c r="E539" s="1" t="n">
        <v>46281</v>
      </c>
      <c r="F539" t="inlineStr">
        <is>
          <t>NORRBOTTENS LÄN</t>
        </is>
      </c>
      <c r="G539" t="inlineStr">
        <is>
          <t>BODEN</t>
        </is>
      </c>
      <c r="I539" t="n">
        <v>14.9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13714-2022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44648</v>
      </c>
      <c r="E540" s="1" t="n">
        <v>46281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19068-2024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45427</v>
      </c>
      <c r="E541" s="1" t="n">
        <v>46281</v>
      </c>
      <c r="F541" t="inlineStr">
        <is>
          <t>NORRBOTTENS LÄN</t>
        </is>
      </c>
      <c r="G541" t="inlineStr">
        <is>
          <t>BODEN</t>
        </is>
      </c>
      <c r="I541" t="n">
        <v>22.1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61949-2025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46003</v>
      </c>
      <c r="E542" s="1" t="n">
        <v>46281</v>
      </c>
      <c r="F542" t="inlineStr">
        <is>
          <t>NORRBOTTENS LÄN</t>
        </is>
      </c>
      <c r="G542" t="inlineStr">
        <is>
          <t>BODEN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46281</v>
      </c>
      <c r="F543" t="inlineStr">
        <is>
          <t>NORRBOTTENS LÄN</t>
        </is>
      </c>
      <c r="G543" t="inlineStr">
        <is>
          <t>BODEN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45499</v>
      </c>
      <c r="E544" s="1" t="n">
        <v>46281</v>
      </c>
      <c r="F544" t="inlineStr">
        <is>
          <t>NORRBOTTENS LÄN</t>
        </is>
      </c>
      <c r="G544" t="inlineStr">
        <is>
          <t>BODEN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46281</v>
      </c>
      <c r="F545" t="inlineStr">
        <is>
          <t>NORRBOTTENS LÄN</t>
        </is>
      </c>
      <c r="G545" t="inlineStr">
        <is>
          <t>BODEN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46281</v>
      </c>
      <c r="F546" t="inlineStr">
        <is>
          <t>NORRBOTTENS LÄN</t>
        </is>
      </c>
      <c r="G546" t="inlineStr">
        <is>
          <t>BODEN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45446-2023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46281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45649</v>
      </c>
      <c r="E548" s="1" t="n">
        <v>46281</v>
      </c>
      <c r="F548" t="inlineStr">
        <is>
          <t>NORRBOTTENS LÄN</t>
        </is>
      </c>
      <c r="G548" t="inlineStr">
        <is>
          <t>BODEN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45709</v>
      </c>
      <c r="E549" s="1" t="n">
        <v>46281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Aktiebolag</t>
        </is>
      </c>
      <c r="I549" t="n">
        <v>14.3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45764</v>
      </c>
      <c r="E550" s="1" t="n">
        <v>46281</v>
      </c>
      <c r="F550" t="inlineStr">
        <is>
          <t>NORRBOTTENS LÄN</t>
        </is>
      </c>
      <c r="G550" t="inlineStr">
        <is>
          <t>BODEN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59035-2025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46281</v>
      </c>
      <c r="F551" t="inlineStr">
        <is>
          <t>NORRBOTTENS LÄN</t>
        </is>
      </c>
      <c r="G551" t="inlineStr">
        <is>
          <t>BODEN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45646</v>
      </c>
      <c r="E552" s="1" t="n">
        <v>46281</v>
      </c>
      <c r="F552" t="inlineStr">
        <is>
          <t>NORRBOTTENS LÄN</t>
        </is>
      </c>
      <c r="G552" t="inlineStr">
        <is>
          <t>BODEN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63329-2025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46009</v>
      </c>
      <c r="E553" s="1" t="n">
        <v>46281</v>
      </c>
      <c r="F553" t="inlineStr">
        <is>
          <t>NORRBOTTENS LÄN</t>
        </is>
      </c>
      <c r="G553" t="inlineStr">
        <is>
          <t>BODEN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46009</v>
      </c>
      <c r="E554" s="1" t="n">
        <v>46281</v>
      </c>
      <c r="F554" t="inlineStr">
        <is>
          <t>NORRBOTTENS LÄN</t>
        </is>
      </c>
      <c r="G554" t="inlineStr">
        <is>
          <t>BODEN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60237-2025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46281</v>
      </c>
      <c r="F555" t="inlineStr">
        <is>
          <t>NORRBOTTENS LÄN</t>
        </is>
      </c>
      <c r="G555" t="inlineStr">
        <is>
          <t>BODEN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45773</v>
      </c>
      <c r="E556" s="1" t="n">
        <v>46281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62992-2025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46009</v>
      </c>
      <c r="E557" s="1" t="n">
        <v>46281</v>
      </c>
      <c r="F557" t="inlineStr">
        <is>
          <t>NORRBOTTENS LÄN</t>
        </is>
      </c>
      <c r="G557" t="inlineStr">
        <is>
          <t>BODEN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46281</v>
      </c>
      <c r="F558" t="inlineStr">
        <is>
          <t>NORRBOTTENS LÄN</t>
        </is>
      </c>
      <c r="G558" t="inlineStr">
        <is>
          <t>BODEN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21329-2024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45440</v>
      </c>
      <c r="E559" s="1" t="n">
        <v>46281</v>
      </c>
      <c r="F559" t="inlineStr">
        <is>
          <t>NORRBOTTENS LÄN</t>
        </is>
      </c>
      <c r="G559" t="inlineStr">
        <is>
          <t>BODEN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63398-2025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46012</v>
      </c>
      <c r="E560" s="1" t="n">
        <v>46281</v>
      </c>
      <c r="F560" t="inlineStr">
        <is>
          <t>NORRBOTTENS LÄN</t>
        </is>
      </c>
      <c r="G560" t="inlineStr">
        <is>
          <t>BODEN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63399-2025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46012</v>
      </c>
      <c r="E561" s="1" t="n">
        <v>46281</v>
      </c>
      <c r="F561" t="inlineStr">
        <is>
          <t>NORRBOTTENS LÄN</t>
        </is>
      </c>
      <c r="G561" t="inlineStr">
        <is>
          <t>BODEN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63400-2025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46012</v>
      </c>
      <c r="E562" s="1" t="n">
        <v>46281</v>
      </c>
      <c r="F562" t="inlineStr">
        <is>
          <t>NORRBOTTENS LÄN</t>
        </is>
      </c>
      <c r="G562" t="inlineStr">
        <is>
          <t>BODEN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45902</v>
      </c>
      <c r="E563" s="1" t="n">
        <v>46281</v>
      </c>
      <c r="F563" t="inlineStr">
        <is>
          <t>NORRBOTTENS LÄN</t>
        </is>
      </c>
      <c r="G563" t="inlineStr">
        <is>
          <t>BODEN</t>
        </is>
      </c>
      <c r="H563" t="inlineStr">
        <is>
          <t>Övriga statliga verk och myndigheter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45672</v>
      </c>
      <c r="E564" s="1" t="n">
        <v>46281</v>
      </c>
      <c r="F564" t="inlineStr">
        <is>
          <t>NORRBOTTENS LÄN</t>
        </is>
      </c>
      <c r="G564" t="inlineStr">
        <is>
          <t>BODEN</t>
        </is>
      </c>
      <c r="I564" t="n">
        <v>0.1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55080-2021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44474</v>
      </c>
      <c r="E565" s="1" t="n">
        <v>46281</v>
      </c>
      <c r="F565" t="inlineStr">
        <is>
          <t>NORRBOTTENS LÄN</t>
        </is>
      </c>
      <c r="G565" t="inlineStr">
        <is>
          <t>BODEN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63891-2025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46020</v>
      </c>
      <c r="E566" s="1" t="n">
        <v>46281</v>
      </c>
      <c r="F566" t="inlineStr">
        <is>
          <t>NORRBOTTENS LÄN</t>
        </is>
      </c>
      <c r="G566" t="inlineStr">
        <is>
          <t>BODEN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28139-2025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45818</v>
      </c>
      <c r="E567" s="1" t="n">
        <v>46281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46281</v>
      </c>
      <c r="F568" t="inlineStr">
        <is>
          <t>NORRBOTTENS LÄN</t>
        </is>
      </c>
      <c r="G568" t="inlineStr">
        <is>
          <t>BODEN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46281</v>
      </c>
      <c r="F569" t="inlineStr">
        <is>
          <t>NORRBOTTENS LÄN</t>
        </is>
      </c>
      <c r="G569" t="inlineStr">
        <is>
          <t>BODEN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37212-2025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45875</v>
      </c>
      <c r="E570" s="1" t="n">
        <v>46281</v>
      </c>
      <c r="F570" t="inlineStr">
        <is>
          <t>NORRBOTTENS LÄN</t>
        </is>
      </c>
      <c r="G570" t="inlineStr">
        <is>
          <t>BODEN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45744</v>
      </c>
      <c r="E571" s="1" t="n">
        <v>46281</v>
      </c>
      <c r="F571" t="inlineStr">
        <is>
          <t>NORRBOTTENS LÄN</t>
        </is>
      </c>
      <c r="G571" t="inlineStr">
        <is>
          <t>BODEN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46281</v>
      </c>
      <c r="F572" t="inlineStr">
        <is>
          <t>NORRBOTTENS LÄN</t>
        </is>
      </c>
      <c r="G572" t="inlineStr">
        <is>
          <t>BODEN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46030</v>
      </c>
      <c r="E573" s="1" t="n">
        <v>46281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31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16020-2025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45748</v>
      </c>
      <c r="E574" s="1" t="n">
        <v>46281</v>
      </c>
      <c r="F574" t="inlineStr">
        <is>
          <t>NORRBOTTENS LÄN</t>
        </is>
      </c>
      <c r="G574" t="inlineStr">
        <is>
          <t>BODEN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46281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10.3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67438-2021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44524</v>
      </c>
      <c r="E576" s="1" t="n">
        <v>46281</v>
      </c>
      <c r="F576" t="inlineStr">
        <is>
          <t>NORRBOTTENS LÄN</t>
        </is>
      </c>
      <c r="G576" t="inlineStr">
        <is>
          <t>BODEN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29309-2023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45105</v>
      </c>
      <c r="E577" s="1" t="n">
        <v>46281</v>
      </c>
      <c r="F577" t="inlineStr">
        <is>
          <t>NORRBOTTENS LÄN</t>
        </is>
      </c>
      <c r="G577" t="inlineStr">
        <is>
          <t>BODEN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18173-2025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45761</v>
      </c>
      <c r="E578" s="1" t="n">
        <v>46281</v>
      </c>
      <c r="F578" t="inlineStr">
        <is>
          <t>NORRBOTTENS LÄN</t>
        </is>
      </c>
      <c r="G578" t="inlineStr">
        <is>
          <t>BODEN</t>
        </is>
      </c>
      <c r="I578" t="n">
        <v>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54104-2022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44881</v>
      </c>
      <c r="E579" s="1" t="n">
        <v>46281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46281</v>
      </c>
      <c r="F580" t="inlineStr">
        <is>
          <t>NORRBOTTENS LÄN</t>
        </is>
      </c>
      <c r="G580" t="inlineStr">
        <is>
          <t>BODEN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46281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46281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46281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58099-2023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45248</v>
      </c>
      <c r="E584" s="1" t="n">
        <v>46281</v>
      </c>
      <c r="F584" t="inlineStr">
        <is>
          <t>NORRBOTTENS LÄN</t>
        </is>
      </c>
      <c r="G584" t="inlineStr">
        <is>
          <t>BODEN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23788-2026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46164</v>
      </c>
      <c r="E585" s="1" t="n">
        <v>46281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46164</v>
      </c>
      <c r="E586" s="1" t="n">
        <v>46281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63841-2025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46020</v>
      </c>
      <c r="E587" s="1" t="n">
        <v>46281</v>
      </c>
      <c r="F587" t="inlineStr">
        <is>
          <t>NORRBOTTENS LÄN</t>
        </is>
      </c>
      <c r="G587" t="inlineStr">
        <is>
          <t>BODEN</t>
        </is>
      </c>
      <c r="I587" t="n">
        <v>10.9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3462-2022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44585</v>
      </c>
      <c r="E588" s="1" t="n">
        <v>46281</v>
      </c>
      <c r="F588" t="inlineStr">
        <is>
          <t>NORRBOTTENS LÄN</t>
        </is>
      </c>
      <c r="G588" t="inlineStr">
        <is>
          <t>BODEN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45674</v>
      </c>
      <c r="E589" s="1" t="n">
        <v>46281</v>
      </c>
      <c r="F589" t="inlineStr">
        <is>
          <t>NORRBOTTENS LÄN</t>
        </is>
      </c>
      <c r="G589" t="inlineStr">
        <is>
          <t>BODEN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46281</v>
      </c>
      <c r="F590" t="inlineStr">
        <is>
          <t>NORRBOTTENS LÄN</t>
        </is>
      </c>
      <c r="G590" t="inlineStr">
        <is>
          <t>BODEN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46168</v>
      </c>
      <c r="E591" s="1" t="n">
        <v>46281</v>
      </c>
      <c r="F591" t="inlineStr">
        <is>
          <t>NORRBOTTENS LÄN</t>
        </is>
      </c>
      <c r="G591" t="inlineStr">
        <is>
          <t>BODEN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40157-2025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45894</v>
      </c>
      <c r="E592" s="1" t="n">
        <v>46281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17.6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49127-2023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45210</v>
      </c>
      <c r="E593" s="1" t="n">
        <v>46281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55540-2022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44887</v>
      </c>
      <c r="E594" s="1" t="n">
        <v>46281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46281</v>
      </c>
      <c r="F595" t="inlineStr">
        <is>
          <t>NORRBOTTENS LÄN</t>
        </is>
      </c>
      <c r="G595" t="inlineStr">
        <is>
          <t>BODEN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467-2022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44565</v>
      </c>
      <c r="E596" s="1" t="n">
        <v>46281</v>
      </c>
      <c r="F596" t="inlineStr">
        <is>
          <t>NORRBOTTENS LÄN</t>
        </is>
      </c>
      <c r="G596" t="inlineStr">
        <is>
          <t>BODEN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45233</v>
      </c>
      <c r="E597" s="1" t="n">
        <v>46281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46564-2022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44847</v>
      </c>
      <c r="E598" s="1" t="n">
        <v>46281</v>
      </c>
      <c r="F598" t="inlineStr">
        <is>
          <t>NORRBOTTENS LÄN</t>
        </is>
      </c>
      <c r="G598" t="inlineStr">
        <is>
          <t>BODEN</t>
        </is>
      </c>
      <c r="I598" t="n">
        <v>28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46281</v>
      </c>
      <c r="F599" t="inlineStr">
        <is>
          <t>NORRBOTTENS LÄN</t>
        </is>
      </c>
      <c r="G599" t="inlineStr">
        <is>
          <t>BODEN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24221-2026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46281</v>
      </c>
      <c r="F600" t="inlineStr">
        <is>
          <t>NORRBOTTENS LÄN</t>
        </is>
      </c>
      <c r="G600" t="inlineStr">
        <is>
          <t>BODEN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45070</v>
      </c>
      <c r="E601" s="1" t="n">
        <v>46281</v>
      </c>
      <c r="F601" t="inlineStr">
        <is>
          <t>NORRBOTTENS LÄN</t>
        </is>
      </c>
      <c r="G601" t="inlineStr">
        <is>
          <t>BODEN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45085</v>
      </c>
      <c r="E602" s="1" t="n">
        <v>46281</v>
      </c>
      <c r="F602" t="inlineStr">
        <is>
          <t>NORRBOTTENS LÄN</t>
        </is>
      </c>
      <c r="G602" t="inlineStr">
        <is>
          <t>BODEN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46042</v>
      </c>
      <c r="E603" s="1" t="n">
        <v>46281</v>
      </c>
      <c r="F603" t="inlineStr">
        <is>
          <t>NORRBOTTENS LÄN</t>
        </is>
      </c>
      <c r="G603" t="inlineStr">
        <is>
          <t>BODEN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68591-2021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44529</v>
      </c>
      <c r="E604" s="1" t="n">
        <v>46281</v>
      </c>
      <c r="F604" t="inlineStr">
        <is>
          <t>NORRBOTTENS LÄN</t>
        </is>
      </c>
      <c r="G604" t="inlineStr">
        <is>
          <t>BODEN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22458-2023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45070</v>
      </c>
      <c r="E605" s="1" t="n">
        <v>46281</v>
      </c>
      <c r="F605" t="inlineStr">
        <is>
          <t>NORRBOTTENS LÄN</t>
        </is>
      </c>
      <c r="G605" t="inlineStr">
        <is>
          <t>BODEN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46281</v>
      </c>
      <c r="F606" t="inlineStr">
        <is>
          <t>NORRBOTTENS LÄN</t>
        </is>
      </c>
      <c r="G606" t="inlineStr">
        <is>
          <t>BODEN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24717-2026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46171</v>
      </c>
      <c r="E607" s="1" t="n">
        <v>46281</v>
      </c>
      <c r="F607" t="inlineStr">
        <is>
          <t>NORRBOTTENS LÄN</t>
        </is>
      </c>
      <c r="G607" t="inlineStr">
        <is>
          <t>BODEN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24805-2026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46172</v>
      </c>
      <c r="E608" s="1" t="n">
        <v>46281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52075-2021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44463</v>
      </c>
      <c r="E609" s="1" t="n">
        <v>46281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46281</v>
      </c>
      <c r="F610" t="inlineStr">
        <is>
          <t>NORRBOTTENS LÄN</t>
        </is>
      </c>
      <c r="G610" t="inlineStr">
        <is>
          <t>BODEN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25240-2026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46175</v>
      </c>
      <c r="E611" s="1" t="n">
        <v>46281</v>
      </c>
      <c r="F611" t="inlineStr">
        <is>
          <t>NORRBOTTENS LÄN</t>
        </is>
      </c>
      <c r="G611" t="inlineStr">
        <is>
          <t>BODEN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46281</v>
      </c>
      <c r="F612" t="inlineStr">
        <is>
          <t>NORRBOTTENS LÄN</t>
        </is>
      </c>
      <c r="G612" t="inlineStr">
        <is>
          <t>BODEN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45316</v>
      </c>
      <c r="E613" s="1" t="n">
        <v>46281</v>
      </c>
      <c r="F613" t="inlineStr">
        <is>
          <t>NORRBOTTENS LÄN</t>
        </is>
      </c>
      <c r="G613" t="inlineStr">
        <is>
          <t>BODEN</t>
        </is>
      </c>
      <c r="I613" t="n">
        <v>8.800000000000001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73910-2021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44552</v>
      </c>
      <c r="E614" s="1" t="n">
        <v>46281</v>
      </c>
      <c r="F614" t="inlineStr">
        <is>
          <t>NORRBOTTENS LÄN</t>
        </is>
      </c>
      <c r="G614" t="inlineStr">
        <is>
          <t>BODEN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38219-2022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44812</v>
      </c>
      <c r="E615" s="1" t="n">
        <v>46281</v>
      </c>
      <c r="F615" t="inlineStr">
        <is>
          <t>NORRBOTTENS LÄN</t>
        </is>
      </c>
      <c r="G615" t="inlineStr">
        <is>
          <t>BODEN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25387-2023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46281</v>
      </c>
      <c r="F616" t="inlineStr">
        <is>
          <t>NORRBOTTENS LÄN</t>
        </is>
      </c>
      <c r="G616" t="inlineStr">
        <is>
          <t>BODEN</t>
        </is>
      </c>
      <c r="I616" t="n">
        <v>6.7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8776-2022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44614</v>
      </c>
      <c r="E617" s="1" t="n">
        <v>46281</v>
      </c>
      <c r="F617" t="inlineStr">
        <is>
          <t>NORRBOTTENS LÄN</t>
        </is>
      </c>
      <c r="G617" t="inlineStr">
        <is>
          <t>BODEN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28444-2023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45102</v>
      </c>
      <c r="E618" s="1" t="n">
        <v>46281</v>
      </c>
      <c r="F618" t="inlineStr">
        <is>
          <t>NORRBOTTENS LÄN</t>
        </is>
      </c>
      <c r="G618" t="inlineStr">
        <is>
          <t>BODEN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48592-2024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45593</v>
      </c>
      <c r="E619" s="1" t="n">
        <v>46281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26806-2024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46281</v>
      </c>
      <c r="F620" t="inlineStr">
        <is>
          <t>NORRBOTTENS LÄN</t>
        </is>
      </c>
      <c r="G620" t="inlineStr">
        <is>
          <t>BODEN</t>
        </is>
      </c>
      <c r="H620" t="inlineStr">
        <is>
          <t>Övriga Aktiebolag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46281</v>
      </c>
      <c r="F621" t="inlineStr">
        <is>
          <t>NORRBOTTENS LÄN</t>
        </is>
      </c>
      <c r="G621" t="inlineStr">
        <is>
          <t>BODEN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46281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25536-2026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46281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46281</v>
      </c>
      <c r="F624" t="inlineStr">
        <is>
          <t>NORRBOTTENS LÄN</t>
        </is>
      </c>
      <c r="G624" t="inlineStr">
        <is>
          <t>BODEN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47423-2024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45587</v>
      </c>
      <c r="E625" s="1" t="n">
        <v>46281</v>
      </c>
      <c r="F625" t="inlineStr">
        <is>
          <t>NORRBOTTENS LÄN</t>
        </is>
      </c>
      <c r="G625" t="inlineStr">
        <is>
          <t>BODEN</t>
        </is>
      </c>
      <c r="I625" t="n">
        <v>17.2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8869-2024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45356</v>
      </c>
      <c r="E626" s="1" t="n">
        <v>46281</v>
      </c>
      <c r="F626" t="inlineStr">
        <is>
          <t>NORRBOTTENS LÄN</t>
        </is>
      </c>
      <c r="G626" t="inlineStr">
        <is>
          <t>BODEN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46281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7.5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46281</v>
      </c>
      <c r="F628" t="inlineStr">
        <is>
          <t>NORRBOTTENS LÄN</t>
        </is>
      </c>
      <c r="G628" t="inlineStr">
        <is>
          <t>BODEN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46281</v>
      </c>
      <c r="F629" t="inlineStr">
        <is>
          <t>NORRBOTTENS LÄN</t>
        </is>
      </c>
      <c r="G629" t="inlineStr">
        <is>
          <t>BODEN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46281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46281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45406</v>
      </c>
      <c r="E632" s="1" t="n">
        <v>46281</v>
      </c>
      <c r="F632" t="inlineStr">
        <is>
          <t>NORRBOTTENS LÄN</t>
        </is>
      </c>
      <c r="G632" t="inlineStr">
        <is>
          <t>BODEN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46281</v>
      </c>
      <c r="F633" t="inlineStr">
        <is>
          <t>NORRBOTTENS LÄN</t>
        </is>
      </c>
      <c r="G633" t="inlineStr">
        <is>
          <t>BODEN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7185-2026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46058</v>
      </c>
      <c r="E634" s="1" t="n">
        <v>46281</v>
      </c>
      <c r="F634" t="inlineStr">
        <is>
          <t>NORRBOTTENS LÄN</t>
        </is>
      </c>
      <c r="G634" t="inlineStr">
        <is>
          <t>BODEN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7669-2026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46062</v>
      </c>
      <c r="E635" s="1" t="n">
        <v>46281</v>
      </c>
      <c r="F635" t="inlineStr">
        <is>
          <t>NORRBOTTENS LÄN</t>
        </is>
      </c>
      <c r="G635" t="inlineStr">
        <is>
          <t>BODEN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58877-2021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44489</v>
      </c>
      <c r="E636" s="1" t="n">
        <v>46281</v>
      </c>
      <c r="F636" t="inlineStr">
        <is>
          <t>NORRBOTTENS LÄN</t>
        </is>
      </c>
      <c r="G636" t="inlineStr">
        <is>
          <t>BODEN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46281</v>
      </c>
      <c r="F637" t="inlineStr">
        <is>
          <t>NORRBOTTENS LÄN</t>
        </is>
      </c>
      <c r="G637" t="inlineStr">
        <is>
          <t>BODEN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26375-2026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46183</v>
      </c>
      <c r="E638" s="1" t="n">
        <v>46281</v>
      </c>
      <c r="F638" t="inlineStr">
        <is>
          <t>NORRBOTTENS LÄN</t>
        </is>
      </c>
      <c r="G638" t="inlineStr">
        <is>
          <t>BODEN</t>
        </is>
      </c>
      <c r="I638" t="n">
        <v>18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46281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46281</v>
      </c>
      <c r="F640" t="inlineStr">
        <is>
          <t>NORRBOTTENS LÄN</t>
        </is>
      </c>
      <c r="G640" t="inlineStr">
        <is>
          <t>BODEN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46183</v>
      </c>
      <c r="E641" s="1" t="n">
        <v>46281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7923-2026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46281</v>
      </c>
      <c r="F642" t="inlineStr">
        <is>
          <t>NORRBOTTENS LÄN</t>
        </is>
      </c>
      <c r="G642" t="inlineStr">
        <is>
          <t>BODEN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46281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46281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9.699999999999999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61103-2022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44908</v>
      </c>
      <c r="E645" s="1" t="n">
        <v>46281</v>
      </c>
      <c r="F645" t="inlineStr">
        <is>
          <t>NORRBOTTENS LÄN</t>
        </is>
      </c>
      <c r="G645" t="inlineStr">
        <is>
          <t>BODEN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26448-2026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46281</v>
      </c>
      <c r="F646" t="inlineStr">
        <is>
          <t>NORRBOTTENS LÄN</t>
        </is>
      </c>
      <c r="G646" t="inlineStr">
        <is>
          <t>BODEN</t>
        </is>
      </c>
      <c r="I646" t="n">
        <v>7.7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28359-2023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45099</v>
      </c>
      <c r="E647" s="1" t="n">
        <v>46281</v>
      </c>
      <c r="F647" t="inlineStr">
        <is>
          <t>NORRBOTTENS LÄN</t>
        </is>
      </c>
      <c r="G647" t="inlineStr">
        <is>
          <t>BODEN</t>
        </is>
      </c>
      <c r="I647" t="n">
        <v>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46281</v>
      </c>
      <c r="F648" t="inlineStr">
        <is>
          <t>NORRBOTTENS LÄN</t>
        </is>
      </c>
      <c r="G648" t="inlineStr">
        <is>
          <t>BODEN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9319-2024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45358</v>
      </c>
      <c r="E649" s="1" t="n">
        <v>46281</v>
      </c>
      <c r="F649" t="inlineStr">
        <is>
          <t>NORRBOTTENS LÄN</t>
        </is>
      </c>
      <c r="G649" t="inlineStr">
        <is>
          <t>BODEN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26776-2026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46281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  <c r="Z650">
        <f>HYPERLINK("https://klasma.github.io/Logging_2582/knärot/A 26776-2026 karta knärot.png", "A 26776-2026")</f>
        <v/>
      </c>
      <c r="AA650">
        <f>HYPERLINK("https://klasma.github.io/Logging_2582/klagomål/A 26776-2026 FSC-klagomål.docx", "A 26776-2026")</f>
        <v/>
      </c>
      <c r="AB650">
        <f>HYPERLINK("https://klasma.github.io/Logging_2582/klagomålsmail/A 26776-2026 FSC-klagomål mail.docx", "A 26776-2026")</f>
        <v/>
      </c>
      <c r="AC650">
        <f>HYPERLINK("https://klasma.github.io/Logging_2582/tillsyn/A 26776-2026 tillsynsbegäran.docx", "A 26776-2026")</f>
        <v/>
      </c>
      <c r="AD650">
        <f>HYPERLINK("https://klasma.github.io/Logging_2582/tillsynsmail/A 26776-2026 tillsynsbegäran mail.docx", "A 26776-2026")</f>
        <v/>
      </c>
    </row>
    <row r="651" ht="15" customHeight="1">
      <c r="A651" t="inlineStr">
        <is>
          <t>A 26714-2026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46281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46281</v>
      </c>
      <c r="F652" t="inlineStr">
        <is>
          <t>NORRBOTTENS LÄN</t>
        </is>
      </c>
      <c r="G652" t="inlineStr">
        <is>
          <t>BODEN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46281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42.2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10231-2026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46076</v>
      </c>
      <c r="E654" s="1" t="n">
        <v>46281</v>
      </c>
      <c r="F654" t="inlineStr">
        <is>
          <t>NORRBOTTENS LÄN</t>
        </is>
      </c>
      <c r="G654" t="inlineStr">
        <is>
          <t>BODEN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708-2022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44566</v>
      </c>
      <c r="E655" s="1" t="n">
        <v>46281</v>
      </c>
      <c r="F655" t="inlineStr">
        <is>
          <t>NORRBOTTENS LÄN</t>
        </is>
      </c>
      <c r="G655" t="inlineStr">
        <is>
          <t>BODEN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46281</v>
      </c>
      <c r="F656" t="inlineStr">
        <is>
          <t>NORRBOTTENS LÄN</t>
        </is>
      </c>
      <c r="G656" t="inlineStr">
        <is>
          <t>BODEN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45110</v>
      </c>
      <c r="E657" s="1" t="n">
        <v>46281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45685</v>
      </c>
      <c r="E658" s="1" t="n">
        <v>46281</v>
      </c>
      <c r="F658" t="inlineStr">
        <is>
          <t>NORRBOTTENS LÄN</t>
        </is>
      </c>
      <c r="G658" t="inlineStr">
        <is>
          <t>BODEN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37791-2024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45543</v>
      </c>
      <c r="E659" s="1" t="n">
        <v>46281</v>
      </c>
      <c r="F659" t="inlineStr">
        <is>
          <t>NORRBOTTENS LÄN</t>
        </is>
      </c>
      <c r="G659" t="inlineStr">
        <is>
          <t>BODEN</t>
        </is>
      </c>
      <c r="I659" t="n">
        <v>9.1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39272-2024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45551</v>
      </c>
      <c r="E660" s="1" t="n">
        <v>46281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46281</v>
      </c>
      <c r="F661" t="inlineStr">
        <is>
          <t>NORRBOTTENS LÄN</t>
        </is>
      </c>
      <c r="G661" t="inlineStr">
        <is>
          <t>BODEN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37866-2024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45544</v>
      </c>
      <c r="E662" s="1" t="n">
        <v>46281</v>
      </c>
      <c r="F662" t="inlineStr">
        <is>
          <t>NORRBOTTENS LÄN</t>
        </is>
      </c>
      <c r="G662" t="inlineStr">
        <is>
          <t>BODEN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44553-2024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45574</v>
      </c>
      <c r="E663" s="1" t="n">
        <v>46281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44567-2024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45574</v>
      </c>
      <c r="E664" s="1" t="n">
        <v>46281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57563-2023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45246</v>
      </c>
      <c r="E665" s="1" t="n">
        <v>46281</v>
      </c>
      <c r="F665" t="inlineStr">
        <is>
          <t>NORRBOTTENS LÄN</t>
        </is>
      </c>
      <c r="G665" t="inlineStr">
        <is>
          <t>BODEN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45035-2022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44841</v>
      </c>
      <c r="E666" s="1" t="n">
        <v>46281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18436-2025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45762</v>
      </c>
      <c r="E667" s="1" t="n">
        <v>46281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64649-2023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45281</v>
      </c>
      <c r="E668" s="1" t="n">
        <v>46281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28074-2024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45476</v>
      </c>
      <c r="E669" s="1" t="n">
        <v>46281</v>
      </c>
      <c r="F669" t="inlineStr">
        <is>
          <t>NORRBOTTENS LÄN</t>
        </is>
      </c>
      <c r="G669" t="inlineStr">
        <is>
          <t>BODEN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28566-2026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46197</v>
      </c>
      <c r="E670" s="1" t="n">
        <v>46281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68611-2021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44529</v>
      </c>
      <c r="E671" s="1" t="n">
        <v>46281</v>
      </c>
      <c r="F671" t="inlineStr">
        <is>
          <t>NORRBOTTENS LÄN</t>
        </is>
      </c>
      <c r="G671" t="inlineStr">
        <is>
          <t>BODEN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28512-2026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46197</v>
      </c>
      <c r="E672" s="1" t="n">
        <v>46281</v>
      </c>
      <c r="F672" t="inlineStr">
        <is>
          <t>NORRBOTTENS LÄN</t>
        </is>
      </c>
      <c r="G672" t="inlineStr">
        <is>
          <t>BODEN</t>
        </is>
      </c>
      <c r="I672" t="n">
        <v>10.8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32678-2026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46240</v>
      </c>
      <c r="E673" s="1" t="n">
        <v>46281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7.4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32562-2026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46239</v>
      </c>
      <c r="E674" s="1" t="n">
        <v>46281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26.6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28509-2026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46197</v>
      </c>
      <c r="E675" s="1" t="n">
        <v>46281</v>
      </c>
      <c r="F675" t="inlineStr">
        <is>
          <t>NORRBOTTENS LÄN</t>
        </is>
      </c>
      <c r="G675" t="inlineStr">
        <is>
          <t>BODEN</t>
        </is>
      </c>
      <c r="I675" t="n">
        <v>8.9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29467-2026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46198</v>
      </c>
      <c r="E676" s="1" t="n">
        <v>46281</v>
      </c>
      <c r="F676" t="inlineStr">
        <is>
          <t>NORRBOTTENS LÄN</t>
        </is>
      </c>
      <c r="G676" t="inlineStr">
        <is>
          <t>BODEN</t>
        </is>
      </c>
      <c r="I676" t="n">
        <v>14.5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28241-2026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46196</v>
      </c>
      <c r="E677" s="1" t="n">
        <v>46281</v>
      </c>
      <c r="F677" t="inlineStr">
        <is>
          <t>NORRBOTTENS LÄN</t>
        </is>
      </c>
      <c r="G677" t="inlineStr">
        <is>
          <t>BODEN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23232-2024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45453</v>
      </c>
      <c r="E678" s="1" t="n">
        <v>46281</v>
      </c>
      <c r="F678" t="inlineStr">
        <is>
          <t>NORRBOTTENS LÄN</t>
        </is>
      </c>
      <c r="G678" t="inlineStr">
        <is>
          <t>BODEN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28615-2026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46281</v>
      </c>
      <c r="F679" t="inlineStr">
        <is>
          <t>NORRBOTTENS LÄN</t>
        </is>
      </c>
      <c r="G679" t="inlineStr">
        <is>
          <t>BODEN</t>
        </is>
      </c>
      <c r="I679" t="n">
        <v>6.1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60337-2024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45643</v>
      </c>
      <c r="E680" s="1" t="n">
        <v>46281</v>
      </c>
      <c r="F680" t="inlineStr">
        <is>
          <t>NORRBOTTENS LÄN</t>
        </is>
      </c>
      <c r="G680" t="inlineStr">
        <is>
          <t>BODEN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46197</v>
      </c>
      <c r="E681" s="1" t="n">
        <v>46281</v>
      </c>
      <c r="F681" t="inlineStr">
        <is>
          <t>NORRBOTTENS LÄN</t>
        </is>
      </c>
      <c r="G681" t="inlineStr">
        <is>
          <t>BODEN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46240</v>
      </c>
      <c r="E682" s="1" t="n">
        <v>46281</v>
      </c>
      <c r="F682" t="inlineStr">
        <is>
          <t>NORRBOTTENS LÄN</t>
        </is>
      </c>
      <c r="G682" t="inlineStr">
        <is>
          <t>BODEN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28490-2026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46197</v>
      </c>
      <c r="E683" s="1" t="n">
        <v>46281</v>
      </c>
      <c r="F683" t="inlineStr">
        <is>
          <t>NORRBOTTENS LÄN</t>
        </is>
      </c>
      <c r="G683" t="inlineStr">
        <is>
          <t>BODEN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45099</v>
      </c>
      <c r="E684" s="1" t="n">
        <v>46281</v>
      </c>
      <c r="F684" t="inlineStr">
        <is>
          <t>NORRBOTTENS LÄN</t>
        </is>
      </c>
      <c r="G684" t="inlineStr">
        <is>
          <t>BODEN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61588-2024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45646</v>
      </c>
      <c r="E685" s="1" t="n">
        <v>46281</v>
      </c>
      <c r="F685" t="inlineStr">
        <is>
          <t>NORRBOTTENS LÄN</t>
        </is>
      </c>
      <c r="G685" t="inlineStr">
        <is>
          <t>BODEN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46281</v>
      </c>
      <c r="F686" t="inlineStr">
        <is>
          <t>NORRBOTTENS LÄN</t>
        </is>
      </c>
      <c r="G686" t="inlineStr">
        <is>
          <t>BODEN</t>
        </is>
      </c>
      <c r="I686" t="n">
        <v>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9596-2023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44983</v>
      </c>
      <c r="E687" s="1" t="n">
        <v>46281</v>
      </c>
      <c r="F687" t="inlineStr">
        <is>
          <t>NORRBOTTENS LÄN</t>
        </is>
      </c>
      <c r="G687" t="inlineStr">
        <is>
          <t>BODEN</t>
        </is>
      </c>
      <c r="I687" t="n">
        <v>37.1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54718-2024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45618</v>
      </c>
      <c r="E688" s="1" t="n">
        <v>46281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46281</v>
      </c>
      <c r="F689" t="inlineStr">
        <is>
          <t>NORRBOTTENS LÄN</t>
        </is>
      </c>
      <c r="G689" t="inlineStr">
        <is>
          <t>BODEN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51614-2024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45604</v>
      </c>
      <c r="E690" s="1" t="n">
        <v>46281</v>
      </c>
      <c r="F690" t="inlineStr">
        <is>
          <t>NORRBOTTENS LÄN</t>
        </is>
      </c>
      <c r="G690" t="inlineStr">
        <is>
          <t>BODEN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46281</v>
      </c>
      <c r="F691" t="inlineStr">
        <is>
          <t>NORRBOTTENS LÄN</t>
        </is>
      </c>
      <c r="G691" t="inlineStr">
        <is>
          <t>BODEN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46202</v>
      </c>
      <c r="E692" s="1" t="n">
        <v>46281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46202</v>
      </c>
      <c r="E693" s="1" t="n">
        <v>46281</v>
      </c>
      <c r="F693" t="inlineStr">
        <is>
          <t>NORRBOTTENS LÄN</t>
        </is>
      </c>
      <c r="G693" t="inlineStr">
        <is>
          <t>BODEN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20041-2025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45772</v>
      </c>
      <c r="E694" s="1" t="n">
        <v>46281</v>
      </c>
      <c r="F694" t="inlineStr">
        <is>
          <t>NORRBOTTENS LÄN</t>
        </is>
      </c>
      <c r="G694" t="inlineStr">
        <is>
          <t>BODEN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29147-2026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46202</v>
      </c>
      <c r="E695" s="1" t="n">
        <v>46281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29152-2026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46202</v>
      </c>
      <c r="E696" s="1" t="n">
        <v>46281</v>
      </c>
      <c r="F696" t="inlineStr">
        <is>
          <t>NORRBOTTENS LÄN</t>
        </is>
      </c>
      <c r="G696" t="inlineStr">
        <is>
          <t>BODEN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19757-2025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45770</v>
      </c>
      <c r="E697" s="1" t="n">
        <v>46281</v>
      </c>
      <c r="F697" t="inlineStr">
        <is>
          <t>NORRBOTTENS LÄN</t>
        </is>
      </c>
      <c r="G697" t="inlineStr">
        <is>
          <t>BODEN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67068-2021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44522</v>
      </c>
      <c r="E698" s="1" t="n">
        <v>46281</v>
      </c>
      <c r="F698" t="inlineStr">
        <is>
          <t>NORRBOTTENS LÄN</t>
        </is>
      </c>
      <c r="G698" t="inlineStr">
        <is>
          <t>BODEN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48472-2024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45591</v>
      </c>
      <c r="E699" s="1" t="n">
        <v>46281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7.7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29394-2026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46281</v>
      </c>
      <c r="F700" t="inlineStr">
        <is>
          <t>NORRBOTTENS LÄN</t>
        </is>
      </c>
      <c r="G700" t="inlineStr">
        <is>
          <t>BODEN</t>
        </is>
      </c>
      <c r="I700" t="n">
        <v>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8120-2022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44609</v>
      </c>
      <c r="E701" s="1" t="n">
        <v>46281</v>
      </c>
      <c r="F701" t="inlineStr">
        <is>
          <t>NORRBOTTENS LÄN</t>
        </is>
      </c>
      <c r="G701" t="inlineStr">
        <is>
          <t>BODEN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23706-2024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45454</v>
      </c>
      <c r="E702" s="1" t="n">
        <v>46281</v>
      </c>
      <c r="F702" t="inlineStr">
        <is>
          <t>NORRBOTTENS LÄN</t>
        </is>
      </c>
      <c r="G702" t="inlineStr">
        <is>
          <t>BODEN</t>
        </is>
      </c>
      <c r="I702" t="n">
        <v>10.9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45770</v>
      </c>
      <c r="E703" s="1" t="n">
        <v>46281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38371-2023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45161</v>
      </c>
      <c r="E704" s="1" t="n">
        <v>46281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45161</v>
      </c>
      <c r="E705" s="1" t="n">
        <v>46281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17839-2025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45758</v>
      </c>
      <c r="E706" s="1" t="n">
        <v>46281</v>
      </c>
      <c r="F706" t="inlineStr">
        <is>
          <t>NORRBOTTENS LÄN</t>
        </is>
      </c>
      <c r="G706" t="inlineStr">
        <is>
          <t>BODEN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34760-2022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44795</v>
      </c>
      <c r="E707" s="1" t="n">
        <v>46281</v>
      </c>
      <c r="F707" t="inlineStr">
        <is>
          <t>NORRBOTTENS LÄN</t>
        </is>
      </c>
      <c r="G707" t="inlineStr">
        <is>
          <t>BODEN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46281</v>
      </c>
      <c r="F708" t="inlineStr">
        <is>
          <t>NORRBOTTENS LÄN</t>
        </is>
      </c>
      <c r="G708" t="inlineStr">
        <is>
          <t>BODEN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29568-2026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46281</v>
      </c>
      <c r="F709" t="inlineStr">
        <is>
          <t>NORRBOTTENS LÄN</t>
        </is>
      </c>
      <c r="G709" t="inlineStr">
        <is>
          <t>BODEN</t>
        </is>
      </c>
      <c r="I709" t="n">
        <v>12.2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45677</v>
      </c>
      <c r="E710" s="1" t="n">
        <v>46281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50327-2023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45216</v>
      </c>
      <c r="E711" s="1" t="n">
        <v>46281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49730-2024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45596</v>
      </c>
      <c r="E712" s="1" t="n">
        <v>46281</v>
      </c>
      <c r="F712" t="inlineStr">
        <is>
          <t>NORRBOTTENS LÄN</t>
        </is>
      </c>
      <c r="G712" t="inlineStr">
        <is>
          <t>BODEN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50103-2024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45600</v>
      </c>
      <c r="E713" s="1" t="n">
        <v>46281</v>
      </c>
      <c r="F713" t="inlineStr">
        <is>
          <t>NORRBOTTENS LÄN</t>
        </is>
      </c>
      <c r="G713" t="inlineStr">
        <is>
          <t>BODEN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50107-2024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46281</v>
      </c>
      <c r="F714" t="inlineStr">
        <is>
          <t>NORRBOTTENS LÄN</t>
        </is>
      </c>
      <c r="G714" t="inlineStr">
        <is>
          <t>BODEN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46281</v>
      </c>
      <c r="F715" t="inlineStr">
        <is>
          <t>NORRBOTTENS LÄN</t>
        </is>
      </c>
      <c r="G715" t="inlineStr">
        <is>
          <t>BODEN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18569-2024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45425</v>
      </c>
      <c r="E716" s="1" t="n">
        <v>46281</v>
      </c>
      <c r="F716" t="inlineStr">
        <is>
          <t>NORRBOTTENS LÄN</t>
        </is>
      </c>
      <c r="G716" t="inlineStr">
        <is>
          <t>BODEN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706-2022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44566</v>
      </c>
      <c r="E717" s="1" t="n">
        <v>46281</v>
      </c>
      <c r="F717" t="inlineStr">
        <is>
          <t>NORRBOTTENS LÄN</t>
        </is>
      </c>
      <c r="G717" t="inlineStr">
        <is>
          <t>BODEN</t>
        </is>
      </c>
      <c r="I717" t="n">
        <v>12.4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29759-2026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46204</v>
      </c>
      <c r="E718" s="1" t="n">
        <v>46281</v>
      </c>
      <c r="F718" t="inlineStr">
        <is>
          <t>NORRBOTTENS LÄN</t>
        </is>
      </c>
      <c r="G718" t="inlineStr">
        <is>
          <t>BODEN</t>
        </is>
      </c>
      <c r="I718" t="n">
        <v>38.7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19968-2025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45771</v>
      </c>
      <c r="E719" s="1" t="n">
        <v>46281</v>
      </c>
      <c r="F719" t="inlineStr">
        <is>
          <t>NORRBOTTENS LÄN</t>
        </is>
      </c>
      <c r="G719" t="inlineStr">
        <is>
          <t>BODEN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33034-2023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45125</v>
      </c>
      <c r="E720" s="1" t="n">
        <v>46281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62140-2024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45646</v>
      </c>
      <c r="E721" s="1" t="n">
        <v>46281</v>
      </c>
      <c r="F721" t="inlineStr">
        <is>
          <t>NORRBOTTENS LÄN</t>
        </is>
      </c>
      <c r="G721" t="inlineStr">
        <is>
          <t>BODEN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30432-2026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46209</v>
      </c>
      <c r="E722" s="1" t="n">
        <v>46281</v>
      </c>
      <c r="F722" t="inlineStr">
        <is>
          <t>NORRBOTTENS LÄN</t>
        </is>
      </c>
      <c r="G722" t="inlineStr">
        <is>
          <t>BODEN</t>
        </is>
      </c>
      <c r="H722" t="inlineStr">
        <is>
          <t>Kommuner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34022-2026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46252</v>
      </c>
      <c r="E723" s="1" t="n">
        <v>46281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19.5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30023-2026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46206</v>
      </c>
      <c r="E724" s="1" t="n">
        <v>46281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15.2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45478</v>
      </c>
      <c r="E725" s="1" t="n">
        <v>46281</v>
      </c>
      <c r="F725" t="inlineStr">
        <is>
          <t>NORRBOTTENS LÄN</t>
        </is>
      </c>
      <c r="G725" t="inlineStr">
        <is>
          <t>BODEN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19082-2025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45766</v>
      </c>
      <c r="E726" s="1" t="n">
        <v>46281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46251</v>
      </c>
      <c r="E727" s="1" t="n">
        <v>46281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33864-2026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46251</v>
      </c>
      <c r="E728" s="1" t="n">
        <v>46281</v>
      </c>
      <c r="F728" t="inlineStr">
        <is>
          <t>NORRBOTTENS LÄN</t>
        </is>
      </c>
      <c r="G728" t="inlineStr">
        <is>
          <t>BODEN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30025-2026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46281</v>
      </c>
      <c r="F729" t="inlineStr">
        <is>
          <t>NORRBOTTENS LÄN</t>
        </is>
      </c>
      <c r="G729" t="inlineStr">
        <is>
          <t>BODEN</t>
        </is>
      </c>
      <c r="H729" t="inlineStr">
        <is>
          <t>SCA</t>
        </is>
      </c>
      <c r="I729" t="n">
        <v>5.2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30077-2026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46206</v>
      </c>
      <c r="E730" s="1" t="n">
        <v>46281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30332-2026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46208</v>
      </c>
      <c r="E731" s="1" t="n">
        <v>46281</v>
      </c>
      <c r="F731" t="inlineStr">
        <is>
          <t>NORRBOTTENS LÄN</t>
        </is>
      </c>
      <c r="G731" t="inlineStr">
        <is>
          <t>BODEN</t>
        </is>
      </c>
      <c r="I731" t="n">
        <v>9.800000000000001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30426-2026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46209</v>
      </c>
      <c r="E732" s="1" t="n">
        <v>46281</v>
      </c>
      <c r="F732" t="inlineStr">
        <is>
          <t>NORRBOTTENS LÄN</t>
        </is>
      </c>
      <c r="G732" t="inlineStr">
        <is>
          <t>BODEN</t>
        </is>
      </c>
      <c r="H732" t="inlineStr">
        <is>
          <t>Kommuner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46209</v>
      </c>
      <c r="E733" s="1" t="n">
        <v>46281</v>
      </c>
      <c r="F733" t="inlineStr">
        <is>
          <t>NORRBOTTENS LÄN</t>
        </is>
      </c>
      <c r="G733" t="inlineStr">
        <is>
          <t>BODEN</t>
        </is>
      </c>
      <c r="H733" t="inlineStr">
        <is>
          <t>Kommuner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16965-2024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45411</v>
      </c>
      <c r="E734" s="1" t="n">
        <v>46281</v>
      </c>
      <c r="F734" t="inlineStr">
        <is>
          <t>NORRBOTTENS LÄN</t>
        </is>
      </c>
      <c r="G734" t="inlineStr">
        <is>
          <t>BODEN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2426-2024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45310</v>
      </c>
      <c r="E735" s="1" t="n">
        <v>46281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30745-2026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46211</v>
      </c>
      <c r="E736" s="1" t="n">
        <v>46281</v>
      </c>
      <c r="F736" t="inlineStr">
        <is>
          <t>NORRBOTTENS LÄN</t>
        </is>
      </c>
      <c r="G736" t="inlineStr">
        <is>
          <t>BODEN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34158-2026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46253</v>
      </c>
      <c r="E737" s="1" t="n">
        <v>46281</v>
      </c>
      <c r="F737" t="inlineStr">
        <is>
          <t>NORRBOTTENS LÄN</t>
        </is>
      </c>
      <c r="G737" t="inlineStr">
        <is>
          <t>BODEN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58504-2024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45635</v>
      </c>
      <c r="E738" s="1" t="n">
        <v>46281</v>
      </c>
      <c r="F738" t="inlineStr">
        <is>
          <t>NORRBOTTENS LÄN</t>
        </is>
      </c>
      <c r="G738" t="inlineStr">
        <is>
          <t>BODEN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11092-2022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44628</v>
      </c>
      <c r="E739" s="1" t="n">
        <v>46281</v>
      </c>
      <c r="F739" t="inlineStr">
        <is>
          <t>NORRBOTTENS LÄN</t>
        </is>
      </c>
      <c r="G739" t="inlineStr">
        <is>
          <t>BODEN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46254</v>
      </c>
      <c r="E740" s="1" t="n">
        <v>46281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18.5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41957-2024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45561</v>
      </c>
      <c r="E741" s="1" t="n">
        <v>46281</v>
      </c>
      <c r="F741" t="inlineStr">
        <is>
          <t>NORRBOTTENS LÄN</t>
        </is>
      </c>
      <c r="G741" t="inlineStr">
        <is>
          <t>BODEN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32347-2024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45512</v>
      </c>
      <c r="E742" s="1" t="n">
        <v>46281</v>
      </c>
      <c r="F742" t="inlineStr">
        <is>
          <t>NORRBOTTENS LÄN</t>
        </is>
      </c>
      <c r="G742" t="inlineStr">
        <is>
          <t>BODEN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46281</v>
      </c>
      <c r="F743" t="inlineStr">
        <is>
          <t>NORRBOTTENS LÄN</t>
        </is>
      </c>
      <c r="G743" t="inlineStr">
        <is>
          <t>BODEN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34517-2026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46281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48950-2022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44859</v>
      </c>
      <c r="E745" s="1" t="n">
        <v>46281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49859-2023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45212</v>
      </c>
      <c r="E746" s="1" t="n">
        <v>46281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45687</v>
      </c>
      <c r="E747" s="1" t="n">
        <v>46281</v>
      </c>
      <c r="F747" t="inlineStr">
        <is>
          <t>NORRBOTTENS LÄN</t>
        </is>
      </c>
      <c r="G747" t="inlineStr">
        <is>
          <t>BODEN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41487-2024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45560</v>
      </c>
      <c r="E748" s="1" t="n">
        <v>46281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34463-2026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46254</v>
      </c>
      <c r="E749" s="1" t="n">
        <v>46281</v>
      </c>
      <c r="F749" t="inlineStr">
        <is>
          <t>NORRBOTTENS LÄN</t>
        </is>
      </c>
      <c r="G749" t="inlineStr">
        <is>
          <t>BODEN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19590-2025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45770</v>
      </c>
      <c r="E750" s="1" t="n">
        <v>46281</v>
      </c>
      <c r="F750" t="inlineStr">
        <is>
          <t>NORRBOTTENS LÄN</t>
        </is>
      </c>
      <c r="G750" t="inlineStr">
        <is>
          <t>BODEN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34462-2026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46281</v>
      </c>
      <c r="F751" t="inlineStr">
        <is>
          <t>NORRBOTTENS LÄN</t>
        </is>
      </c>
      <c r="G751" t="inlineStr">
        <is>
          <t>BODEN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15017-2022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44657</v>
      </c>
      <c r="E752" s="1" t="n">
        <v>46281</v>
      </c>
      <c r="F752" t="inlineStr">
        <is>
          <t>NORRBOTTENS LÄN</t>
        </is>
      </c>
      <c r="G752" t="inlineStr">
        <is>
          <t>BODEN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46029</v>
      </c>
      <c r="E753" s="1" t="n">
        <v>46281</v>
      </c>
      <c r="F753" t="inlineStr">
        <is>
          <t>NORRBOTTENS LÄN</t>
        </is>
      </c>
      <c r="G753" t="inlineStr">
        <is>
          <t>BODEN</t>
        </is>
      </c>
      <c r="H753" t="inlineStr">
        <is>
          <t>Naturvårdsverket</t>
        </is>
      </c>
      <c r="I753" t="n">
        <v>5.2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34897-2026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46259</v>
      </c>
      <c r="E754" s="1" t="n">
        <v>46281</v>
      </c>
      <c r="F754" t="inlineStr">
        <is>
          <t>NORRBOTTENS LÄN</t>
        </is>
      </c>
      <c r="G754" t="inlineStr">
        <is>
          <t>BODEN</t>
        </is>
      </c>
      <c r="H754" t="inlineStr">
        <is>
          <t>Naturvårdsverket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34898-2026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46259</v>
      </c>
      <c r="E755" s="1" t="n">
        <v>46281</v>
      </c>
      <c r="F755" t="inlineStr">
        <is>
          <t>NORRBOTTENS LÄN</t>
        </is>
      </c>
      <c r="G755" t="inlineStr">
        <is>
          <t>BODEN</t>
        </is>
      </c>
      <c r="H755" t="inlineStr">
        <is>
          <t>Naturvårdsverket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35060-2026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46259</v>
      </c>
      <c r="E756" s="1" t="n">
        <v>46281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44.8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31217-2026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46217</v>
      </c>
      <c r="E757" s="1" t="n">
        <v>46281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31209-2026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46217</v>
      </c>
      <c r="E758" s="1" t="n">
        <v>46281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31211-2026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46217</v>
      </c>
      <c r="E759" s="1" t="n">
        <v>46281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31226-2026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46281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45505</v>
      </c>
      <c r="E761" s="1" t="n">
        <v>46281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46052-2025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46281</v>
      </c>
      <c r="F762" t="inlineStr">
        <is>
          <t>NORRBOTTENS LÄN</t>
        </is>
      </c>
      <c r="G762" t="inlineStr">
        <is>
          <t>BODEN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40117-2025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45894</v>
      </c>
      <c r="E763" s="1" t="n">
        <v>46281</v>
      </c>
      <c r="F763" t="inlineStr">
        <is>
          <t>NORRBOTTENS LÄN</t>
        </is>
      </c>
      <c r="G763" t="inlineStr">
        <is>
          <t>BODEN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46281</v>
      </c>
      <c r="F764" t="inlineStr">
        <is>
          <t>NORRBOTTENS LÄN</t>
        </is>
      </c>
      <c r="G764" t="inlineStr">
        <is>
          <t>BODEN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61487-2023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46281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46281</v>
      </c>
      <c r="F766" t="inlineStr">
        <is>
          <t>NORRBOTTENS LÄN</t>
        </is>
      </c>
      <c r="G766" t="inlineStr">
        <is>
          <t>BODEN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8028-2024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45350</v>
      </c>
      <c r="E767" s="1" t="n">
        <v>46281</v>
      </c>
      <c r="F767" t="inlineStr">
        <is>
          <t>NORRBOTTENS LÄN</t>
        </is>
      </c>
      <c r="G767" t="inlineStr">
        <is>
          <t>BODEN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46281</v>
      </c>
      <c r="F768" t="inlineStr">
        <is>
          <t>NORRBOTTENS LÄN</t>
        </is>
      </c>
      <c r="G768" t="inlineStr">
        <is>
          <t>BODEN</t>
        </is>
      </c>
      <c r="I768" t="n">
        <v>10.9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46281</v>
      </c>
      <c r="F769" t="inlineStr">
        <is>
          <t>NORRBOTTENS LÄN</t>
        </is>
      </c>
      <c r="G769" t="inlineStr">
        <is>
          <t>BODEN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  <c r="Z769">
        <f>HYPERLINK("https://klasma.github.io/Logging_2582/knärot/A 35295-2026 karta knärot.png", "A 35295-2026")</f>
        <v/>
      </c>
      <c r="AA769">
        <f>HYPERLINK("https://klasma.github.io/Logging_2582/klagomål/A 35295-2026 FSC-klagomål.docx", "A 35295-2026")</f>
        <v/>
      </c>
      <c r="AB769">
        <f>HYPERLINK("https://klasma.github.io/Logging_2582/klagomålsmail/A 35295-2026 FSC-klagomål mail.docx", "A 35295-2026")</f>
        <v/>
      </c>
      <c r="AC769">
        <f>HYPERLINK("https://klasma.github.io/Logging_2582/tillsyn/A 35295-2026 tillsynsbegäran.docx", "A 35295-2026")</f>
        <v/>
      </c>
      <c r="AD769">
        <f>HYPERLINK("https://klasma.github.io/Logging_2582/tillsynsmail/A 35295-2026 tillsynsbegäran mail.docx", "A 35295-2026")</f>
        <v/>
      </c>
    </row>
    <row r="770" ht="15" customHeight="1">
      <c r="A770" t="inlineStr">
        <is>
          <t>A 24744-2024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45460</v>
      </c>
      <c r="E770" s="1" t="n">
        <v>46281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Aktiebolag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12562-2024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45379</v>
      </c>
      <c r="E771" s="1" t="n">
        <v>46281</v>
      </c>
      <c r="F771" t="inlineStr">
        <is>
          <t>NORRBOTTENS LÄN</t>
        </is>
      </c>
      <c r="G771" t="inlineStr">
        <is>
          <t>BODEN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35407-2026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46281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57873-2021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46281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57895-2021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44486</v>
      </c>
      <c r="E774" s="1" t="n">
        <v>46281</v>
      </c>
      <c r="F774" t="inlineStr">
        <is>
          <t>NORRBOTTENS LÄN</t>
        </is>
      </c>
      <c r="G774" t="inlineStr">
        <is>
          <t>BODEN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45205</v>
      </c>
      <c r="E775" s="1" t="n">
        <v>46281</v>
      </c>
      <c r="F775" t="inlineStr">
        <is>
          <t>NORRBOTTENS LÄN</t>
        </is>
      </c>
      <c r="G775" t="inlineStr">
        <is>
          <t>BODEN</t>
        </is>
      </c>
      <c r="I775" t="n">
        <v>7.1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55317-2023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45237</v>
      </c>
      <c r="E776" s="1" t="n">
        <v>46281</v>
      </c>
      <c r="F776" t="inlineStr">
        <is>
          <t>NORRBOTTENS LÄN</t>
        </is>
      </c>
      <c r="G776" t="inlineStr">
        <is>
          <t>BODEN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35902-2026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46266</v>
      </c>
      <c r="E777" s="1" t="n">
        <v>46281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12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46281</v>
      </c>
      <c r="F778" t="inlineStr">
        <is>
          <t>NORRBOTTENS LÄN</t>
        </is>
      </c>
      <c r="G778" t="inlineStr">
        <is>
          <t>BODEN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17417-2023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45035</v>
      </c>
      <c r="E779" s="1" t="n">
        <v>46281</v>
      </c>
      <c r="F779" t="inlineStr">
        <is>
          <t>NORRBOTTENS LÄN</t>
        </is>
      </c>
      <c r="G779" t="inlineStr">
        <is>
          <t>BODEN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36406-2026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46268</v>
      </c>
      <c r="E780" s="1" t="n">
        <v>46281</v>
      </c>
      <c r="F780" t="inlineStr">
        <is>
          <t>NORRBOTTENS LÄN</t>
        </is>
      </c>
      <c r="G780" t="inlineStr">
        <is>
          <t>BODEN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31652-2026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46225</v>
      </c>
      <c r="E781" s="1" t="n">
        <v>46281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45341</v>
      </c>
      <c r="E782" s="1" t="n">
        <v>46281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statliga verk och myndigheter</t>
        </is>
      </c>
      <c r="I782" t="n">
        <v>12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36398-2026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46268</v>
      </c>
      <c r="E783" s="1" t="n">
        <v>46281</v>
      </c>
      <c r="F783" t="inlineStr">
        <is>
          <t>NORRBOTTENS LÄN</t>
        </is>
      </c>
      <c r="G783" t="inlineStr">
        <is>
          <t>BODEN</t>
        </is>
      </c>
      <c r="H783" t="inlineStr">
        <is>
          <t>Kommuner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61932-2024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45653</v>
      </c>
      <c r="E784" s="1" t="n">
        <v>46281</v>
      </c>
      <c r="F784" t="inlineStr">
        <is>
          <t>NORRBOTTENS LÄN</t>
        </is>
      </c>
      <c r="G784" t="inlineStr">
        <is>
          <t>BODEN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36162-2026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46267</v>
      </c>
      <c r="E785" s="1" t="n">
        <v>46281</v>
      </c>
      <c r="F785" t="inlineStr">
        <is>
          <t>NORRBOTTENS LÄN</t>
        </is>
      </c>
      <c r="G785" t="inlineStr">
        <is>
          <t>BODEN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36163-2026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46267</v>
      </c>
      <c r="E786" s="1" t="n">
        <v>46281</v>
      </c>
      <c r="F786" t="inlineStr">
        <is>
          <t>NORRBOTTENS LÄN</t>
        </is>
      </c>
      <c r="G786" t="inlineStr">
        <is>
          <t>BODEN</t>
        </is>
      </c>
      <c r="I786" t="n">
        <v>7.2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36187-2026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46267</v>
      </c>
      <c r="E787" s="1" t="n">
        <v>46281</v>
      </c>
      <c r="F787" t="inlineStr">
        <is>
          <t>NORRBOTTENS LÄN</t>
        </is>
      </c>
      <c r="G787" t="inlineStr">
        <is>
          <t>BODEN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41212-2023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45174</v>
      </c>
      <c r="E788" s="1" t="n">
        <v>46281</v>
      </c>
      <c r="F788" t="inlineStr">
        <is>
          <t>NORRBOTTENS LÄN</t>
        </is>
      </c>
      <c r="G788" t="inlineStr">
        <is>
          <t>BODEN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46281</v>
      </c>
      <c r="F789" t="inlineStr">
        <is>
          <t>NORRBOTTENS LÄN</t>
        </is>
      </c>
      <c r="G789" t="inlineStr">
        <is>
          <t>BODEN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59893-2023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45254</v>
      </c>
      <c r="E790" s="1" t="n">
        <v>46281</v>
      </c>
      <c r="F790" t="inlineStr">
        <is>
          <t>NORRBOTTENS LÄN</t>
        </is>
      </c>
      <c r="G790" t="inlineStr">
        <is>
          <t>BODEN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46029</v>
      </c>
      <c r="E791" s="1" t="n">
        <v>46281</v>
      </c>
      <c r="F791" t="inlineStr">
        <is>
          <t>NORRBOTTENS LÄN</t>
        </is>
      </c>
      <c r="G791" t="inlineStr">
        <is>
          <t>BODEN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1017-2023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44935</v>
      </c>
      <c r="E792" s="1" t="n">
        <v>46281</v>
      </c>
      <c r="F792" t="inlineStr">
        <is>
          <t>NORRBOTTENS LÄN</t>
        </is>
      </c>
      <c r="G792" t="inlineStr">
        <is>
          <t>BODEN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36792-2026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46272</v>
      </c>
      <c r="E793" s="1" t="n">
        <v>46281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36430-2026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46269</v>
      </c>
      <c r="E794" s="1" t="n">
        <v>46281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36623-2026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46270</v>
      </c>
      <c r="E795" s="1" t="n">
        <v>46281</v>
      </c>
      <c r="F795" t="inlineStr">
        <is>
          <t>NORRBOTTENS LÄN</t>
        </is>
      </c>
      <c r="G795" t="inlineStr">
        <is>
          <t>BODEN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36241-2026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46268</v>
      </c>
      <c r="E796" s="1" t="n">
        <v>46281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37101-2026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46274</v>
      </c>
      <c r="E797" s="1" t="n">
        <v>46281</v>
      </c>
      <c r="F797" t="inlineStr">
        <is>
          <t>NORRBOTTENS LÄN</t>
        </is>
      </c>
      <c r="G797" t="inlineStr">
        <is>
          <t>BODEN</t>
        </is>
      </c>
      <c r="I797" t="n">
        <v>9.800000000000001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37029-2026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46281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37162-2026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46274</v>
      </c>
      <c r="E799" s="1" t="n">
        <v>46281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37119-2026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46274</v>
      </c>
      <c r="E800" s="1" t="n">
        <v>46281</v>
      </c>
      <c r="F800" t="inlineStr">
        <is>
          <t>NORRBOTTENS LÄN</t>
        </is>
      </c>
      <c r="G800" t="inlineStr">
        <is>
          <t>BODEN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37103-2026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46274</v>
      </c>
      <c r="E801" s="1" t="n">
        <v>46281</v>
      </c>
      <c r="F801" t="inlineStr">
        <is>
          <t>NORRBOTTENS LÄN</t>
        </is>
      </c>
      <c r="G801" t="inlineStr">
        <is>
          <t>BODEN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56837-2023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45244</v>
      </c>
      <c r="E802" s="1" t="n">
        <v>46281</v>
      </c>
      <c r="F802" t="inlineStr">
        <is>
          <t>NORRBOTTENS LÄN</t>
        </is>
      </c>
      <c r="G802" t="inlineStr">
        <is>
          <t>BODEN</t>
        </is>
      </c>
      <c r="H802" t="inlineStr">
        <is>
          <t>Övriga statliga verk och myndigheter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61969-2024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45653</v>
      </c>
      <c r="E803" s="1" t="n">
        <v>46281</v>
      </c>
      <c r="F803" t="inlineStr">
        <is>
          <t>NORRBOTTENS LÄN</t>
        </is>
      </c>
      <c r="G803" t="inlineStr">
        <is>
          <t>BODEN</t>
        </is>
      </c>
      <c r="I803" t="n">
        <v>9.699999999999999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37589-2026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46276</v>
      </c>
      <c r="E804" s="1" t="n">
        <v>46281</v>
      </c>
      <c r="F804" t="inlineStr">
        <is>
          <t>NORRBOTTENS LÄN</t>
        </is>
      </c>
      <c r="G804" t="inlineStr">
        <is>
          <t>BODEN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37436-2026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46275</v>
      </c>
      <c r="E805" s="1" t="n">
        <v>46281</v>
      </c>
      <c r="F805" t="inlineStr">
        <is>
          <t>NORRBOTTENS LÄN</t>
        </is>
      </c>
      <c r="G805" t="inlineStr">
        <is>
          <t>BODEN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1961-2025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45672</v>
      </c>
      <c r="E806" s="1" t="n">
        <v>46281</v>
      </c>
      <c r="F806" t="inlineStr">
        <is>
          <t>NORRBOTTENS LÄN</t>
        </is>
      </c>
      <c r="G806" t="inlineStr">
        <is>
          <t>BODEN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37478-2026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46275</v>
      </c>
      <c r="E807" s="1" t="n">
        <v>46281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19624-2025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45770</v>
      </c>
      <c r="E808" s="1" t="n">
        <v>46281</v>
      </c>
      <c r="F808" t="inlineStr">
        <is>
          <t>NORRBOTTENS LÄN</t>
        </is>
      </c>
      <c r="G808" t="inlineStr">
        <is>
          <t>BODEN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37588-2026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46276</v>
      </c>
      <c r="E809" s="1" t="n">
        <v>46281</v>
      </c>
      <c r="F809" t="inlineStr">
        <is>
          <t>NORRBOTTENS LÄN</t>
        </is>
      </c>
      <c r="G809" t="inlineStr">
        <is>
          <t>BODEN</t>
        </is>
      </c>
      <c r="I809" t="n">
        <v>8.300000000000001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28079-2024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45476</v>
      </c>
      <c r="E810" s="1" t="n">
        <v>46281</v>
      </c>
      <c r="F810" t="inlineStr">
        <is>
          <t>NORRBOTTENS LÄN</t>
        </is>
      </c>
      <c r="G810" t="inlineStr">
        <is>
          <t>BODEN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37459-2026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46275</v>
      </c>
      <c r="E811" s="1" t="n">
        <v>46281</v>
      </c>
      <c r="F811" t="inlineStr">
        <is>
          <t>NORRBOTTENS LÄN</t>
        </is>
      </c>
      <c r="G811" t="inlineStr">
        <is>
          <t>BODEN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37475-2026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46275</v>
      </c>
      <c r="E812" s="1" t="n">
        <v>46281</v>
      </c>
      <c r="F812" t="inlineStr">
        <is>
          <t>NORRBOTTENS LÄN</t>
        </is>
      </c>
      <c r="G812" t="inlineStr">
        <is>
          <t>BODEN</t>
        </is>
      </c>
      <c r="I812" t="n">
        <v>23.1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19048-2025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45764</v>
      </c>
      <c r="E813" s="1" t="n">
        <v>46281</v>
      </c>
      <c r="F813" t="inlineStr">
        <is>
          <t>NORRBOTTENS LÄN</t>
        </is>
      </c>
      <c r="G813" t="inlineStr">
        <is>
          <t>BODEN</t>
        </is>
      </c>
      <c r="I813" t="n">
        <v>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45764</v>
      </c>
      <c r="E814" s="1" t="n">
        <v>46281</v>
      </c>
      <c r="F814" t="inlineStr">
        <is>
          <t>NORRBOTTENS LÄN</t>
        </is>
      </c>
      <c r="G814" t="inlineStr">
        <is>
          <t>BODEN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37472-2026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46275</v>
      </c>
      <c r="E815" s="1" t="n">
        <v>46281</v>
      </c>
      <c r="F815" t="inlineStr">
        <is>
          <t>NORRBOTTENS LÄN</t>
        </is>
      </c>
      <c r="G815" t="inlineStr">
        <is>
          <t>BODEN</t>
        </is>
      </c>
      <c r="I815" t="n">
        <v>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54236-2022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44881</v>
      </c>
      <c r="E816" s="1" t="n">
        <v>46281</v>
      </c>
      <c r="F816" t="inlineStr">
        <is>
          <t>NORRBOTTENS LÄN</t>
        </is>
      </c>
      <c r="G816" t="inlineStr">
        <is>
          <t>BODEN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14801-2024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45397</v>
      </c>
      <c r="E817" s="1" t="n">
        <v>46281</v>
      </c>
      <c r="F817" t="inlineStr">
        <is>
          <t>NORRBOTTENS LÄN</t>
        </is>
      </c>
      <c r="G817" t="inlineStr">
        <is>
          <t>BODEN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14802-2024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45397</v>
      </c>
      <c r="E818" s="1" t="n">
        <v>46281</v>
      </c>
      <c r="F818" t="inlineStr">
        <is>
          <t>NORRBOTTENS LÄN</t>
        </is>
      </c>
      <c r="G818" t="inlineStr">
        <is>
          <t>BODEN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46234</v>
      </c>
      <c r="E819" s="1" t="n">
        <v>46281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13925-2024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45391</v>
      </c>
      <c r="E820" s="1" t="n">
        <v>46281</v>
      </c>
      <c r="F820" t="inlineStr">
        <is>
          <t>NORRBOTTENS LÄN</t>
        </is>
      </c>
      <c r="G820" t="inlineStr">
        <is>
          <t>BODEN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45778</v>
      </c>
      <c r="E821" s="1" t="n">
        <v>46281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21349-2025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45782</v>
      </c>
      <c r="E822" s="1" t="n">
        <v>46281</v>
      </c>
      <c r="F822" t="inlineStr">
        <is>
          <t>NORRBOTTENS LÄN</t>
        </is>
      </c>
      <c r="G822" t="inlineStr">
        <is>
          <t>BODEN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32086-2026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46234</v>
      </c>
      <c r="E823" s="1" t="n">
        <v>46281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32426-2026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46238</v>
      </c>
      <c r="E824" s="1" t="n">
        <v>46281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32427-2026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46238</v>
      </c>
      <c r="E825" s="1" t="n">
        <v>46281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32088-2026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46234</v>
      </c>
      <c r="E826" s="1" t="n">
        <v>46281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22372-2025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45786</v>
      </c>
      <c r="E827" s="1" t="n">
        <v>46281</v>
      </c>
      <c r="F827" t="inlineStr">
        <is>
          <t>NORRBOTTENS LÄN</t>
        </is>
      </c>
      <c r="G827" t="inlineStr">
        <is>
          <t>BODEN</t>
        </is>
      </c>
      <c r="H827" t="inlineStr">
        <is>
          <t>Kommuner</t>
        </is>
      </c>
      <c r="I827" t="n">
        <v>16.3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36115-2023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45149</v>
      </c>
      <c r="E828" s="1" t="n">
        <v>46281</v>
      </c>
      <c r="F828" t="inlineStr">
        <is>
          <t>NORRBOTTENS LÄN</t>
        </is>
      </c>
      <c r="G828" t="inlineStr">
        <is>
          <t>BODEN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12558-2024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45379</v>
      </c>
      <c r="E829" s="1" t="n">
        <v>46281</v>
      </c>
      <c r="F829" t="inlineStr">
        <is>
          <t>NORRBOTTENS LÄN</t>
        </is>
      </c>
      <c r="G829" t="inlineStr">
        <is>
          <t>BODEN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23321-2025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45791</v>
      </c>
      <c r="E830" s="1" t="n">
        <v>46281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23724-2025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45793</v>
      </c>
      <c r="E831" s="1" t="n">
        <v>46281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48420-2024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45590</v>
      </c>
      <c r="E832" s="1" t="n">
        <v>46281</v>
      </c>
      <c r="F832" t="inlineStr">
        <is>
          <t>NORRBOTTENS LÄN</t>
        </is>
      </c>
      <c r="G832" t="inlineStr">
        <is>
          <t>BODEN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48427-2024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45590</v>
      </c>
      <c r="E833" s="1" t="n">
        <v>46281</v>
      </c>
      <c r="F833" t="inlineStr">
        <is>
          <t>NORRBOTTENS LÄN</t>
        </is>
      </c>
      <c r="G833" t="inlineStr">
        <is>
          <t>BODEN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23763-2025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45793</v>
      </c>
      <c r="E834" s="1" t="n">
        <v>46281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23761-2025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45793</v>
      </c>
      <c r="E835" s="1" t="n">
        <v>46281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24699-2025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45798</v>
      </c>
      <c r="E836" s="1" t="n">
        <v>46281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24538-2025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45798</v>
      </c>
      <c r="E837" s="1" t="n">
        <v>46281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15.8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24358-2025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45797</v>
      </c>
      <c r="E838" s="1" t="n">
        <v>46281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24545-2025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46281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49806-2022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44862</v>
      </c>
      <c r="E840" s="1" t="n">
        <v>46281</v>
      </c>
      <c r="F840" t="inlineStr">
        <is>
          <t>NORRBOTTENS LÄN</t>
        </is>
      </c>
      <c r="G840" t="inlineStr">
        <is>
          <t>BODEN</t>
        </is>
      </c>
      <c r="I840" t="n">
        <v>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24733-2025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45799</v>
      </c>
      <c r="E841" s="1" t="n">
        <v>46281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25983-2025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45803</v>
      </c>
      <c r="E842" s="1" t="n">
        <v>46281</v>
      </c>
      <c r="F842" t="inlineStr">
        <is>
          <t>NORRBOTTENS LÄN</t>
        </is>
      </c>
      <c r="G842" t="inlineStr">
        <is>
          <t>BODEN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48431-2024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46281</v>
      </c>
      <c r="F843" t="inlineStr">
        <is>
          <t>NORRBOTTENS LÄN</t>
        </is>
      </c>
      <c r="G843" t="inlineStr">
        <is>
          <t>BODEN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52247-2024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45608</v>
      </c>
      <c r="E844" s="1" t="n">
        <v>46281</v>
      </c>
      <c r="F844" t="inlineStr">
        <is>
          <t>NORRBOTTENS LÄN</t>
        </is>
      </c>
      <c r="G844" t="inlineStr">
        <is>
          <t>BODEN</t>
        </is>
      </c>
      <c r="I844" t="n">
        <v>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52248-2024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45608</v>
      </c>
      <c r="E845" s="1" t="n">
        <v>46281</v>
      </c>
      <c r="F845" t="inlineStr">
        <is>
          <t>NORRBOTTENS LÄN</t>
        </is>
      </c>
      <c r="G845" t="inlineStr">
        <is>
          <t>BODEN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18671-2025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45763</v>
      </c>
      <c r="E846" s="1" t="n">
        <v>46281</v>
      </c>
      <c r="F846" t="inlineStr">
        <is>
          <t>NORRBOTTENS LÄN</t>
        </is>
      </c>
      <c r="G846" t="inlineStr">
        <is>
          <t>BODEN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38652-2024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45546</v>
      </c>
      <c r="E847" s="1" t="n">
        <v>46281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25735-2024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45464</v>
      </c>
      <c r="E848" s="1" t="n">
        <v>46281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56474-2023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45243</v>
      </c>
      <c r="E849" s="1" t="n">
        <v>46281</v>
      </c>
      <c r="F849" t="inlineStr">
        <is>
          <t>NORRBOTTENS LÄN</t>
        </is>
      </c>
      <c r="G849" t="inlineStr">
        <is>
          <t>BODEN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61031-2024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45645</v>
      </c>
      <c r="E850" s="1" t="n">
        <v>46281</v>
      </c>
      <c r="F850" t="inlineStr">
        <is>
          <t>NORRBOTTENS LÄN</t>
        </is>
      </c>
      <c r="G850" t="inlineStr">
        <is>
          <t>BODEN</t>
        </is>
      </c>
      <c r="I850" t="n">
        <v>6.3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19564-2024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45429</v>
      </c>
      <c r="E851" s="1" t="n">
        <v>46281</v>
      </c>
      <c r="F851" t="inlineStr">
        <is>
          <t>NORRBOTTENS LÄN</t>
        </is>
      </c>
      <c r="G851" t="inlineStr">
        <is>
          <t>BODEN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27543-2025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45813</v>
      </c>
      <c r="E852" s="1" t="n">
        <v>46281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27508-2025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45813</v>
      </c>
      <c r="E853" s="1" t="n">
        <v>46281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13.9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27604-2025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45813</v>
      </c>
      <c r="E854" s="1" t="n">
        <v>46281</v>
      </c>
      <c r="F854" t="inlineStr">
        <is>
          <t>NORRBOTTENS LÄN</t>
        </is>
      </c>
      <c r="G854" t="inlineStr">
        <is>
          <t>BODEN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19080-2025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45766</v>
      </c>
      <c r="E855" s="1" t="n">
        <v>46281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28134-2025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45818</v>
      </c>
      <c r="E856" s="1" t="n">
        <v>46281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5.3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28297-2025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45818</v>
      </c>
      <c r="E857" s="1" t="n">
        <v>46281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3090-2024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45316</v>
      </c>
      <c r="E858" s="1" t="n">
        <v>46281</v>
      </c>
      <c r="F858" t="inlineStr">
        <is>
          <t>NORRBOTTENS LÄN</t>
        </is>
      </c>
      <c r="G858" t="inlineStr">
        <is>
          <t>BODEN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45427</v>
      </c>
      <c r="E859" s="1" t="n">
        <v>46281</v>
      </c>
      <c r="F859" t="inlineStr">
        <is>
          <t>NORRBOTTENS LÄN</t>
        </is>
      </c>
      <c r="G859" t="inlineStr">
        <is>
          <t>BODEN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44625-2024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45574</v>
      </c>
      <c r="E860" s="1" t="n">
        <v>46281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29109-2024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45481</v>
      </c>
      <c r="E861" s="1" t="n">
        <v>46281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28270-2025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45818</v>
      </c>
      <c r="E862" s="1" t="n">
        <v>46281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30089-2025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45826</v>
      </c>
      <c r="E863" s="1" t="n">
        <v>46281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31203-2025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45832</v>
      </c>
      <c r="E864" s="1" t="n">
        <v>46281</v>
      </c>
      <c r="F864" t="inlineStr">
        <is>
          <t>NORRBOTTENS LÄN</t>
        </is>
      </c>
      <c r="G864" t="inlineStr">
        <is>
          <t>BODEN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31487-2025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45833</v>
      </c>
      <c r="E865" s="1" t="n">
        <v>46281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9.800000000000001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31531-2025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45833</v>
      </c>
      <c r="E866" s="1" t="n">
        <v>46281</v>
      </c>
      <c r="F866" t="inlineStr">
        <is>
          <t>NORRBOTTENS LÄN</t>
        </is>
      </c>
      <c r="G866" t="inlineStr">
        <is>
          <t>BODEN</t>
        </is>
      </c>
      <c r="H866" t="inlineStr">
        <is>
          <t>Övriga Aktiebolag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25926-2025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45803</v>
      </c>
      <c r="E867" s="1" t="n">
        <v>46281</v>
      </c>
      <c r="F867" t="inlineStr">
        <is>
          <t>NORRBOTTENS LÄN</t>
        </is>
      </c>
      <c r="G867" t="inlineStr">
        <is>
          <t>BODEN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45835</v>
      </c>
      <c r="E868" s="1" t="n">
        <v>46281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33276-2025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45840</v>
      </c>
      <c r="E869" s="1" t="n">
        <v>46281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15486-2025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45747</v>
      </c>
      <c r="E870" s="1" t="n">
        <v>46281</v>
      </c>
      <c r="F870" t="inlineStr">
        <is>
          <t>NORRBOTTENS LÄN</t>
        </is>
      </c>
      <c r="G870" t="inlineStr">
        <is>
          <t>BODEN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33130-2025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45840</v>
      </c>
      <c r="E871" s="1" t="n">
        <v>46281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33981-2025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45843</v>
      </c>
      <c r="E872" s="1" t="n">
        <v>46281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51280-2024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45603</v>
      </c>
      <c r="E873" s="1" t="n">
        <v>46281</v>
      </c>
      <c r="F873" t="inlineStr">
        <is>
          <t>NORRBOTTENS LÄN</t>
        </is>
      </c>
      <c r="G873" t="inlineStr">
        <is>
          <t>BODEN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35561-2025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45856</v>
      </c>
      <c r="E874" s="1" t="n">
        <v>46281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10.8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2601-2025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45674</v>
      </c>
      <c r="E875" s="1" t="n">
        <v>46281</v>
      </c>
      <c r="F875" t="inlineStr">
        <is>
          <t>NORRBOTTENS LÄN</t>
        </is>
      </c>
      <c r="G875" t="inlineStr">
        <is>
          <t>BODEN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49728-2024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45596</v>
      </c>
      <c r="E876" s="1" t="n">
        <v>46281</v>
      </c>
      <c r="F876" t="inlineStr">
        <is>
          <t>NORRBOTTENS LÄN</t>
        </is>
      </c>
      <c r="G876" t="inlineStr">
        <is>
          <t>BODEN</t>
        </is>
      </c>
      <c r="I876" t="n">
        <v>22.7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24058-2025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45796</v>
      </c>
      <c r="E877" s="1" t="n">
        <v>46281</v>
      </c>
      <c r="F877" t="inlineStr">
        <is>
          <t>NORRBOTTENS LÄN</t>
        </is>
      </c>
      <c r="G877" t="inlineStr">
        <is>
          <t>BODEN</t>
        </is>
      </c>
      <c r="H877" t="inlineStr">
        <is>
          <t>SCA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45863</v>
      </c>
      <c r="E878" s="1" t="n">
        <v>46281</v>
      </c>
      <c r="F878" t="inlineStr">
        <is>
          <t>NORRBOTTENS LÄN</t>
        </is>
      </c>
      <c r="G878" t="inlineStr">
        <is>
          <t>BODEN</t>
        </is>
      </c>
      <c r="I878" t="n">
        <v>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32582-2025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45838</v>
      </c>
      <c r="E879" s="1" t="n">
        <v>46281</v>
      </c>
      <c r="F879" t="inlineStr">
        <is>
          <t>NORRBOTTENS LÄN</t>
        </is>
      </c>
      <c r="G879" t="inlineStr">
        <is>
          <t>BODEN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24193-2024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45456</v>
      </c>
      <c r="E880" s="1" t="n">
        <v>46281</v>
      </c>
      <c r="F880" t="inlineStr">
        <is>
          <t>NORRBOTTENS LÄN</t>
        </is>
      </c>
      <c r="G880" t="inlineStr">
        <is>
          <t>BODEN</t>
        </is>
      </c>
      <c r="I880" t="n">
        <v>5.1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885-2024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45376</v>
      </c>
      <c r="E881" s="1" t="n">
        <v>46281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1063-2023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45013</v>
      </c>
      <c r="E882" s="1" t="n">
        <v>46281</v>
      </c>
      <c r="F882" t="inlineStr">
        <is>
          <t>NORRBOTTENS LÄN</t>
        </is>
      </c>
      <c r="G882" t="inlineStr">
        <is>
          <t>BODEN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883-2024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45376</v>
      </c>
      <c r="E883" s="1" t="n">
        <v>46281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52-2025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45667</v>
      </c>
      <c r="E884" s="1" t="n">
        <v>46281</v>
      </c>
      <c r="F884" t="inlineStr">
        <is>
          <t>NORRBOTTENS LÄN</t>
        </is>
      </c>
      <c r="G884" t="inlineStr">
        <is>
          <t>BODEN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190-2023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44945</v>
      </c>
      <c r="E885" s="1" t="n">
        <v>46281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6.8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977-2025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45743</v>
      </c>
      <c r="E886" s="1" t="n">
        <v>46281</v>
      </c>
      <c r="F886" t="inlineStr">
        <is>
          <t>NORRBOTTENS LÄN</t>
        </is>
      </c>
      <c r="G886" t="inlineStr">
        <is>
          <t>BODEN</t>
        </is>
      </c>
      <c r="I886" t="n">
        <v>11.1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978-2025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45743</v>
      </c>
      <c r="E887" s="1" t="n">
        <v>46281</v>
      </c>
      <c r="F887" t="inlineStr">
        <is>
          <t>NORRBOTTENS LÄN</t>
        </is>
      </c>
      <c r="G887" t="inlineStr">
        <is>
          <t>BODEN</t>
        </is>
      </c>
      <c r="I887" t="n">
        <v>19.5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1498-2025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45789</v>
      </c>
      <c r="E888" s="1" t="n">
        <v>46281</v>
      </c>
      <c r="F888" t="inlineStr">
        <is>
          <t>NORRBOTTENS LÄN</t>
        </is>
      </c>
      <c r="G888" t="inlineStr">
        <is>
          <t>BODEN</t>
        </is>
      </c>
      <c r="H888" t="inlineStr">
        <is>
          <t>Övriga Aktiebolag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1572-2025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45792</v>
      </c>
      <c r="E889" s="1" t="n">
        <v>46281</v>
      </c>
      <c r="F889" t="inlineStr">
        <is>
          <t>NORRBOTTENS LÄN</t>
        </is>
      </c>
      <c r="G889" t="inlineStr">
        <is>
          <t>BODEN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1631-2025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45799</v>
      </c>
      <c r="E890" s="1" t="n">
        <v>46281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1633-2025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45799</v>
      </c>
      <c r="E891" s="1" t="n">
        <v>46281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1632-2025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45799</v>
      </c>
      <c r="E892" s="1" t="n">
        <v>46281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1734-2025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45810</v>
      </c>
      <c r="E893" s="1" t="n">
        <v>46281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1811-2025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45818</v>
      </c>
      <c r="E894" s="1" t="n">
        <v>46281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2072-2025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45840</v>
      </c>
      <c r="E895" s="1" t="n">
        <v>46281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3580-2025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46018</v>
      </c>
      <c r="E896" s="1" t="n">
        <v>46281</v>
      </c>
      <c r="F896" t="inlineStr">
        <is>
          <t>NORRBOTTENS LÄN</t>
        </is>
      </c>
      <c r="G896" t="inlineStr">
        <is>
          <t>BODEN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1267-2026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46147</v>
      </c>
      <c r="E897" s="1" t="n">
        <v>46281</v>
      </c>
      <c r="F897" t="inlineStr">
        <is>
          <t>NORRBOTTENS LÄN</t>
        </is>
      </c>
      <c r="G897" t="inlineStr">
        <is>
          <t>BODEN</t>
        </is>
      </c>
      <c r="I897" t="n">
        <v>57.4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1261-2026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46147</v>
      </c>
      <c r="E898" s="1" t="n">
        <v>46281</v>
      </c>
      <c r="F898" t="inlineStr">
        <is>
          <t>NORRBOTTENS LÄN</t>
        </is>
      </c>
      <c r="G898" t="inlineStr">
        <is>
          <t>BODEN</t>
        </is>
      </c>
      <c r="I898" t="n">
        <v>16.9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1262-2026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46147</v>
      </c>
      <c r="E899" s="1" t="n">
        <v>46281</v>
      </c>
      <c r="F899" t="inlineStr">
        <is>
          <t>NORRBOTTENS LÄN</t>
        </is>
      </c>
      <c r="G899" t="inlineStr">
        <is>
          <t>BODEN</t>
        </is>
      </c>
      <c r="H899" t="inlineStr">
        <is>
          <t>Kommuner</t>
        </is>
      </c>
      <c r="I899" t="n">
        <v>16.2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1356-2026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46152</v>
      </c>
      <c r="E900" s="1" t="n">
        <v>46281</v>
      </c>
      <c r="F900" t="inlineStr">
        <is>
          <t>NORRBOTTENS LÄN</t>
        </is>
      </c>
      <c r="G900" t="inlineStr">
        <is>
          <t>BODEN</t>
        </is>
      </c>
      <c r="I900" t="n">
        <v>124.7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1357-2026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46152</v>
      </c>
      <c r="E901" s="1" t="n">
        <v>46281</v>
      </c>
      <c r="F901" t="inlineStr">
        <is>
          <t>NORRBOTTENS LÄN</t>
        </is>
      </c>
      <c r="G901" t="inlineStr">
        <is>
          <t>BODEN</t>
        </is>
      </c>
      <c r="I901" t="n">
        <v>38.2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1297-2026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46148</v>
      </c>
      <c r="E902" s="1" t="n">
        <v>46281</v>
      </c>
      <c r="F902" t="inlineStr">
        <is>
          <t>NORRBOTTENS LÄN</t>
        </is>
      </c>
      <c r="G902" t="inlineStr">
        <is>
          <t>BODEN</t>
        </is>
      </c>
      <c r="I902" t="n">
        <v>20.5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2026-09-16T01:58:41Z</dcterms:created>
  <dcterms:modified xmlns:dcterms="http://purl.org/dc/terms/" xmlns:xsi="http://www.w3.org/2001/XMLSchema-instance" xsi:type="dcterms:W3CDTF">2026-09-16T01:58:42Z</dcterms:modified>
</cp:coreProperties>
</file>