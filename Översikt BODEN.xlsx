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46226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46226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46226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46226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46226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46226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46226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t="n">
        <v>0</v>
      </c>
      <c r="V16" s="2" t="inlineStr">
        <is>
          <t>Knärot
Dropptaggsvamp
Höstlåsbräken
Orange taggsvamp
Tallticka
Grönpyrola
Skinnlav
Vedticka</t>
        </is>
      </c>
      <c r="W16">
        <f>HYPERLINK("https://klasma.github.io/Logging_2582/artfynd/A 19812-2025 artfynd.xlsx", "A 19812-2025")</f>
        <v/>
      </c>
      <c r="X16">
        <f>HYPERLINK("https://klasma.github.io/Logging_2582/kartor/A 19812-2025 karta.png", "A 19812-2025")</f>
        <v/>
      </c>
      <c r="Y16">
        <f>HYPERLINK("https://klasma.github.io/Logging_2582/kartor_geotiff/A 19812-2025 georefererad karta.tif", "A 19812-2025")</f>
        <v/>
      </c>
      <c r="Z16">
        <f>HYPERLINK("https://klasma.github.io/Logging_2582/knärot/A 19812-2025 karta knärot.png", "A 19812-2025")</f>
        <v/>
      </c>
      <c r="AA16">
        <f>HYPERLINK("https://klasma.github.io/Logging_2582/klagomål/A 19812-2025 FSC-klagomål.docx", "A 19812-2025")</f>
        <v/>
      </c>
      <c r="AB16">
        <f>HYPERLINK("https://klasma.github.io/Logging_2582/klagomålsmail/A 19812-2025 FSC-klagomål mail.docx", "A 19812-2025")</f>
        <v/>
      </c>
      <c r="AC16">
        <f>HYPERLINK("https://klasma.github.io/Logging_2582/tillsyn/A 19812-2025 tillsynsbegäran.docx", "A 19812-2025")</f>
        <v/>
      </c>
      <c r="AD16">
        <f>HYPERLINK("https://klasma.github.io/Logging_2582/tillsynsmail/A 19812-2025 tillsynsbegäran mail.docx", "A 19812-2025")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46226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46226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46226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46226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46226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46226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46226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46226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46226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46226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43709-2025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46226</v>
      </c>
      <c r="F28" t="inlineStr">
        <is>
          <t>NORRBOTTENS LÄN</t>
        </is>
      </c>
      <c r="G28" t="inlineStr">
        <is>
          <t>BODEN</t>
        </is>
      </c>
      <c r="I28" t="n">
        <v>7.7</v>
      </c>
      <c r="J28" t="n">
        <v>4</v>
      </c>
      <c r="K28" t="n">
        <v>1</v>
      </c>
      <c r="L28" t="n">
        <v>2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Vitryggig hackspett
Talltita
Tretåig hackspett
Björksplintborre
Spillkråka</t>
        </is>
      </c>
      <c r="W28">
        <f>HYPERLINK("https://klasma.github.io/Logging_2582/artfynd/A 43709-2025 artfynd.xlsx", "A 43709-2025")</f>
        <v/>
      </c>
      <c r="X28">
        <f>HYPERLINK("https://klasma.github.io/Logging_2582/kartor/A 43709-2025 karta.png", "A 43709-2025")</f>
        <v/>
      </c>
      <c r="Y28">
        <f>HYPERLINK("https://klasma.github.io/Logging_2582/kartor_geotiff/A 43709-2025 georefererad karta.tif", "A 43709-2025")</f>
        <v/>
      </c>
      <c r="AA28">
        <f>HYPERLINK("https://klasma.github.io/Logging_2582/klagomål/A 43709-2025 FSC-klagomål.docx", "A 43709-2025")</f>
        <v/>
      </c>
      <c r="AB28">
        <f>HYPERLINK("https://klasma.github.io/Logging_2582/klagomålsmail/A 43709-2025 FSC-klagomål mail.docx", "A 43709-2025")</f>
        <v/>
      </c>
      <c r="AC28">
        <f>HYPERLINK("https://klasma.github.io/Logging_2582/tillsyn/A 43709-2025 tillsynsbegäran.docx", "A 43709-2025")</f>
        <v/>
      </c>
      <c r="AD28">
        <f>HYPERLINK("https://klasma.github.io/Logging_2582/tillsynsmail/A 43709-2025 tillsynsbegäran mail.docx", "A 43709-2025")</f>
        <v/>
      </c>
      <c r="AE28">
        <f>HYPERLINK("https://klasma.github.io/Logging_2582/fåglar/A 43709-2025 prioriterade fågelarter.docx", "A 43709-2025")</f>
        <v/>
      </c>
    </row>
    <row r="29" ht="15" customHeight="1">
      <c r="A29" t="inlineStr">
        <is>
          <t>A 31030-2025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45832</v>
      </c>
      <c r="E29" s="1" t="n">
        <v>46226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11.1</v>
      </c>
      <c r="J29" t="n">
        <v>3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9</v>
      </c>
      <c r="U29" t="n">
        <v>9</v>
      </c>
      <c r="V29" s="2" t="inlineStr">
        <is>
          <t>Knärot
Lunglav
Spindelblomster
Stuplav
Fläcknycklar</t>
        </is>
      </c>
      <c r="W29">
        <f>HYPERLINK("https://klasma.github.io/Logging_2582/artfynd/A 31030-2025 artfynd.xlsx", "A 31030-2025")</f>
        <v/>
      </c>
      <c r="X29">
        <f>HYPERLINK("https://klasma.github.io/Logging_2582/kartor/A 31030-2025 karta.png", "A 31030-2025")</f>
        <v/>
      </c>
      <c r="Y29">
        <f>HYPERLINK("https://klasma.github.io/Logging_2582/kartor_geotiff/A 31030-2025 georefererad karta.tif", "A 31030-2025")</f>
        <v/>
      </c>
      <c r="Z29">
        <f>HYPERLINK("https://klasma.github.io/Logging_2582/knärot/A 31030-2025 karta knärot.png", "A 31030-2025")</f>
        <v/>
      </c>
      <c r="AA29">
        <f>HYPERLINK("https://klasma.github.io/Logging_2582/klagomål/A 31030-2025 FSC-klagomål.docx", "A 31030-2025")</f>
        <v/>
      </c>
      <c r="AB29">
        <f>HYPERLINK("https://klasma.github.io/Logging_2582/klagomålsmail/A 31030-2025 FSC-klagomål mail.docx", "A 31030-2025")</f>
        <v/>
      </c>
      <c r="AC29">
        <f>HYPERLINK("https://klasma.github.io/Logging_2582/tillsyn/A 31030-2025 tillsynsbegäran.docx", "A 31030-2025")</f>
        <v/>
      </c>
      <c r="AD29">
        <f>HYPERLINK("https://klasma.github.io/Logging_2582/tillsynsmail/A 31030-2025 tillsynsbegäran mail.docx", "A 31030-2025")</f>
        <v/>
      </c>
    </row>
    <row r="30" ht="15" customHeight="1">
      <c r="A30" t="inlineStr">
        <is>
          <t>A 32309-2025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46226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13.6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6</v>
      </c>
      <c r="U30" t="n">
        <v>4</v>
      </c>
      <c r="V30" s="2" t="inlineStr">
        <is>
          <t>Doftticka
Garnlav
Lunglav
Bårdlav
Stuplav</t>
        </is>
      </c>
      <c r="W30">
        <f>HYPERLINK("https://klasma.github.io/Logging_2582/artfynd/A 32309-2025 artfynd.xlsx", "A 32309-2025")</f>
        <v/>
      </c>
      <c r="X30">
        <f>HYPERLINK("https://klasma.github.io/Logging_2582/kartor/A 32309-2025 karta.png", "A 32309-2025")</f>
        <v/>
      </c>
      <c r="Y30">
        <f>HYPERLINK("https://klasma.github.io/Logging_2582/kartor_geotiff/A 32309-2025 georefererad karta.tif", "A 32309-2025")</f>
        <v/>
      </c>
      <c r="AA30">
        <f>HYPERLINK("https://klasma.github.io/Logging_2582/klagomål/A 32309-2025 FSC-klagomål.docx", "A 32309-2025")</f>
        <v/>
      </c>
      <c r="AB30">
        <f>HYPERLINK("https://klasma.github.io/Logging_2582/klagomålsmail/A 32309-2025 FSC-klagomål mail.docx", "A 32309-2025")</f>
        <v/>
      </c>
      <c r="AC30">
        <f>HYPERLINK("https://klasma.github.io/Logging_2582/tillsyn/A 32309-2025 tillsynsbegäran.docx", "A 32309-2025")</f>
        <v/>
      </c>
      <c r="AD30">
        <f>HYPERLINK("https://klasma.github.io/Logging_2582/tillsynsmail/A 32309-2025 tillsynsbegäran mail.docx", "A 32309-2025")</f>
        <v/>
      </c>
    </row>
    <row r="31" ht="15" customHeight="1">
      <c r="A31" t="inlineStr">
        <is>
          <t>A 32325-2024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45512</v>
      </c>
      <c r="E31" s="1" t="n">
        <v>46226</v>
      </c>
      <c r="F31" t="inlineStr">
        <is>
          <t>NORRBOTTENS LÄN</t>
        </is>
      </c>
      <c r="G31" t="inlineStr">
        <is>
          <t>BODEN</t>
        </is>
      </c>
      <c r="H31" t="inlineStr">
        <is>
          <t>Övriga Aktiebolag</t>
        </is>
      </c>
      <c r="I31" t="n">
        <v>36.5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Knärot
Gammelgransskål
Luddlav
Skinnlav</t>
        </is>
      </c>
      <c r="W31">
        <f>HYPERLINK("https://klasma.github.io/Logging_2582/artfynd/A 32325-2024 artfynd.xlsx", "A 32325-2024")</f>
        <v/>
      </c>
      <c r="X31">
        <f>HYPERLINK("https://klasma.github.io/Logging_2582/kartor/A 32325-2024 karta.png", "A 32325-2024")</f>
        <v/>
      </c>
      <c r="Y31">
        <f>HYPERLINK("https://klasma.github.io/Logging_2582/kartor_geotiff/A 32325-2024 georefererad karta.tif", "A 32325-2024")</f>
        <v/>
      </c>
      <c r="Z31">
        <f>HYPERLINK("https://klasma.github.io/Logging_2582/knärot/A 32325-2024 karta knärot.png", "A 32325-2024")</f>
        <v/>
      </c>
      <c r="AA31">
        <f>HYPERLINK("https://klasma.github.io/Logging_2582/klagomål/A 32325-2024 FSC-klagomål.docx", "A 32325-2024")</f>
        <v/>
      </c>
      <c r="AB31">
        <f>HYPERLINK("https://klasma.github.io/Logging_2582/klagomålsmail/A 32325-2024 FSC-klagomål mail.docx", "A 32325-2024")</f>
        <v/>
      </c>
      <c r="AC31">
        <f>HYPERLINK("https://klasma.github.io/Logging_2582/tillsyn/A 32325-2024 tillsynsbegäran.docx", "A 32325-2024")</f>
        <v/>
      </c>
      <c r="AD31">
        <f>HYPERLINK("https://klasma.github.io/Logging_2582/tillsynsmail/A 32325-2024 tillsynsbegäran mail.docx", "A 32325-2024")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46226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46226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46226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46226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19324-2024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46226</v>
      </c>
      <c r="F36" t="inlineStr">
        <is>
          <t>NORRBOTTENS LÄN</t>
        </is>
      </c>
      <c r="G36" t="inlineStr">
        <is>
          <t>BODEN</t>
        </is>
      </c>
      <c r="I36" t="n">
        <v>3.8</v>
      </c>
      <c r="J36" t="n">
        <v>3</v>
      </c>
      <c r="K36" t="n">
        <v>1</v>
      </c>
      <c r="L36" t="n">
        <v>0</v>
      </c>
      <c r="M36" t="n">
        <v>2</v>
      </c>
      <c r="N36" t="n">
        <v>1</v>
      </c>
      <c r="O36" t="n">
        <v>0</v>
      </c>
      <c r="P36" t="n">
        <v>0</v>
      </c>
      <c r="Q36" t="n">
        <v>3</v>
      </c>
      <c r="R36" t="n">
        <v>3</v>
      </c>
      <c r="S36" t="n">
        <v>5</v>
      </c>
      <c r="T36" t="n">
        <v>6</v>
      </c>
      <c r="U36" t="n">
        <v>5</v>
      </c>
      <c r="V36" s="2" t="inlineStr">
        <is>
          <t>Bitter taggsvamp
Knärot
Norna
Ögonpyrola
Nattviol</t>
        </is>
      </c>
      <c r="W36">
        <f>HYPERLINK("https://klasma.github.io/Logging_2582/artfynd/A 19324-2024 artfynd.xlsx", "A 19324-2024")</f>
        <v/>
      </c>
      <c r="X36">
        <f>HYPERLINK("https://klasma.github.io/Logging_2582/kartor/A 19324-2024 karta.png", "A 19324-2024")</f>
        <v/>
      </c>
      <c r="Y36">
        <f>HYPERLINK("https://klasma.github.io/Logging_2582/kartor_geotiff/A 19324-2024 georefererad karta.tif", "A 19324-2024")</f>
        <v/>
      </c>
      <c r="Z36">
        <f>HYPERLINK("https://klasma.github.io/Logging_2582/knärot/A 19324-2024 karta knärot.png", "A 19324-2024")</f>
        <v/>
      </c>
      <c r="AA36">
        <f>HYPERLINK("https://klasma.github.io/Logging_2582/klagomål/A 19324-2024 FSC-klagomål.docx", "A 19324-2024")</f>
        <v/>
      </c>
      <c r="AB36">
        <f>HYPERLINK("https://klasma.github.io/Logging_2582/klagomålsmail/A 19324-2024 FSC-klagomål mail.docx", "A 19324-2024")</f>
        <v/>
      </c>
      <c r="AC36">
        <f>HYPERLINK("https://klasma.github.io/Logging_2582/tillsyn/A 19324-2024 tillsynsbegäran.docx", "A 19324-2024")</f>
        <v/>
      </c>
      <c r="AD36">
        <f>HYPERLINK("https://klasma.github.io/Logging_2582/tillsynsmail/A 19324-2024 tillsynsbegäran mail.docx", "A 19324-2024")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46226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t="n">
        <v>7</v>
      </c>
      <c r="V37" s="2" t="inlineStr">
        <is>
          <t>Knärot
Norna
Lunglav
Stuplav</t>
        </is>
      </c>
      <c r="W37">
        <f>HYPERLINK("https://klasma.github.io/Logging_2582/artfynd/A 28197-2025 artfynd.xlsx", "A 28197-2025")</f>
        <v/>
      </c>
      <c r="X37">
        <f>HYPERLINK("https://klasma.github.io/Logging_2582/kartor/A 28197-2025 karta.png", "A 28197-2025")</f>
        <v/>
      </c>
      <c r="Y37">
        <f>HYPERLINK("https://klasma.github.io/Logging_2582/kartor_geotiff/A 28197-2025 georefererad karta.tif", "A 28197-2025")</f>
        <v/>
      </c>
      <c r="Z37">
        <f>HYPERLINK("https://klasma.github.io/Logging_2582/knärot/A 28197-2025 karta knärot.png", "A 28197-2025")</f>
        <v/>
      </c>
      <c r="AA37">
        <f>HYPERLINK("https://klasma.github.io/Logging_2582/klagomål/A 28197-2025 FSC-klagomål.docx", "A 28197-2025")</f>
        <v/>
      </c>
      <c r="AB37">
        <f>HYPERLINK("https://klasma.github.io/Logging_2582/klagomålsmail/A 28197-2025 FSC-klagomål mail.docx", "A 28197-2025")</f>
        <v/>
      </c>
      <c r="AC37">
        <f>HYPERLINK("https://klasma.github.io/Logging_2582/tillsyn/A 28197-2025 tillsynsbegäran.docx", "A 28197-2025")</f>
        <v/>
      </c>
      <c r="AD37">
        <f>HYPERLINK("https://klasma.github.io/Logging_2582/tillsynsmail/A 28197-2025 tillsynsbegäran mail.docx", "A 28197-2025")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46226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t="n">
        <v>0</v>
      </c>
      <c r="V38" s="2" t="inlineStr">
        <is>
          <t>Goliatmusseron
Skrovlig taggsvamp
Dvärgbägarlav
Skarp dropptaggsvamp</t>
        </is>
      </c>
      <c r="W38">
        <f>HYPERLINK("https://klasma.github.io/Logging_2582/artfynd/A 59028-2025 artfynd.xlsx", "A 59028-2025")</f>
        <v/>
      </c>
      <c r="X38">
        <f>HYPERLINK("https://klasma.github.io/Logging_2582/kartor/A 59028-2025 karta.png", "A 59028-2025")</f>
        <v/>
      </c>
      <c r="Y38">
        <f>HYPERLINK("https://klasma.github.io/Logging_2582/kartor_geotiff/A 59028-2025 georefererad karta.tif", "A 59028-2025")</f>
        <v/>
      </c>
      <c r="AA38">
        <f>HYPERLINK("https://klasma.github.io/Logging_2582/klagomål/A 59028-2025 FSC-klagomål.docx", "A 59028-2025")</f>
        <v/>
      </c>
      <c r="AB38">
        <f>HYPERLINK("https://klasma.github.io/Logging_2582/klagomålsmail/A 59028-2025 FSC-klagomål mail.docx", "A 59028-2025")</f>
        <v/>
      </c>
      <c r="AC38">
        <f>HYPERLINK("https://klasma.github.io/Logging_2582/tillsyn/A 59028-2025 tillsynsbegäran.docx", "A 59028-2025")</f>
        <v/>
      </c>
      <c r="AD38">
        <f>HYPERLINK("https://klasma.github.io/Logging_2582/tillsynsmail/A 59028-2025 tillsynsbegäran mail.docx", "A 59028-2025")</f>
        <v/>
      </c>
    </row>
    <row r="39" ht="15" customHeight="1">
      <c r="A39" t="inlineStr">
        <is>
          <t>A 57526-2025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46226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27</v>
      </c>
      <c r="U39" t="n">
        <v>0</v>
      </c>
      <c r="V39" s="2" t="inlineStr">
        <is>
          <t>Knärot
Lunglav
Ullticka
Stuplav</t>
        </is>
      </c>
      <c r="W39">
        <f>HYPERLINK("https://klasma.github.io/Logging_2582/artfynd/A 57526-2025 artfynd.xlsx", "A 57526-2025")</f>
        <v/>
      </c>
      <c r="X39">
        <f>HYPERLINK("https://klasma.github.io/Logging_2582/kartor/A 57526-2025 karta.png", "A 57526-2025")</f>
        <v/>
      </c>
      <c r="Y39">
        <f>HYPERLINK("https://klasma.github.io/Logging_2582/kartor_geotiff/A 57526-2025 georefererad karta.tif", "A 57526-2025")</f>
        <v/>
      </c>
      <c r="Z39">
        <f>HYPERLINK("https://klasma.github.io/Logging_2582/knärot/A 57526-2025 karta knärot.png", "A 57526-2025")</f>
        <v/>
      </c>
      <c r="AA39">
        <f>HYPERLINK("https://klasma.github.io/Logging_2582/klagomål/A 57526-2025 FSC-klagomål.docx", "A 57526-2025")</f>
        <v/>
      </c>
      <c r="AB39">
        <f>HYPERLINK("https://klasma.github.io/Logging_2582/klagomålsmail/A 57526-2025 FSC-klagomål mail.docx", "A 57526-2025")</f>
        <v/>
      </c>
      <c r="AC39">
        <f>HYPERLINK("https://klasma.github.io/Logging_2582/tillsyn/A 57526-2025 tillsynsbegäran.docx", "A 57526-2025")</f>
        <v/>
      </c>
      <c r="AD39">
        <f>HYPERLINK("https://klasma.github.io/Logging_2582/tillsynsmail/A 57526-2025 tillsynsbegäran mail.docx", "A 57526-2025")</f>
        <v/>
      </c>
    </row>
    <row r="40" ht="15" customHeight="1">
      <c r="A40" t="inlineStr">
        <is>
          <t>A 21475-2026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46148</v>
      </c>
      <c r="E40" s="1" t="n">
        <v>46226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27.6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Harticka
Tretåig hackspett
Smal svampklubba
Järpe</t>
        </is>
      </c>
      <c r="W40">
        <f>HYPERLINK("https://klasma.github.io/Logging_2582/artfynd/A 21475-2026 artfynd.xlsx", "A 21475-2026")</f>
        <v/>
      </c>
      <c r="X40">
        <f>HYPERLINK("https://klasma.github.io/Logging_2582/kartor/A 21475-2026 karta.png", "A 21475-2026")</f>
        <v/>
      </c>
      <c r="Y40">
        <f>HYPERLINK("https://klasma.github.io/Logging_2582/kartor_geotiff/A 21475-2026 georefererad karta.tif", "A 21475-2026")</f>
        <v/>
      </c>
      <c r="AA40">
        <f>HYPERLINK("https://klasma.github.io/Logging_2582/klagomål/A 21475-2026 FSC-klagomål.docx", "A 21475-2026")</f>
        <v/>
      </c>
      <c r="AB40">
        <f>HYPERLINK("https://klasma.github.io/Logging_2582/klagomålsmail/A 21475-2026 FSC-klagomål mail.docx", "A 21475-2026")</f>
        <v/>
      </c>
      <c r="AC40">
        <f>HYPERLINK("https://klasma.github.io/Logging_2582/tillsyn/A 21475-2026 tillsynsbegäran.docx", "A 21475-2026")</f>
        <v/>
      </c>
      <c r="AD40">
        <f>HYPERLINK("https://klasma.github.io/Logging_2582/tillsynsmail/A 21475-2026 tillsynsbegäran mail.docx", "A 21475-2026")</f>
        <v/>
      </c>
      <c r="AE40">
        <f>HYPERLINK("https://klasma.github.io/Logging_2582/fåglar/A 21475-2026 prioriterade fågelarter.docx", "A 21475-2026")</f>
        <v/>
      </c>
    </row>
    <row r="41" ht="15" customHeight="1">
      <c r="A41" t="inlineStr">
        <is>
          <t>A 28358-2026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46226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7.3</v>
      </c>
      <c r="J41" t="n">
        <v>3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6</v>
      </c>
      <c r="U41" t="n">
        <v>0</v>
      </c>
      <c r="V41" s="2" t="inlineStr">
        <is>
          <t>Doftticka
Knärot
Lunglav
Spindelblomster</t>
        </is>
      </c>
      <c r="W41">
        <f>HYPERLINK("https://klasma.github.io/Logging_2582/artfynd/A 28358-2026 artfynd.xlsx", "A 28358-2026")</f>
        <v/>
      </c>
      <c r="X41">
        <f>HYPERLINK("https://klasma.github.io/Logging_2582/kartor/A 28358-2026 karta.png", "A 28358-2026")</f>
        <v/>
      </c>
      <c r="Y41">
        <f>HYPERLINK("https://klasma.github.io/Logging_2582/kartor_geotiff/A 28358-2026 georefererad karta.tif", "A 28358-2026")</f>
        <v/>
      </c>
      <c r="Z41">
        <f>HYPERLINK("https://klasma.github.io/Logging_2582/knärot/A 28358-2026 karta knärot.png", "A 28358-2026")</f>
        <v/>
      </c>
      <c r="AA41">
        <f>HYPERLINK("https://klasma.github.io/Logging_2582/klagomål/A 28358-2026 FSC-klagomål.docx", "A 28358-2026")</f>
        <v/>
      </c>
      <c r="AB41">
        <f>HYPERLINK("https://klasma.github.io/Logging_2582/klagomålsmail/A 28358-2026 FSC-klagomål mail.docx", "A 28358-2026")</f>
        <v/>
      </c>
      <c r="AC41">
        <f>HYPERLINK("https://klasma.github.io/Logging_2582/tillsyn/A 28358-2026 tillsynsbegäran.docx", "A 28358-2026")</f>
        <v/>
      </c>
      <c r="AD41">
        <f>HYPERLINK("https://klasma.github.io/Logging_2582/tillsynsmail/A 28358-2026 tillsynsbegäran mail.docx", "A 28358-2026")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46226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46226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Lunglav
Grönpyrola
Fläcknycklar</t>
        </is>
      </c>
      <c r="W44">
        <f>HYPERLINK("https://klasma.github.io/Logging_2582/artfynd/A 28183-2026 artfynd.xlsx", "A 28183-2026")</f>
        <v/>
      </c>
      <c r="X44">
        <f>HYPERLINK("https://klasma.github.io/Logging_2582/kartor/A 28183-2026 karta.png", "A 28183-2026")</f>
        <v/>
      </c>
      <c r="Y44">
        <f>HYPERLINK("https://klasma.github.io/Logging_2582/kartor_geotiff/A 28183-2026 georefererad karta.tif", "A 28183-2026")</f>
        <v/>
      </c>
      <c r="Z44">
        <f>HYPERLINK("https://klasma.github.io/Logging_2582/knärot/A 28183-2026 karta knärot.png", "A 28183-2026")</f>
        <v/>
      </c>
      <c r="AA44">
        <f>HYPERLINK("https://klasma.github.io/Logging_2582/klagomål/A 28183-2026 FSC-klagomål.docx", "A 28183-2026")</f>
        <v/>
      </c>
      <c r="AB44">
        <f>HYPERLINK("https://klasma.github.io/Logging_2582/klagomålsmail/A 28183-2026 FSC-klagomål mail.docx", "A 28183-2026")</f>
        <v/>
      </c>
      <c r="AC44">
        <f>HYPERLINK("https://klasma.github.io/Logging_2582/tillsyn/A 28183-2026 tillsynsbegäran.docx", "A 28183-2026")</f>
        <v/>
      </c>
      <c r="AD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28267-2025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46226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2.6</v>
      </c>
      <c r="J46" t="n">
        <v>2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3</v>
      </c>
      <c r="U46" t="n">
        <v>0</v>
      </c>
      <c r="V46" s="2" t="inlineStr">
        <is>
          <t>Doftticka
Knärot
Lunglav</t>
        </is>
      </c>
      <c r="W46">
        <f>HYPERLINK("https://klasma.github.io/Logging_2582/artfynd/A 28267-2025 artfynd.xlsx", "A 28267-2025")</f>
        <v/>
      </c>
      <c r="X46">
        <f>HYPERLINK("https://klasma.github.io/Logging_2582/kartor/A 28267-2025 karta.png", "A 28267-2025")</f>
        <v/>
      </c>
      <c r="Y46">
        <f>HYPERLINK("https://klasma.github.io/Logging_2582/kartor_geotiff/A 28267-2025 georefererad karta.tif", "A 28267-2025")</f>
        <v/>
      </c>
      <c r="Z46">
        <f>HYPERLINK("https://klasma.github.io/Logging_2582/knärot/A 28267-2025 karta knärot.png", "A 28267-2025")</f>
        <v/>
      </c>
      <c r="AA46">
        <f>HYPERLINK("https://klasma.github.io/Logging_2582/klagomål/A 28267-2025 FSC-klagomål.docx", "A 28267-2025")</f>
        <v/>
      </c>
      <c r="AB46">
        <f>HYPERLINK("https://klasma.github.io/Logging_2582/klagomålsmail/A 28267-2025 FSC-klagomål mail.docx", "A 28267-2025")</f>
        <v/>
      </c>
      <c r="AC46">
        <f>HYPERLINK("https://klasma.github.io/Logging_2582/tillsyn/A 28267-2025 tillsynsbegäran.docx", "A 28267-2025")</f>
        <v/>
      </c>
      <c r="AD46">
        <f>HYPERLINK("https://klasma.github.io/Logging_2582/tillsynsmail/A 28267-2025 tillsynsbegäran mail.docx", "A 28267-2025")</f>
        <v/>
      </c>
    </row>
    <row r="47" ht="15" customHeight="1">
      <c r="A47" t="inlineStr">
        <is>
          <t>A 10087-2026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46073</v>
      </c>
      <c r="E47" s="1" t="n">
        <v>46226</v>
      </c>
      <c r="F47" t="inlineStr">
        <is>
          <t>NORRBOTTENS LÄN</t>
        </is>
      </c>
      <c r="G47" t="inlineStr">
        <is>
          <t>BODEN</t>
        </is>
      </c>
      <c r="I47" t="n">
        <v>5.9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Korthornad vedstekel
Skogsödla
Vanlig padda</t>
        </is>
      </c>
      <c r="W47">
        <f>HYPERLINK("https://klasma.github.io/Logging_2582/artfynd/A 10087-2026 artfynd.xlsx", "A 10087-2026")</f>
        <v/>
      </c>
      <c r="X47">
        <f>HYPERLINK("https://klasma.github.io/Logging_2582/kartor/A 10087-2026 karta.png", "A 10087-2026")</f>
        <v/>
      </c>
      <c r="Y47">
        <f>HYPERLINK("https://klasma.github.io/Logging_2582/kartor_geotiff/A 10087-2026 georefererad karta.tif", "A 10087-2026")</f>
        <v/>
      </c>
      <c r="AA47">
        <f>HYPERLINK("https://klasma.github.io/Logging_2582/klagomål/A 10087-2026 FSC-klagomål.docx", "A 10087-2026")</f>
        <v/>
      </c>
      <c r="AB47">
        <f>HYPERLINK("https://klasma.github.io/Logging_2582/klagomålsmail/A 10087-2026 FSC-klagomål mail.docx", "A 10087-2026")</f>
        <v/>
      </c>
      <c r="AC47">
        <f>HYPERLINK("https://klasma.github.io/Logging_2582/tillsyn/A 10087-2026 tillsynsbegäran.docx", "A 10087-2026")</f>
        <v/>
      </c>
      <c r="AD47">
        <f>HYPERLINK("https://klasma.github.io/Logging_2582/tillsynsmail/A 10087-2026 tillsynsbegäran mail.docx", "A 10087-2026")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46226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46226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57806-2025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45981</v>
      </c>
      <c r="E50" s="1" t="n">
        <v>46226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10.4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Dropptaggsvamp
Dvärgbägarlav
Lunglav</t>
        </is>
      </c>
      <c r="W50">
        <f>HYPERLINK("https://klasma.github.io/Logging_2582/artfynd/A 57806-2025 artfynd.xlsx", "A 57806-2025")</f>
        <v/>
      </c>
      <c r="X50">
        <f>HYPERLINK("https://klasma.github.io/Logging_2582/kartor/A 57806-2025 karta.png", "A 57806-2025")</f>
        <v/>
      </c>
      <c r="Y50">
        <f>HYPERLINK("https://klasma.github.io/Logging_2582/kartor_geotiff/A 57806-2025 georefererad karta.tif", "A 57806-2025")</f>
        <v/>
      </c>
      <c r="AA50">
        <f>HYPERLINK("https://klasma.github.io/Logging_2582/klagomål/A 57806-2025 FSC-klagomål.docx", "A 57806-2025")</f>
        <v/>
      </c>
      <c r="AB50">
        <f>HYPERLINK("https://klasma.github.io/Logging_2582/klagomålsmail/A 57806-2025 FSC-klagomål mail.docx", "A 57806-2025")</f>
        <v/>
      </c>
      <c r="AC50">
        <f>HYPERLINK("https://klasma.github.io/Logging_2582/tillsyn/A 57806-2025 tillsynsbegäran.docx", "A 57806-2025")</f>
        <v/>
      </c>
      <c r="AD50">
        <f>HYPERLINK("https://klasma.github.io/Logging_2582/tillsynsmail/A 57806-2025 tillsynsbegäran mail.docx", "A 57806-2025")</f>
        <v/>
      </c>
    </row>
    <row r="51" ht="15" customHeight="1">
      <c r="A51" t="inlineStr">
        <is>
          <t>A 23323-2025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46226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21.8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Grönpyrola
Fläcknycklar
Nattviol</t>
        </is>
      </c>
      <c r="W51">
        <f>HYPERLINK("https://klasma.github.io/Logging_2582/artfynd/A 23323-2025 artfynd.xlsx", "A 23323-2025")</f>
        <v/>
      </c>
      <c r="X51">
        <f>HYPERLINK("https://klasma.github.io/Logging_2582/kartor/A 23323-2025 karta.png", "A 23323-2025")</f>
        <v/>
      </c>
      <c r="Y51">
        <f>HYPERLINK("https://klasma.github.io/Logging_2582/kartor_geotiff/A 23323-2025 georefererad karta.tif", "A 23323-2025")</f>
        <v/>
      </c>
      <c r="AA51">
        <f>HYPERLINK("https://klasma.github.io/Logging_2582/klagomål/A 23323-2025 FSC-klagomål.docx", "A 23323-2025")</f>
        <v/>
      </c>
      <c r="AB51">
        <f>HYPERLINK("https://klasma.github.io/Logging_2582/klagomålsmail/A 23323-2025 FSC-klagomål mail.docx", "A 23323-2025")</f>
        <v/>
      </c>
      <c r="AC51">
        <f>HYPERLINK("https://klasma.github.io/Logging_2582/tillsyn/A 23323-2025 tillsynsbegäran.docx", "A 23323-2025")</f>
        <v/>
      </c>
      <c r="AD51">
        <f>HYPERLINK("https://klasma.github.io/Logging_2582/tillsynsmail/A 23323-2025 tillsynsbegäran mail.docx", "A 23323-2025")</f>
        <v/>
      </c>
    </row>
    <row r="52" ht="15" customHeight="1">
      <c r="A52" t="inlineStr">
        <is>
          <t>A 26728-2026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14.4</v>
      </c>
      <c r="J52" t="n">
        <v>2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Lunglav
Plattlummer
Fläcknycklar</t>
        </is>
      </c>
      <c r="W52">
        <f>HYPERLINK("https://klasma.github.io/Logging_2582/artfynd/A 26728-2026 artfynd.xlsx", "A 26728-2026")</f>
        <v/>
      </c>
      <c r="X52">
        <f>HYPERLINK("https://klasma.github.io/Logging_2582/kartor/A 26728-2026 karta.png", "A 26728-2026")</f>
        <v/>
      </c>
      <c r="Y52">
        <f>HYPERLINK("https://klasma.github.io/Logging_2582/kartor_geotiff/A 26728-2026 georefererad karta.tif", "A 26728-2026")</f>
        <v/>
      </c>
      <c r="AA52">
        <f>HYPERLINK("https://klasma.github.io/Logging_2582/klagomål/A 26728-2026 FSC-klagomål.docx", "A 26728-2026")</f>
        <v/>
      </c>
      <c r="AB52">
        <f>HYPERLINK("https://klasma.github.io/Logging_2582/klagomålsmail/A 26728-2026 FSC-klagomål mail.docx", "A 26728-2026")</f>
        <v/>
      </c>
      <c r="AC52">
        <f>HYPERLINK("https://klasma.github.io/Logging_2582/tillsyn/A 26728-2026 tillsynsbegäran.docx", "A 26728-2026")</f>
        <v/>
      </c>
      <c r="AD52">
        <f>HYPERLINK("https://klasma.github.io/Logging_2582/tillsynsmail/A 26728-2026 tillsynsbegäran mail.docx", "A 26728-2026")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46226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29868-2026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46226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5.3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6</v>
      </c>
      <c r="U54" t="n">
        <v>2</v>
      </c>
      <c r="V54" s="2" t="inlineStr">
        <is>
          <t>Garnlav
Lunglav
Spindelblomster</t>
        </is>
      </c>
      <c r="W54">
        <f>HYPERLINK("https://klasma.github.io/Logging_2582/artfynd/A 29868-2026 artfynd.xlsx", "A 29868-2026")</f>
        <v/>
      </c>
      <c r="X54">
        <f>HYPERLINK("https://klasma.github.io/Logging_2582/kartor/A 29868-2026 karta.png", "A 29868-2026")</f>
        <v/>
      </c>
      <c r="Y54">
        <f>HYPERLINK("https://klasma.github.io/Logging_2582/kartor_geotiff/A 29868-2026 georefererad karta.tif", "A 29868-2026")</f>
        <v/>
      </c>
      <c r="AA54">
        <f>HYPERLINK("https://klasma.github.io/Logging_2582/klagomål/A 29868-2026 FSC-klagomål.docx", "A 29868-2026")</f>
        <v/>
      </c>
      <c r="AB54">
        <f>HYPERLINK("https://klasma.github.io/Logging_2582/klagomålsmail/A 29868-2026 FSC-klagomål mail.docx", "A 29868-2026")</f>
        <v/>
      </c>
      <c r="AC54">
        <f>HYPERLINK("https://klasma.github.io/Logging_2582/tillsyn/A 29868-2026 tillsynsbegäran.docx", "A 29868-2026")</f>
        <v/>
      </c>
      <c r="AD54">
        <f>HYPERLINK("https://klasma.github.io/Logging_2582/tillsynsmail/A 29868-2026 tillsynsbegäran mail.docx", "A 29868-2026")</f>
        <v/>
      </c>
    </row>
    <row r="55" ht="15" customHeight="1">
      <c r="A55" t="inlineStr">
        <is>
          <t>A 23575-2023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46226</v>
      </c>
      <c r="F55" t="inlineStr">
        <is>
          <t>NORRBOTTENS LÄN</t>
        </is>
      </c>
      <c r="G55" t="inlineStr">
        <is>
          <t>BODEN</t>
        </is>
      </c>
      <c r="I55" t="n">
        <v>7.9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1</v>
      </c>
      <c r="V55" s="2" t="inlineStr">
        <is>
          <t>Gammelgransskål
Nordfladdermus
Bollvitmossa</t>
        </is>
      </c>
      <c r="W55">
        <f>HYPERLINK("https://klasma.github.io/Logging_2582/artfynd/A 23575-2023 artfynd.xlsx", "A 23575-2023")</f>
        <v/>
      </c>
      <c r="X55">
        <f>HYPERLINK("https://klasma.github.io/Logging_2582/kartor/A 23575-2023 karta.png", "A 23575-2023")</f>
        <v/>
      </c>
      <c r="Y55">
        <f>HYPERLINK("https://klasma.github.io/Logging_2582/kartor_geotiff/A 23575-2023 georefererad karta.tif", "A 23575-2023")</f>
        <v/>
      </c>
      <c r="AA55">
        <f>HYPERLINK("https://klasma.github.io/Logging_2582/klagomål/A 23575-2023 FSC-klagomål.docx", "A 23575-2023")</f>
        <v/>
      </c>
      <c r="AB55">
        <f>HYPERLINK("https://klasma.github.io/Logging_2582/klagomålsmail/A 23575-2023 FSC-klagomål mail.docx", "A 23575-2023")</f>
        <v/>
      </c>
      <c r="AC55">
        <f>HYPERLINK("https://klasma.github.io/Logging_2582/tillsyn/A 23575-2023 tillsynsbegäran.docx", "A 23575-2023")</f>
        <v/>
      </c>
      <c r="AD55">
        <f>HYPERLINK("https://klasma.github.io/Logging_2582/tillsynsmail/A 23575-2023 tillsynsbegäran mail.docx", "A 23575-2023")</f>
        <v/>
      </c>
    </row>
    <row r="56" ht="15" customHeight="1">
      <c r="A56" t="inlineStr">
        <is>
          <t>A 31230-2026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46217</v>
      </c>
      <c r="E56" s="1" t="n">
        <v>46226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Fläcknycklar
Fläcknycklar × sumpnycklar</t>
        </is>
      </c>
      <c r="W56">
        <f>HYPERLINK("https://klasma.github.io/Logging_2582/artfynd/A 31230-2026 artfynd.xlsx", "A 31230-2026")</f>
        <v/>
      </c>
      <c r="X56">
        <f>HYPERLINK("https://klasma.github.io/Logging_2582/kartor/A 31230-2026 karta.png", "A 31230-2026")</f>
        <v/>
      </c>
      <c r="Y56">
        <f>HYPERLINK("https://klasma.github.io/Logging_2582/kartor_geotiff/A 31230-2026 georefererad karta.tif", "A 31230-2026")</f>
        <v/>
      </c>
      <c r="AA56">
        <f>HYPERLINK("https://klasma.github.io/Logging_2582/klagomål/A 31230-2026 FSC-klagomål.docx", "A 31230-2026")</f>
        <v/>
      </c>
      <c r="AB56">
        <f>HYPERLINK("https://klasma.github.io/Logging_2582/klagomålsmail/A 31230-2026 FSC-klagomål mail.docx", "A 31230-2026")</f>
        <v/>
      </c>
      <c r="AC56">
        <f>HYPERLINK("https://klasma.github.io/Logging_2582/tillsyn/A 31230-2026 tillsynsbegäran.docx", "A 31230-2026")</f>
        <v/>
      </c>
      <c r="AD56">
        <f>HYPERLINK("https://klasma.github.io/Logging_2582/tillsynsmail/A 31230-2026 tillsynsbegäran mail.docx", "A 31230-2026")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46226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46226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46226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29150-2023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45105</v>
      </c>
      <c r="E60" s="1" t="n">
        <v>46226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2.9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1</v>
      </c>
      <c r="V60" s="2" t="inlineStr">
        <is>
          <t>Urskogsänger
Björkplattnos
Månlåsbräken</t>
        </is>
      </c>
      <c r="W60">
        <f>HYPERLINK("https://klasma.github.io/Logging_2582/artfynd/A 29150-2023 artfynd.xlsx", "A 29150-2023")</f>
        <v/>
      </c>
      <c r="X60">
        <f>HYPERLINK("https://klasma.github.io/Logging_2582/kartor/A 29150-2023 karta.png", "A 29150-2023")</f>
        <v/>
      </c>
      <c r="Y60">
        <f>HYPERLINK("https://klasma.github.io/Logging_2582/kartor_geotiff/A 29150-2023 georefererad karta.tif", "A 29150-2023")</f>
        <v/>
      </c>
      <c r="AA60">
        <f>HYPERLINK("https://klasma.github.io/Logging_2582/klagomål/A 29150-2023 FSC-klagomål.docx", "A 29150-2023")</f>
        <v/>
      </c>
      <c r="AB60">
        <f>HYPERLINK("https://klasma.github.io/Logging_2582/klagomålsmail/A 29150-2023 FSC-klagomål mail.docx", "A 29150-2023")</f>
        <v/>
      </c>
      <c r="AC60">
        <f>HYPERLINK("https://klasma.github.io/Logging_2582/tillsyn/A 29150-2023 tillsynsbegäran.docx", "A 29150-2023")</f>
        <v/>
      </c>
      <c r="AD60">
        <f>HYPERLINK("https://klasma.github.io/Logging_2582/tillsynsmail/A 29150-2023 tillsynsbegäran mail.docx", "A 29150-2023")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26346-2022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46226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Blå taggsvamp
Ullticka</t>
        </is>
      </c>
      <c r="W64">
        <f>HYPERLINK("https://klasma.github.io/Logging_2582/artfynd/A 26346-2022 artfynd.xlsx", "A 26346-2022")</f>
        <v/>
      </c>
      <c r="X64">
        <f>HYPERLINK("https://klasma.github.io/Logging_2582/kartor/A 26346-2022 karta.png", "A 26346-2022")</f>
        <v/>
      </c>
      <c r="Y64">
        <f>HYPERLINK("https://klasma.github.io/Logging_2582/kartor_geotiff/A 26346-2022 georefererad karta.tif", "A 26346-2022")</f>
        <v/>
      </c>
      <c r="AA64">
        <f>HYPERLINK("https://klasma.github.io/Logging_2582/klagomål/A 26346-2022 FSC-klagomål.docx", "A 26346-2022")</f>
        <v/>
      </c>
      <c r="AB64">
        <f>HYPERLINK("https://klasma.github.io/Logging_2582/klagomålsmail/A 26346-2022 FSC-klagomål mail.docx", "A 26346-2022")</f>
        <v/>
      </c>
      <c r="AC64">
        <f>HYPERLINK("https://klasma.github.io/Logging_2582/tillsyn/A 26346-2022 tillsynsbegäran.docx", "A 26346-2022")</f>
        <v/>
      </c>
      <c r="AD64">
        <f>HYPERLINK("https://klasma.github.io/Logging_2582/tillsynsmail/A 26346-2022 tillsynsbegäran mail.docx", "A 26346-2022")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46226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46226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32971-2024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46226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4</v>
      </c>
      <c r="V67" s="2" t="inlineStr">
        <is>
          <t>Lunglav
Fläcknycklar</t>
        </is>
      </c>
      <c r="W67">
        <f>HYPERLINK("https://klasma.github.io/Logging_2582/artfynd/A 32971-2024 artfynd.xlsx", "A 32971-2024")</f>
        <v/>
      </c>
      <c r="X67">
        <f>HYPERLINK("https://klasma.github.io/Logging_2582/kartor/A 32971-2024 karta.png", "A 32971-2024")</f>
        <v/>
      </c>
      <c r="Y67">
        <f>HYPERLINK("https://klasma.github.io/Logging_2582/kartor_geotiff/A 32971-2024 georefererad karta.tif", "A 32971-2024")</f>
        <v/>
      </c>
      <c r="AA67">
        <f>HYPERLINK("https://klasma.github.io/Logging_2582/klagomål/A 32971-2024 FSC-klagomål.docx", "A 32971-2024")</f>
        <v/>
      </c>
      <c r="AB67">
        <f>HYPERLINK("https://klasma.github.io/Logging_2582/klagomålsmail/A 32971-2024 FSC-klagomål mail.docx", "A 32971-2024")</f>
        <v/>
      </c>
      <c r="AC67">
        <f>HYPERLINK("https://klasma.github.io/Logging_2582/tillsyn/A 32971-2024 tillsynsbegäran.docx", "A 32971-2024")</f>
        <v/>
      </c>
      <c r="AD67">
        <f>HYPERLINK("https://klasma.github.io/Logging_2582/tillsynsmail/A 32971-2024 tillsynsbegäran mail.docx", "A 32971-2024")</f>
        <v/>
      </c>
    </row>
    <row r="68" ht="15" customHeight="1">
      <c r="A68" t="inlineStr">
        <is>
          <t>A 1507-2022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46226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15.4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Talltita
Gråspett</t>
        </is>
      </c>
      <c r="W68">
        <f>HYPERLINK("https://klasma.github.io/Logging_2582/artfynd/A 1507-2022 artfynd.xlsx", "A 1507-2022")</f>
        <v/>
      </c>
      <c r="X68">
        <f>HYPERLINK("https://klasma.github.io/Logging_2582/kartor/A 1507-2022 karta.png", "A 1507-2022")</f>
        <v/>
      </c>
      <c r="Y68">
        <f>HYPERLINK("https://klasma.github.io/Logging_2582/kartor_geotiff/A 1507-2022 georefererad karta.tif", "A 1507-2022")</f>
        <v/>
      </c>
      <c r="AA68">
        <f>HYPERLINK("https://klasma.github.io/Logging_2582/klagomål/A 1507-2022 FSC-klagomål.docx", "A 1507-2022")</f>
        <v/>
      </c>
      <c r="AB68">
        <f>HYPERLINK("https://klasma.github.io/Logging_2582/klagomålsmail/A 1507-2022 FSC-klagomål mail.docx", "A 1507-2022")</f>
        <v/>
      </c>
      <c r="AC68">
        <f>HYPERLINK("https://klasma.github.io/Logging_2582/tillsyn/A 1507-2022 tillsynsbegäran.docx", "A 1507-2022")</f>
        <v/>
      </c>
      <c r="AD68">
        <f>HYPERLINK("https://klasma.github.io/Logging_2582/tillsynsmail/A 1507-2022 tillsynsbegäran mail.docx", "A 1507-2022")</f>
        <v/>
      </c>
      <c r="AE68">
        <f>HYPERLINK("https://klasma.github.io/Logging_2582/fåglar/A 1507-2022 prioriterade fågelarter.docx", "A 1507-2022")</f>
        <v/>
      </c>
    </row>
    <row r="69" ht="15" customHeight="1">
      <c r="A69" t="inlineStr">
        <is>
          <t>A 6895-2025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45701</v>
      </c>
      <c r="E69" s="1" t="n">
        <v>46226</v>
      </c>
      <c r="F69" t="inlineStr">
        <is>
          <t>NORRBOTTENS LÄN</t>
        </is>
      </c>
      <c r="G69" t="inlineStr">
        <is>
          <t>BODEN</t>
        </is>
      </c>
      <c r="I69" t="n">
        <v>1.5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Kolflarnlav
Plattlummer</t>
        </is>
      </c>
      <c r="W69">
        <f>HYPERLINK("https://klasma.github.io/Logging_2582/artfynd/A 6895-2025 artfynd.xlsx", "A 6895-2025")</f>
        <v/>
      </c>
      <c r="X69">
        <f>HYPERLINK("https://klasma.github.io/Logging_2582/kartor/A 6895-2025 karta.png", "A 6895-2025")</f>
        <v/>
      </c>
      <c r="Y69">
        <f>HYPERLINK("https://klasma.github.io/Logging_2582/kartor_geotiff/A 6895-2025 georefererad karta.tif", "A 6895-2025")</f>
        <v/>
      </c>
      <c r="AA69">
        <f>HYPERLINK("https://klasma.github.io/Logging_2582/klagomål/A 6895-2025 FSC-klagomål.docx", "A 6895-2025")</f>
        <v/>
      </c>
      <c r="AB69">
        <f>HYPERLINK("https://klasma.github.io/Logging_2582/klagomålsmail/A 6895-2025 FSC-klagomål mail.docx", "A 6895-2025")</f>
        <v/>
      </c>
      <c r="AC69">
        <f>HYPERLINK("https://klasma.github.io/Logging_2582/tillsyn/A 6895-2025 tillsynsbegäran.docx", "A 6895-2025")</f>
        <v/>
      </c>
      <c r="AD69">
        <f>HYPERLINK("https://klasma.github.io/Logging_2582/tillsynsmail/A 6895-2025 tillsynsbegäran mail.docx", "A 6895-2025")</f>
        <v/>
      </c>
    </row>
    <row r="70" ht="15" customHeight="1">
      <c r="A70" t="inlineStr">
        <is>
          <t>A 28867-2025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46226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8.199999999999999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12</v>
      </c>
      <c r="U70" t="n">
        <v>12</v>
      </c>
      <c r="V70" s="2" t="inlineStr">
        <is>
          <t>Knärot
Fläcknycklar</t>
        </is>
      </c>
      <c r="W70">
        <f>HYPERLINK("https://klasma.github.io/Logging_2582/artfynd/A 28867-2025 artfynd.xlsx", "A 28867-2025")</f>
        <v/>
      </c>
      <c r="X70">
        <f>HYPERLINK("https://klasma.github.io/Logging_2582/kartor/A 28867-2025 karta.png", "A 28867-2025")</f>
        <v/>
      </c>
      <c r="Y70">
        <f>HYPERLINK("https://klasma.github.io/Logging_2582/kartor_geotiff/A 28867-2025 georefererad karta.tif", "A 28867-2025")</f>
        <v/>
      </c>
      <c r="Z70">
        <f>HYPERLINK("https://klasma.github.io/Logging_2582/knärot/A 28867-2025 karta knärot.png", "A 28867-2025")</f>
        <v/>
      </c>
      <c r="AA70">
        <f>HYPERLINK("https://klasma.github.io/Logging_2582/klagomål/A 28867-2025 FSC-klagomål.docx", "A 28867-2025")</f>
        <v/>
      </c>
      <c r="AB70">
        <f>HYPERLINK("https://klasma.github.io/Logging_2582/klagomålsmail/A 28867-2025 FSC-klagomål mail.docx", "A 28867-2025")</f>
        <v/>
      </c>
      <c r="AC70">
        <f>HYPERLINK("https://klasma.github.io/Logging_2582/tillsyn/A 28867-2025 tillsynsbegäran.docx", "A 28867-2025")</f>
        <v/>
      </c>
      <c r="AD70">
        <f>HYPERLINK("https://klasma.github.io/Logging_2582/tillsynsmail/A 28867-2025 tillsynsbegäran mail.docx", "A 28867-2025")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46226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43315-2025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46226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Lunglav
Stuplav</t>
        </is>
      </c>
      <c r="W72">
        <f>HYPERLINK("https://klasma.github.io/Logging_2582/artfynd/A 43315-2025 artfynd.xlsx", "A 43315-2025")</f>
        <v/>
      </c>
      <c r="X72">
        <f>HYPERLINK("https://klasma.github.io/Logging_2582/kartor/A 43315-2025 karta.png", "A 43315-2025")</f>
        <v/>
      </c>
      <c r="Y72">
        <f>HYPERLINK("https://klasma.github.io/Logging_2582/kartor_geotiff/A 43315-2025 georefererad karta.tif", "A 43315-2025")</f>
        <v/>
      </c>
      <c r="AA72">
        <f>HYPERLINK("https://klasma.github.io/Logging_2582/klagomål/A 43315-2025 FSC-klagomål.docx", "A 43315-2025")</f>
        <v/>
      </c>
      <c r="AB72">
        <f>HYPERLINK("https://klasma.github.io/Logging_2582/klagomålsmail/A 43315-2025 FSC-klagomål mail.docx", "A 43315-2025")</f>
        <v/>
      </c>
      <c r="AC72">
        <f>HYPERLINK("https://klasma.github.io/Logging_2582/tillsyn/A 43315-2025 tillsynsbegäran.docx", "A 43315-2025")</f>
        <v/>
      </c>
      <c r="AD72">
        <f>HYPERLINK("https://klasma.github.io/Logging_2582/tillsynsmail/A 43315-2025 tillsynsbegäran mail.docx", "A 43315-2025")</f>
        <v/>
      </c>
    </row>
    <row r="73" ht="15" customHeight="1">
      <c r="A73" t="inlineStr">
        <is>
          <t>A 43310-2025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46226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43310-2025 artfynd.xlsx", "A 43310-2025")</f>
        <v/>
      </c>
      <c r="X73">
        <f>HYPERLINK("https://klasma.github.io/Logging_2582/kartor/A 43310-2025 karta.png", "A 43310-2025")</f>
        <v/>
      </c>
      <c r="Y73">
        <f>HYPERLINK("https://klasma.github.io/Logging_2582/kartor_geotiff/A 43310-2025 georefererad karta.tif", "A 43310-2025")</f>
        <v/>
      </c>
      <c r="AA73">
        <f>HYPERLINK("https://klasma.github.io/Logging_2582/klagomål/A 43310-2025 FSC-klagomål.docx", "A 43310-2025")</f>
        <v/>
      </c>
      <c r="AB73">
        <f>HYPERLINK("https://klasma.github.io/Logging_2582/klagomålsmail/A 43310-2025 FSC-klagomål mail.docx", "A 43310-2025")</f>
        <v/>
      </c>
      <c r="AC73">
        <f>HYPERLINK("https://klasma.github.io/Logging_2582/tillsyn/A 43310-2025 tillsynsbegäran.docx", "A 43310-2025")</f>
        <v/>
      </c>
      <c r="AD73">
        <f>HYPERLINK("https://klasma.github.io/Logging_2582/tillsynsmail/A 43310-2025 tillsynsbegäran mail.docx", "A 43310-2025")</f>
        <v/>
      </c>
    </row>
    <row r="74" ht="15" customHeight="1">
      <c r="A74" t="inlineStr">
        <is>
          <t>A 45477-2025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46226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9.1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0</v>
      </c>
      <c r="V74" s="2" t="inlineStr">
        <is>
          <t>Doftticka
Lunglav</t>
        </is>
      </c>
      <c r="W74">
        <f>HYPERLINK("https://klasma.github.io/Logging_2582/artfynd/A 45477-2025 artfynd.xlsx", "A 45477-2025")</f>
        <v/>
      </c>
      <c r="X74">
        <f>HYPERLINK("https://klasma.github.io/Logging_2582/kartor/A 45477-2025 karta.png", "A 45477-2025")</f>
        <v/>
      </c>
      <c r="Y74">
        <f>HYPERLINK("https://klasma.github.io/Logging_2582/kartor_geotiff/A 45477-2025 georefererad karta.tif", "A 45477-2025")</f>
        <v/>
      </c>
      <c r="AA74">
        <f>HYPERLINK("https://klasma.github.io/Logging_2582/klagomål/A 45477-2025 FSC-klagomål.docx", "A 45477-2025")</f>
        <v/>
      </c>
      <c r="AB74">
        <f>HYPERLINK("https://klasma.github.io/Logging_2582/klagomålsmail/A 45477-2025 FSC-klagomål mail.docx", "A 45477-2025")</f>
        <v/>
      </c>
      <c r="AC74">
        <f>HYPERLINK("https://klasma.github.io/Logging_2582/tillsyn/A 45477-2025 tillsynsbegäran.docx", "A 45477-2025")</f>
        <v/>
      </c>
      <c r="AD74">
        <f>HYPERLINK("https://klasma.github.io/Logging_2582/tillsynsmail/A 45477-2025 tillsynsbegäran mail.docx", "A 45477-2025")</f>
        <v/>
      </c>
    </row>
    <row r="75" ht="15" customHeight="1">
      <c r="A75" t="inlineStr">
        <is>
          <t>A 50100-2025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46226</v>
      </c>
      <c r="F75" t="inlineStr">
        <is>
          <t>NORRBOTTENS LÄN</t>
        </is>
      </c>
      <c r="G75" t="inlineStr">
        <is>
          <t>BODEN</t>
        </is>
      </c>
      <c r="I75" t="n">
        <v>6.5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Mörk kolflarnlav
Fläcknycklar</t>
        </is>
      </c>
      <c r="W75">
        <f>HYPERLINK("https://klasma.github.io/Logging_2582/artfynd/A 50100-2025 artfynd.xlsx", "A 50100-2025")</f>
        <v/>
      </c>
      <c r="X75">
        <f>HYPERLINK("https://klasma.github.io/Logging_2582/kartor/A 50100-2025 karta.png", "A 50100-2025")</f>
        <v/>
      </c>
      <c r="Y75">
        <f>HYPERLINK("https://klasma.github.io/Logging_2582/kartor_geotiff/A 50100-2025 georefererad karta.tif", "A 50100-2025")</f>
        <v/>
      </c>
      <c r="AA75">
        <f>HYPERLINK("https://klasma.github.io/Logging_2582/klagomål/A 50100-2025 FSC-klagomål.docx", "A 50100-2025")</f>
        <v/>
      </c>
      <c r="AB75">
        <f>HYPERLINK("https://klasma.github.io/Logging_2582/klagomålsmail/A 50100-2025 FSC-klagomål mail.docx", "A 50100-2025")</f>
        <v/>
      </c>
      <c r="AC75">
        <f>HYPERLINK("https://klasma.github.io/Logging_2582/tillsyn/A 50100-2025 tillsynsbegäran.docx", "A 50100-2025")</f>
        <v/>
      </c>
      <c r="AD75">
        <f>HYPERLINK("https://klasma.github.io/Logging_2582/tillsynsmail/A 50100-2025 tillsynsbegäran mail.docx", "A 50100-2025")</f>
        <v/>
      </c>
    </row>
    <row r="76" ht="15" customHeight="1">
      <c r="A76" t="inlineStr">
        <is>
          <t>A 51957-2025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46226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6</v>
      </c>
      <c r="U76" t="n">
        <v>0</v>
      </c>
      <c r="V76" s="2" t="inlineStr">
        <is>
          <t>Garnlav
Harticka</t>
        </is>
      </c>
      <c r="W76">
        <f>HYPERLINK("https://klasma.github.io/Logging_2582/artfynd/A 51957-2025 artfynd.xlsx", "A 51957-2025")</f>
        <v/>
      </c>
      <c r="X76">
        <f>HYPERLINK("https://klasma.github.io/Logging_2582/kartor/A 51957-2025 karta.png", "A 51957-2025")</f>
        <v/>
      </c>
      <c r="Y76">
        <f>HYPERLINK("https://klasma.github.io/Logging_2582/kartor_geotiff/A 51957-2025 georefererad karta.tif", "A 51957-2025")</f>
        <v/>
      </c>
      <c r="AA76">
        <f>HYPERLINK("https://klasma.github.io/Logging_2582/klagomål/A 51957-2025 FSC-klagomål.docx", "A 51957-2025")</f>
        <v/>
      </c>
      <c r="AB76">
        <f>HYPERLINK("https://klasma.github.io/Logging_2582/klagomålsmail/A 51957-2025 FSC-klagomål mail.docx", "A 51957-2025")</f>
        <v/>
      </c>
      <c r="AC76">
        <f>HYPERLINK("https://klasma.github.io/Logging_2582/tillsyn/A 51957-2025 tillsynsbegäran.docx", "A 51957-2025")</f>
        <v/>
      </c>
      <c r="AD76">
        <f>HYPERLINK("https://klasma.github.io/Logging_2582/tillsynsmail/A 51957-2025 tillsynsbegäran mail.docx", "A 51957-2025")</f>
        <v/>
      </c>
    </row>
    <row r="77" ht="15" customHeight="1">
      <c r="A77" t="inlineStr">
        <is>
          <t>A 9306-2025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46226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11.7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Rynkskinn</t>
        </is>
      </c>
      <c r="W77">
        <f>HYPERLINK("https://klasma.github.io/Logging_2582/artfynd/A 9306-2025 artfynd.xlsx", "A 9306-2025")</f>
        <v/>
      </c>
      <c r="X77">
        <f>HYPERLINK("https://klasma.github.io/Logging_2582/kartor/A 9306-2025 karta.png", "A 9306-2025")</f>
        <v/>
      </c>
      <c r="Y77">
        <f>HYPERLINK("https://klasma.github.io/Logging_2582/kartor_geotiff/A 9306-2025 georefererad karta.tif", "A 9306-2025")</f>
        <v/>
      </c>
      <c r="AA77">
        <f>HYPERLINK("https://klasma.github.io/Logging_2582/klagomål/A 9306-2025 FSC-klagomål.docx", "A 9306-2025")</f>
        <v/>
      </c>
      <c r="AB77">
        <f>HYPERLINK("https://klasma.github.io/Logging_2582/klagomålsmail/A 9306-2025 FSC-klagomål mail.docx", "A 9306-2025")</f>
        <v/>
      </c>
      <c r="AC77">
        <f>HYPERLINK("https://klasma.github.io/Logging_2582/tillsyn/A 9306-2025 tillsynsbegäran.docx", "A 9306-2025")</f>
        <v/>
      </c>
      <c r="AD77">
        <f>HYPERLINK("https://klasma.github.io/Logging_2582/tillsynsmail/A 9306-2025 tillsynsbegäran mail.docx", "A 9306-2025")</f>
        <v/>
      </c>
    </row>
    <row r="78" ht="15" customHeight="1">
      <c r="A78" t="inlineStr">
        <is>
          <t>A 60774-2025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46226</v>
      </c>
      <c r="F78" t="inlineStr">
        <is>
          <t>NORRBOTTENS LÄN</t>
        </is>
      </c>
      <c r="G78" t="inlineStr">
        <is>
          <t>BODEN</t>
        </is>
      </c>
      <c r="I78" t="n">
        <v>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Ullticka
Skinnlav</t>
        </is>
      </c>
      <c r="W78">
        <f>HYPERLINK("https://klasma.github.io/Logging_2582/artfynd/A 60774-2025 artfynd.xlsx", "A 60774-2025")</f>
        <v/>
      </c>
      <c r="X78">
        <f>HYPERLINK("https://klasma.github.io/Logging_2582/kartor/A 60774-2025 karta.png", "A 60774-2025")</f>
        <v/>
      </c>
      <c r="Y78">
        <f>HYPERLINK("https://klasma.github.io/Logging_2582/kartor_geotiff/A 60774-2025 georefererad karta.tif", "A 60774-2025")</f>
        <v/>
      </c>
      <c r="AA78">
        <f>HYPERLINK("https://klasma.github.io/Logging_2582/klagomål/A 60774-2025 FSC-klagomål.docx", "A 60774-2025")</f>
        <v/>
      </c>
      <c r="AB78">
        <f>HYPERLINK("https://klasma.github.io/Logging_2582/klagomålsmail/A 60774-2025 FSC-klagomål mail.docx", "A 60774-2025")</f>
        <v/>
      </c>
      <c r="AC78">
        <f>HYPERLINK("https://klasma.github.io/Logging_2582/tillsyn/A 60774-2025 tillsynsbegäran.docx", "A 60774-2025")</f>
        <v/>
      </c>
      <c r="AD78">
        <f>HYPERLINK("https://klasma.github.io/Logging_2582/tillsynsmail/A 60774-2025 tillsynsbegäran mail.docx", "A 60774-2025")</f>
        <v/>
      </c>
    </row>
    <row r="79" ht="15" customHeight="1">
      <c r="A79" t="inlineStr">
        <is>
          <t>A 54167-2025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46226</v>
      </c>
      <c r="F79" t="inlineStr">
        <is>
          <t>NORRBOTTENS LÄN</t>
        </is>
      </c>
      <c r="G79" t="inlineStr">
        <is>
          <t>BODEN</t>
        </is>
      </c>
      <c r="I79" t="n">
        <v>1.1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Stiftgelélav</t>
        </is>
      </c>
      <c r="W79">
        <f>HYPERLINK("https://klasma.github.io/Logging_2582/artfynd/A 54167-2025 artfynd.xlsx", "A 54167-2025")</f>
        <v/>
      </c>
      <c r="X79">
        <f>HYPERLINK("https://klasma.github.io/Logging_2582/kartor/A 54167-2025 karta.png", "A 54167-2025")</f>
        <v/>
      </c>
      <c r="Y79">
        <f>HYPERLINK("https://klasma.github.io/Logging_2582/kartor_geotiff/A 54167-2025 georefererad karta.tif", "A 54167-2025")</f>
        <v/>
      </c>
      <c r="AA79">
        <f>HYPERLINK("https://klasma.github.io/Logging_2582/klagomål/A 54167-2025 FSC-klagomål.docx", "A 54167-2025")</f>
        <v/>
      </c>
      <c r="AB79">
        <f>HYPERLINK("https://klasma.github.io/Logging_2582/klagomålsmail/A 54167-2025 FSC-klagomål mail.docx", "A 54167-2025")</f>
        <v/>
      </c>
      <c r="AC79">
        <f>HYPERLINK("https://klasma.github.io/Logging_2582/tillsyn/A 54167-2025 tillsynsbegäran.docx", "A 54167-2025")</f>
        <v/>
      </c>
      <c r="AD79">
        <f>HYPERLINK("https://klasma.github.io/Logging_2582/tillsynsmail/A 54167-2025 tillsynsbegäran mail.docx", "A 54167-2025")</f>
        <v/>
      </c>
    </row>
    <row r="80" ht="15" customHeight="1">
      <c r="A80" t="inlineStr">
        <is>
          <t>A 48899-2024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46226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Hässlebrodd
Fläcknycklar</t>
        </is>
      </c>
      <c r="W80">
        <f>HYPERLINK("https://klasma.github.io/Logging_2582/artfynd/A 48899-2024 artfynd.xlsx", "A 48899-2024")</f>
        <v/>
      </c>
      <c r="X80">
        <f>HYPERLINK("https://klasma.github.io/Logging_2582/kartor/A 48899-2024 karta.png", "A 48899-2024")</f>
        <v/>
      </c>
      <c r="Y80">
        <f>HYPERLINK("https://klasma.github.io/Logging_2582/kartor_geotiff/A 48899-2024 georefererad karta.tif", "A 48899-2024")</f>
        <v/>
      </c>
      <c r="AA80">
        <f>HYPERLINK("https://klasma.github.io/Logging_2582/klagomål/A 48899-2024 FSC-klagomål.docx", "A 48899-2024")</f>
        <v/>
      </c>
      <c r="AB80">
        <f>HYPERLINK("https://klasma.github.io/Logging_2582/klagomålsmail/A 48899-2024 FSC-klagomål mail.docx", "A 48899-2024")</f>
        <v/>
      </c>
      <c r="AC80">
        <f>HYPERLINK("https://klasma.github.io/Logging_2582/tillsyn/A 48899-2024 tillsynsbegäran.docx", "A 48899-2024")</f>
        <v/>
      </c>
      <c r="AD80">
        <f>HYPERLINK("https://klasma.github.io/Logging_2582/tillsynsmail/A 48899-2024 tillsynsbegäran mail.docx", "A 48899-2024")</f>
        <v/>
      </c>
    </row>
    <row r="81" ht="15" customHeight="1">
      <c r="A81" t="inlineStr">
        <is>
          <t>A 61210-2024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46226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4</v>
      </c>
      <c r="U81" t="n">
        <v>0</v>
      </c>
      <c r="V81" s="2" t="inlineStr">
        <is>
          <t>Skrovlig taggsvamp
Blå taggsvamp</t>
        </is>
      </c>
      <c r="W81">
        <f>HYPERLINK("https://klasma.github.io/Logging_2582/artfynd/A 61210-2024 artfynd.xlsx", "A 61210-2024")</f>
        <v/>
      </c>
      <c r="X81">
        <f>HYPERLINK("https://klasma.github.io/Logging_2582/kartor/A 61210-2024 karta.png", "A 61210-2024")</f>
        <v/>
      </c>
      <c r="Y81">
        <f>HYPERLINK("https://klasma.github.io/Logging_2582/kartor_geotiff/A 61210-2024 georefererad karta.tif", "A 61210-2024")</f>
        <v/>
      </c>
      <c r="AA81">
        <f>HYPERLINK("https://klasma.github.io/Logging_2582/klagomål/A 61210-2024 FSC-klagomål.docx", "A 61210-2024")</f>
        <v/>
      </c>
      <c r="AB81">
        <f>HYPERLINK("https://klasma.github.io/Logging_2582/klagomålsmail/A 61210-2024 FSC-klagomål mail.docx", "A 61210-2024")</f>
        <v/>
      </c>
      <c r="AC81">
        <f>HYPERLINK("https://klasma.github.io/Logging_2582/tillsyn/A 61210-2024 tillsynsbegäran.docx", "A 61210-2024")</f>
        <v/>
      </c>
      <c r="AD81">
        <f>HYPERLINK("https://klasma.github.io/Logging_2582/tillsynsmail/A 61210-2024 tillsynsbegäran mail.docx", "A 61210-2024")</f>
        <v/>
      </c>
    </row>
    <row r="82" ht="15" customHeight="1">
      <c r="A82" t="inlineStr">
        <is>
          <t>A 31758-2025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46226</v>
      </c>
      <c r="F82" t="inlineStr">
        <is>
          <t>NORRBOTTENS LÄN</t>
        </is>
      </c>
      <c r="G82" t="inlineStr">
        <is>
          <t>BODEN</t>
        </is>
      </c>
      <c r="I82" t="n">
        <v>19.9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Garnlav
Tretåig hackspett</t>
        </is>
      </c>
      <c r="W82">
        <f>HYPERLINK("https://klasma.github.io/Logging_2582/artfynd/A 31758-2025 artfynd.xlsx", "A 31758-2025")</f>
        <v/>
      </c>
      <c r="X82">
        <f>HYPERLINK("https://klasma.github.io/Logging_2582/kartor/A 31758-2025 karta.png", "A 31758-2025")</f>
        <v/>
      </c>
      <c r="Y82">
        <f>HYPERLINK("https://klasma.github.io/Logging_2582/kartor_geotiff/A 31758-2025 georefererad karta.tif", "A 31758-2025")</f>
        <v/>
      </c>
      <c r="AA82">
        <f>HYPERLINK("https://klasma.github.io/Logging_2582/klagomål/A 31758-2025 FSC-klagomål.docx", "A 31758-2025")</f>
        <v/>
      </c>
      <c r="AB82">
        <f>HYPERLINK("https://klasma.github.io/Logging_2582/klagomålsmail/A 31758-2025 FSC-klagomål mail.docx", "A 31758-2025")</f>
        <v/>
      </c>
      <c r="AC82">
        <f>HYPERLINK("https://klasma.github.io/Logging_2582/tillsyn/A 31758-2025 tillsynsbegäran.docx", "A 31758-2025")</f>
        <v/>
      </c>
      <c r="AD82">
        <f>HYPERLINK("https://klasma.github.io/Logging_2582/tillsynsmail/A 31758-2025 tillsynsbegäran mail.docx", "A 31758-2025")</f>
        <v/>
      </c>
      <c r="AE82">
        <f>HYPERLINK("https://klasma.github.io/Logging_2582/fåglar/A 31758-2025 prioriterade fågelarter.docx", "A 31758-2025")</f>
        <v/>
      </c>
    </row>
    <row r="83" ht="15" customHeight="1">
      <c r="A83" t="inlineStr">
        <is>
          <t>A 37086-2025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46226</v>
      </c>
      <c r="F83" t="inlineStr">
        <is>
          <t>NORRBOTTENS LÄN</t>
        </is>
      </c>
      <c r="G83" t="inlineStr">
        <is>
          <t>BODEN</t>
        </is>
      </c>
      <c r="H83" t="inlineStr">
        <is>
          <t>Övriga Aktiebolag</t>
        </is>
      </c>
      <c r="I83" t="n">
        <v>22.8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37086-2025 artfynd.xlsx", "A 37086-2025")</f>
        <v/>
      </c>
      <c r="X83">
        <f>HYPERLINK("https://klasma.github.io/Logging_2582/kartor/A 37086-2025 karta.png", "A 37086-2025")</f>
        <v/>
      </c>
      <c r="Y83">
        <f>HYPERLINK("https://klasma.github.io/Logging_2582/kartor_geotiff/A 37086-2025 georefererad karta.tif", "A 37086-2025")</f>
        <v/>
      </c>
      <c r="AA83">
        <f>HYPERLINK("https://klasma.github.io/Logging_2582/klagomål/A 37086-2025 FSC-klagomål.docx", "A 37086-2025")</f>
        <v/>
      </c>
      <c r="AB83">
        <f>HYPERLINK("https://klasma.github.io/Logging_2582/klagomålsmail/A 37086-2025 FSC-klagomål mail.docx", "A 37086-2025")</f>
        <v/>
      </c>
      <c r="AC83">
        <f>HYPERLINK("https://klasma.github.io/Logging_2582/tillsyn/A 37086-2025 tillsynsbegäran.docx", "A 37086-2025")</f>
        <v/>
      </c>
      <c r="AD83">
        <f>HYPERLINK("https://klasma.github.io/Logging_2582/tillsynsmail/A 37086-2025 tillsynsbegäran mail.docx", "A 37086-2025")</f>
        <v/>
      </c>
    </row>
    <row r="84" ht="15" customHeight="1">
      <c r="A84" t="inlineStr">
        <is>
          <t>A 26773-2026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46226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Lunglav</t>
        </is>
      </c>
      <c r="W84">
        <f>HYPERLINK("https://klasma.github.io/Logging_2582/artfynd/A 26773-2026 artfynd.xlsx", "A 26773-2026")</f>
        <v/>
      </c>
      <c r="X84">
        <f>HYPERLINK("https://klasma.github.io/Logging_2582/kartor/A 26773-2026 karta.png", "A 26773-2026")</f>
        <v/>
      </c>
      <c r="Y84">
        <f>HYPERLINK("https://klasma.github.io/Logging_2582/kartor_geotiff/A 26773-2026 georefererad karta.tif", "A 26773-2026")</f>
        <v/>
      </c>
      <c r="Z84">
        <f>HYPERLINK("https://klasma.github.io/Logging_2582/knärot/A 26773-2026 karta knärot.png", "A 26773-2026")</f>
        <v/>
      </c>
      <c r="AA84">
        <f>HYPERLINK("https://klasma.github.io/Logging_2582/klagomål/A 26773-2026 FSC-klagomål.docx", "A 26773-2026")</f>
        <v/>
      </c>
      <c r="AB84">
        <f>HYPERLINK("https://klasma.github.io/Logging_2582/klagomålsmail/A 26773-2026 FSC-klagomål mail.docx", "A 26773-2026")</f>
        <v/>
      </c>
      <c r="AC84">
        <f>HYPERLINK("https://klasma.github.io/Logging_2582/tillsyn/A 26773-2026 tillsynsbegäran.docx", "A 26773-2026")</f>
        <v/>
      </c>
      <c r="AD84">
        <f>HYPERLINK("https://klasma.github.io/Logging_2582/tillsynsmail/A 26773-2026 tillsynsbegäran mail.docx", "A 26773-2026")</f>
        <v/>
      </c>
    </row>
    <row r="85" ht="15" customHeight="1">
      <c r="A85" t="inlineStr">
        <is>
          <t>A 26721-2026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46226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7.8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Plattlummer
Tibast</t>
        </is>
      </c>
      <c r="W85">
        <f>HYPERLINK("https://klasma.github.io/Logging_2582/artfynd/A 26721-2026 artfynd.xlsx", "A 26721-2026")</f>
        <v/>
      </c>
      <c r="X85">
        <f>HYPERLINK("https://klasma.github.io/Logging_2582/kartor/A 26721-2026 karta.png", "A 26721-2026")</f>
        <v/>
      </c>
      <c r="Y85">
        <f>HYPERLINK("https://klasma.github.io/Logging_2582/kartor_geotiff/A 26721-2026 georefererad karta.tif", "A 26721-2026")</f>
        <v/>
      </c>
      <c r="AA85">
        <f>HYPERLINK("https://klasma.github.io/Logging_2582/klagomål/A 26721-2026 FSC-klagomål.docx", "A 26721-2026")</f>
        <v/>
      </c>
      <c r="AB85">
        <f>HYPERLINK("https://klasma.github.io/Logging_2582/klagomålsmail/A 26721-2026 FSC-klagomål mail.docx", "A 26721-2026")</f>
        <v/>
      </c>
      <c r="AC85">
        <f>HYPERLINK("https://klasma.github.io/Logging_2582/tillsyn/A 26721-2026 tillsynsbegäran.docx", "A 26721-2026")</f>
        <v/>
      </c>
      <c r="AD85">
        <f>HYPERLINK("https://klasma.github.io/Logging_2582/tillsynsmail/A 26721-2026 tillsynsbegäran mail.docx", "A 26721-2026")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46226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46226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46226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46226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46226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29807-2026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46226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Mörk kolflarnlav</t>
        </is>
      </c>
      <c r="W91">
        <f>HYPERLINK("https://klasma.github.io/Logging_2582/artfynd/A 29807-2026 artfynd.xlsx", "A 29807-2026")</f>
        <v/>
      </c>
      <c r="X91">
        <f>HYPERLINK("https://klasma.github.io/Logging_2582/kartor/A 29807-2026 karta.png", "A 29807-2026")</f>
        <v/>
      </c>
      <c r="Y91">
        <f>HYPERLINK("https://klasma.github.io/Logging_2582/kartor_geotiff/A 29807-2026 georefererad karta.tif", "A 29807-2026")</f>
        <v/>
      </c>
      <c r="AA91">
        <f>HYPERLINK("https://klasma.github.io/Logging_2582/klagomål/A 29807-2026 FSC-klagomål.docx", "A 29807-2026")</f>
        <v/>
      </c>
      <c r="AB91">
        <f>HYPERLINK("https://klasma.github.io/Logging_2582/klagomålsmail/A 29807-2026 FSC-klagomål mail.docx", "A 29807-2026")</f>
        <v/>
      </c>
      <c r="AC91">
        <f>HYPERLINK("https://klasma.github.io/Logging_2582/tillsyn/A 29807-2026 tillsynsbegäran.docx", "A 29807-2026")</f>
        <v/>
      </c>
      <c r="AD91">
        <f>HYPERLINK("https://klasma.github.io/Logging_2582/tillsynsmail/A 29807-2026 tillsynsbegäran mail.docx", "A 29807-2026")</f>
        <v/>
      </c>
    </row>
    <row r="92" ht="15" customHeight="1">
      <c r="A92" t="inlineStr">
        <is>
          <t>A 29860-2026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46226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Knottrig blåslav
Lunglav</t>
        </is>
      </c>
      <c r="W92">
        <f>HYPERLINK("https://klasma.github.io/Logging_2582/artfynd/A 29860-2026 artfynd.xlsx", "A 29860-2026")</f>
        <v/>
      </c>
      <c r="X92">
        <f>HYPERLINK("https://klasma.github.io/Logging_2582/kartor/A 29860-2026 karta.png", "A 29860-2026")</f>
        <v/>
      </c>
      <c r="Y92">
        <f>HYPERLINK("https://klasma.github.io/Logging_2582/kartor_geotiff/A 29860-2026 georefererad karta.tif", "A 29860-2026")</f>
        <v/>
      </c>
      <c r="AA92">
        <f>HYPERLINK("https://klasma.github.io/Logging_2582/klagomål/A 29860-2026 FSC-klagomål.docx", "A 29860-2026")</f>
        <v/>
      </c>
      <c r="AB92">
        <f>HYPERLINK("https://klasma.github.io/Logging_2582/klagomålsmail/A 29860-2026 FSC-klagomål mail.docx", "A 29860-2026")</f>
        <v/>
      </c>
      <c r="AC92">
        <f>HYPERLINK("https://klasma.github.io/Logging_2582/tillsyn/A 29860-2026 tillsynsbegäran.docx", "A 29860-2026")</f>
        <v/>
      </c>
      <c r="AD92">
        <f>HYPERLINK("https://klasma.github.io/Logging_2582/tillsynsmail/A 29860-2026 tillsynsbegäran mail.docx", "A 29860-2026")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46226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46226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900-2024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45301</v>
      </c>
      <c r="E95" s="1" t="n">
        <v>46226</v>
      </c>
      <c r="F95" t="inlineStr">
        <is>
          <t>NORRBOTTENS LÄN</t>
        </is>
      </c>
      <c r="G95" t="inlineStr">
        <is>
          <t>BODEN</t>
        </is>
      </c>
      <c r="I95" t="n">
        <v>5.2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Revlummer</t>
        </is>
      </c>
      <c r="W95">
        <f>HYPERLINK("https://klasma.github.io/Logging_2582/artfynd/A 900-2024 artfynd.xlsx", "A 900-2024")</f>
        <v/>
      </c>
      <c r="X95">
        <f>HYPERLINK("https://klasma.github.io/Logging_2582/kartor/A 900-2024 karta.png", "A 900-2024")</f>
        <v/>
      </c>
      <c r="Y95">
        <f>HYPERLINK("https://klasma.github.io/Logging_2582/kartor_geotiff/A 900-2024 georefererad karta.tif", "A 900-2024")</f>
        <v/>
      </c>
      <c r="Z95">
        <f>HYPERLINK("https://klasma.github.io/Logging_2582/knärot/A 900-2024 karta knärot.png", "A 900-2024")</f>
        <v/>
      </c>
      <c r="AA95">
        <f>HYPERLINK("https://klasma.github.io/Logging_2582/klagomål/A 900-2024 FSC-klagomål.docx", "A 900-2024")</f>
        <v/>
      </c>
      <c r="AB95">
        <f>HYPERLINK("https://klasma.github.io/Logging_2582/klagomålsmail/A 900-2024 FSC-klagomål mail.docx", "A 900-2024")</f>
        <v/>
      </c>
      <c r="AC95">
        <f>HYPERLINK("https://klasma.github.io/Logging_2582/tillsyn/A 900-2024 tillsynsbegäran.docx", "A 900-2024")</f>
        <v/>
      </c>
      <c r="AD95">
        <f>HYPERLINK("https://klasma.github.io/Logging_2582/tillsynsmail/A 900-2024 tillsynsbegäran mail.docx", "A 900-2024")</f>
        <v/>
      </c>
    </row>
    <row r="96" ht="15" customHeight="1">
      <c r="A96" t="inlineStr">
        <is>
          <t>A 31233-2026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46217</v>
      </c>
      <c r="E96" s="1" t="n">
        <v>46226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18.5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3</v>
      </c>
      <c r="V96" s="2" t="inlineStr">
        <is>
          <t>Lunglav
Fläcknycklar</t>
        </is>
      </c>
      <c r="W96">
        <f>HYPERLINK("https://klasma.github.io/Logging_2582/artfynd/A 31233-2026 artfynd.xlsx", "A 31233-2026")</f>
        <v/>
      </c>
      <c r="X96">
        <f>HYPERLINK("https://klasma.github.io/Logging_2582/kartor/A 31233-2026 karta.png", "A 31233-2026")</f>
        <v/>
      </c>
      <c r="Y96">
        <f>HYPERLINK("https://klasma.github.io/Logging_2582/kartor_geotiff/A 31233-2026 georefererad karta.tif", "A 31233-2026")</f>
        <v/>
      </c>
      <c r="AA96">
        <f>HYPERLINK("https://klasma.github.io/Logging_2582/klagomål/A 31233-2026 FSC-klagomål.docx", "A 31233-2026")</f>
        <v/>
      </c>
      <c r="AB96">
        <f>HYPERLINK("https://klasma.github.io/Logging_2582/klagomålsmail/A 31233-2026 FSC-klagomål mail.docx", "A 31233-2026")</f>
        <v/>
      </c>
      <c r="AC96">
        <f>HYPERLINK("https://klasma.github.io/Logging_2582/tillsyn/A 31233-2026 tillsynsbegäran.docx", "A 31233-2026")</f>
        <v/>
      </c>
      <c r="AD96">
        <f>HYPERLINK("https://klasma.github.io/Logging_2582/tillsynsmail/A 31233-2026 tillsynsbegäran mail.docx", "A 31233-2026")</f>
        <v/>
      </c>
    </row>
    <row r="97" ht="15" customHeight="1">
      <c r="A97" t="inlineStr">
        <is>
          <t>A 34164-2023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45137</v>
      </c>
      <c r="E97" s="1" t="n">
        <v>46226</v>
      </c>
      <c r="F97" t="inlineStr">
        <is>
          <t>NORRBOTTENS LÄN</t>
        </is>
      </c>
      <c r="G97" t="inlineStr">
        <is>
          <t>BODEN</t>
        </is>
      </c>
      <c r="H97" t="inlineStr">
        <is>
          <t>SCA</t>
        </is>
      </c>
      <c r="I97" t="n">
        <v>2.2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Garnlav
Tretåig hackspett</t>
        </is>
      </c>
      <c r="W97">
        <f>HYPERLINK("https://klasma.github.io/Logging_2582/artfynd/A 34164-2023 artfynd.xlsx", "A 34164-2023")</f>
        <v/>
      </c>
      <c r="X97">
        <f>HYPERLINK("https://klasma.github.io/Logging_2582/kartor/A 34164-2023 karta.png", "A 34164-2023")</f>
        <v/>
      </c>
      <c r="Y97">
        <f>HYPERLINK("https://klasma.github.io/Logging_2582/kartor_geotiff/A 34164-2023 georefererad karta.tif", "A 34164-2023")</f>
        <v/>
      </c>
      <c r="AA97">
        <f>HYPERLINK("https://klasma.github.io/Logging_2582/klagomål/A 34164-2023 FSC-klagomål.docx", "A 34164-2023")</f>
        <v/>
      </c>
      <c r="AB97">
        <f>HYPERLINK("https://klasma.github.io/Logging_2582/klagomålsmail/A 34164-2023 FSC-klagomål mail.docx", "A 34164-2023")</f>
        <v/>
      </c>
      <c r="AC97">
        <f>HYPERLINK("https://klasma.github.io/Logging_2582/tillsyn/A 34164-2023 tillsynsbegäran.docx", "A 34164-2023")</f>
        <v/>
      </c>
      <c r="AD97">
        <f>HYPERLINK("https://klasma.github.io/Logging_2582/tillsynsmail/A 34164-2023 tillsynsbegäran mail.docx", "A 34164-2023")</f>
        <v/>
      </c>
      <c r="AE97">
        <f>HYPERLINK("https://klasma.github.io/Logging_2582/fåglar/A 34164-2023 prioriterade fågelarter.docx", "A 34164-2023")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46226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1507-2022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46226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15.4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Talltita
Gråspett</t>
        </is>
      </c>
      <c r="W99">
        <f>HYPERLINK("https://klasma.github.io/Logging_2582/artfynd/A 1507-2022 artfynd.xlsx", "A 1507-2022")</f>
        <v/>
      </c>
      <c r="X99">
        <f>HYPERLINK("https://klasma.github.io/Logging_2582/kartor/A 1507-2022 karta.png", "A 1507-2022")</f>
        <v/>
      </c>
      <c r="Y99">
        <f>HYPERLINK("https://klasma.github.io/Logging_2582/kartor_geotiff/A 1507-2022 georefererad karta.tif", "A 1507-2022")</f>
        <v/>
      </c>
      <c r="AA99">
        <f>HYPERLINK("https://klasma.github.io/Logging_2582/klagomål/A 1507-2022 FSC-klagomål.docx", "A 1507-2022")</f>
        <v/>
      </c>
      <c r="AB99">
        <f>HYPERLINK("https://klasma.github.io/Logging_2582/klagomålsmail/A 1507-2022 FSC-klagomål mail.docx", "A 1507-2022")</f>
        <v/>
      </c>
      <c r="AC99">
        <f>HYPERLINK("https://klasma.github.io/Logging_2582/tillsyn/A 1507-2022 tillsynsbegäran.docx", "A 1507-2022")</f>
        <v/>
      </c>
      <c r="AD99">
        <f>HYPERLINK("https://klasma.github.io/Logging_2582/tillsynsmail/A 1507-2022 tillsynsbegäran mail.docx", "A 1507-2022")</f>
        <v/>
      </c>
      <c r="AE99">
        <f>HYPERLINK("https://klasma.github.io/Logging_2582/fåglar/A 1507-2022 prioriterade fågelarter.docx", "A 1507-2022")</f>
        <v/>
      </c>
    </row>
    <row r="100" ht="15" customHeight="1">
      <c r="A100" t="inlineStr">
        <is>
          <t>A 22906-2023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45072</v>
      </c>
      <c r="E100" s="1" t="n">
        <v>46226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3.5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Talltita
Utter</t>
        </is>
      </c>
      <c r="W100">
        <f>HYPERLINK("https://klasma.github.io/Logging_2582/artfynd/A 22906-2023 artfynd.xlsx", "A 22906-2023")</f>
        <v/>
      </c>
      <c r="X100">
        <f>HYPERLINK("https://klasma.github.io/Logging_2582/kartor/A 22906-2023 karta.png", "A 22906-2023")</f>
        <v/>
      </c>
      <c r="Y100">
        <f>HYPERLINK("https://klasma.github.io/Logging_2582/kartor_geotiff/A 22906-2023 georefererad karta.tif", "A 22906-2023")</f>
        <v/>
      </c>
      <c r="AA100">
        <f>HYPERLINK("https://klasma.github.io/Logging_2582/klagomål/A 22906-2023 FSC-klagomål.docx", "A 22906-2023")</f>
        <v/>
      </c>
      <c r="AB100">
        <f>HYPERLINK("https://klasma.github.io/Logging_2582/klagomålsmail/A 22906-2023 FSC-klagomål mail.docx", "A 22906-2023")</f>
        <v/>
      </c>
      <c r="AC100">
        <f>HYPERLINK("https://klasma.github.io/Logging_2582/tillsyn/A 22906-2023 tillsynsbegäran.docx", "A 22906-2023")</f>
        <v/>
      </c>
      <c r="AD100">
        <f>HYPERLINK("https://klasma.github.io/Logging_2582/tillsynsmail/A 22906-2023 tillsynsbegäran mail.docx", "A 22906-2023")</f>
        <v/>
      </c>
      <c r="AE100">
        <f>HYPERLINK("https://klasma.github.io/Logging_2582/fåglar/A 22906-2023 prioriterade fågelarter.docx", "A 22906-2023")</f>
        <v/>
      </c>
    </row>
    <row r="101" ht="15" customHeight="1">
      <c r="A101" t="inlineStr">
        <is>
          <t>A 17292-2022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46226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Revlummer</t>
        </is>
      </c>
      <c r="W101">
        <f>HYPERLINK("https://klasma.github.io/Logging_2582/artfynd/A 17292-2022 artfynd.xlsx", "A 17292-2022")</f>
        <v/>
      </c>
      <c r="X101">
        <f>HYPERLINK("https://klasma.github.io/Logging_2582/kartor/A 17292-2022 karta.png", "A 17292-2022")</f>
        <v/>
      </c>
      <c r="Y101">
        <f>HYPERLINK("https://klasma.github.io/Logging_2582/kartor_geotiff/A 17292-2022 georefererad karta.tif", "A 17292-2022")</f>
        <v/>
      </c>
      <c r="AA101">
        <f>HYPERLINK("https://klasma.github.io/Logging_2582/klagomål/A 17292-2022 FSC-klagomål.docx", "A 17292-2022")</f>
        <v/>
      </c>
      <c r="AB101">
        <f>HYPERLINK("https://klasma.github.io/Logging_2582/klagomålsmail/A 17292-2022 FSC-klagomål mail.docx", "A 17292-2022")</f>
        <v/>
      </c>
      <c r="AC101">
        <f>HYPERLINK("https://klasma.github.io/Logging_2582/tillsyn/A 17292-2022 tillsynsbegäran.docx", "A 17292-2022")</f>
        <v/>
      </c>
      <c r="AD101">
        <f>HYPERLINK("https://klasma.github.io/Logging_2582/tillsynsmail/A 17292-2022 tillsynsbegäran mail.docx", "A 17292-2022")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46226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46226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46226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46226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46226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46226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46226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46226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46226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46226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46226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46226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41443-2025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45901</v>
      </c>
      <c r="E114" s="1" t="n">
        <v>46226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HYPERLINK("https://klasma.github.io/Logging_2582/artfynd/A 41443-2025 artfynd.xlsx", "A 41443-2025")</f>
        <v/>
      </c>
      <c r="X114">
        <f>HYPERLINK("https://klasma.github.io/Logging_2582/kartor/A 41443-2025 karta.png", "A 41443-2025")</f>
        <v/>
      </c>
      <c r="Y114">
        <f>HYPERLINK("https://klasma.github.io/Logging_2582/kartor_geotiff/A 41443-2025 georefererad karta.tif", "A 41443-2025")</f>
        <v/>
      </c>
      <c r="AA114">
        <f>HYPERLINK("https://klasma.github.io/Logging_2582/klagomål/A 41443-2025 FSC-klagomål.docx", "A 41443-2025")</f>
        <v/>
      </c>
      <c r="AB114">
        <f>HYPERLINK("https://klasma.github.io/Logging_2582/klagomålsmail/A 41443-2025 FSC-klagomål mail.docx", "A 41443-2025")</f>
        <v/>
      </c>
      <c r="AC114">
        <f>HYPERLINK("https://klasma.github.io/Logging_2582/tillsyn/A 41443-2025 tillsynsbegäran.docx", "A 41443-2025")</f>
        <v/>
      </c>
      <c r="AD114">
        <f>HYPERLINK("https://klasma.github.io/Logging_2582/tillsynsmail/A 41443-2025 tillsynsbegäran mail.docx", "A 41443-2025")</f>
        <v/>
      </c>
    </row>
    <row r="115" ht="15" customHeight="1">
      <c r="A115" t="inlineStr">
        <is>
          <t>A 13568-2022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46226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Lavskrika</t>
        </is>
      </c>
      <c r="W115">
        <f>HYPERLINK("https://klasma.github.io/Logging_2582/artfynd/A 13568-2022 artfynd.xlsx", "A 13568-2022")</f>
        <v/>
      </c>
      <c r="X115">
        <f>HYPERLINK("https://klasma.github.io/Logging_2582/kartor/A 13568-2022 karta.png", "A 13568-2022")</f>
        <v/>
      </c>
      <c r="Y115">
        <f>HYPERLINK("https://klasma.github.io/Logging_2582/kartor_geotiff/A 13568-2022 georefererad karta.tif", "A 13568-2022")</f>
        <v/>
      </c>
      <c r="AA115">
        <f>HYPERLINK("https://klasma.github.io/Logging_2582/klagomål/A 13568-2022 FSC-klagomål.docx", "A 13568-2022")</f>
        <v/>
      </c>
      <c r="AB115">
        <f>HYPERLINK("https://klasma.github.io/Logging_2582/klagomålsmail/A 13568-2022 FSC-klagomål mail.docx", "A 13568-2022")</f>
        <v/>
      </c>
      <c r="AC115">
        <f>HYPERLINK("https://klasma.github.io/Logging_2582/tillsyn/A 13568-2022 tillsynsbegäran.docx", "A 13568-2022")</f>
        <v/>
      </c>
      <c r="AD115">
        <f>HYPERLINK("https://klasma.github.io/Logging_2582/tillsynsmail/A 13568-2022 tillsynsbegäran mail.docx", "A 13568-2022")</f>
        <v/>
      </c>
      <c r="AE115">
        <f>HYPERLINK("https://klasma.github.io/Logging_2582/fåglar/A 13568-2022 prioriterade fågelarter.docx", "A 13568-2022")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46226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Fläcknycklar</t>
        </is>
      </c>
      <c r="W116">
        <f>HYPERLINK("https://klasma.github.io/Logging_2582/artfynd/A 41436-2025 artfynd.xlsx", "A 41436-2025")</f>
        <v/>
      </c>
      <c r="X116">
        <f>HYPERLINK("https://klasma.github.io/Logging_2582/kartor/A 41436-2025 karta.png", "A 41436-2025")</f>
        <v/>
      </c>
      <c r="Y116">
        <f>HYPERLINK("https://klasma.github.io/Logging_2582/kartor_geotiff/A 41436-2025 georefererad karta.tif", "A 41436-2025")</f>
        <v/>
      </c>
      <c r="AA116">
        <f>HYPERLINK("https://klasma.github.io/Logging_2582/klagomål/A 41436-2025 FSC-klagomål.docx", "A 41436-2025")</f>
        <v/>
      </c>
      <c r="AB116">
        <f>HYPERLINK("https://klasma.github.io/Logging_2582/klagomålsmail/A 41436-2025 FSC-klagomål mail.docx", "A 41436-2025")</f>
        <v/>
      </c>
      <c r="AC116">
        <f>HYPERLINK("https://klasma.github.io/Logging_2582/tillsyn/A 41436-2025 tillsynsbegäran.docx", "A 41436-2025")</f>
        <v/>
      </c>
      <c r="AD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46226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Tallticka</t>
        </is>
      </c>
      <c r="W117">
        <f>HYPERLINK("https://klasma.github.io/Logging_2582/artfynd/A 26359-2022 artfynd.xlsx", "A 26359-2022")</f>
        <v/>
      </c>
      <c r="X117">
        <f>HYPERLINK("https://klasma.github.io/Logging_2582/kartor/A 26359-2022 karta.png", "A 26359-2022")</f>
        <v/>
      </c>
      <c r="Y117">
        <f>HYPERLINK("https://klasma.github.io/Logging_2582/kartor_geotiff/A 26359-2022 georefererad karta.tif", "A 26359-2022")</f>
        <v/>
      </c>
      <c r="AA117">
        <f>HYPERLINK("https://klasma.github.io/Logging_2582/klagomål/A 26359-2022 FSC-klagomål.docx", "A 26359-2022")</f>
        <v/>
      </c>
      <c r="AB117">
        <f>HYPERLINK("https://klasma.github.io/Logging_2582/klagomålsmail/A 26359-2022 FSC-klagomål mail.docx", "A 26359-2022")</f>
        <v/>
      </c>
      <c r="AC117">
        <f>HYPERLINK("https://klasma.github.io/Logging_2582/tillsyn/A 26359-2022 tillsynsbegäran.docx", "A 26359-2022")</f>
        <v/>
      </c>
      <c r="AD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14329-2026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46226</v>
      </c>
      <c r="F118" t="inlineStr">
        <is>
          <t>NORRBOTTENS LÄN</t>
        </is>
      </c>
      <c r="G118" t="inlineStr">
        <is>
          <t>BODEN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HYPERLINK("https://klasma.github.io/Logging_2582/artfynd/A 14329-2026 artfynd.xlsx", "A 14329-2026")</f>
        <v/>
      </c>
      <c r="X118">
        <f>HYPERLINK("https://klasma.github.io/Logging_2582/kartor/A 14329-2026 karta.png", "A 14329-2026")</f>
        <v/>
      </c>
      <c r="Y118">
        <f>HYPERLINK("https://klasma.github.io/Logging_2582/kartor_geotiff/A 14329-2026 georefererad karta.tif", "A 14329-2026")</f>
        <v/>
      </c>
      <c r="AA118">
        <f>HYPERLINK("https://klasma.github.io/Logging_2582/klagomål/A 14329-2026 FSC-klagomål.docx", "A 14329-2026")</f>
        <v/>
      </c>
      <c r="AB118">
        <f>HYPERLINK("https://klasma.github.io/Logging_2582/klagomålsmail/A 14329-2026 FSC-klagomål mail.docx", "A 14329-2026")</f>
        <v/>
      </c>
      <c r="AC118">
        <f>HYPERLINK("https://klasma.github.io/Logging_2582/tillsyn/A 14329-2026 tillsynsbegäran.docx", "A 14329-2026")</f>
        <v/>
      </c>
      <c r="AD118">
        <f>HYPERLINK("https://klasma.github.io/Logging_2582/tillsynsmail/A 14329-2026 tillsynsbegäran mail.docx", "A 14329-2026")</f>
        <v/>
      </c>
      <c r="AE118">
        <f>HYPERLINK("https://klasma.github.io/Logging_2582/fåglar/A 14329-2026 prioriterade fågelarter.docx", "A 14329-2026")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46226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46226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46226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46226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Sångsvan</t>
        </is>
      </c>
      <c r="W122">
        <f>HYPERLINK("https://klasma.github.io/Logging_2582/artfynd/A 51258-2025 artfynd.xlsx", "A 51258-2025")</f>
        <v/>
      </c>
      <c r="X122">
        <f>HYPERLINK("https://klasma.github.io/Logging_2582/kartor/A 51258-2025 karta.png", "A 51258-2025")</f>
        <v/>
      </c>
      <c r="Y122">
        <f>HYPERLINK("https://klasma.github.io/Logging_2582/kartor_geotiff/A 51258-2025 georefererad karta.tif", "A 51258-2025")</f>
        <v/>
      </c>
      <c r="AA122">
        <f>HYPERLINK("https://klasma.github.io/Logging_2582/klagomål/A 51258-2025 FSC-klagomål.docx", "A 51258-2025")</f>
        <v/>
      </c>
      <c r="AB122">
        <f>HYPERLINK("https://klasma.github.io/Logging_2582/klagomålsmail/A 51258-2025 FSC-klagomål mail.docx", "A 51258-2025")</f>
        <v/>
      </c>
      <c r="AC122">
        <f>HYPERLINK("https://klasma.github.io/Logging_2582/tillsyn/A 51258-2025 tillsynsbegäran.docx", "A 51258-2025")</f>
        <v/>
      </c>
      <c r="AD122">
        <f>HYPERLINK("https://klasma.github.io/Logging_2582/tillsynsmail/A 51258-2025 tillsynsbegäran mail.docx", "A 51258-2025")</f>
        <v/>
      </c>
      <c r="AE122">
        <f>HYPERLINK("https://klasma.github.io/Logging_2582/fåglar/A 51258-2025 prioriterade fågelarter.docx", "A 51258-2025")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46226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19580-2026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46226</v>
      </c>
      <c r="F124" t="inlineStr">
        <is>
          <t>NORRBOTTENS LÄN</t>
        </is>
      </c>
      <c r="G124" t="inlineStr">
        <is>
          <t>BODEN</t>
        </is>
      </c>
      <c r="I124" t="n">
        <v>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Dropptaggsvamp</t>
        </is>
      </c>
      <c r="W124">
        <f>HYPERLINK("https://klasma.github.io/Logging_2582/artfynd/A 19580-2026 artfynd.xlsx", "A 19580-2026")</f>
        <v/>
      </c>
      <c r="X124">
        <f>HYPERLINK("https://klasma.github.io/Logging_2582/kartor/A 19580-2026 karta.png", "A 19580-2026")</f>
        <v/>
      </c>
      <c r="Y124">
        <f>HYPERLINK("https://klasma.github.io/Logging_2582/kartor_geotiff/A 19580-2026 georefererad karta.tif", "A 19580-2026")</f>
        <v/>
      </c>
      <c r="AA124">
        <f>HYPERLINK("https://klasma.github.io/Logging_2582/klagomål/A 19580-2026 FSC-klagomål.docx", "A 19580-2026")</f>
        <v/>
      </c>
      <c r="AB124">
        <f>HYPERLINK("https://klasma.github.io/Logging_2582/klagomålsmail/A 19580-2026 FSC-klagomål mail.docx", "A 19580-2026")</f>
        <v/>
      </c>
      <c r="AC124">
        <f>HYPERLINK("https://klasma.github.io/Logging_2582/tillsyn/A 19580-2026 tillsynsbegäran.docx", "A 19580-2026")</f>
        <v/>
      </c>
      <c r="AD124">
        <f>HYPERLINK("https://klasma.github.io/Logging_2582/tillsynsmail/A 19580-2026 tillsynsbegäran mail.docx", "A 19580-2026")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46226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46226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46226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46226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46226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46226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Rosenticka</t>
        </is>
      </c>
      <c r="W130">
        <f>HYPERLINK("https://klasma.github.io/Logging_2582/artfynd/A 60781-2025 artfynd.xlsx", "A 60781-2025")</f>
        <v/>
      </c>
      <c r="X130">
        <f>HYPERLINK("https://klasma.github.io/Logging_2582/kartor/A 60781-2025 karta.png", "A 60781-2025")</f>
        <v/>
      </c>
      <c r="Y130">
        <f>HYPERLINK("https://klasma.github.io/Logging_2582/kartor_geotiff/A 60781-2025 georefererad karta.tif", "A 60781-2025")</f>
        <v/>
      </c>
      <c r="AA130">
        <f>HYPERLINK("https://klasma.github.io/Logging_2582/klagomål/A 60781-2025 FSC-klagomål.docx", "A 60781-2025")</f>
        <v/>
      </c>
      <c r="AB130">
        <f>HYPERLINK("https://klasma.github.io/Logging_2582/klagomålsmail/A 60781-2025 FSC-klagomål mail.docx", "A 60781-2025")</f>
        <v/>
      </c>
      <c r="AC130">
        <f>HYPERLINK("https://klasma.github.io/Logging_2582/tillsyn/A 60781-2025 tillsynsbegäran.docx", "A 60781-2025")</f>
        <v/>
      </c>
      <c r="AD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62002-2025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46226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Vitgrynig nållav</t>
        </is>
      </c>
      <c r="W131">
        <f>HYPERLINK("https://klasma.github.io/Logging_2582/artfynd/A 62002-2025 artfynd.xlsx", "A 62002-2025")</f>
        <v/>
      </c>
      <c r="X131">
        <f>HYPERLINK("https://klasma.github.io/Logging_2582/kartor/A 62002-2025 karta.png", "A 62002-2025")</f>
        <v/>
      </c>
      <c r="Y131">
        <f>HYPERLINK("https://klasma.github.io/Logging_2582/kartor_geotiff/A 62002-2025 georefererad karta.tif", "A 62002-2025")</f>
        <v/>
      </c>
      <c r="AA131">
        <f>HYPERLINK("https://klasma.github.io/Logging_2582/klagomål/A 62002-2025 FSC-klagomål.docx", "A 62002-2025")</f>
        <v/>
      </c>
      <c r="AB131">
        <f>HYPERLINK("https://klasma.github.io/Logging_2582/klagomålsmail/A 62002-2025 FSC-klagomål mail.docx", "A 62002-2025")</f>
        <v/>
      </c>
      <c r="AC131">
        <f>HYPERLINK("https://klasma.github.io/Logging_2582/tillsyn/A 62002-2025 tillsynsbegäran.docx", "A 62002-2025")</f>
        <v/>
      </c>
      <c r="AD131">
        <f>HYPERLINK("https://klasma.github.io/Logging_2582/tillsynsmail/A 62002-2025 tillsynsbegäran mail.docx", "A 62002-2025")</f>
        <v/>
      </c>
    </row>
    <row r="132" ht="15" customHeight="1">
      <c r="A132" t="inlineStr">
        <is>
          <t>A 26690-2026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46184</v>
      </c>
      <c r="E132" s="1" t="n">
        <v>46226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11.9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Knärot</t>
        </is>
      </c>
      <c r="W132">
        <f>HYPERLINK("https://klasma.github.io/Logging_2582/artfynd/A 26690-2026 artfynd.xlsx", "A 26690-2026")</f>
        <v/>
      </c>
      <c r="X132">
        <f>HYPERLINK("https://klasma.github.io/Logging_2582/kartor/A 26690-2026 karta.png", "A 26690-2026")</f>
        <v/>
      </c>
      <c r="Y132">
        <f>HYPERLINK("https://klasma.github.io/Logging_2582/kartor_geotiff/A 26690-2026 georefererad karta.tif", "A 26690-2026")</f>
        <v/>
      </c>
      <c r="Z132">
        <f>HYPERLINK("https://klasma.github.io/Logging_2582/knärot/A 26690-2026 karta knärot.png", "A 26690-2026")</f>
        <v/>
      </c>
      <c r="AA132">
        <f>HYPERLINK("https://klasma.github.io/Logging_2582/klagomål/A 26690-2026 FSC-klagomål.docx", "A 26690-2026")</f>
        <v/>
      </c>
      <c r="AB132">
        <f>HYPERLINK("https://klasma.github.io/Logging_2582/klagomålsmail/A 26690-2026 FSC-klagomål mail.docx", "A 26690-2026")</f>
        <v/>
      </c>
      <c r="AC132">
        <f>HYPERLINK("https://klasma.github.io/Logging_2582/tillsyn/A 26690-2026 tillsynsbegäran.docx", "A 26690-2026")</f>
        <v/>
      </c>
      <c r="AD132">
        <f>HYPERLINK("https://klasma.github.io/Logging_2582/tillsynsmail/A 26690-2026 tillsynsbegäran mail.docx", "A 26690-2026")</f>
        <v/>
      </c>
    </row>
    <row r="133" ht="15" customHeight="1">
      <c r="A133" t="inlineStr">
        <is>
          <t>A 21310-2026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46147</v>
      </c>
      <c r="E133" s="1" t="n">
        <v>46226</v>
      </c>
      <c r="F133" t="inlineStr">
        <is>
          <t>NORRBOTTENS LÄN</t>
        </is>
      </c>
      <c r="G133" t="inlineStr">
        <is>
          <t>BODEN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HYPERLINK("https://klasma.github.io/Logging_2582/artfynd/A 21310-2026 artfynd.xlsx", "A 21310-2026")</f>
        <v/>
      </c>
      <c r="X133">
        <f>HYPERLINK("https://klasma.github.io/Logging_2582/kartor/A 21310-2026 karta.png", "A 21310-2026")</f>
        <v/>
      </c>
      <c r="Y133">
        <f>HYPERLINK("https://klasma.github.io/Logging_2582/kartor_geotiff/A 21310-2026 georefererad karta.tif", "A 21310-2026")</f>
        <v/>
      </c>
      <c r="AA133">
        <f>HYPERLINK("https://klasma.github.io/Logging_2582/klagomål/A 21310-2026 FSC-klagomål.docx", "A 21310-2026")</f>
        <v/>
      </c>
      <c r="AB133">
        <f>HYPERLINK("https://klasma.github.io/Logging_2582/klagomålsmail/A 21310-2026 FSC-klagomål mail.docx", "A 21310-2026")</f>
        <v/>
      </c>
      <c r="AC133">
        <f>HYPERLINK("https://klasma.github.io/Logging_2582/tillsyn/A 21310-2026 tillsynsbegäran.docx", "A 21310-2026")</f>
        <v/>
      </c>
      <c r="AD133">
        <f>HYPERLINK("https://klasma.github.io/Logging_2582/tillsynsmail/A 21310-2026 tillsynsbegäran mail.docx", "A 21310-2026")</f>
        <v/>
      </c>
    </row>
    <row r="134" ht="15" customHeight="1">
      <c r="A134" t="inlineStr">
        <is>
          <t>A 36743-2024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46226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36743-2024 artfynd.xlsx", "A 36743-2024")</f>
        <v/>
      </c>
      <c r="X134">
        <f>HYPERLINK("https://klasma.github.io/Logging_2582/kartor/A 36743-2024 karta.png", "A 36743-2024")</f>
        <v/>
      </c>
      <c r="Y134">
        <f>HYPERLINK("https://klasma.github.io/Logging_2582/kartor_geotiff/A 36743-2024 georefererad karta.tif", "A 36743-2024")</f>
        <v/>
      </c>
      <c r="AA134">
        <f>HYPERLINK("https://klasma.github.io/Logging_2582/klagomål/A 36743-2024 FSC-klagomål.docx", "A 36743-2024")</f>
        <v/>
      </c>
      <c r="AB134">
        <f>HYPERLINK("https://klasma.github.io/Logging_2582/klagomålsmail/A 36743-2024 FSC-klagomål mail.docx", "A 36743-2024")</f>
        <v/>
      </c>
      <c r="AC134">
        <f>HYPERLINK("https://klasma.github.io/Logging_2582/tillsyn/A 36743-2024 tillsynsbegäran.docx", "A 36743-2024")</f>
        <v/>
      </c>
      <c r="AD134">
        <f>HYPERLINK("https://klasma.github.io/Logging_2582/tillsynsmail/A 36743-2024 tillsynsbegäran mail.docx", "A 36743-2024")</f>
        <v/>
      </c>
    </row>
    <row r="135" ht="15" customHeight="1">
      <c r="A135" t="inlineStr">
        <is>
          <t>A 32600-2024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46226</v>
      </c>
      <c r="F135" t="inlineStr">
        <is>
          <t>NORRBOTTENS LÄN</t>
        </is>
      </c>
      <c r="G135" t="inlineStr">
        <is>
          <t>BODEN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32600-2024 artfynd.xlsx", "A 32600-2024")</f>
        <v/>
      </c>
      <c r="X135">
        <f>HYPERLINK("https://klasma.github.io/Logging_2582/kartor/A 32600-2024 karta.png", "A 32600-2024")</f>
        <v/>
      </c>
      <c r="Y135">
        <f>HYPERLINK("https://klasma.github.io/Logging_2582/kartor_geotiff/A 32600-2024 georefererad karta.tif", "A 32600-2024")</f>
        <v/>
      </c>
      <c r="AA135">
        <f>HYPERLINK("https://klasma.github.io/Logging_2582/klagomål/A 32600-2024 FSC-klagomål.docx", "A 32600-2024")</f>
        <v/>
      </c>
      <c r="AB135">
        <f>HYPERLINK("https://klasma.github.io/Logging_2582/klagomålsmail/A 32600-2024 FSC-klagomål mail.docx", "A 32600-2024")</f>
        <v/>
      </c>
      <c r="AC135">
        <f>HYPERLINK("https://klasma.github.io/Logging_2582/tillsyn/A 32600-2024 tillsynsbegäran.docx", "A 32600-2024")</f>
        <v/>
      </c>
      <c r="AD135">
        <f>HYPERLINK("https://klasma.github.io/Logging_2582/tillsynsmail/A 32600-2024 tillsynsbegäran mail.docx", "A 32600-2024")</f>
        <v/>
      </c>
    </row>
    <row r="136" ht="15" customHeight="1">
      <c r="A136" t="inlineStr">
        <is>
          <t>A 49410-2023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46226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HYPERLINK("https://klasma.github.io/Logging_2582/artfynd/A 49410-2023 artfynd.xlsx", "A 49410-2023")</f>
        <v/>
      </c>
      <c r="X136">
        <f>HYPERLINK("https://klasma.github.io/Logging_2582/kartor/A 49410-2023 karta.png", "A 49410-2023")</f>
        <v/>
      </c>
      <c r="Y136">
        <f>HYPERLINK("https://klasma.github.io/Logging_2582/kartor_geotiff/A 49410-2023 georefererad karta.tif", "A 49410-2023")</f>
        <v/>
      </c>
      <c r="AA136">
        <f>HYPERLINK("https://klasma.github.io/Logging_2582/klagomål/A 49410-2023 FSC-klagomål.docx", "A 49410-2023")</f>
        <v/>
      </c>
      <c r="AB136">
        <f>HYPERLINK("https://klasma.github.io/Logging_2582/klagomålsmail/A 49410-2023 FSC-klagomål mail.docx", "A 49410-2023")</f>
        <v/>
      </c>
      <c r="AC136">
        <f>HYPERLINK("https://klasma.github.io/Logging_2582/tillsyn/A 49410-2023 tillsynsbegäran.docx", "A 49410-2023")</f>
        <v/>
      </c>
      <c r="AD136">
        <f>HYPERLINK("https://klasma.github.io/Logging_2582/tillsynsmail/A 49410-2023 tillsynsbegäran mail.docx", "A 49410-2023")</f>
        <v/>
      </c>
    </row>
    <row r="137" ht="15" customHeight="1">
      <c r="A137" t="inlineStr">
        <is>
          <t>A 4878-2026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46226</v>
      </c>
      <c r="F137" t="inlineStr">
        <is>
          <t>NORRBOTTENS LÄN</t>
        </is>
      </c>
      <c r="G137" t="inlineStr">
        <is>
          <t>BODEN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Vanlig padda</t>
        </is>
      </c>
      <c r="W137">
        <f>HYPERLINK("https://klasma.github.io/Logging_2582/artfynd/A 4878-2026 artfynd.xlsx", "A 4878-2026")</f>
        <v/>
      </c>
      <c r="X137">
        <f>HYPERLINK("https://klasma.github.io/Logging_2582/kartor/A 4878-2026 karta.png", "A 4878-2026")</f>
        <v/>
      </c>
      <c r="Y137">
        <f>HYPERLINK("https://klasma.github.io/Logging_2582/kartor_geotiff/A 4878-2026 georefererad karta.tif", "A 4878-2026")</f>
        <v/>
      </c>
      <c r="AA137">
        <f>HYPERLINK("https://klasma.github.io/Logging_2582/klagomål/A 4878-2026 FSC-klagomål.docx", "A 4878-2026")</f>
        <v/>
      </c>
      <c r="AB137">
        <f>HYPERLINK("https://klasma.github.io/Logging_2582/klagomålsmail/A 4878-2026 FSC-klagomål mail.docx", "A 4878-2026")</f>
        <v/>
      </c>
      <c r="AC137">
        <f>HYPERLINK("https://klasma.github.io/Logging_2582/tillsyn/A 4878-2026 tillsynsbegäran.docx", "A 4878-2026")</f>
        <v/>
      </c>
      <c r="AD137">
        <f>HYPERLINK("https://klasma.github.io/Logging_2582/tillsynsmail/A 4878-2026 tillsynsbegäran mail.docx", "A 4878-2026")</f>
        <v/>
      </c>
    </row>
    <row r="138" ht="15" customHeight="1">
      <c r="A138" t="inlineStr">
        <is>
          <t>A 2565-2026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46226</v>
      </c>
      <c r="F138" t="inlineStr">
        <is>
          <t>NORRBOTTENS LÄN</t>
        </is>
      </c>
      <c r="G138" t="inlineStr">
        <is>
          <t>BODEN</t>
        </is>
      </c>
      <c r="H138" t="inlineStr">
        <is>
          <t>Naturvårdsverket</t>
        </is>
      </c>
      <c r="I138" t="n">
        <v>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Garnlav</t>
        </is>
      </c>
      <c r="W138">
        <f>HYPERLINK("https://klasma.github.io/Logging_2582/artfynd/A 2565-2026 artfynd.xlsx", "A 2565-2026")</f>
        <v/>
      </c>
      <c r="X138">
        <f>HYPERLINK("https://klasma.github.io/Logging_2582/kartor/A 2565-2026 karta.png", "A 2565-2026")</f>
        <v/>
      </c>
      <c r="Y138">
        <f>HYPERLINK("https://klasma.github.io/Logging_2582/kartor_geotiff/A 2565-2026 georefererad karta.tif", "A 2565-2026")</f>
        <v/>
      </c>
      <c r="AA138">
        <f>HYPERLINK("https://klasma.github.io/Logging_2582/klagomål/A 2565-2026 FSC-klagomål.docx", "A 2565-2026")</f>
        <v/>
      </c>
      <c r="AB138">
        <f>HYPERLINK("https://klasma.github.io/Logging_2582/klagomålsmail/A 2565-2026 FSC-klagomål mail.docx", "A 2565-2026")</f>
        <v/>
      </c>
      <c r="AC138">
        <f>HYPERLINK("https://klasma.github.io/Logging_2582/tillsyn/A 2565-2026 tillsynsbegäran.docx", "A 2565-2026")</f>
        <v/>
      </c>
      <c r="AD138">
        <f>HYPERLINK("https://klasma.github.io/Logging_2582/tillsynsmail/A 2565-2026 tillsynsbegäran mail.docx", "A 2565-2026")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46226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Duvhök</t>
        </is>
      </c>
      <c r="W139">
        <f>HYPERLINK("https://klasma.github.io/Logging_2582/artfynd/A 665-2023 artfynd.xlsx", "A 665-2023")</f>
        <v/>
      </c>
      <c r="X139">
        <f>HYPERLINK("https://klasma.github.io/Logging_2582/kartor/A 665-2023 karta.png", "A 665-2023")</f>
        <v/>
      </c>
      <c r="Y139">
        <f>HYPERLINK("https://klasma.github.io/Logging_2582/kartor_geotiff/A 665-2023 georefererad karta.tif", "A 665-2023")</f>
        <v/>
      </c>
      <c r="AA139">
        <f>HYPERLINK("https://klasma.github.io/Logging_2582/klagomål/A 665-2023 FSC-klagomål.docx", "A 665-2023")</f>
        <v/>
      </c>
      <c r="AB139">
        <f>HYPERLINK("https://klasma.github.io/Logging_2582/klagomålsmail/A 665-2023 FSC-klagomål mail.docx", "A 665-2023")</f>
        <v/>
      </c>
      <c r="AC139">
        <f>HYPERLINK("https://klasma.github.io/Logging_2582/tillsyn/A 665-2023 tillsynsbegäran.docx", "A 665-2023")</f>
        <v/>
      </c>
      <c r="AD139">
        <f>HYPERLINK("https://klasma.github.io/Logging_2582/tillsynsmail/A 665-2023 tillsynsbegäran mail.docx", "A 665-2023")</f>
        <v/>
      </c>
      <c r="AE139">
        <f>HYPERLINK("https://klasma.github.io/Logging_2582/fåglar/A 665-2023 prioriterade fågelarter.docx", "A 665-2023")</f>
        <v/>
      </c>
    </row>
    <row r="140" ht="15" customHeight="1">
      <c r="A140" t="inlineStr">
        <is>
          <t>A 29875-2026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46226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4.4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Tallticka</t>
        </is>
      </c>
      <c r="W140">
        <f>HYPERLINK("https://klasma.github.io/Logging_2582/artfynd/A 29875-2026 artfynd.xlsx", "A 29875-2026")</f>
        <v/>
      </c>
      <c r="X140">
        <f>HYPERLINK("https://klasma.github.io/Logging_2582/kartor/A 29875-2026 karta.png", "A 29875-2026")</f>
        <v/>
      </c>
      <c r="Y140">
        <f>HYPERLINK("https://klasma.github.io/Logging_2582/kartor_geotiff/A 29875-2026 georefererad karta.tif", "A 29875-2026")</f>
        <v/>
      </c>
      <c r="AA140">
        <f>HYPERLINK("https://klasma.github.io/Logging_2582/klagomål/A 29875-2026 FSC-klagomål.docx", "A 29875-2026")</f>
        <v/>
      </c>
      <c r="AB140">
        <f>HYPERLINK("https://klasma.github.io/Logging_2582/klagomålsmail/A 29875-2026 FSC-klagomål mail.docx", "A 29875-2026")</f>
        <v/>
      </c>
      <c r="AC140">
        <f>HYPERLINK("https://klasma.github.io/Logging_2582/tillsyn/A 29875-2026 tillsynsbegäran.docx", "A 29875-2026")</f>
        <v/>
      </c>
      <c r="AD140">
        <f>HYPERLINK("https://klasma.github.io/Logging_2582/tillsynsmail/A 29875-2026 tillsynsbegäran mail.docx", "A 29875-2026")</f>
        <v/>
      </c>
    </row>
    <row r="141" ht="15" customHeight="1">
      <c r="A141" t="inlineStr">
        <is>
          <t>A 24429-2026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46226</v>
      </c>
      <c r="F141" t="inlineStr">
        <is>
          <t>NORRBOTTENS LÄN</t>
        </is>
      </c>
      <c r="G141" t="inlineStr">
        <is>
          <t>BODEN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HYPERLINK("https://klasma.github.io/Logging_2582/artfynd/A 24429-2026 artfynd.xlsx", "A 24429-2026")</f>
        <v/>
      </c>
      <c r="X141">
        <f>HYPERLINK("https://klasma.github.io/Logging_2582/kartor/A 24429-2026 karta.png", "A 24429-2026")</f>
        <v/>
      </c>
      <c r="Y141">
        <f>HYPERLINK("https://klasma.github.io/Logging_2582/kartor_geotiff/A 24429-2026 georefererad karta.tif", "A 24429-2026")</f>
        <v/>
      </c>
      <c r="AA141">
        <f>HYPERLINK("https://klasma.github.io/Logging_2582/klagomål/A 24429-2026 FSC-klagomål.docx", "A 24429-2026")</f>
        <v/>
      </c>
      <c r="AB141">
        <f>HYPERLINK("https://klasma.github.io/Logging_2582/klagomålsmail/A 24429-2026 FSC-klagomål mail.docx", "A 24429-2026")</f>
        <v/>
      </c>
      <c r="AC141">
        <f>HYPERLINK("https://klasma.github.io/Logging_2582/tillsyn/A 24429-2026 tillsynsbegäran.docx", "A 24429-2026")</f>
        <v/>
      </c>
      <c r="AD141">
        <f>HYPERLINK("https://klasma.github.io/Logging_2582/tillsynsmail/A 24429-2026 tillsynsbegäran mail.docx", "A 24429-2026")</f>
        <v/>
      </c>
    </row>
    <row r="142" ht="15" customHeight="1">
      <c r="A142" t="inlineStr">
        <is>
          <t>A 12832-2022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46226</v>
      </c>
      <c r="F142" t="inlineStr">
        <is>
          <t>NORRBOTTENS LÄN</t>
        </is>
      </c>
      <c r="G142" t="inlineStr">
        <is>
          <t>BODEN</t>
        </is>
      </c>
      <c r="I142" t="n">
        <v>6.6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Doftticka</t>
        </is>
      </c>
      <c r="W142">
        <f>HYPERLINK("https://klasma.github.io/Logging_2582/artfynd/A 12832-2022 artfynd.xlsx", "A 12832-2022")</f>
        <v/>
      </c>
      <c r="X142">
        <f>HYPERLINK("https://klasma.github.io/Logging_2582/kartor/A 12832-2022 karta.png", "A 12832-2022")</f>
        <v/>
      </c>
      <c r="Y142">
        <f>HYPERLINK("https://klasma.github.io/Logging_2582/kartor_geotiff/A 12832-2022 georefererad karta.tif", "A 12832-2022")</f>
        <v/>
      </c>
      <c r="AA142">
        <f>HYPERLINK("https://klasma.github.io/Logging_2582/klagomål/A 12832-2022 FSC-klagomål.docx", "A 12832-2022")</f>
        <v/>
      </c>
      <c r="AB142">
        <f>HYPERLINK("https://klasma.github.io/Logging_2582/klagomålsmail/A 12832-2022 FSC-klagomål mail.docx", "A 12832-2022")</f>
        <v/>
      </c>
      <c r="AC142">
        <f>HYPERLINK("https://klasma.github.io/Logging_2582/tillsyn/A 12832-2022 tillsynsbegäran.docx", "A 12832-2022")</f>
        <v/>
      </c>
      <c r="AD142">
        <f>HYPERLINK("https://klasma.github.io/Logging_2582/tillsynsmail/A 12832-2022 tillsynsbegäran mail.docx", "A 12832-2022")</f>
        <v/>
      </c>
    </row>
    <row r="143" ht="15" customHeight="1">
      <c r="A143" t="inlineStr">
        <is>
          <t>A 25805-2026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46226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3.6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Plattlummer</t>
        </is>
      </c>
      <c r="W143">
        <f>HYPERLINK("https://klasma.github.io/Logging_2582/artfynd/A 25805-2026 artfynd.xlsx", "A 25805-2026")</f>
        <v/>
      </c>
      <c r="X143">
        <f>HYPERLINK("https://klasma.github.io/Logging_2582/kartor/A 25805-2026 karta.png", "A 25805-2026")</f>
        <v/>
      </c>
      <c r="Y143">
        <f>HYPERLINK("https://klasma.github.io/Logging_2582/kartor_geotiff/A 25805-2026 georefererad karta.tif", "A 25805-2026")</f>
        <v/>
      </c>
      <c r="AA143">
        <f>HYPERLINK("https://klasma.github.io/Logging_2582/klagomål/A 25805-2026 FSC-klagomål.docx", "A 25805-2026")</f>
        <v/>
      </c>
      <c r="AB143">
        <f>HYPERLINK("https://klasma.github.io/Logging_2582/klagomålsmail/A 25805-2026 FSC-klagomål mail.docx", "A 25805-2026")</f>
        <v/>
      </c>
      <c r="AC143">
        <f>HYPERLINK("https://klasma.github.io/Logging_2582/tillsyn/A 25805-2026 tillsynsbegäran.docx", "A 25805-2026")</f>
        <v/>
      </c>
      <c r="AD143">
        <f>HYPERLINK("https://klasma.github.io/Logging_2582/tillsynsmail/A 25805-2026 tillsynsbegäran mail.docx", "A 25805-2026")</f>
        <v/>
      </c>
    </row>
    <row r="144" ht="15" customHeight="1">
      <c r="A144" t="inlineStr">
        <is>
          <t>A 25803-2026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46226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9.9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Spindelblomster</t>
        </is>
      </c>
      <c r="W144">
        <f>HYPERLINK("https://klasma.github.io/Logging_2582/artfynd/A 25803-2026 artfynd.xlsx", "A 25803-2026")</f>
        <v/>
      </c>
      <c r="X144">
        <f>HYPERLINK("https://klasma.github.io/Logging_2582/kartor/A 25803-2026 karta.png", "A 25803-2026")</f>
        <v/>
      </c>
      <c r="Y144">
        <f>HYPERLINK("https://klasma.github.io/Logging_2582/kartor_geotiff/A 25803-2026 georefererad karta.tif", "A 25803-2026")</f>
        <v/>
      </c>
      <c r="AA144">
        <f>HYPERLINK("https://klasma.github.io/Logging_2582/klagomål/A 25803-2026 FSC-klagomål.docx", "A 25803-2026")</f>
        <v/>
      </c>
      <c r="AB144">
        <f>HYPERLINK("https://klasma.github.io/Logging_2582/klagomålsmail/A 25803-2026 FSC-klagomål mail.docx", "A 25803-2026")</f>
        <v/>
      </c>
      <c r="AC144">
        <f>HYPERLINK("https://klasma.github.io/Logging_2582/tillsyn/A 25803-2026 tillsynsbegäran.docx", "A 25803-2026")</f>
        <v/>
      </c>
      <c r="AD144">
        <f>HYPERLINK("https://klasma.github.io/Logging_2582/tillsynsmail/A 25803-2026 tillsynsbegäran mail.docx", "A 25803-2026")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46226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26438-2026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46226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15.9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Kolflarnlav</t>
        </is>
      </c>
      <c r="W146">
        <f>HYPERLINK("https://klasma.github.io/Logging_2582/artfynd/A 26438-2026 artfynd.xlsx", "A 26438-2026")</f>
        <v/>
      </c>
      <c r="X146">
        <f>HYPERLINK("https://klasma.github.io/Logging_2582/kartor/A 26438-2026 karta.png", "A 26438-2026")</f>
        <v/>
      </c>
      <c r="Y146">
        <f>HYPERLINK("https://klasma.github.io/Logging_2582/kartor_geotiff/A 26438-2026 georefererad karta.tif", "A 26438-2026")</f>
        <v/>
      </c>
      <c r="AA146">
        <f>HYPERLINK("https://klasma.github.io/Logging_2582/klagomål/A 26438-2026 FSC-klagomål.docx", "A 26438-2026")</f>
        <v/>
      </c>
      <c r="AB146">
        <f>HYPERLINK("https://klasma.github.io/Logging_2582/klagomålsmail/A 26438-2026 FSC-klagomål mail.docx", "A 26438-2026")</f>
        <v/>
      </c>
      <c r="AC146">
        <f>HYPERLINK("https://klasma.github.io/Logging_2582/tillsyn/A 26438-2026 tillsynsbegäran.docx", "A 26438-2026")</f>
        <v/>
      </c>
      <c r="AD146">
        <f>HYPERLINK("https://klasma.github.io/Logging_2582/tillsynsmail/A 26438-2026 tillsynsbegäran mail.docx", "A 26438-2026")</f>
        <v/>
      </c>
    </row>
    <row r="147" ht="15" customHeight="1">
      <c r="A147" t="inlineStr">
        <is>
          <t>A 41087-2024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45559</v>
      </c>
      <c r="E147" s="1" t="n">
        <v>46226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HYPERLINK("https://klasma.github.io/Logging_2582/artfynd/A 41087-2024 artfynd.xlsx", "A 41087-2024")</f>
        <v/>
      </c>
      <c r="X147">
        <f>HYPERLINK("https://klasma.github.io/Logging_2582/kartor/A 41087-2024 karta.png", "A 41087-2024")</f>
        <v/>
      </c>
      <c r="Y147">
        <f>HYPERLINK("https://klasma.github.io/Logging_2582/kartor_geotiff/A 41087-2024 georefererad karta.tif", "A 41087-2024")</f>
        <v/>
      </c>
      <c r="AA147">
        <f>HYPERLINK("https://klasma.github.io/Logging_2582/klagomål/A 41087-2024 FSC-klagomål.docx", "A 41087-2024")</f>
        <v/>
      </c>
      <c r="AB147">
        <f>HYPERLINK("https://klasma.github.io/Logging_2582/klagomålsmail/A 41087-2024 FSC-klagomål mail.docx", "A 41087-2024")</f>
        <v/>
      </c>
      <c r="AC147">
        <f>HYPERLINK("https://klasma.github.io/Logging_2582/tillsyn/A 41087-2024 tillsynsbegäran.docx", "A 41087-2024")</f>
        <v/>
      </c>
      <c r="AD147">
        <f>HYPERLINK("https://klasma.github.io/Logging_2582/tillsynsmail/A 41087-2024 tillsynsbegäran mail.docx", "A 41087-2024")</f>
        <v/>
      </c>
    </row>
    <row r="148" ht="15" customHeight="1">
      <c r="A148" t="inlineStr">
        <is>
          <t>A 19396-2022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46226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13.1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Tallticka</t>
        </is>
      </c>
      <c r="W148">
        <f>HYPERLINK("https://klasma.github.io/Logging_2582/artfynd/A 19396-2022 artfynd.xlsx", "A 19396-2022")</f>
        <v/>
      </c>
      <c r="X148">
        <f>HYPERLINK("https://klasma.github.io/Logging_2582/kartor/A 19396-2022 karta.png", "A 19396-2022")</f>
        <v/>
      </c>
      <c r="Y148">
        <f>HYPERLINK("https://klasma.github.io/Logging_2582/kartor_geotiff/A 19396-2022 georefererad karta.tif", "A 19396-2022")</f>
        <v/>
      </c>
      <c r="AA148">
        <f>HYPERLINK("https://klasma.github.io/Logging_2582/klagomål/A 19396-2022 FSC-klagomål.docx", "A 19396-2022")</f>
        <v/>
      </c>
      <c r="AB148">
        <f>HYPERLINK("https://klasma.github.io/Logging_2582/klagomålsmail/A 19396-2022 FSC-klagomål mail.docx", "A 19396-2022")</f>
        <v/>
      </c>
      <c r="AC148">
        <f>HYPERLINK("https://klasma.github.io/Logging_2582/tillsyn/A 19396-2022 tillsynsbegäran.docx", "A 19396-2022")</f>
        <v/>
      </c>
      <c r="AD148">
        <f>HYPERLINK("https://klasma.github.io/Logging_2582/tillsynsmail/A 19396-2022 tillsynsbegäran mail.docx", "A 19396-2022")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46226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46226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46226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46226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46226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46226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46226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46226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46226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46226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46226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46226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46226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46226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46226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46226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46226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46226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46226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46226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46226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46226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46226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46226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46226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46226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46226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46226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46226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46226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46226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46226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46226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46226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46226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46226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46226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46226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46226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46226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46226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46226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46226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46226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46226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46226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46226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46226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46226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46226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46226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46226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46226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46226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46226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46226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46226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46226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46226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46226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46226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46226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46226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46226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46226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46226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46226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46226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46226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46226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46226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46226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46226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46226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46226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46226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52075-2021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46226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46226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46226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46226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46226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46226</v>
      </c>
      <c r="F230" t="inlineStr">
        <is>
          <t>NORRBOTTENS LÄN</t>
        </is>
      </c>
      <c r="G230" t="inlineStr">
        <is>
          <t>BODEN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46226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73910-2021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46226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44881</v>
      </c>
      <c r="E233" s="1" t="n">
        <v>46226</v>
      </c>
      <c r="F233" t="inlineStr">
        <is>
          <t>NORRBOTTENS LÄN</t>
        </is>
      </c>
      <c r="G233" t="inlineStr">
        <is>
          <t>BODEN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46226</v>
      </c>
      <c r="F234" t="inlineStr">
        <is>
          <t>NORRBOTTENS LÄN</t>
        </is>
      </c>
      <c r="G234" t="inlineStr">
        <is>
          <t>BODEN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46226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45125</v>
      </c>
      <c r="E236" s="1" t="n">
        <v>46226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46226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45763</v>
      </c>
      <c r="E238" s="1" t="n">
        <v>46226</v>
      </c>
      <c r="F238" t="inlineStr">
        <is>
          <t>NORRBOTTENS LÄN</t>
        </is>
      </c>
      <c r="G238" t="inlineStr">
        <is>
          <t>BODEN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45635</v>
      </c>
      <c r="E239" s="1" t="n">
        <v>46226</v>
      </c>
      <c r="F239" t="inlineStr">
        <is>
          <t>NORRBOTTENS LÄN</t>
        </is>
      </c>
      <c r="G239" t="inlineStr">
        <is>
          <t>BODEN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44489</v>
      </c>
      <c r="E240" s="1" t="n">
        <v>46226</v>
      </c>
      <c r="F240" t="inlineStr">
        <is>
          <t>NORRBOTTENS LÄN</t>
        </is>
      </c>
      <c r="G240" t="inlineStr">
        <is>
          <t>BODEN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46226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46226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46226</v>
      </c>
      <c r="F243" t="inlineStr">
        <is>
          <t>NORRBOTTENS LÄN</t>
        </is>
      </c>
      <c r="G243" t="inlineStr">
        <is>
          <t>BODEN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46226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46226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46226</v>
      </c>
      <c r="F246" t="inlineStr">
        <is>
          <t>NORRBOTTENS LÄN</t>
        </is>
      </c>
      <c r="G246" t="inlineStr">
        <is>
          <t>BODEN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46226</v>
      </c>
      <c r="F247" t="inlineStr">
        <is>
          <t>NORRBOTTENS LÄN</t>
        </is>
      </c>
      <c r="G247" t="inlineStr">
        <is>
          <t>BODEN</t>
        </is>
      </c>
      <c r="H247" t="inlineStr">
        <is>
          <t>Sveaskog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46226</v>
      </c>
      <c r="F248" t="inlineStr">
        <is>
          <t>NORRBOTTENS LÄN</t>
        </is>
      </c>
      <c r="G248" t="inlineStr">
        <is>
          <t>BODEN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7442-2024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45345</v>
      </c>
      <c r="E249" s="1" t="n">
        <v>46226</v>
      </c>
      <c r="F249" t="inlineStr">
        <is>
          <t>NORRBOTTENS LÄN</t>
        </is>
      </c>
      <c r="G249" t="inlineStr">
        <is>
          <t>BODEN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45512</v>
      </c>
      <c r="E250" s="1" t="n">
        <v>46226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74264-2021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44558</v>
      </c>
      <c r="E251" s="1" t="n">
        <v>46226</v>
      </c>
      <c r="F251" t="inlineStr">
        <is>
          <t>NORRBOTTENS LÄN</t>
        </is>
      </c>
      <c r="G251" t="inlineStr">
        <is>
          <t>BODEN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45766</v>
      </c>
      <c r="E252" s="1" t="n">
        <v>46226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46226</v>
      </c>
      <c r="F253" t="inlineStr">
        <is>
          <t>NORRBOTTENS LÄN</t>
        </is>
      </c>
      <c r="G253" t="inlineStr">
        <is>
          <t>BODEN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46226</v>
      </c>
      <c r="F254" t="inlineStr">
        <is>
          <t>NORRBOTTENS LÄN</t>
        </is>
      </c>
      <c r="G254" t="inlineStr">
        <is>
          <t>BODEN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44880</v>
      </c>
      <c r="E255" s="1" t="n">
        <v>46226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46226</v>
      </c>
      <c r="F256" t="inlineStr">
        <is>
          <t>NORRBOTTENS LÄN</t>
        </is>
      </c>
      <c r="G256" t="inlineStr">
        <is>
          <t>BODEN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46226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46226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46226</v>
      </c>
      <c r="F259" t="inlineStr">
        <is>
          <t>NORRBOTTENS LÄN</t>
        </is>
      </c>
      <c r="G259" t="inlineStr">
        <is>
          <t>BODEN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45397</v>
      </c>
      <c r="E260" s="1" t="n">
        <v>46226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46226</v>
      </c>
      <c r="F261" t="inlineStr">
        <is>
          <t>NORRBOTTENS LÄN</t>
        </is>
      </c>
      <c r="G261" t="inlineStr">
        <is>
          <t>BODEN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44983</v>
      </c>
      <c r="E262" s="1" t="n">
        <v>46226</v>
      </c>
      <c r="F262" t="inlineStr">
        <is>
          <t>NORRBOTTENS LÄN</t>
        </is>
      </c>
      <c r="G262" t="inlineStr">
        <is>
          <t>BODEN</t>
        </is>
      </c>
      <c r="I262" t="n">
        <v>37.1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55080-2021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44474</v>
      </c>
      <c r="E263" s="1" t="n">
        <v>46226</v>
      </c>
      <c r="F263" t="inlineStr">
        <is>
          <t>NORRBOTTENS LÄN</t>
        </is>
      </c>
      <c r="G263" t="inlineStr">
        <is>
          <t>BODEN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46226</v>
      </c>
      <c r="F264" t="inlineStr">
        <is>
          <t>NORRBOTTENS LÄN</t>
        </is>
      </c>
      <c r="G264" t="inlineStr">
        <is>
          <t>BODEN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64975-2023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45285</v>
      </c>
      <c r="E265" s="1" t="n">
        <v>46226</v>
      </c>
      <c r="F265" t="inlineStr">
        <is>
          <t>NORRBOTTENS LÄN</t>
        </is>
      </c>
      <c r="G265" t="inlineStr">
        <is>
          <t>BODEN</t>
        </is>
      </c>
      <c r="I265" t="n">
        <v>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46226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46226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46226</v>
      </c>
      <c r="F268" t="inlineStr">
        <is>
          <t>NORRBOTTENS LÄN</t>
        </is>
      </c>
      <c r="G268" t="inlineStr">
        <is>
          <t>BODEN</t>
        </is>
      </c>
      <c r="I268" t="n">
        <v>33.9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46226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57873-2021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44484</v>
      </c>
      <c r="E270" s="1" t="n">
        <v>46226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46226</v>
      </c>
      <c r="F271" t="inlineStr">
        <is>
          <t>NORRBOTTENS LÄN</t>
        </is>
      </c>
      <c r="G271" t="inlineStr">
        <is>
          <t>BODEN</t>
        </is>
      </c>
      <c r="H271" t="inlineStr">
        <is>
          <t>Naturvårdsverket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44935</v>
      </c>
      <c r="E272" s="1" t="n">
        <v>46226</v>
      </c>
      <c r="F272" t="inlineStr">
        <is>
          <t>NORRBOTTENS LÄN</t>
        </is>
      </c>
      <c r="G272" t="inlineStr">
        <is>
          <t>BODEN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46226</v>
      </c>
      <c r="F273" t="inlineStr">
        <is>
          <t>NORRBOTTENS LÄN</t>
        </is>
      </c>
      <c r="G273" t="inlineStr">
        <is>
          <t>BODEN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46226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46226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46226</v>
      </c>
      <c r="F276" t="inlineStr">
        <is>
          <t>NORRBOTTENS LÄN</t>
        </is>
      </c>
      <c r="G276" t="inlineStr">
        <is>
          <t>BODEN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45543</v>
      </c>
      <c r="E277" s="1" t="n">
        <v>46226</v>
      </c>
      <c r="F277" t="inlineStr">
        <is>
          <t>NORRBOTTENS LÄN</t>
        </is>
      </c>
      <c r="G277" t="inlineStr">
        <is>
          <t>BODEN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46226</v>
      </c>
      <c r="F278" t="inlineStr">
        <is>
          <t>NORRBOTTENS LÄN</t>
        </is>
      </c>
      <c r="G278" t="inlineStr">
        <is>
          <t>BODEN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46226</v>
      </c>
      <c r="F279" t="inlineStr">
        <is>
          <t>NORRBOTTENS LÄN</t>
        </is>
      </c>
      <c r="G279" t="inlineStr">
        <is>
          <t>BODEN</t>
        </is>
      </c>
      <c r="H279" t="inlineStr">
        <is>
          <t>Naturvårdsverket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46226</v>
      </c>
      <c r="F280" t="inlineStr">
        <is>
          <t>NORRBOTTENS LÄN</t>
        </is>
      </c>
      <c r="G280" t="inlineStr">
        <is>
          <t>BODEN</t>
        </is>
      </c>
      <c r="H280" t="inlineStr">
        <is>
          <t>Övriga Aktiebolag</t>
        </is>
      </c>
      <c r="I280" t="n">
        <v>14.3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46226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46226</v>
      </c>
      <c r="F282" t="inlineStr">
        <is>
          <t>NORRBOTTENS LÄN</t>
        </is>
      </c>
      <c r="G282" t="inlineStr">
        <is>
          <t>BODEN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46226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45643</v>
      </c>
      <c r="E284" s="1" t="n">
        <v>46226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45813</v>
      </c>
      <c r="E285" s="1" t="n">
        <v>46226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45560</v>
      </c>
      <c r="E286" s="1" t="n">
        <v>46226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46226</v>
      </c>
      <c r="F287" t="inlineStr">
        <is>
          <t>NORRBOTTENS LÄN</t>
        </is>
      </c>
      <c r="G287" t="inlineStr">
        <is>
          <t>BODEN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46226</v>
      </c>
      <c r="F288" t="inlineStr">
        <is>
          <t>NORRBOTTENS LÄN</t>
        </is>
      </c>
      <c r="G288" t="inlineStr">
        <is>
          <t>BODEN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46226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46226</v>
      </c>
      <c r="F290" t="inlineStr">
        <is>
          <t>NORRBOTTENS LÄN</t>
        </is>
      </c>
      <c r="G290" t="inlineStr">
        <is>
          <t>BODEN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46226</v>
      </c>
      <c r="F291" t="inlineStr">
        <is>
          <t>NORRBOTTENS LÄN</t>
        </is>
      </c>
      <c r="G291" t="inlineStr">
        <is>
          <t>BODEN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29109-2024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45481</v>
      </c>
      <c r="E292" s="1" t="n">
        <v>46226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46063</v>
      </c>
      <c r="E293" s="1" t="n">
        <v>46226</v>
      </c>
      <c r="F293" t="inlineStr">
        <is>
          <t>NORRBOTTENS LÄN</t>
        </is>
      </c>
      <c r="G293" t="inlineStr">
        <is>
          <t>BODEN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46226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45766</v>
      </c>
      <c r="E295" s="1" t="n">
        <v>46226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46226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46226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46226</v>
      </c>
      <c r="F298" t="inlineStr">
        <is>
          <t>NORRBOTTENS LÄN</t>
        </is>
      </c>
      <c r="G298" t="inlineStr">
        <is>
          <t>BODEN</t>
        </is>
      </c>
      <c r="H298" t="inlineStr">
        <is>
          <t>Övriga statliga verk och myndigheter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46226</v>
      </c>
      <c r="F299" t="inlineStr">
        <is>
          <t>NORRBOTTENS LÄN</t>
        </is>
      </c>
      <c r="G299" t="inlineStr">
        <is>
          <t>BODEN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45748</v>
      </c>
      <c r="E300" s="1" t="n">
        <v>46226</v>
      </c>
      <c r="F300" t="inlineStr">
        <is>
          <t>NORRBOTTENS LÄN</t>
        </is>
      </c>
      <c r="G300" t="inlineStr">
        <is>
          <t>BODEN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46226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46226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46226</v>
      </c>
      <c r="F303" t="inlineStr">
        <is>
          <t>NORRBOTTENS LÄN</t>
        </is>
      </c>
      <c r="G303" t="inlineStr">
        <is>
          <t>BODEN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46226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28270-2025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45818</v>
      </c>
      <c r="E305" s="1" t="n">
        <v>46226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46226</v>
      </c>
      <c r="F306" t="inlineStr">
        <is>
          <t>NORRBOTTENS LÄN</t>
        </is>
      </c>
      <c r="G306" t="inlineStr">
        <is>
          <t>BODEN</t>
        </is>
      </c>
      <c r="I306" t="n">
        <v>13.9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46226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46226</v>
      </c>
      <c r="F308" t="inlineStr">
        <is>
          <t>NORRBOTTENS LÄN</t>
        </is>
      </c>
      <c r="G308" t="inlineStr">
        <is>
          <t>BODEN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46226</v>
      </c>
      <c r="F309" t="inlineStr">
        <is>
          <t>NORRBOTTENS LÄN</t>
        </is>
      </c>
      <c r="G309" t="inlineStr">
        <is>
          <t>BODEN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46226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46226</v>
      </c>
      <c r="F311" t="inlineStr">
        <is>
          <t>NORRBOTTENS LÄN</t>
        </is>
      </c>
      <c r="G311" t="inlineStr">
        <is>
          <t>BODEN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46226</v>
      </c>
      <c r="F312" t="inlineStr">
        <is>
          <t>NORRBOTTENS LÄN</t>
        </is>
      </c>
      <c r="G312" t="inlineStr">
        <is>
          <t>BODEN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46076</v>
      </c>
      <c r="E313" s="1" t="n">
        <v>46226</v>
      </c>
      <c r="F313" t="inlineStr">
        <is>
          <t>NORRBOTTENS LÄN</t>
        </is>
      </c>
      <c r="G313" t="inlineStr">
        <is>
          <t>BODEN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46226</v>
      </c>
      <c r="F314" t="inlineStr">
        <is>
          <t>NORRBOTTENS LÄN</t>
        </is>
      </c>
      <c r="G314" t="inlineStr">
        <is>
          <t>BODEN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46226</v>
      </c>
      <c r="F315" t="inlineStr">
        <is>
          <t>NORRBOTTENS LÄN</t>
        </is>
      </c>
      <c r="G315" t="inlineStr">
        <is>
          <t>BODEN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28745-2023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46226</v>
      </c>
      <c r="F316" t="inlineStr">
        <is>
          <t>NORRBOTTENS LÄN</t>
        </is>
      </c>
      <c r="G316" t="inlineStr">
        <is>
          <t>BODEN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46226</v>
      </c>
      <c r="F317" t="inlineStr">
        <is>
          <t>NORRBOTTENS LÄN</t>
        </is>
      </c>
      <c r="G317" t="inlineStr">
        <is>
          <t>BODEN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46084</v>
      </c>
      <c r="E318" s="1" t="n">
        <v>46226</v>
      </c>
      <c r="F318" t="inlineStr">
        <is>
          <t>NORRBOTTENS LÄN</t>
        </is>
      </c>
      <c r="G318" t="inlineStr">
        <is>
          <t>BODEN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46226</v>
      </c>
      <c r="F319" t="inlineStr">
        <is>
          <t>NORRBOTTENS LÄN</t>
        </is>
      </c>
      <c r="G319" t="inlineStr">
        <is>
          <t>BODEN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46226</v>
      </c>
      <c r="F320" t="inlineStr">
        <is>
          <t>NORRBOTTENS LÄN</t>
        </is>
      </c>
      <c r="G320" t="inlineStr">
        <is>
          <t>BODEN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46226</v>
      </c>
      <c r="F321" t="inlineStr">
        <is>
          <t>NORRBOTTENS LÄN</t>
        </is>
      </c>
      <c r="G321" t="inlineStr">
        <is>
          <t>BODEN</t>
        </is>
      </c>
      <c r="I321" t="n">
        <v>9.199999999999999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46226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46226</v>
      </c>
      <c r="F323" t="inlineStr">
        <is>
          <t>NORRBOTTENS LÄN</t>
        </is>
      </c>
      <c r="G323" t="inlineStr">
        <is>
          <t>BODEN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11631-2026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46226</v>
      </c>
      <c r="F324" t="inlineStr">
        <is>
          <t>NORRBOTTENS LÄN</t>
        </is>
      </c>
      <c r="G324" t="inlineStr">
        <is>
          <t>BODEN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46226</v>
      </c>
      <c r="F325" t="inlineStr">
        <is>
          <t>NORRBOTTENS LÄN</t>
        </is>
      </c>
      <c r="G325" t="inlineStr">
        <is>
          <t>BODEN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41691-2025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45902</v>
      </c>
      <c r="E326" s="1" t="n">
        <v>46226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46087</v>
      </c>
      <c r="E327" s="1" t="n">
        <v>46226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46226</v>
      </c>
      <c r="F328" t="inlineStr">
        <is>
          <t>NORRBOTTENS LÄN</t>
        </is>
      </c>
      <c r="G328" t="inlineStr">
        <is>
          <t>BODEN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46226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46226</v>
      </c>
      <c r="F330" t="inlineStr">
        <is>
          <t>NORRBOTTENS LÄN</t>
        </is>
      </c>
      <c r="G330" t="inlineStr">
        <is>
          <t>BODEN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59890-2023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45254</v>
      </c>
      <c r="E331" s="1" t="n">
        <v>46226</v>
      </c>
      <c r="F331" t="inlineStr">
        <is>
          <t>NORRBOTTENS LÄN</t>
        </is>
      </c>
      <c r="G331" t="inlineStr">
        <is>
          <t>BODEN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45907</v>
      </c>
      <c r="E332" s="1" t="n">
        <v>46226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46226</v>
      </c>
      <c r="F333" t="inlineStr">
        <is>
          <t>NORRBOTTENS LÄN</t>
        </is>
      </c>
      <c r="G333" t="inlineStr">
        <is>
          <t>BODEN</t>
        </is>
      </c>
      <c r="I333" t="n">
        <v>9.699999999999999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46226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45910</v>
      </c>
      <c r="E335" s="1" t="n">
        <v>46226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46226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46226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45463</v>
      </c>
      <c r="E338" s="1" t="n">
        <v>46226</v>
      </c>
      <c r="F338" t="inlineStr">
        <is>
          <t>NORRBOTTENS LÄN</t>
        </is>
      </c>
      <c r="G338" t="inlineStr">
        <is>
          <t>BODEN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46226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46226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46226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46097</v>
      </c>
      <c r="E342" s="1" t="n">
        <v>46226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46226</v>
      </c>
      <c r="F343" t="inlineStr">
        <is>
          <t>NORRBOTTENS LÄN</t>
        </is>
      </c>
      <c r="G343" t="inlineStr">
        <is>
          <t>BODEN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46226</v>
      </c>
      <c r="F344" t="inlineStr">
        <is>
          <t>NORRBOTTENS LÄN</t>
        </is>
      </c>
      <c r="G344" t="inlineStr">
        <is>
          <t>BODEN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46226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45376-2025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46226</v>
      </c>
      <c r="F346" t="inlineStr">
        <is>
          <t>NORRBOTTENS LÄN</t>
        </is>
      </c>
      <c r="G346" t="inlineStr">
        <is>
          <t>BODEN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46226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45761</v>
      </c>
      <c r="E348" s="1" t="n">
        <v>46226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statliga verk och myndigheter</t>
        </is>
      </c>
      <c r="I348" t="n">
        <v>11.5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14245-2026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46099</v>
      </c>
      <c r="E349" s="1" t="n">
        <v>46226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46226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46226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46226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46226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46226</v>
      </c>
      <c r="F354" t="inlineStr">
        <is>
          <t>NORRBOTTENS LÄN</t>
        </is>
      </c>
      <c r="G354" t="inlineStr">
        <is>
          <t>BODEN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46226</v>
      </c>
      <c r="F355" t="inlineStr">
        <is>
          <t>NORRBOTTENS LÄN</t>
        </is>
      </c>
      <c r="G355" t="inlineStr">
        <is>
          <t>BODEN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46226</v>
      </c>
      <c r="F356" t="inlineStr">
        <is>
          <t>NORRBOTTENS LÄN</t>
        </is>
      </c>
      <c r="G356" t="inlineStr">
        <is>
          <t>BODEN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46226</v>
      </c>
      <c r="F357" t="inlineStr">
        <is>
          <t>NORRBOTTENS LÄN</t>
        </is>
      </c>
      <c r="G357" t="inlineStr">
        <is>
          <t>BODEN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46226</v>
      </c>
      <c r="F358" t="inlineStr">
        <is>
          <t>NORRBOTTENS LÄN</t>
        </is>
      </c>
      <c r="G358" t="inlineStr">
        <is>
          <t>BODEN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46226</v>
      </c>
      <c r="F359" t="inlineStr">
        <is>
          <t>NORRBOTTENS LÄN</t>
        </is>
      </c>
      <c r="G359" t="inlineStr">
        <is>
          <t>BODEN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46226</v>
      </c>
      <c r="F360" t="inlineStr">
        <is>
          <t>NORRBOTTENS LÄN</t>
        </is>
      </c>
      <c r="G360" t="inlineStr">
        <is>
          <t>BODEN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45969-2025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45924</v>
      </c>
      <c r="E361" s="1" t="n">
        <v>46226</v>
      </c>
      <c r="F361" t="inlineStr">
        <is>
          <t>NORRBOTTENS LÄN</t>
        </is>
      </c>
      <c r="G361" t="inlineStr">
        <is>
          <t>BODEN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44628</v>
      </c>
      <c r="E362" s="1" t="n">
        <v>46226</v>
      </c>
      <c r="F362" t="inlineStr">
        <is>
          <t>NORRBOTTENS LÄN</t>
        </is>
      </c>
      <c r="G362" t="inlineStr">
        <is>
          <t>BODEN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46226</v>
      </c>
      <c r="F363" t="inlineStr">
        <is>
          <t>NORRBOTTENS LÄN</t>
        </is>
      </c>
      <c r="G363" t="inlineStr">
        <is>
          <t>BODEN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46226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46226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46226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46226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46226</v>
      </c>
      <c r="F368" t="inlineStr">
        <is>
          <t>NORRBOTTENS LÄN</t>
        </is>
      </c>
      <c r="G368" t="inlineStr">
        <is>
          <t>BODEN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45718</v>
      </c>
      <c r="E369" s="1" t="n">
        <v>46226</v>
      </c>
      <c r="F369" t="inlineStr">
        <is>
          <t>NORRBOTTENS LÄN</t>
        </is>
      </c>
      <c r="G369" t="inlineStr">
        <is>
          <t>BODEN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46226</v>
      </c>
      <c r="F370" t="inlineStr">
        <is>
          <t>NORRBOTTENS LÄN</t>
        </is>
      </c>
      <c r="G370" t="inlineStr">
        <is>
          <t>BODEN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46226</v>
      </c>
      <c r="F371" t="inlineStr">
        <is>
          <t>NORRBOTTENS LÄN</t>
        </is>
      </c>
      <c r="G371" t="inlineStr">
        <is>
          <t>BODEN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40781-2021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44421</v>
      </c>
      <c r="E372" s="1" t="n">
        <v>46226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46226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46226</v>
      </c>
      <c r="F374" t="inlineStr">
        <is>
          <t>NORRBOTTENS LÄN</t>
        </is>
      </c>
      <c r="G374" t="inlineStr">
        <is>
          <t>BODEN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46226</v>
      </c>
      <c r="F375" t="inlineStr">
        <is>
          <t>NORRBOTTENS LÄN</t>
        </is>
      </c>
      <c r="G375" t="inlineStr">
        <is>
          <t>BODEN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46226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45358</v>
      </c>
      <c r="E377" s="1" t="n">
        <v>46226</v>
      </c>
      <c r="F377" t="inlineStr">
        <is>
          <t>NORRBOTTENS LÄN</t>
        </is>
      </c>
      <c r="G377" t="inlineStr">
        <is>
          <t>BODEN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46226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45102</v>
      </c>
      <c r="E379" s="1" t="n">
        <v>46226</v>
      </c>
      <c r="F379" t="inlineStr">
        <is>
          <t>NORRBOTTENS LÄN</t>
        </is>
      </c>
      <c r="G379" t="inlineStr">
        <is>
          <t>BODEN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46226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Aktiebolag</t>
        </is>
      </c>
      <c r="I380" t="n">
        <v>9.800000000000001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45316</v>
      </c>
      <c r="E381" s="1" t="n">
        <v>46226</v>
      </c>
      <c r="F381" t="inlineStr">
        <is>
          <t>NORRBOTTENS LÄN</t>
        </is>
      </c>
      <c r="G381" t="inlineStr">
        <is>
          <t>BODEN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48091-2025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45933</v>
      </c>
      <c r="E382" s="1" t="n">
        <v>46226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46226</v>
      </c>
      <c r="F383" t="inlineStr">
        <is>
          <t>NORRBOTTENS LÄN</t>
        </is>
      </c>
      <c r="G383" t="inlineStr">
        <is>
          <t>BODEN</t>
        </is>
      </c>
      <c r="H383" t="inlineStr">
        <is>
          <t>Övriga Aktiebolag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45906</v>
      </c>
      <c r="E384" s="1" t="n">
        <v>46226</v>
      </c>
      <c r="F384" t="inlineStr">
        <is>
          <t>NORRBOTTENS LÄN</t>
        </is>
      </c>
      <c r="G384" t="inlineStr">
        <is>
          <t>BODEN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46226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46226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68611-2021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44529</v>
      </c>
      <c r="E387" s="1" t="n">
        <v>46226</v>
      </c>
      <c r="F387" t="inlineStr">
        <is>
          <t>NORRBOTTENS LÄN</t>
        </is>
      </c>
      <c r="G387" t="inlineStr">
        <is>
          <t>BODEN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46226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44648</v>
      </c>
      <c r="E389" s="1" t="n">
        <v>46226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45936</v>
      </c>
      <c r="E390" s="1" t="n">
        <v>46226</v>
      </c>
      <c r="F390" t="inlineStr">
        <is>
          <t>NORRBOTTENS LÄN</t>
        </is>
      </c>
      <c r="G390" t="inlineStr">
        <is>
          <t>BODEN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46226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51193-2023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45212</v>
      </c>
      <c r="E392" s="1" t="n">
        <v>46226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46226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46226</v>
      </c>
      <c r="F394" t="inlineStr">
        <is>
          <t>NORRBOTTENS LÄN</t>
        </is>
      </c>
      <c r="G394" t="inlineStr">
        <is>
          <t>BODEN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46226</v>
      </c>
      <c r="F395" t="inlineStr">
        <is>
          <t>NORRBOTTENS LÄN</t>
        </is>
      </c>
      <c r="G395" t="inlineStr">
        <is>
          <t>BODEN</t>
        </is>
      </c>
      <c r="I395" t="n">
        <v>19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46226</v>
      </c>
      <c r="F396" t="inlineStr">
        <is>
          <t>NORRBOTTENS LÄN</t>
        </is>
      </c>
      <c r="G396" t="inlineStr">
        <is>
          <t>BODEN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28079-2024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45476</v>
      </c>
      <c r="E397" s="1" t="n">
        <v>46226</v>
      </c>
      <c r="F397" t="inlineStr">
        <is>
          <t>NORRBOTTENS LÄN</t>
        </is>
      </c>
      <c r="G397" t="inlineStr">
        <is>
          <t>BODEN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46226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49588-2025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46226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54935-2021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44474</v>
      </c>
      <c r="E400" s="1" t="n">
        <v>46226</v>
      </c>
      <c r="F400" t="inlineStr">
        <is>
          <t>NORRBOTTENS LÄN</t>
        </is>
      </c>
      <c r="G400" t="inlineStr">
        <is>
          <t>BODEN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17909-2026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46226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708-2022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44566</v>
      </c>
      <c r="E402" s="1" t="n">
        <v>46226</v>
      </c>
      <c r="F402" t="inlineStr">
        <is>
          <t>NORRBOTTENS LÄN</t>
        </is>
      </c>
      <c r="G402" t="inlineStr">
        <is>
          <t>BODEN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46226</v>
      </c>
      <c r="F403" t="inlineStr">
        <is>
          <t>NORRBOTTENS LÄN</t>
        </is>
      </c>
      <c r="G403" t="inlineStr">
        <is>
          <t>BODEN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45551</v>
      </c>
      <c r="E404" s="1" t="n">
        <v>46226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46226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8008-2025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46226</v>
      </c>
      <c r="F406" t="inlineStr">
        <is>
          <t>NORRBOTTENS LÄN</t>
        </is>
      </c>
      <c r="G406" t="inlineStr">
        <is>
          <t>BODEN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46226</v>
      </c>
      <c r="F407" t="inlineStr">
        <is>
          <t>NORRBOTTENS LÄN</t>
        </is>
      </c>
      <c r="G407" t="inlineStr">
        <is>
          <t>BODEN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46226</v>
      </c>
      <c r="F408" t="inlineStr">
        <is>
          <t>NORRBOTTENS LÄN</t>
        </is>
      </c>
      <c r="G408" t="inlineStr">
        <is>
          <t>BODEN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46226</v>
      </c>
      <c r="F409" t="inlineStr">
        <is>
          <t>NORRBOTTENS LÄN</t>
        </is>
      </c>
      <c r="G409" t="inlineStr">
        <is>
          <t>BODEN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50449-2025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46226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46226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46226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45944</v>
      </c>
      <c r="E413" s="1" t="n">
        <v>46226</v>
      </c>
      <c r="F413" t="inlineStr">
        <is>
          <t>NORRBOTTENS LÄN</t>
        </is>
      </c>
      <c r="G413" t="inlineStr">
        <is>
          <t>BODEN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46226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46226</v>
      </c>
      <c r="F415" t="inlineStr">
        <is>
          <t>NORRBOTTENS LÄN</t>
        </is>
      </c>
      <c r="G415" t="inlineStr">
        <is>
          <t>BODEN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46226</v>
      </c>
      <c r="F416" t="inlineStr">
        <is>
          <t>NORRBOTTENS LÄN</t>
        </is>
      </c>
      <c r="G416" t="inlineStr">
        <is>
          <t>BODEN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46127</v>
      </c>
      <c r="E417" s="1" t="n">
        <v>46226</v>
      </c>
      <c r="F417" t="inlineStr">
        <is>
          <t>NORRBOTTENS LÄN</t>
        </is>
      </c>
      <c r="G417" t="inlineStr">
        <is>
          <t>BODEN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44477</v>
      </c>
      <c r="E418" s="1" t="n">
        <v>46226</v>
      </c>
      <c r="F418" t="inlineStr">
        <is>
          <t>NORRBOTTENS LÄN</t>
        </is>
      </c>
      <c r="G418" t="inlineStr">
        <is>
          <t>BODEN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46226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46226</v>
      </c>
      <c r="F420" t="inlineStr">
        <is>
          <t>NORRBOTTENS LÄN</t>
        </is>
      </c>
      <c r="G420" t="inlineStr">
        <is>
          <t>BODEN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45649</v>
      </c>
      <c r="E421" s="1" t="n">
        <v>46226</v>
      </c>
      <c r="F421" t="inlineStr">
        <is>
          <t>NORRBOTTENS LÄN</t>
        </is>
      </c>
      <c r="G421" t="inlineStr">
        <is>
          <t>BODEN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45649</v>
      </c>
      <c r="E422" s="1" t="n">
        <v>46226</v>
      </c>
      <c r="F422" t="inlineStr">
        <is>
          <t>NORRBOTTENS LÄN</t>
        </is>
      </c>
      <c r="G422" t="inlineStr">
        <is>
          <t>BODEN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46226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45944</v>
      </c>
      <c r="E424" s="1" t="n">
        <v>46226</v>
      </c>
      <c r="F424" t="inlineStr">
        <is>
          <t>NORRBOTTENS LÄN</t>
        </is>
      </c>
      <c r="G424" t="inlineStr">
        <is>
          <t>BODEN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51460-2025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45950</v>
      </c>
      <c r="E425" s="1" t="n">
        <v>46226</v>
      </c>
      <c r="F425" t="inlineStr">
        <is>
          <t>NORRBOTTENS LÄN</t>
        </is>
      </c>
      <c r="G425" t="inlineStr">
        <is>
          <t>BODEN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46226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33130-2025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45840</v>
      </c>
      <c r="E427" s="1" t="n">
        <v>46226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46226</v>
      </c>
      <c r="F428" t="inlineStr">
        <is>
          <t>NORRBOTTENS LÄN</t>
        </is>
      </c>
      <c r="G428" t="inlineStr">
        <is>
          <t>BODEN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33276-2025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45840</v>
      </c>
      <c r="E429" s="1" t="n">
        <v>46226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46226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46226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59331-2021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44490</v>
      </c>
      <c r="E432" s="1" t="n">
        <v>46226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45953</v>
      </c>
      <c r="E433" s="1" t="n">
        <v>46226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45105</v>
      </c>
      <c r="E434" s="1" t="n">
        <v>46226</v>
      </c>
      <c r="F434" t="inlineStr">
        <is>
          <t>NORRBOTTENS LÄN</t>
        </is>
      </c>
      <c r="G434" t="inlineStr">
        <is>
          <t>BODEN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46226</v>
      </c>
      <c r="F435" t="inlineStr">
        <is>
          <t>NORRBOTTENS LÄN</t>
        </is>
      </c>
      <c r="G435" t="inlineStr">
        <is>
          <t>BODEN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46226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46226</v>
      </c>
      <c r="F437" t="inlineStr">
        <is>
          <t>NORRBOTTENS LÄN</t>
        </is>
      </c>
      <c r="G437" t="inlineStr">
        <is>
          <t>BODEN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46226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47097-2023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45201</v>
      </c>
      <c r="E439" s="1" t="n">
        <v>46226</v>
      </c>
      <c r="F439" t="inlineStr">
        <is>
          <t>NORRBOTTENS LÄN</t>
        </is>
      </c>
      <c r="G439" t="inlineStr">
        <is>
          <t>BODEN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62589-2025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46226</v>
      </c>
      <c r="F440" t="inlineStr">
        <is>
          <t>NORRBOTTENS LÄN</t>
        </is>
      </c>
      <c r="G440" t="inlineStr">
        <is>
          <t>BODEN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45099</v>
      </c>
      <c r="E441" s="1" t="n">
        <v>46226</v>
      </c>
      <c r="F441" t="inlineStr">
        <is>
          <t>NORRBOTTENS LÄN</t>
        </is>
      </c>
      <c r="G441" t="inlineStr">
        <is>
          <t>BODEN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45843</v>
      </c>
      <c r="E442" s="1" t="n">
        <v>46226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44994</v>
      </c>
      <c r="E443" s="1" t="n">
        <v>46226</v>
      </c>
      <c r="F443" t="inlineStr">
        <is>
          <t>NORRBOTTENS LÄN</t>
        </is>
      </c>
      <c r="G443" t="inlineStr">
        <is>
          <t>BODEN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51525-2025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45950</v>
      </c>
      <c r="E444" s="1" t="n">
        <v>46226</v>
      </c>
      <c r="F444" t="inlineStr">
        <is>
          <t>NORRBOTTENS LÄN</t>
        </is>
      </c>
      <c r="G444" t="inlineStr">
        <is>
          <t>BODEN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57895-2021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44486</v>
      </c>
      <c r="E445" s="1" t="n">
        <v>46226</v>
      </c>
      <c r="F445" t="inlineStr">
        <is>
          <t>NORRBOTTENS LÄN</t>
        </is>
      </c>
      <c r="G445" t="inlineStr">
        <is>
          <t>BODEN</t>
        </is>
      </c>
      <c r="I445" t="n">
        <v>9.199999999999999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46226</v>
      </c>
      <c r="F446" t="inlineStr">
        <is>
          <t>NORRBOTTENS LÄN</t>
        </is>
      </c>
      <c r="G446" t="inlineStr">
        <is>
          <t>BODEN</t>
        </is>
      </c>
      <c r="H446" t="inlineStr">
        <is>
          <t>Övriga Aktiebolag</t>
        </is>
      </c>
      <c r="I446" t="n">
        <v>10.6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45955</v>
      </c>
      <c r="E447" s="1" t="n">
        <v>46226</v>
      </c>
      <c r="F447" t="inlineStr">
        <is>
          <t>NORRBOTTENS LÄN</t>
        </is>
      </c>
      <c r="G447" t="inlineStr">
        <is>
          <t>BODEN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45955</v>
      </c>
      <c r="E448" s="1" t="n">
        <v>46226</v>
      </c>
      <c r="F448" t="inlineStr">
        <is>
          <t>NORRBOTTENS LÄN</t>
        </is>
      </c>
      <c r="G448" t="inlineStr">
        <is>
          <t>BODEN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46136</v>
      </c>
      <c r="E449" s="1" t="n">
        <v>46226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46226</v>
      </c>
      <c r="F450" t="inlineStr">
        <is>
          <t>NORRBOTTENS LÄN</t>
        </is>
      </c>
      <c r="G450" t="inlineStr">
        <is>
          <t>BODEN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53623-2025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45960</v>
      </c>
      <c r="E451" s="1" t="n">
        <v>46226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11.7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45583</v>
      </c>
      <c r="E452" s="1" t="n">
        <v>46226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45961</v>
      </c>
      <c r="E453" s="1" t="n">
        <v>46226</v>
      </c>
      <c r="F453" t="inlineStr">
        <is>
          <t>NORRBOTTENS LÄN</t>
        </is>
      </c>
      <c r="G453" t="inlineStr">
        <is>
          <t>BODEN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62017-2025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46226</v>
      </c>
      <c r="F454" t="inlineStr">
        <is>
          <t>NORRBOTTENS LÄN</t>
        </is>
      </c>
      <c r="G454" t="inlineStr">
        <is>
          <t>BODEN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57600-2021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44484</v>
      </c>
      <c r="E455" s="1" t="n">
        <v>46226</v>
      </c>
      <c r="F455" t="inlineStr">
        <is>
          <t>NORRBOTTENS LÄN</t>
        </is>
      </c>
      <c r="G455" t="inlineStr">
        <is>
          <t>BODEN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46226</v>
      </c>
      <c r="F456" t="inlineStr">
        <is>
          <t>NORRBOTTENS LÄN</t>
        </is>
      </c>
      <c r="G456" t="inlineStr">
        <is>
          <t>BODEN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46226</v>
      </c>
      <c r="F457" t="inlineStr">
        <is>
          <t>NORRBOTTENS LÄN</t>
        </is>
      </c>
      <c r="G457" t="inlineStr">
        <is>
          <t>BODEN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54417-2025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46226</v>
      </c>
      <c r="F458" t="inlineStr">
        <is>
          <t>NORRBOTTENS LÄN</t>
        </is>
      </c>
      <c r="G458" t="inlineStr">
        <is>
          <t>BODEN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46541-2021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44445</v>
      </c>
      <c r="E459" s="1" t="n">
        <v>46226</v>
      </c>
      <c r="F459" t="inlineStr">
        <is>
          <t>NORRBOTTENS LÄN</t>
        </is>
      </c>
      <c r="G459" t="inlineStr">
        <is>
          <t>BODEN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46226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45341</v>
      </c>
      <c r="E461" s="1" t="n">
        <v>46226</v>
      </c>
      <c r="F461" t="inlineStr">
        <is>
          <t>NORRBOTTENS LÄN</t>
        </is>
      </c>
      <c r="G461" t="inlineStr">
        <is>
          <t>BODEN</t>
        </is>
      </c>
      <c r="H461" t="inlineStr">
        <is>
          <t>Övriga statliga verk och myndigheter</t>
        </is>
      </c>
      <c r="I461" t="n">
        <v>12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54523-2025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46226</v>
      </c>
      <c r="F462" t="inlineStr">
        <is>
          <t>NORRBOTTENS LÄN</t>
        </is>
      </c>
      <c r="G462" t="inlineStr">
        <is>
          <t>BODEN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41957-2024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46226</v>
      </c>
      <c r="F463" t="inlineStr">
        <is>
          <t>NORRBOTTENS LÄN</t>
        </is>
      </c>
      <c r="G463" t="inlineStr">
        <is>
          <t>BODEN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45964</v>
      </c>
      <c r="E464" s="1" t="n">
        <v>46226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46226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46226</v>
      </c>
      <c r="F466" t="inlineStr">
        <is>
          <t>NORRBOTTENS LÄN</t>
        </is>
      </c>
      <c r="G466" t="inlineStr">
        <is>
          <t>BODEN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54845-2025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45966</v>
      </c>
      <c r="E467" s="1" t="n">
        <v>46226</v>
      </c>
      <c r="F467" t="inlineStr">
        <is>
          <t>NORRBOTTENS LÄN</t>
        </is>
      </c>
      <c r="G467" t="inlineStr">
        <is>
          <t>BODEN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46226</v>
      </c>
      <c r="F468" t="inlineStr">
        <is>
          <t>NORRBOTTENS LÄN</t>
        </is>
      </c>
      <c r="G468" t="inlineStr">
        <is>
          <t>BODEN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46226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46226</v>
      </c>
      <c r="F470" t="inlineStr">
        <is>
          <t>NORRBOTTENS LÄN</t>
        </is>
      </c>
      <c r="G470" t="inlineStr">
        <is>
          <t>BODEN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46226</v>
      </c>
      <c r="F471" t="inlineStr">
        <is>
          <t>NORRBOTTENS LÄN</t>
        </is>
      </c>
      <c r="G471" t="inlineStr">
        <is>
          <t>BODEN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46226</v>
      </c>
      <c r="F472" t="inlineStr">
        <is>
          <t>NORRBOTTENS LÄN</t>
        </is>
      </c>
      <c r="G472" t="inlineStr">
        <is>
          <t>BODEN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16700-2024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46226</v>
      </c>
      <c r="F473" t="inlineStr">
        <is>
          <t>NORRBOTTENS LÄN</t>
        </is>
      </c>
      <c r="G473" t="inlineStr">
        <is>
          <t>BODEN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45972</v>
      </c>
      <c r="E474" s="1" t="n">
        <v>46226</v>
      </c>
      <c r="F474" t="inlineStr">
        <is>
          <t>NORRBOTTENS LÄN</t>
        </is>
      </c>
      <c r="G474" t="inlineStr">
        <is>
          <t>BODEN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67068-2021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46226</v>
      </c>
      <c r="F475" t="inlineStr">
        <is>
          <t>NORRBOTTENS LÄN</t>
        </is>
      </c>
      <c r="G475" t="inlineStr">
        <is>
          <t>BODEN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45944</v>
      </c>
      <c r="E476" s="1" t="n">
        <v>46226</v>
      </c>
      <c r="F476" t="inlineStr">
        <is>
          <t>NORRBOTTENS LÄN</t>
        </is>
      </c>
      <c r="G476" t="inlineStr">
        <is>
          <t>BODEN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45856</v>
      </c>
      <c r="E477" s="1" t="n">
        <v>46226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10.8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45596</v>
      </c>
      <c r="E478" s="1" t="n">
        <v>46226</v>
      </c>
      <c r="F478" t="inlineStr">
        <is>
          <t>NORRBOTTENS LÄN</t>
        </is>
      </c>
      <c r="G478" t="inlineStr">
        <is>
          <t>BODEN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46226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56560-2025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46226</v>
      </c>
      <c r="F480" t="inlineStr">
        <is>
          <t>NORRBOTTENS LÄN</t>
        </is>
      </c>
      <c r="G480" t="inlineStr">
        <is>
          <t>BODEN</t>
        </is>
      </c>
      <c r="H480" t="inlineStr">
        <is>
          <t>Naturvårdsverket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47424-2024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45587</v>
      </c>
      <c r="E481" s="1" t="n">
        <v>46226</v>
      </c>
      <c r="F481" t="inlineStr">
        <is>
          <t>NORRBOTTENS LÄN</t>
        </is>
      </c>
      <c r="G481" t="inlineStr">
        <is>
          <t>BODEN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46226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24058-2025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45796</v>
      </c>
      <c r="E483" s="1" t="n">
        <v>46226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35755-2025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45860</v>
      </c>
      <c r="E484" s="1" t="n">
        <v>46226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2601-2025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45674</v>
      </c>
      <c r="E485" s="1" t="n">
        <v>46226</v>
      </c>
      <c r="F485" t="inlineStr">
        <is>
          <t>NORRBOTTENS LÄN</t>
        </is>
      </c>
      <c r="G485" t="inlineStr">
        <is>
          <t>BODEN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46226</v>
      </c>
      <c r="F486" t="inlineStr">
        <is>
          <t>NORRBOTTENS LÄN</t>
        </is>
      </c>
      <c r="G486" t="inlineStr">
        <is>
          <t>BODEN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10727-2025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45722</v>
      </c>
      <c r="E487" s="1" t="n">
        <v>46226</v>
      </c>
      <c r="F487" t="inlineStr">
        <is>
          <t>NORRBOTTENS LÄN</t>
        </is>
      </c>
      <c r="G487" t="inlineStr">
        <is>
          <t>BODEN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45978</v>
      </c>
      <c r="E488" s="1" t="n">
        <v>46226</v>
      </c>
      <c r="F488" t="inlineStr">
        <is>
          <t>NORRBOTTENS LÄN</t>
        </is>
      </c>
      <c r="G488" t="inlineStr">
        <is>
          <t>BODEN</t>
        </is>
      </c>
      <c r="H488" t="inlineStr">
        <is>
          <t>Naturvårdsverket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45685</v>
      </c>
      <c r="E489" s="1" t="n">
        <v>46226</v>
      </c>
      <c r="F489" t="inlineStr">
        <is>
          <t>NORRBOTTENS LÄN</t>
        </is>
      </c>
      <c r="G489" t="inlineStr">
        <is>
          <t>BODEN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45596</v>
      </c>
      <c r="E490" s="1" t="n">
        <v>46226</v>
      </c>
      <c r="F490" t="inlineStr">
        <is>
          <t>NORRBOTTENS LÄN</t>
        </is>
      </c>
      <c r="G490" t="inlineStr">
        <is>
          <t>BODEN</t>
        </is>
      </c>
      <c r="I490" t="n">
        <v>22.7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46226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46226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48459-2025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45935</v>
      </c>
      <c r="E493" s="1" t="n">
        <v>46226</v>
      </c>
      <c r="F493" t="inlineStr">
        <is>
          <t>NORRBOTTENS LÄN</t>
        </is>
      </c>
      <c r="G493" t="inlineStr">
        <is>
          <t>BODEN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36019-2025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45863</v>
      </c>
      <c r="E494" s="1" t="n">
        <v>46226</v>
      </c>
      <c r="F494" t="inlineStr">
        <is>
          <t>NORRBOTTENS LÄN</t>
        </is>
      </c>
      <c r="G494" t="inlineStr">
        <is>
          <t>BODEN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58203-2025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45984</v>
      </c>
      <c r="E495" s="1" t="n">
        <v>46226</v>
      </c>
      <c r="F495" t="inlineStr">
        <is>
          <t>NORRBOTTENS LÄN</t>
        </is>
      </c>
      <c r="G495" t="inlineStr">
        <is>
          <t>BODEN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46226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46226</v>
      </c>
      <c r="F497" t="inlineStr">
        <is>
          <t>NORRBOTTENS LÄN</t>
        </is>
      </c>
      <c r="G497" t="inlineStr">
        <is>
          <t>BODEN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46226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46226</v>
      </c>
      <c r="F499" t="inlineStr">
        <is>
          <t>NORRBOTTENS LÄN</t>
        </is>
      </c>
      <c r="G499" t="inlineStr">
        <is>
          <t>BODEN</t>
        </is>
      </c>
      <c r="I499" t="n">
        <v>13.6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58662-2025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45986</v>
      </c>
      <c r="E500" s="1" t="n">
        <v>46226</v>
      </c>
      <c r="F500" t="inlineStr">
        <is>
          <t>NORRBOTTENS LÄN</t>
        </is>
      </c>
      <c r="G500" t="inlineStr">
        <is>
          <t>BODEN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46226</v>
      </c>
      <c r="F501" t="inlineStr">
        <is>
          <t>NORRBOTTENS LÄN</t>
        </is>
      </c>
      <c r="G501" t="inlineStr">
        <is>
          <t>BODEN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45512</v>
      </c>
      <c r="E502" s="1" t="n">
        <v>46226</v>
      </c>
      <c r="F502" t="inlineStr">
        <is>
          <t>NORRBOTTENS LÄN</t>
        </is>
      </c>
      <c r="G502" t="inlineStr">
        <is>
          <t>BODEN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46226</v>
      </c>
      <c r="F503" t="inlineStr">
        <is>
          <t>NORRBOTTENS LÄN</t>
        </is>
      </c>
      <c r="G503" t="inlineStr">
        <is>
          <t>BODEN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46226</v>
      </c>
      <c r="F504" t="inlineStr">
        <is>
          <t>NORRBOTTENS LÄN</t>
        </is>
      </c>
      <c r="G504" t="inlineStr">
        <is>
          <t>BODEN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46226</v>
      </c>
      <c r="F505" t="inlineStr">
        <is>
          <t>NORRBOTTENS LÄN</t>
        </is>
      </c>
      <c r="G505" t="inlineStr">
        <is>
          <t>BODEN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46226</v>
      </c>
      <c r="F506" t="inlineStr">
        <is>
          <t>NORRBOTTENS LÄN</t>
        </is>
      </c>
      <c r="G506" t="inlineStr">
        <is>
          <t>BODEN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44889</v>
      </c>
      <c r="E507" s="1" t="n">
        <v>46226</v>
      </c>
      <c r="F507" t="inlineStr">
        <is>
          <t>NORRBOTTENS LÄN</t>
        </is>
      </c>
      <c r="G507" t="inlineStr">
        <is>
          <t>BODEN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45456</v>
      </c>
      <c r="E508" s="1" t="n">
        <v>46226</v>
      </c>
      <c r="F508" t="inlineStr">
        <is>
          <t>NORRBOTTENS LÄN</t>
        </is>
      </c>
      <c r="G508" t="inlineStr">
        <is>
          <t>BODEN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45406</v>
      </c>
      <c r="E509" s="1" t="n">
        <v>46226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47024-2024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46226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12.8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45771</v>
      </c>
      <c r="E511" s="1" t="n">
        <v>46226</v>
      </c>
      <c r="F511" t="inlineStr">
        <is>
          <t>NORRBOTTENS LÄN</t>
        </is>
      </c>
      <c r="G511" t="inlineStr">
        <is>
          <t>BODEN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46226</v>
      </c>
      <c r="F512" t="inlineStr">
        <is>
          <t>NORRBOTTENS LÄN</t>
        </is>
      </c>
      <c r="G512" t="inlineStr">
        <is>
          <t>BODEN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46226</v>
      </c>
      <c r="F513" t="inlineStr">
        <is>
          <t>NORRBOTTENS LÄN</t>
        </is>
      </c>
      <c r="G513" t="inlineStr">
        <is>
          <t>BODEN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46226</v>
      </c>
      <c r="F514" t="inlineStr">
        <is>
          <t>NORRBOTTENS LÄN</t>
        </is>
      </c>
      <c r="G514" t="inlineStr">
        <is>
          <t>BODEN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46226</v>
      </c>
      <c r="F515" t="inlineStr">
        <is>
          <t>NORRBOTTENS LÄN</t>
        </is>
      </c>
      <c r="G515" t="inlineStr">
        <is>
          <t>BODEN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46226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54104-2022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44881</v>
      </c>
      <c r="E517" s="1" t="n">
        <v>46226</v>
      </c>
      <c r="F517" t="inlineStr">
        <is>
          <t>NORRBOTTENS LÄN</t>
        </is>
      </c>
      <c r="G517" t="inlineStr">
        <is>
          <t>BODEN</t>
        </is>
      </c>
      <c r="H517" t="inlineStr">
        <is>
          <t>Sveaskog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46226</v>
      </c>
      <c r="F518" t="inlineStr">
        <is>
          <t>NORRBOTTENS LÄN</t>
        </is>
      </c>
      <c r="G518" t="inlineStr">
        <is>
          <t>BODEN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46226</v>
      </c>
      <c r="F519" t="inlineStr">
        <is>
          <t>NORRBOTTENS LÄN</t>
        </is>
      </c>
      <c r="G519" t="inlineStr">
        <is>
          <t>BODEN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46226</v>
      </c>
      <c r="F520" t="inlineStr">
        <is>
          <t>NORRBOTTENS LÄN</t>
        </is>
      </c>
      <c r="G520" t="inlineStr">
        <is>
          <t>BODEN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46226</v>
      </c>
      <c r="F521" t="inlineStr">
        <is>
          <t>NORRBOTTENS LÄN</t>
        </is>
      </c>
      <c r="G521" t="inlineStr">
        <is>
          <t>BODEN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46226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46226</v>
      </c>
      <c r="F523" t="inlineStr">
        <is>
          <t>NORRBOTTENS LÄN</t>
        </is>
      </c>
      <c r="G523" t="inlineStr">
        <is>
          <t>BODEN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45996</v>
      </c>
      <c r="E524" s="1" t="n">
        <v>46226</v>
      </c>
      <c r="F524" t="inlineStr">
        <is>
          <t>NORRBOTTENS LÄN</t>
        </is>
      </c>
      <c r="G524" t="inlineStr">
        <is>
          <t>BODEN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47423-2024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45587</v>
      </c>
      <c r="E525" s="1" t="n">
        <v>46226</v>
      </c>
      <c r="F525" t="inlineStr">
        <is>
          <t>NORRBOTTENS LÄN</t>
        </is>
      </c>
      <c r="G525" t="inlineStr">
        <is>
          <t>BODEN</t>
        </is>
      </c>
      <c r="I525" t="n">
        <v>17.2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32582-2025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45838</v>
      </c>
      <c r="E526" s="1" t="n">
        <v>46226</v>
      </c>
      <c r="F526" t="inlineStr">
        <is>
          <t>NORRBOTTENS LÄN</t>
        </is>
      </c>
      <c r="G526" t="inlineStr">
        <is>
          <t>BODEN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58099-2023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45248</v>
      </c>
      <c r="E527" s="1" t="n">
        <v>46226</v>
      </c>
      <c r="F527" t="inlineStr">
        <is>
          <t>NORRBOTTENS LÄN</t>
        </is>
      </c>
      <c r="G527" t="inlineStr">
        <is>
          <t>BODEN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46226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46226</v>
      </c>
      <c r="F529" t="inlineStr">
        <is>
          <t>NORRBOTTENS LÄN</t>
        </is>
      </c>
      <c r="G529" t="inlineStr">
        <is>
          <t>BODEN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42652-2025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45906</v>
      </c>
      <c r="E530" s="1" t="n">
        <v>46226</v>
      </c>
      <c r="F530" t="inlineStr">
        <is>
          <t>NORRBOTTENS LÄN</t>
        </is>
      </c>
      <c r="G530" t="inlineStr">
        <is>
          <t>BODEN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46226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46226</v>
      </c>
      <c r="F532" t="inlineStr">
        <is>
          <t>NORRBOTTENS LÄN</t>
        </is>
      </c>
      <c r="G532" t="inlineStr">
        <is>
          <t>BODEN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61384-2025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46226</v>
      </c>
      <c r="F533" t="inlineStr">
        <is>
          <t>NORRBOTTENS LÄN</t>
        </is>
      </c>
      <c r="G533" t="inlineStr">
        <is>
          <t>BODEN</t>
        </is>
      </c>
      <c r="I533" t="n">
        <v>17.1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45832</v>
      </c>
      <c r="E534" s="1" t="n">
        <v>46226</v>
      </c>
      <c r="F534" t="inlineStr">
        <is>
          <t>NORRBOTTENS LÄN</t>
        </is>
      </c>
      <c r="G534" t="inlineStr">
        <is>
          <t>BODEN</t>
        </is>
      </c>
      <c r="I534" t="n">
        <v>8.9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45818</v>
      </c>
      <c r="E535" s="1" t="n">
        <v>46226</v>
      </c>
      <c r="F535" t="inlineStr">
        <is>
          <t>NORRBOTTENS LÄN</t>
        </is>
      </c>
      <c r="G535" t="inlineStr">
        <is>
          <t>BODEN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46226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46226</v>
      </c>
      <c r="F537" t="inlineStr">
        <is>
          <t>NORRBOTTENS LÄN</t>
        </is>
      </c>
      <c r="G537" t="inlineStr">
        <is>
          <t>BODEN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46226</v>
      </c>
      <c r="F538" t="inlineStr">
        <is>
          <t>NORRBOTTENS LÄN</t>
        </is>
      </c>
      <c r="G538" t="inlineStr">
        <is>
          <t>BODEN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46226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13714-2022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44648</v>
      </c>
      <c r="E540" s="1" t="n">
        <v>46226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46226</v>
      </c>
      <c r="F541" t="inlineStr">
        <is>
          <t>NORRBOTTENS LÄN</t>
        </is>
      </c>
      <c r="G541" t="inlineStr">
        <is>
          <t>BODEN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45868</v>
      </c>
      <c r="E542" s="1" t="n">
        <v>46226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46001</v>
      </c>
      <c r="E543" s="1" t="n">
        <v>46226</v>
      </c>
      <c r="F543" t="inlineStr">
        <is>
          <t>NORRBOTTENS LÄN</t>
        </is>
      </c>
      <c r="G543" t="inlineStr">
        <is>
          <t>BODEN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46226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7.2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467-2022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44565</v>
      </c>
      <c r="E545" s="1" t="n">
        <v>46226</v>
      </c>
      <c r="F545" t="inlineStr">
        <is>
          <t>NORRBOTTENS LÄN</t>
        </is>
      </c>
      <c r="G545" t="inlineStr">
        <is>
          <t>BODEN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46184</v>
      </c>
      <c r="E546" s="1" t="n">
        <v>46226</v>
      </c>
      <c r="F546" t="inlineStr">
        <is>
          <t>NORRBOTTENS LÄN</t>
        </is>
      </c>
      <c r="G546" t="inlineStr">
        <is>
          <t>BODEN</t>
        </is>
      </c>
      <c r="H546" t="inlineStr">
        <is>
          <t>Sveaskog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  <c r="Z546">
        <f>HYPERLINK("https://klasma.github.io/Logging_2582/knärot/A 26776-2026 karta knärot.png", "A 26776-2026")</f>
        <v/>
      </c>
      <c r="AA546">
        <f>HYPERLINK("https://klasma.github.io/Logging_2582/klagomål/A 26776-2026 FSC-klagomål.docx", "A 26776-2026")</f>
        <v/>
      </c>
      <c r="AB546">
        <f>HYPERLINK("https://klasma.github.io/Logging_2582/klagomålsmail/A 26776-2026 FSC-klagomål mail.docx", "A 26776-2026")</f>
        <v/>
      </c>
      <c r="AC546">
        <f>HYPERLINK("https://klasma.github.io/Logging_2582/tillsyn/A 26776-2026 tillsynsbegäran.docx", "A 26776-2026")</f>
        <v/>
      </c>
      <c r="AD546">
        <f>HYPERLINK("https://klasma.github.io/Logging_2582/tillsynsmail/A 26776-2026 tillsynsbegäran mail.docx", "A 26776-2026")</f>
        <v/>
      </c>
    </row>
    <row r="547" ht="15" customHeight="1">
      <c r="A547" t="inlineStr">
        <is>
          <t>A 26662-2026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46226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46226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61743-2024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45649</v>
      </c>
      <c r="E549" s="1" t="n">
        <v>46226</v>
      </c>
      <c r="F549" t="inlineStr">
        <is>
          <t>NORRBOTTENS LÄN</t>
        </is>
      </c>
      <c r="G549" t="inlineStr">
        <is>
          <t>BODEN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63329-2025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46009</v>
      </c>
      <c r="E550" s="1" t="n">
        <v>46226</v>
      </c>
      <c r="F550" t="inlineStr">
        <is>
          <t>NORRBOTTENS LÄN</t>
        </is>
      </c>
      <c r="G550" t="inlineStr">
        <is>
          <t>BODEN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63333-2025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46226</v>
      </c>
      <c r="F551" t="inlineStr">
        <is>
          <t>NORRBOTTENS LÄN</t>
        </is>
      </c>
      <c r="G551" t="inlineStr">
        <is>
          <t>BODEN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46008</v>
      </c>
      <c r="E552" s="1" t="n">
        <v>46226</v>
      </c>
      <c r="F552" t="inlineStr">
        <is>
          <t>NORRBOTTENS LÄN</t>
        </is>
      </c>
      <c r="G552" t="inlineStr">
        <is>
          <t>BODEN</t>
        </is>
      </c>
      <c r="I552" t="n">
        <v>10.1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60237-2025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45994</v>
      </c>
      <c r="E553" s="1" t="n">
        <v>46226</v>
      </c>
      <c r="F553" t="inlineStr">
        <is>
          <t>NORRBOTTENS LÄN</t>
        </is>
      </c>
      <c r="G553" t="inlineStr">
        <is>
          <t>BODEN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62994-2025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46009</v>
      </c>
      <c r="E554" s="1" t="n">
        <v>46226</v>
      </c>
      <c r="F554" t="inlineStr">
        <is>
          <t>NORRBOTTENS LÄN</t>
        </is>
      </c>
      <c r="G554" t="inlineStr">
        <is>
          <t>BODEN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46226</v>
      </c>
      <c r="F555" t="inlineStr">
        <is>
          <t>NORRBOTTENS LÄN</t>
        </is>
      </c>
      <c r="G555" t="inlineStr">
        <is>
          <t>BODEN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62673-2025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46008</v>
      </c>
      <c r="E556" s="1" t="n">
        <v>46226</v>
      </c>
      <c r="F556" t="inlineStr">
        <is>
          <t>NORRBOTTENS LÄN</t>
        </is>
      </c>
      <c r="G556" t="inlineStr">
        <is>
          <t>BODEN</t>
        </is>
      </c>
      <c r="I556" t="n">
        <v>18.6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44553-2024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46226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37404-2025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45877</v>
      </c>
      <c r="E558" s="1" t="n">
        <v>46226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62992-2025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46009</v>
      </c>
      <c r="E559" s="1" t="n">
        <v>46226</v>
      </c>
      <c r="F559" t="inlineStr">
        <is>
          <t>NORRBOTTENS LÄN</t>
        </is>
      </c>
      <c r="G559" t="inlineStr">
        <is>
          <t>BODEN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45301</v>
      </c>
      <c r="E560" s="1" t="n">
        <v>46226</v>
      </c>
      <c r="F560" t="inlineStr">
        <is>
          <t>NORRBOTTENS LÄN</t>
        </is>
      </c>
      <c r="G560" t="inlineStr">
        <is>
          <t>BODEN</t>
        </is>
      </c>
      <c r="H560" t="inlineStr">
        <is>
          <t>Övriga statliga verk och myndigheter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42173-2025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45902</v>
      </c>
      <c r="E561" s="1" t="n">
        <v>46226</v>
      </c>
      <c r="F561" t="inlineStr">
        <is>
          <t>NORRBOTTENS LÄN</t>
        </is>
      </c>
      <c r="G561" t="inlineStr">
        <is>
          <t>BODEN</t>
        </is>
      </c>
      <c r="H561" t="inlineStr">
        <is>
          <t>Övriga statliga verk och myndigheter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18173-2025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45761</v>
      </c>
      <c r="E562" s="1" t="n">
        <v>46226</v>
      </c>
      <c r="F562" t="inlineStr">
        <is>
          <t>NORRBOTTENS LÄN</t>
        </is>
      </c>
      <c r="G562" t="inlineStr">
        <is>
          <t>BODEN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63399-2025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46012</v>
      </c>
      <c r="E563" s="1" t="n">
        <v>46226</v>
      </c>
      <c r="F563" t="inlineStr">
        <is>
          <t>NORRBOTTENS LÄN</t>
        </is>
      </c>
      <c r="G563" t="inlineStr">
        <is>
          <t>BODEN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63400-2025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46012</v>
      </c>
      <c r="E564" s="1" t="n">
        <v>46226</v>
      </c>
      <c r="F564" t="inlineStr">
        <is>
          <t>NORRBOTTENS LÄN</t>
        </is>
      </c>
      <c r="G564" t="inlineStr">
        <is>
          <t>BODEN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46226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16180-2025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45750</v>
      </c>
      <c r="E566" s="1" t="n">
        <v>46226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Aktiebolag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63398-2025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46012</v>
      </c>
      <c r="E567" s="1" t="n">
        <v>46226</v>
      </c>
      <c r="F567" t="inlineStr">
        <is>
          <t>NORRBOTTENS LÄN</t>
        </is>
      </c>
      <c r="G567" t="inlineStr">
        <is>
          <t>BODEN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46226</v>
      </c>
      <c r="F568" t="inlineStr">
        <is>
          <t>NORRBOTTENS LÄN</t>
        </is>
      </c>
      <c r="G568" t="inlineStr">
        <is>
          <t>BODEN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40115-2025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45893</v>
      </c>
      <c r="E569" s="1" t="n">
        <v>46226</v>
      </c>
      <c r="F569" t="inlineStr">
        <is>
          <t>NORRBOTTENS LÄN</t>
        </is>
      </c>
      <c r="G569" t="inlineStr">
        <is>
          <t>BODEN</t>
        </is>
      </c>
      <c r="H569" t="inlineStr">
        <is>
          <t>Övriga statliga verk och myndigheter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37854-2025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45881</v>
      </c>
      <c r="E570" s="1" t="n">
        <v>46226</v>
      </c>
      <c r="F570" t="inlineStr">
        <is>
          <t>NORRBOTTENS LÄN</t>
        </is>
      </c>
      <c r="G570" t="inlineStr">
        <is>
          <t>BODEN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46226</v>
      </c>
      <c r="F571" t="inlineStr">
        <is>
          <t>NORRBOTTENS LÄN</t>
        </is>
      </c>
      <c r="G571" t="inlineStr">
        <is>
          <t>BODEN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63891-2025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46020</v>
      </c>
      <c r="E572" s="1" t="n">
        <v>46226</v>
      </c>
      <c r="F572" t="inlineStr">
        <is>
          <t>NORRBOTTENS LÄN</t>
        </is>
      </c>
      <c r="G572" t="inlineStr">
        <is>
          <t>BODEN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46226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27736-2026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46226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27698-2026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46226</v>
      </c>
      <c r="F575" t="inlineStr">
        <is>
          <t>NORRBOTTENS LÄN</t>
        </is>
      </c>
      <c r="G575" t="inlineStr">
        <is>
          <t>BODEN</t>
        </is>
      </c>
      <c r="I575" t="n">
        <v>22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38286-2025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46226</v>
      </c>
      <c r="F576" t="inlineStr">
        <is>
          <t>NORRBOTTENS LÄN</t>
        </is>
      </c>
      <c r="G576" t="inlineStr">
        <is>
          <t>BODEN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45882</v>
      </c>
      <c r="E577" s="1" t="n">
        <v>46226</v>
      </c>
      <c r="F577" t="inlineStr">
        <is>
          <t>NORRBOTTENS LÄN</t>
        </is>
      </c>
      <c r="G577" t="inlineStr">
        <is>
          <t>BODEN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46226</v>
      </c>
      <c r="F578" t="inlineStr">
        <is>
          <t>NORRBOTTENS LÄN</t>
        </is>
      </c>
      <c r="G578" t="inlineStr">
        <is>
          <t>BODEN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46226</v>
      </c>
      <c r="F579" t="inlineStr">
        <is>
          <t>NORRBOTTENS LÄN</t>
        </is>
      </c>
      <c r="G579" t="inlineStr">
        <is>
          <t>BODEN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46066</v>
      </c>
      <c r="E580" s="1" t="n">
        <v>46226</v>
      </c>
      <c r="F580" t="inlineStr">
        <is>
          <t>NORRBOTTENS LÄN</t>
        </is>
      </c>
      <c r="G580" t="inlineStr">
        <is>
          <t>BODEN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46226</v>
      </c>
      <c r="F581" t="inlineStr">
        <is>
          <t>NORRBOTTENS LÄN</t>
        </is>
      </c>
      <c r="G581" t="inlineStr">
        <is>
          <t>BODEN</t>
        </is>
      </c>
      <c r="I581" t="n">
        <v>11.6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46029</v>
      </c>
      <c r="E582" s="1" t="n">
        <v>46226</v>
      </c>
      <c r="F582" t="inlineStr">
        <is>
          <t>NORRBOTTENS LÄN</t>
        </is>
      </c>
      <c r="G582" t="inlineStr">
        <is>
          <t>BODEN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45692</v>
      </c>
      <c r="E583" s="1" t="n">
        <v>46226</v>
      </c>
      <c r="F583" t="inlineStr">
        <is>
          <t>NORRBOTTENS LÄN</t>
        </is>
      </c>
      <c r="G583" t="inlineStr">
        <is>
          <t>BODEN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18900-2025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45764</v>
      </c>
      <c r="E584" s="1" t="n">
        <v>46226</v>
      </c>
      <c r="F584" t="inlineStr">
        <is>
          <t>NORRBOTTENS LÄN</t>
        </is>
      </c>
      <c r="G584" t="inlineStr">
        <is>
          <t>BODEN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45884</v>
      </c>
      <c r="E585" s="1" t="n">
        <v>46226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46226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31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46226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10.3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46226</v>
      </c>
      <c r="F588" t="inlineStr">
        <is>
          <t>NORRBOTTENS LÄN</t>
        </is>
      </c>
      <c r="G588" t="inlineStr">
        <is>
          <t>BODEN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46226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46226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46191</v>
      </c>
      <c r="E591" s="1" t="n">
        <v>46226</v>
      </c>
      <c r="F591" t="inlineStr">
        <is>
          <t>NORRBOTTENS LÄN</t>
        </is>
      </c>
      <c r="G591" t="inlineStr">
        <is>
          <t>BODEN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45446</v>
      </c>
      <c r="E592" s="1" t="n">
        <v>46226</v>
      </c>
      <c r="F592" t="inlineStr">
        <is>
          <t>NORRBOTTENS LÄN</t>
        </is>
      </c>
      <c r="G592" t="inlineStr">
        <is>
          <t>BODEN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61771-2024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45649</v>
      </c>
      <c r="E593" s="1" t="n">
        <v>46226</v>
      </c>
      <c r="F593" t="inlineStr">
        <is>
          <t>NORRBOTTENS LÄN</t>
        </is>
      </c>
      <c r="G593" t="inlineStr">
        <is>
          <t>BODEN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63841-2025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46020</v>
      </c>
      <c r="E594" s="1" t="n">
        <v>46226</v>
      </c>
      <c r="F594" t="inlineStr">
        <is>
          <t>NORRBOTTENS LÄN</t>
        </is>
      </c>
      <c r="G594" t="inlineStr">
        <is>
          <t>BODEN</t>
        </is>
      </c>
      <c r="I594" t="n">
        <v>10.9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46150</v>
      </c>
      <c r="E595" s="1" t="n">
        <v>46226</v>
      </c>
      <c r="F595" t="inlineStr">
        <is>
          <t>NORRBOTTENS LÄN</t>
        </is>
      </c>
      <c r="G595" t="inlineStr">
        <is>
          <t>BODEN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59029-2022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44903</v>
      </c>
      <c r="E596" s="1" t="n">
        <v>46226</v>
      </c>
      <c r="F596" t="inlineStr">
        <is>
          <t>NORRBOTTENS LÄN</t>
        </is>
      </c>
      <c r="G596" t="inlineStr">
        <is>
          <t>BODEN</t>
        </is>
      </c>
      <c r="I596" t="n">
        <v>7.3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45770</v>
      </c>
      <c r="E597" s="1" t="n">
        <v>46226</v>
      </c>
      <c r="F597" t="inlineStr">
        <is>
          <t>NORRBOTTENS LÄN</t>
        </is>
      </c>
      <c r="G597" t="inlineStr">
        <is>
          <t>BODEN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46226</v>
      </c>
      <c r="F598" t="inlineStr">
        <is>
          <t>NORRBOTTENS LÄN</t>
        </is>
      </c>
      <c r="G598" t="inlineStr">
        <is>
          <t>BODEN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2771-2026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46036</v>
      </c>
      <c r="E599" s="1" t="n">
        <v>46226</v>
      </c>
      <c r="F599" t="inlineStr">
        <is>
          <t>NORRBOTTENS LÄN</t>
        </is>
      </c>
      <c r="G599" t="inlineStr">
        <is>
          <t>BODEN</t>
        </is>
      </c>
      <c r="H599" t="inlineStr">
        <is>
          <t>Kommuner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46226</v>
      </c>
      <c r="F600" t="inlineStr">
        <is>
          <t>NORRBOTTENS LÄN</t>
        </is>
      </c>
      <c r="G600" t="inlineStr">
        <is>
          <t>BODEN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21784-2026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46150</v>
      </c>
      <c r="E601" s="1" t="n">
        <v>46226</v>
      </c>
      <c r="F601" t="inlineStr">
        <is>
          <t>NORRBOTTENS LÄN</t>
        </is>
      </c>
      <c r="G601" t="inlineStr">
        <is>
          <t>BODEN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48415-2024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46226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48471-2024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45591</v>
      </c>
      <c r="E603" s="1" t="n">
        <v>46226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48472-2024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45591</v>
      </c>
      <c r="E604" s="1" t="n">
        <v>46226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7.7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45408</v>
      </c>
      <c r="E605" s="1" t="n">
        <v>46226</v>
      </c>
      <c r="F605" t="inlineStr">
        <is>
          <t>NORRBOTTENS LÄN</t>
        </is>
      </c>
      <c r="G605" t="inlineStr">
        <is>
          <t>BODEN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46226</v>
      </c>
      <c r="F606" t="inlineStr">
        <is>
          <t>NORRBOTTENS LÄN</t>
        </is>
      </c>
      <c r="G606" t="inlineStr">
        <is>
          <t>BODEN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46226</v>
      </c>
      <c r="F607" t="inlineStr">
        <is>
          <t>NORRBOTTENS LÄN</t>
        </is>
      </c>
      <c r="G607" t="inlineStr">
        <is>
          <t>BODEN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45425</v>
      </c>
      <c r="E608" s="1" t="n">
        <v>46226</v>
      </c>
      <c r="F608" t="inlineStr">
        <is>
          <t>NORRBOTTENS LÄN</t>
        </is>
      </c>
      <c r="G608" t="inlineStr">
        <is>
          <t>BODEN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61587-2024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46226</v>
      </c>
      <c r="F609" t="inlineStr">
        <is>
          <t>NORRBOTTENS LÄN</t>
        </is>
      </c>
      <c r="G609" t="inlineStr">
        <is>
          <t>BODEN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46226</v>
      </c>
      <c r="F610" t="inlineStr">
        <is>
          <t>NORRBOTTENS LÄN</t>
        </is>
      </c>
      <c r="G610" t="inlineStr">
        <is>
          <t>BODEN</t>
        </is>
      </c>
      <c r="I610" t="n">
        <v>7.8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46226</v>
      </c>
      <c r="F611" t="inlineStr">
        <is>
          <t>NORRBOTTENS LÄN</t>
        </is>
      </c>
      <c r="G611" t="inlineStr">
        <is>
          <t>BODEN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60085-2024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45639</v>
      </c>
      <c r="E612" s="1" t="n">
        <v>46226</v>
      </c>
      <c r="F612" t="inlineStr">
        <is>
          <t>NORRBOTTENS LÄN</t>
        </is>
      </c>
      <c r="G612" t="inlineStr">
        <is>
          <t>BODEN</t>
        </is>
      </c>
      <c r="I612" t="n">
        <v>9.5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22239-2026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46226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46226</v>
      </c>
      <c r="F614" t="inlineStr">
        <is>
          <t>NORRBOTTENS LÄN</t>
        </is>
      </c>
      <c r="G614" t="inlineStr">
        <is>
          <t>BODEN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46197</v>
      </c>
      <c r="E615" s="1" t="n">
        <v>46226</v>
      </c>
      <c r="F615" t="inlineStr">
        <is>
          <t>NORRBOTTENS LÄN</t>
        </is>
      </c>
      <c r="G615" t="inlineStr">
        <is>
          <t>BODEN</t>
        </is>
      </c>
      <c r="I615" t="n">
        <v>8.9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15017-2022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44657</v>
      </c>
      <c r="E616" s="1" t="n">
        <v>46226</v>
      </c>
      <c r="F616" t="inlineStr">
        <is>
          <t>NORRBOTTENS LÄN</t>
        </is>
      </c>
      <c r="G616" t="inlineStr">
        <is>
          <t>BODEN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59035-2025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46226</v>
      </c>
      <c r="F617" t="inlineStr">
        <is>
          <t>NORRBOTTENS LÄN</t>
        </is>
      </c>
      <c r="G617" t="inlineStr">
        <is>
          <t>BODEN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46197</v>
      </c>
      <c r="E618" s="1" t="n">
        <v>46226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45427</v>
      </c>
      <c r="E619" s="1" t="n">
        <v>46226</v>
      </c>
      <c r="F619" t="inlineStr">
        <is>
          <t>NORRBOTTENS LÄN</t>
        </is>
      </c>
      <c r="G619" t="inlineStr">
        <is>
          <t>BODEN</t>
        </is>
      </c>
      <c r="I619" t="n">
        <v>22.1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28512-2026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46197</v>
      </c>
      <c r="E620" s="1" t="n">
        <v>46226</v>
      </c>
      <c r="F620" t="inlineStr">
        <is>
          <t>NORRBOTTENS LÄN</t>
        </is>
      </c>
      <c r="G620" t="inlineStr">
        <is>
          <t>BODEN</t>
        </is>
      </c>
      <c r="I620" t="n">
        <v>10.8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21329-2024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45440</v>
      </c>
      <c r="E621" s="1" t="n">
        <v>46226</v>
      </c>
      <c r="F621" t="inlineStr">
        <is>
          <t>NORRBOTTENS LÄN</t>
        </is>
      </c>
      <c r="G621" t="inlineStr">
        <is>
          <t>BODEN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46226</v>
      </c>
      <c r="F622" t="inlineStr">
        <is>
          <t>NORRBOTTENS LÄN</t>
        </is>
      </c>
      <c r="G622" t="inlineStr">
        <is>
          <t>BODEN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46226</v>
      </c>
      <c r="F623" t="inlineStr">
        <is>
          <t>NORRBOTTENS LÄN</t>
        </is>
      </c>
      <c r="G623" t="inlineStr">
        <is>
          <t>BODEN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28490-2026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46197</v>
      </c>
      <c r="E624" s="1" t="n">
        <v>46226</v>
      </c>
      <c r="F624" t="inlineStr">
        <is>
          <t>NORRBOTTENS LÄN</t>
        </is>
      </c>
      <c r="G624" t="inlineStr">
        <is>
          <t>BODEN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46226</v>
      </c>
      <c r="F625" t="inlineStr">
        <is>
          <t>NORRBOTTENS LÄN</t>
        </is>
      </c>
      <c r="G625" t="inlineStr">
        <is>
          <t>BODEN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46564-2022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44847</v>
      </c>
      <c r="E626" s="1" t="n">
        <v>46226</v>
      </c>
      <c r="F626" t="inlineStr">
        <is>
          <t>NORRBOTTENS LÄN</t>
        </is>
      </c>
      <c r="G626" t="inlineStr">
        <is>
          <t>BODEN</t>
        </is>
      </c>
      <c r="I626" t="n">
        <v>28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46226</v>
      </c>
      <c r="F627" t="inlineStr">
        <is>
          <t>NORRBOTTENS LÄN</t>
        </is>
      </c>
      <c r="G627" t="inlineStr">
        <is>
          <t>BODEN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49162-2023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45210</v>
      </c>
      <c r="E628" s="1" t="n">
        <v>46226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44573</v>
      </c>
      <c r="E629" s="1" t="n">
        <v>46226</v>
      </c>
      <c r="F629" t="inlineStr">
        <is>
          <t>NORRBOTTENS LÄN</t>
        </is>
      </c>
      <c r="G629" t="inlineStr">
        <is>
          <t>BODEN</t>
        </is>
      </c>
      <c r="H629" t="inlineStr">
        <is>
          <t>Övriga statliga verk och myndigheter</t>
        </is>
      </c>
      <c r="I629" t="n">
        <v>9.9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46226</v>
      </c>
      <c r="F630" t="inlineStr">
        <is>
          <t>NORRBOTTENS LÄN</t>
        </is>
      </c>
      <c r="G630" t="inlineStr">
        <is>
          <t>BODEN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48950-2022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44859</v>
      </c>
      <c r="E631" s="1" t="n">
        <v>46226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46197</v>
      </c>
      <c r="E632" s="1" t="n">
        <v>46226</v>
      </c>
      <c r="F632" t="inlineStr">
        <is>
          <t>NORRBOTTENS LÄN</t>
        </is>
      </c>
      <c r="G632" t="inlineStr">
        <is>
          <t>BODEN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46226</v>
      </c>
      <c r="F633" t="inlineStr">
        <is>
          <t>NORRBOTTENS LÄN</t>
        </is>
      </c>
      <c r="G633" t="inlineStr">
        <is>
          <t>BODEN</t>
        </is>
      </c>
      <c r="I633" t="n">
        <v>9.800000000000001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37984-2024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46226</v>
      </c>
      <c r="F634" t="inlineStr">
        <is>
          <t>NORRBOTTENS LÄN</t>
        </is>
      </c>
      <c r="G634" t="inlineStr">
        <is>
          <t>BODEN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6708-2026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46226</v>
      </c>
      <c r="F635" t="inlineStr">
        <is>
          <t>NORRBOTTENS LÄN</t>
        </is>
      </c>
      <c r="G635" t="inlineStr">
        <is>
          <t>BODEN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45314</v>
      </c>
      <c r="E636" s="1" t="n">
        <v>46226</v>
      </c>
      <c r="F636" t="inlineStr">
        <is>
          <t>NORRBOTTENS LÄN</t>
        </is>
      </c>
      <c r="G636" t="inlineStr">
        <is>
          <t>BODEN</t>
        </is>
      </c>
      <c r="I636" t="n">
        <v>17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45429</v>
      </c>
      <c r="E637" s="1" t="n">
        <v>46226</v>
      </c>
      <c r="F637" t="inlineStr">
        <is>
          <t>NORRBOTTENS LÄN</t>
        </is>
      </c>
      <c r="G637" t="inlineStr">
        <is>
          <t>BODEN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46226</v>
      </c>
      <c r="F638" t="inlineStr">
        <is>
          <t>NORRBOTTENS LÄN</t>
        </is>
      </c>
      <c r="G638" t="inlineStr">
        <is>
          <t>BODEN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45818</v>
      </c>
      <c r="E639" s="1" t="n">
        <v>46226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11.3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15157-2025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46226</v>
      </c>
      <c r="F640" t="inlineStr">
        <is>
          <t>NORRBOTTENS LÄN</t>
        </is>
      </c>
      <c r="G640" t="inlineStr">
        <is>
          <t>BODEN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5129-2025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45691</v>
      </c>
      <c r="E641" s="1" t="n">
        <v>46226</v>
      </c>
      <c r="F641" t="inlineStr">
        <is>
          <t>NORRBOTTENS LÄN</t>
        </is>
      </c>
      <c r="G641" t="inlineStr">
        <is>
          <t>BODEN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29394-2026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46226</v>
      </c>
      <c r="F642" t="inlineStr">
        <is>
          <t>NORRBOTTENS LÄN</t>
        </is>
      </c>
      <c r="G642" t="inlineStr">
        <is>
          <t>BODEN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44963</v>
      </c>
      <c r="E643" s="1" t="n">
        <v>46226</v>
      </c>
      <c r="F643" t="inlineStr">
        <is>
          <t>NORRBOTTENS LÄN</t>
        </is>
      </c>
      <c r="G643" t="inlineStr">
        <is>
          <t>BODEN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46183-2021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44441</v>
      </c>
      <c r="E644" s="1" t="n">
        <v>46226</v>
      </c>
      <c r="F644" t="inlineStr">
        <is>
          <t>NORRBOTTENS LÄN</t>
        </is>
      </c>
      <c r="G644" t="inlineStr">
        <is>
          <t>BODEN</t>
        </is>
      </c>
      <c r="I644" t="n">
        <v>13.6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29393-2026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46226</v>
      </c>
      <c r="F645" t="inlineStr">
        <is>
          <t>NORRBOTTENS LÄN</t>
        </is>
      </c>
      <c r="G645" t="inlineStr">
        <is>
          <t>BODEN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31456-2024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45505</v>
      </c>
      <c r="E646" s="1" t="n">
        <v>46226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37212-2025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45875</v>
      </c>
      <c r="E647" s="1" t="n">
        <v>46226</v>
      </c>
      <c r="F647" t="inlineStr">
        <is>
          <t>NORRBOTTENS LÄN</t>
        </is>
      </c>
      <c r="G647" t="inlineStr">
        <is>
          <t>BODEN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46202</v>
      </c>
      <c r="E648" s="1" t="n">
        <v>46226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29155-2026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46202</v>
      </c>
      <c r="E649" s="1" t="n">
        <v>46226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46226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9969-2023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44979</v>
      </c>
      <c r="E651" s="1" t="n">
        <v>46226</v>
      </c>
      <c r="F651" t="inlineStr">
        <is>
          <t>NORRBOTTENS LÄN</t>
        </is>
      </c>
      <c r="G651" t="inlineStr">
        <is>
          <t>BODEN</t>
        </is>
      </c>
      <c r="H651" t="inlineStr">
        <is>
          <t>Övriga statliga verk och myndigheter</t>
        </is>
      </c>
      <c r="I651" t="n">
        <v>18.8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46226</v>
      </c>
      <c r="F652" t="inlineStr">
        <is>
          <t>NORRBOTTENS LÄN</t>
        </is>
      </c>
      <c r="G652" t="inlineStr">
        <is>
          <t>BODEN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46226</v>
      </c>
      <c r="F653" t="inlineStr">
        <is>
          <t>NORRBOTTENS LÄN</t>
        </is>
      </c>
      <c r="G653" t="inlineStr">
        <is>
          <t>BODEN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26806-2024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45470</v>
      </c>
      <c r="E654" s="1" t="n">
        <v>46226</v>
      </c>
      <c r="F654" t="inlineStr">
        <is>
          <t>NORRBOTTENS LÄN</t>
        </is>
      </c>
      <c r="G654" t="inlineStr">
        <is>
          <t>BODEN</t>
        </is>
      </c>
      <c r="H654" t="inlineStr">
        <is>
          <t>Övriga Aktiebolag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29759-2026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46204</v>
      </c>
      <c r="E655" s="1" t="n">
        <v>46226</v>
      </c>
      <c r="F655" t="inlineStr">
        <is>
          <t>NORRBOTTENS LÄN</t>
        </is>
      </c>
      <c r="G655" t="inlineStr">
        <is>
          <t>BODEN</t>
        </is>
      </c>
      <c r="I655" t="n">
        <v>38.7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46226</v>
      </c>
      <c r="F656" t="inlineStr">
        <is>
          <t>NORRBOTTENS LÄN</t>
        </is>
      </c>
      <c r="G656" t="inlineStr">
        <is>
          <t>BODEN</t>
        </is>
      </c>
      <c r="I656" t="n">
        <v>12.2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68591-2021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44529</v>
      </c>
      <c r="E657" s="1" t="n">
        <v>46226</v>
      </c>
      <c r="F657" t="inlineStr">
        <is>
          <t>NORRBOTTENS LÄN</t>
        </is>
      </c>
      <c r="G657" t="inlineStr">
        <is>
          <t>BODEN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2547-2025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45674</v>
      </c>
      <c r="E658" s="1" t="n">
        <v>46226</v>
      </c>
      <c r="F658" t="inlineStr">
        <is>
          <t>NORRBOTTENS LÄN</t>
        </is>
      </c>
      <c r="G658" t="inlineStr">
        <is>
          <t>BODEN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44567-2024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45574</v>
      </c>
      <c r="E659" s="1" t="n">
        <v>46226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30077-2026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46206</v>
      </c>
      <c r="E660" s="1" t="n">
        <v>46226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40157-2025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45894</v>
      </c>
      <c r="E661" s="1" t="n">
        <v>46226</v>
      </c>
      <c r="F661" t="inlineStr">
        <is>
          <t>NORRBOTTENS LÄN</t>
        </is>
      </c>
      <c r="G661" t="inlineStr">
        <is>
          <t>BODEN</t>
        </is>
      </c>
      <c r="H661" t="inlineStr">
        <is>
          <t>Övriga statliga verk och myndigheter</t>
        </is>
      </c>
      <c r="I661" t="n">
        <v>17.6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46226</v>
      </c>
      <c r="F662" t="inlineStr">
        <is>
          <t>NORRBOTTENS LÄN</t>
        </is>
      </c>
      <c r="G662" t="inlineStr">
        <is>
          <t>BODEN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30432-2026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46209</v>
      </c>
      <c r="E663" s="1" t="n">
        <v>46226</v>
      </c>
      <c r="F663" t="inlineStr">
        <is>
          <t>NORRBOTTENS LÄN</t>
        </is>
      </c>
      <c r="G663" t="inlineStr">
        <is>
          <t>BODEN</t>
        </is>
      </c>
      <c r="H663" t="inlineStr">
        <is>
          <t>Kommuner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46226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23792-2026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46226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19051-2025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45764</v>
      </c>
      <c r="E666" s="1" t="n">
        <v>46226</v>
      </c>
      <c r="F666" t="inlineStr">
        <is>
          <t>NORRBOTTENS LÄN</t>
        </is>
      </c>
      <c r="G666" t="inlineStr">
        <is>
          <t>BODEN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46226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46226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30332-2026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46208</v>
      </c>
      <c r="E669" s="1" t="n">
        <v>46226</v>
      </c>
      <c r="F669" t="inlineStr">
        <is>
          <t>NORRBOTTENS LÄN</t>
        </is>
      </c>
      <c r="G669" t="inlineStr">
        <is>
          <t>BODEN</t>
        </is>
      </c>
      <c r="I669" t="n">
        <v>9.800000000000001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46209</v>
      </c>
      <c r="E670" s="1" t="n">
        <v>46226</v>
      </c>
      <c r="F670" t="inlineStr">
        <is>
          <t>NORRBOTTENS LÄN</t>
        </is>
      </c>
      <c r="G670" t="inlineStr">
        <is>
          <t>BODEN</t>
        </is>
      </c>
      <c r="H670" t="inlineStr">
        <is>
          <t>Kommuner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46226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30025-2026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46226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16336-2026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46226</v>
      </c>
      <c r="F673" t="inlineStr">
        <is>
          <t>NORRBOTTENS LÄN</t>
        </is>
      </c>
      <c r="G673" t="inlineStr">
        <is>
          <t>BODEN</t>
        </is>
      </c>
      <c r="I673" t="n">
        <v>9.199999999999999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24428-2026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46226</v>
      </c>
      <c r="F674" t="inlineStr">
        <is>
          <t>NORRBOTTENS LÄN</t>
        </is>
      </c>
      <c r="G674" t="inlineStr">
        <is>
          <t>BODEN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24427-2026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46226</v>
      </c>
      <c r="F675" t="inlineStr">
        <is>
          <t>NORRBOTTENS LÄN</t>
        </is>
      </c>
      <c r="G675" t="inlineStr">
        <is>
          <t>BODEN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46226</v>
      </c>
      <c r="F676" t="inlineStr">
        <is>
          <t>NORRBOTTENS LÄN</t>
        </is>
      </c>
      <c r="G676" t="inlineStr">
        <is>
          <t>BODEN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24235-2026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46226</v>
      </c>
      <c r="F677" t="inlineStr">
        <is>
          <t>NORRBOTTENS LÄN</t>
        </is>
      </c>
      <c r="G677" t="inlineStr">
        <is>
          <t>BODEN</t>
        </is>
      </c>
      <c r="I677" t="n">
        <v>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14757-2023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45014</v>
      </c>
      <c r="E678" s="1" t="n">
        <v>46226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46226</v>
      </c>
      <c r="F679" t="inlineStr">
        <is>
          <t>NORRBOTTENS LÄN</t>
        </is>
      </c>
      <c r="G679" t="inlineStr">
        <is>
          <t>BODEN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24234-2026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46226</v>
      </c>
      <c r="F680" t="inlineStr">
        <is>
          <t>NORRBOTTENS LÄN</t>
        </is>
      </c>
      <c r="G680" t="inlineStr">
        <is>
          <t>BODEN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46226</v>
      </c>
      <c r="F681" t="inlineStr">
        <is>
          <t>NORRBOTTENS LÄN</t>
        </is>
      </c>
      <c r="G681" t="inlineStr">
        <is>
          <t>BODEN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46226</v>
      </c>
      <c r="F682" t="inlineStr">
        <is>
          <t>NORRBOTTENS LÄN</t>
        </is>
      </c>
      <c r="G682" t="inlineStr">
        <is>
          <t>BODEN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30745-2026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46211</v>
      </c>
      <c r="E683" s="1" t="n">
        <v>46226</v>
      </c>
      <c r="F683" t="inlineStr">
        <is>
          <t>NORRBOTTENS LÄN</t>
        </is>
      </c>
      <c r="G683" t="inlineStr">
        <is>
          <t>BODEN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46226</v>
      </c>
      <c r="F684" t="inlineStr">
        <is>
          <t>NORRBOTTENS LÄN</t>
        </is>
      </c>
      <c r="G684" t="inlineStr">
        <is>
          <t>BODEN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44964</v>
      </c>
      <c r="E685" s="1" t="n">
        <v>46226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19624-2025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46226</v>
      </c>
      <c r="F686" t="inlineStr">
        <is>
          <t>NORRBOTTENS LÄN</t>
        </is>
      </c>
      <c r="G686" t="inlineStr">
        <is>
          <t>BODEN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59893-2023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45254</v>
      </c>
      <c r="E687" s="1" t="n">
        <v>46226</v>
      </c>
      <c r="F687" t="inlineStr">
        <is>
          <t>NORRBOTTENS LÄN</t>
        </is>
      </c>
      <c r="G687" t="inlineStr">
        <is>
          <t>BODEN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35040-2022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44796</v>
      </c>
      <c r="E688" s="1" t="n">
        <v>46226</v>
      </c>
      <c r="F688" t="inlineStr">
        <is>
          <t>NORRBOTTENS LÄN</t>
        </is>
      </c>
      <c r="G688" t="inlineStr">
        <is>
          <t>BODEN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46172</v>
      </c>
      <c r="E689" s="1" t="n">
        <v>46226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46226</v>
      </c>
      <c r="F690" t="inlineStr">
        <is>
          <t>NORRBOTTENS LÄN</t>
        </is>
      </c>
      <c r="G690" t="inlineStr">
        <is>
          <t>BODEN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31226-2026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46226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31217-2026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46217</v>
      </c>
      <c r="E692" s="1" t="n">
        <v>46226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25042-2026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46226</v>
      </c>
      <c r="F693" t="inlineStr">
        <is>
          <t>NORRBOTTENS LÄN</t>
        </is>
      </c>
      <c r="G693" t="inlineStr">
        <is>
          <t>BODEN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45694</v>
      </c>
      <c r="E694" s="1" t="n">
        <v>46226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31209-2026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46217</v>
      </c>
      <c r="E695" s="1" t="n">
        <v>46226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8.800000000000001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33915-2024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45523</v>
      </c>
      <c r="E696" s="1" t="n">
        <v>46226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46226</v>
      </c>
      <c r="F697" t="inlineStr">
        <is>
          <t>NORRBOTTENS LÄN</t>
        </is>
      </c>
      <c r="G697" t="inlineStr">
        <is>
          <t>BODEN</t>
        </is>
      </c>
      <c r="I697" t="n">
        <v>14.5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46226</v>
      </c>
      <c r="F698" t="inlineStr">
        <is>
          <t>NORRBOTTENS LÄN</t>
        </is>
      </c>
      <c r="G698" t="inlineStr">
        <is>
          <t>BODEN</t>
        </is>
      </c>
      <c r="I698" t="n">
        <v>16.1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20505-2023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45054</v>
      </c>
      <c r="E699" s="1" t="n">
        <v>46226</v>
      </c>
      <c r="F699" t="inlineStr">
        <is>
          <t>NORRBOTTENS LÄN</t>
        </is>
      </c>
      <c r="G699" t="inlineStr">
        <is>
          <t>BODEN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21335-2024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45429</v>
      </c>
      <c r="E700" s="1" t="n">
        <v>46226</v>
      </c>
      <c r="F700" t="inlineStr">
        <is>
          <t>NORRBOTTENS LÄN</t>
        </is>
      </c>
      <c r="G700" t="inlineStr">
        <is>
          <t>BODEN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46217</v>
      </c>
      <c r="E701" s="1" t="n">
        <v>46226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25916-2023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45085</v>
      </c>
      <c r="E702" s="1" t="n">
        <v>46226</v>
      </c>
      <c r="F702" t="inlineStr">
        <is>
          <t>NORRBOTTENS LÄN</t>
        </is>
      </c>
      <c r="G702" t="inlineStr">
        <is>
          <t>BODEN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46175</v>
      </c>
      <c r="E703" s="1" t="n">
        <v>46226</v>
      </c>
      <c r="F703" t="inlineStr">
        <is>
          <t>NORRBOTTENS LÄN</t>
        </is>
      </c>
      <c r="G703" t="inlineStr">
        <is>
          <t>BODEN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64649-2023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45281</v>
      </c>
      <c r="E704" s="1" t="n">
        <v>46226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46226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8869-2024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45356</v>
      </c>
      <c r="E706" s="1" t="n">
        <v>46226</v>
      </c>
      <c r="F706" t="inlineStr">
        <is>
          <t>NORRBOTTENS LÄN</t>
        </is>
      </c>
      <c r="G706" t="inlineStr">
        <is>
          <t>BODEN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59028-2022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44903</v>
      </c>
      <c r="E707" s="1" t="n">
        <v>46226</v>
      </c>
      <c r="F707" t="inlineStr">
        <is>
          <t>NORRBOTTENS LÄN</t>
        </is>
      </c>
      <c r="G707" t="inlineStr">
        <is>
          <t>BODEN</t>
        </is>
      </c>
      <c r="I707" t="n">
        <v>16.1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25536-2026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46226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46226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49127-2023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45210</v>
      </c>
      <c r="E710" s="1" t="n">
        <v>46226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24498-2026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46226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43007-2022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44833</v>
      </c>
      <c r="E712" s="1" t="n">
        <v>46226</v>
      </c>
      <c r="F712" t="inlineStr">
        <is>
          <t>NORRBOTTENS LÄN</t>
        </is>
      </c>
      <c r="G712" t="inlineStr">
        <is>
          <t>BODEN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26375-2026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46183</v>
      </c>
      <c r="E713" s="1" t="n">
        <v>46226</v>
      </c>
      <c r="F713" t="inlineStr">
        <is>
          <t>NORRBOTTENS LÄN</t>
        </is>
      </c>
      <c r="G713" t="inlineStr">
        <is>
          <t>BODEN</t>
        </is>
      </c>
      <c r="I713" t="n">
        <v>18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46225</v>
      </c>
      <c r="E714" s="1" t="n">
        <v>46226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31655-2026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46225</v>
      </c>
      <c r="E715" s="1" t="n">
        <v>46226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67438-2021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44524</v>
      </c>
      <c r="E716" s="1" t="n">
        <v>46226</v>
      </c>
      <c r="F716" t="inlineStr">
        <is>
          <t>NORRBOTTENS LÄN</t>
        </is>
      </c>
      <c r="G716" t="inlineStr">
        <is>
          <t>BODEN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46226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46226</v>
      </c>
      <c r="F718" t="inlineStr">
        <is>
          <t>NORRBOTTENS LÄN</t>
        </is>
      </c>
      <c r="G718" t="inlineStr">
        <is>
          <t>BODEN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26182-2026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46226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8.5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46512-2021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44445</v>
      </c>
      <c r="E720" s="1" t="n">
        <v>46226</v>
      </c>
      <c r="F720" t="inlineStr">
        <is>
          <t>NORRBOTTENS LÄN</t>
        </is>
      </c>
      <c r="G720" t="inlineStr">
        <is>
          <t>BODEN</t>
        </is>
      </c>
      <c r="I720" t="n">
        <v>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46226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49859-2023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45212</v>
      </c>
      <c r="E722" s="1" t="n">
        <v>46226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46183</v>
      </c>
      <c r="E723" s="1" t="n">
        <v>46226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21421-2022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44706</v>
      </c>
      <c r="E724" s="1" t="n">
        <v>46226</v>
      </c>
      <c r="F724" t="inlineStr">
        <is>
          <t>NORRBOTTENS LÄN</t>
        </is>
      </c>
      <c r="G724" t="inlineStr">
        <is>
          <t>BODEN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28432-2022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44747</v>
      </c>
      <c r="E725" s="1" t="n">
        <v>46226</v>
      </c>
      <c r="F725" t="inlineStr">
        <is>
          <t>NORRBOTTENS LÄN</t>
        </is>
      </c>
      <c r="G725" t="inlineStr">
        <is>
          <t>BODEN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16741-2022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44673</v>
      </c>
      <c r="E726" s="1" t="n">
        <v>46226</v>
      </c>
      <c r="F726" t="inlineStr">
        <is>
          <t>NORRBOTTENS LÄN</t>
        </is>
      </c>
      <c r="G726" t="inlineStr">
        <is>
          <t>BODEN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38994-2024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45548</v>
      </c>
      <c r="E727" s="1" t="n">
        <v>46226</v>
      </c>
      <c r="F727" t="inlineStr">
        <is>
          <t>NORRBOTTENS LÄN</t>
        </is>
      </c>
      <c r="G727" t="inlineStr">
        <is>
          <t>BODEN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14995-2022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44657</v>
      </c>
      <c r="E728" s="1" t="n">
        <v>46226</v>
      </c>
      <c r="F728" t="inlineStr">
        <is>
          <t>NORRBOTTENS LÄN</t>
        </is>
      </c>
      <c r="G728" t="inlineStr">
        <is>
          <t>BODEN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15000-2022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44657</v>
      </c>
      <c r="E729" s="1" t="n">
        <v>46226</v>
      </c>
      <c r="F729" t="inlineStr">
        <is>
          <t>NORRBOTTENS LÄN</t>
        </is>
      </c>
      <c r="G729" t="inlineStr">
        <is>
          <t>BODEN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6776-2023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44966</v>
      </c>
      <c r="E730" s="1" t="n">
        <v>46226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48592-2024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45593</v>
      </c>
      <c r="E731" s="1" t="n">
        <v>46226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19528-2024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45429</v>
      </c>
      <c r="E732" s="1" t="n">
        <v>46226</v>
      </c>
      <c r="F732" t="inlineStr">
        <is>
          <t>NORRBOTTENS LÄN</t>
        </is>
      </c>
      <c r="G732" t="inlineStr">
        <is>
          <t>BODEN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19533-2024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45429</v>
      </c>
      <c r="E733" s="1" t="n">
        <v>46226</v>
      </c>
      <c r="F733" t="inlineStr">
        <is>
          <t>NORRBOTTENS LÄN</t>
        </is>
      </c>
      <c r="G733" t="inlineStr">
        <is>
          <t>BODEN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25920-2023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45085</v>
      </c>
      <c r="E734" s="1" t="n">
        <v>46226</v>
      </c>
      <c r="F734" t="inlineStr">
        <is>
          <t>NORRBOTTENS LÄN</t>
        </is>
      </c>
      <c r="G734" t="inlineStr">
        <is>
          <t>BODEN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45483</v>
      </c>
      <c r="E735" s="1" t="n">
        <v>46226</v>
      </c>
      <c r="F735" t="inlineStr">
        <is>
          <t>NORRBOTTENS LÄN</t>
        </is>
      </c>
      <c r="G735" t="inlineStr">
        <is>
          <t>BODEN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36915-2023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45153</v>
      </c>
      <c r="E736" s="1" t="n">
        <v>46226</v>
      </c>
      <c r="F736" t="inlineStr">
        <is>
          <t>NORRBOTTENS LÄN</t>
        </is>
      </c>
      <c r="G736" t="inlineStr">
        <is>
          <t>BODEN</t>
        </is>
      </c>
      <c r="I736" t="n">
        <v>7.5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31754-2024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45509</v>
      </c>
      <c r="E737" s="1" t="n">
        <v>46226</v>
      </c>
      <c r="F737" t="inlineStr">
        <is>
          <t>NORRBOTTENS LÄN</t>
        </is>
      </c>
      <c r="G737" t="inlineStr">
        <is>
          <t>BODEN</t>
        </is>
      </c>
      <c r="I737" t="n">
        <v>11.1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59688-2023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45256</v>
      </c>
      <c r="E738" s="1" t="n">
        <v>46226</v>
      </c>
      <c r="F738" t="inlineStr">
        <is>
          <t>NORRBOTTENS LÄN</t>
        </is>
      </c>
      <c r="G738" t="inlineStr">
        <is>
          <t>BODEN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46226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61932-2024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46226</v>
      </c>
      <c r="F740" t="inlineStr">
        <is>
          <t>NORRBOTTENS LÄN</t>
        </is>
      </c>
      <c r="G740" t="inlineStr">
        <is>
          <t>BODEN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57968-2023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45247</v>
      </c>
      <c r="E741" s="1" t="n">
        <v>46226</v>
      </c>
      <c r="F741" t="inlineStr">
        <is>
          <t>NORRBOTTENS LÄN</t>
        </is>
      </c>
      <c r="G741" t="inlineStr">
        <is>
          <t>BODEN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45499</v>
      </c>
      <c r="E742" s="1" t="n">
        <v>46226</v>
      </c>
      <c r="F742" t="inlineStr">
        <is>
          <t>NORRBOTTENS LÄN</t>
        </is>
      </c>
      <c r="G742" t="inlineStr">
        <is>
          <t>BODEN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37384-2023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46226</v>
      </c>
      <c r="F743" t="inlineStr">
        <is>
          <t>NORRBOTTENS LÄN</t>
        </is>
      </c>
      <c r="G743" t="inlineStr">
        <is>
          <t>BODEN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12893-2022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44642</v>
      </c>
      <c r="E744" s="1" t="n">
        <v>46226</v>
      </c>
      <c r="F744" t="inlineStr">
        <is>
          <t>NORRBOTTENS LÄN</t>
        </is>
      </c>
      <c r="G744" t="inlineStr">
        <is>
          <t>BODEN</t>
        </is>
      </c>
      <c r="H744" t="inlineStr">
        <is>
          <t>Övriga statliga verk och myndigheter</t>
        </is>
      </c>
      <c r="I744" t="n">
        <v>15.8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22458-2023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45070</v>
      </c>
      <c r="E745" s="1" t="n">
        <v>46226</v>
      </c>
      <c r="F745" t="inlineStr">
        <is>
          <t>NORRBOTTENS LÄN</t>
        </is>
      </c>
      <c r="G745" t="inlineStr">
        <is>
          <t>BODEN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58373-2022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44901</v>
      </c>
      <c r="E746" s="1" t="n">
        <v>46226</v>
      </c>
      <c r="F746" t="inlineStr">
        <is>
          <t>NORRBOTTENS LÄN</t>
        </is>
      </c>
      <c r="G746" t="inlineStr">
        <is>
          <t>BODEN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45929-2023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45195</v>
      </c>
      <c r="E747" s="1" t="n">
        <v>46226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61750-2024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46226</v>
      </c>
      <c r="F748" t="inlineStr">
        <is>
          <t>NORRBOTTENS LÄN</t>
        </is>
      </c>
      <c r="G748" t="inlineStr">
        <is>
          <t>BODEN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47922-2024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45589</v>
      </c>
      <c r="E749" s="1" t="n">
        <v>46226</v>
      </c>
      <c r="F749" t="inlineStr">
        <is>
          <t>NORRBOTTENS LÄN</t>
        </is>
      </c>
      <c r="G749" t="inlineStr">
        <is>
          <t>BODEN</t>
        </is>
      </c>
      <c r="H749" t="inlineStr">
        <is>
          <t>Naturvårdsverket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47924-2024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45589</v>
      </c>
      <c r="E750" s="1" t="n">
        <v>46226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24744-2024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45460</v>
      </c>
      <c r="E751" s="1" t="n">
        <v>46226</v>
      </c>
      <c r="F751" t="inlineStr">
        <is>
          <t>NORRBOTTENS LÄN</t>
        </is>
      </c>
      <c r="G751" t="inlineStr">
        <is>
          <t>BODEN</t>
        </is>
      </c>
      <c r="H751" t="inlineStr">
        <is>
          <t>Övriga Aktiebolag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8028-2024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45350</v>
      </c>
      <c r="E752" s="1" t="n">
        <v>46226</v>
      </c>
      <c r="F752" t="inlineStr">
        <is>
          <t>NORRBOTTENS LÄN</t>
        </is>
      </c>
      <c r="G752" t="inlineStr">
        <is>
          <t>BODEN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25627-2022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44732</v>
      </c>
      <c r="E753" s="1" t="n">
        <v>46226</v>
      </c>
      <c r="F753" t="inlineStr">
        <is>
          <t>NORRBOTTENS LÄN</t>
        </is>
      </c>
      <c r="G753" t="inlineStr">
        <is>
          <t>BODEN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45677</v>
      </c>
      <c r="E754" s="1" t="n">
        <v>46226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61107-2022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46226</v>
      </c>
      <c r="F755" t="inlineStr">
        <is>
          <t>NORRBOTTENS LÄN</t>
        </is>
      </c>
      <c r="G755" t="inlineStr">
        <is>
          <t>BODEN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50327-2023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45216</v>
      </c>
      <c r="E756" s="1" t="n">
        <v>46226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24400-2022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44726</v>
      </c>
      <c r="E757" s="1" t="n">
        <v>46226</v>
      </c>
      <c r="F757" t="inlineStr">
        <is>
          <t>NORRBOTTENS LÄN</t>
        </is>
      </c>
      <c r="G757" t="inlineStr">
        <is>
          <t>BODEN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706-2022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44566</v>
      </c>
      <c r="E758" s="1" t="n">
        <v>46226</v>
      </c>
      <c r="F758" t="inlineStr">
        <is>
          <t>NORRBOTTENS LÄN</t>
        </is>
      </c>
      <c r="G758" t="inlineStr">
        <is>
          <t>BODEN</t>
        </is>
      </c>
      <c r="I758" t="n">
        <v>12.4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45035-2022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44841</v>
      </c>
      <c r="E759" s="1" t="n">
        <v>46226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8873-2024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46226</v>
      </c>
      <c r="F760" t="inlineStr">
        <is>
          <t>NORRBOTTENS LÄN</t>
        </is>
      </c>
      <c r="G760" t="inlineStr">
        <is>
          <t>BODEN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45115-2021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44438</v>
      </c>
      <c r="E761" s="1" t="n">
        <v>46226</v>
      </c>
      <c r="F761" t="inlineStr">
        <is>
          <t>NORRBOTTENS LÄN</t>
        </is>
      </c>
      <c r="G761" t="inlineStr">
        <is>
          <t>BODEN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26022-2022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44734</v>
      </c>
      <c r="E762" s="1" t="n">
        <v>46226</v>
      </c>
      <c r="F762" t="inlineStr">
        <is>
          <t>NORRBOTTENS LÄN</t>
        </is>
      </c>
      <c r="G762" t="inlineStr">
        <is>
          <t>BODEN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61969-2024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45653</v>
      </c>
      <c r="E763" s="1" t="n">
        <v>46226</v>
      </c>
      <c r="F763" t="inlineStr">
        <is>
          <t>NORRBOTTENS LÄN</t>
        </is>
      </c>
      <c r="G763" t="inlineStr">
        <is>
          <t>BODEN</t>
        </is>
      </c>
      <c r="I763" t="n">
        <v>9.699999999999999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19584-2025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45770</v>
      </c>
      <c r="E764" s="1" t="n">
        <v>46226</v>
      </c>
      <c r="F764" t="inlineStr">
        <is>
          <t>NORRBOTTENS LÄN</t>
        </is>
      </c>
      <c r="G764" t="inlineStr">
        <is>
          <t>BODEN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37866-2024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45544</v>
      </c>
      <c r="E765" s="1" t="n">
        <v>46226</v>
      </c>
      <c r="F765" t="inlineStr">
        <is>
          <t>NORRBOTTENS LÄN</t>
        </is>
      </c>
      <c r="G765" t="inlineStr">
        <is>
          <t>BODEN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34760-2022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44795</v>
      </c>
      <c r="E766" s="1" t="n">
        <v>46226</v>
      </c>
      <c r="F766" t="inlineStr">
        <is>
          <t>NORRBOTTENS LÄN</t>
        </is>
      </c>
      <c r="G766" t="inlineStr">
        <is>
          <t>BODEN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38874-2023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45161</v>
      </c>
      <c r="E767" s="1" t="n">
        <v>46226</v>
      </c>
      <c r="F767" t="inlineStr">
        <is>
          <t>NORRBOTTENS LÄN</t>
        </is>
      </c>
      <c r="G767" t="inlineStr">
        <is>
          <t>BODEN</t>
        </is>
      </c>
      <c r="I767" t="n">
        <v>15.5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60337-2024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45643</v>
      </c>
      <c r="E768" s="1" t="n">
        <v>46226</v>
      </c>
      <c r="F768" t="inlineStr">
        <is>
          <t>NORRBOTTENS LÄN</t>
        </is>
      </c>
      <c r="G768" t="inlineStr">
        <is>
          <t>BODEN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45448-2023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45194</v>
      </c>
      <c r="E769" s="1" t="n">
        <v>46226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61103-2022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44908</v>
      </c>
      <c r="E770" s="1" t="n">
        <v>46226</v>
      </c>
      <c r="F770" t="inlineStr">
        <is>
          <t>NORRBOTTENS LÄN</t>
        </is>
      </c>
      <c r="G770" t="inlineStr">
        <is>
          <t>BODEN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45358</v>
      </c>
      <c r="E771" s="1" t="n">
        <v>46226</v>
      </c>
      <c r="F771" t="inlineStr">
        <is>
          <t>NORRBOTTENS LÄN</t>
        </is>
      </c>
      <c r="G771" t="inlineStr">
        <is>
          <t>BODEN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45680</v>
      </c>
      <c r="E772" s="1" t="n">
        <v>46226</v>
      </c>
      <c r="F772" t="inlineStr">
        <is>
          <t>NORRBOTTENS LÄN</t>
        </is>
      </c>
      <c r="G772" t="inlineStr">
        <is>
          <t>BODEN</t>
        </is>
      </c>
      <c r="H772" t="inlineStr">
        <is>
          <t>Naturvårdsverket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43648-2023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45187</v>
      </c>
      <c r="E773" s="1" t="n">
        <v>46226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55540-2022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44887</v>
      </c>
      <c r="E774" s="1" t="n">
        <v>46226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39463-2023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45166</v>
      </c>
      <c r="E775" s="1" t="n">
        <v>46226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61921-2024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45653</v>
      </c>
      <c r="E776" s="1" t="n">
        <v>46226</v>
      </c>
      <c r="F776" t="inlineStr">
        <is>
          <t>NORRBOTTENS LÄN</t>
        </is>
      </c>
      <c r="G776" t="inlineStr">
        <is>
          <t>BODEN</t>
        </is>
      </c>
      <c r="I776" t="n">
        <v>47.3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41212-2023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45174</v>
      </c>
      <c r="E777" s="1" t="n">
        <v>46226</v>
      </c>
      <c r="F777" t="inlineStr">
        <is>
          <t>NORRBOTTENS LÄN</t>
        </is>
      </c>
      <c r="G777" t="inlineStr">
        <is>
          <t>BODEN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4055-2024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45323</v>
      </c>
      <c r="E778" s="1" t="n">
        <v>46226</v>
      </c>
      <c r="F778" t="inlineStr">
        <is>
          <t>NORRBOTTENS LÄN</t>
        </is>
      </c>
      <c r="G778" t="inlineStr">
        <is>
          <t>BODEN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877-2023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44931</v>
      </c>
      <c r="E779" s="1" t="n">
        <v>46226</v>
      </c>
      <c r="F779" t="inlineStr">
        <is>
          <t>NORRBOTTENS LÄN</t>
        </is>
      </c>
      <c r="G779" t="inlineStr">
        <is>
          <t>BODEN</t>
        </is>
      </c>
      <c r="I779" t="n">
        <v>8.699999999999999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12801-2023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45001</v>
      </c>
      <c r="E780" s="1" t="n">
        <v>46226</v>
      </c>
      <c r="F780" t="inlineStr">
        <is>
          <t>NORRBOTTENS LÄN</t>
        </is>
      </c>
      <c r="G780" t="inlineStr">
        <is>
          <t>BODEN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20041-2025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45772</v>
      </c>
      <c r="E781" s="1" t="n">
        <v>46226</v>
      </c>
      <c r="F781" t="inlineStr">
        <is>
          <t>NORRBOTTENS LÄN</t>
        </is>
      </c>
      <c r="G781" t="inlineStr">
        <is>
          <t>BODEN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19582-2025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46226</v>
      </c>
      <c r="F782" t="inlineStr">
        <is>
          <t>NORRBOTTENS LÄN</t>
        </is>
      </c>
      <c r="G782" t="inlineStr">
        <is>
          <t>BODEN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45708</v>
      </c>
      <c r="E783" s="1" t="n">
        <v>46226</v>
      </c>
      <c r="F783" t="inlineStr">
        <is>
          <t>NORRBOTTENS LÄN</t>
        </is>
      </c>
      <c r="G783" t="inlineStr">
        <is>
          <t>BODEN</t>
        </is>
      </c>
      <c r="H783" t="inlineStr">
        <is>
          <t>Övriga Aktiebolag</t>
        </is>
      </c>
      <c r="I783" t="n">
        <v>15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44964</v>
      </c>
      <c r="E784" s="1" t="n">
        <v>46226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17417-2023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45035</v>
      </c>
      <c r="E785" s="1" t="n">
        <v>46226</v>
      </c>
      <c r="F785" t="inlineStr">
        <is>
          <t>NORRBOTTENS LÄN</t>
        </is>
      </c>
      <c r="G785" t="inlineStr">
        <is>
          <t>BODEN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28074-2024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45476</v>
      </c>
      <c r="E786" s="1" t="n">
        <v>46226</v>
      </c>
      <c r="F786" t="inlineStr">
        <is>
          <t>NORRBOTTENS LÄN</t>
        </is>
      </c>
      <c r="G786" t="inlineStr">
        <is>
          <t>BODEN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26964-2023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45093</v>
      </c>
      <c r="E787" s="1" t="n">
        <v>46226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54590-2022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44883</v>
      </c>
      <c r="E788" s="1" t="n">
        <v>46226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35115-2024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45529</v>
      </c>
      <c r="E789" s="1" t="n">
        <v>46226</v>
      </c>
      <c r="F789" t="inlineStr">
        <is>
          <t>NORRBOTTENS LÄN</t>
        </is>
      </c>
      <c r="G789" t="inlineStr">
        <is>
          <t>BODEN</t>
        </is>
      </c>
      <c r="I789" t="n">
        <v>6.3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30105-2023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45099</v>
      </c>
      <c r="E790" s="1" t="n">
        <v>46226</v>
      </c>
      <c r="F790" t="inlineStr">
        <is>
          <t>NORRBOTTENS LÄN</t>
        </is>
      </c>
      <c r="G790" t="inlineStr">
        <is>
          <t>BODEN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57604-2021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44484</v>
      </c>
      <c r="E791" s="1" t="n">
        <v>46226</v>
      </c>
      <c r="F791" t="inlineStr">
        <is>
          <t>NORRBOTTENS LÄN</t>
        </is>
      </c>
      <c r="G791" t="inlineStr">
        <is>
          <t>BODEN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23706-2024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45454</v>
      </c>
      <c r="E792" s="1" t="n">
        <v>46226</v>
      </c>
      <c r="F792" t="inlineStr">
        <is>
          <t>NORRBOTTENS LÄN</t>
        </is>
      </c>
      <c r="G792" t="inlineStr">
        <is>
          <t>BODEN</t>
        </is>
      </c>
      <c r="I792" t="n">
        <v>10.9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8776-2022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44614</v>
      </c>
      <c r="E793" s="1" t="n">
        <v>46226</v>
      </c>
      <c r="F793" t="inlineStr">
        <is>
          <t>NORRBOTTENS LÄN</t>
        </is>
      </c>
      <c r="G793" t="inlineStr">
        <is>
          <t>BODEN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25387-2023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45079</v>
      </c>
      <c r="E794" s="1" t="n">
        <v>46226</v>
      </c>
      <c r="F794" t="inlineStr">
        <is>
          <t>NORRBOTTENS LÄN</t>
        </is>
      </c>
      <c r="G794" t="inlineStr">
        <is>
          <t>BODEN</t>
        </is>
      </c>
      <c r="I794" t="n">
        <v>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18428-2025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46226</v>
      </c>
      <c r="F795" t="inlineStr">
        <is>
          <t>NORRBOTTENS LÄN</t>
        </is>
      </c>
      <c r="G795" t="inlineStr">
        <is>
          <t>BODEN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62140-2024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45646</v>
      </c>
      <c r="E796" s="1" t="n">
        <v>46226</v>
      </c>
      <c r="F796" t="inlineStr">
        <is>
          <t>NORRBOTTENS LÄN</t>
        </is>
      </c>
      <c r="G796" t="inlineStr">
        <is>
          <t>BODEN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48129-2023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45205</v>
      </c>
      <c r="E797" s="1" t="n">
        <v>46226</v>
      </c>
      <c r="F797" t="inlineStr">
        <is>
          <t>NORRBOTTENS LÄN</t>
        </is>
      </c>
      <c r="G797" t="inlineStr">
        <is>
          <t>BODEN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54616-2023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45233</v>
      </c>
      <c r="E798" s="1" t="n">
        <v>46226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12562-2024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45379</v>
      </c>
      <c r="E799" s="1" t="n">
        <v>46226</v>
      </c>
      <c r="F799" t="inlineStr">
        <is>
          <t>NORRBOTTENS LÄN</t>
        </is>
      </c>
      <c r="G799" t="inlineStr">
        <is>
          <t>BODEN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20260-2025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45773</v>
      </c>
      <c r="E800" s="1" t="n">
        <v>46226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11651-2023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44994</v>
      </c>
      <c r="E801" s="1" t="n">
        <v>46226</v>
      </c>
      <c r="F801" t="inlineStr">
        <is>
          <t>NORRBOTTENS LÄN</t>
        </is>
      </c>
      <c r="G801" t="inlineStr">
        <is>
          <t>BODEN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718-2022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44568</v>
      </c>
      <c r="E802" s="1" t="n">
        <v>46226</v>
      </c>
      <c r="F802" t="inlineStr">
        <is>
          <t>NORRBOTTENS LÄN</t>
        </is>
      </c>
      <c r="G802" t="inlineStr">
        <is>
          <t>BODEN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43969-2024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45572</v>
      </c>
      <c r="E803" s="1" t="n">
        <v>46226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19048-2025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45764</v>
      </c>
      <c r="E804" s="1" t="n">
        <v>46226</v>
      </c>
      <c r="F804" t="inlineStr">
        <is>
          <t>NORRBOTTENS LÄN</t>
        </is>
      </c>
      <c r="G804" t="inlineStr">
        <is>
          <t>BODEN</t>
        </is>
      </c>
      <c r="I804" t="n">
        <v>5.7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19050-2025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45764</v>
      </c>
      <c r="E805" s="1" t="n">
        <v>46226</v>
      </c>
      <c r="F805" t="inlineStr">
        <is>
          <t>NORRBOTTENS LÄN</t>
        </is>
      </c>
      <c r="G805" t="inlineStr">
        <is>
          <t>BODEN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54718-2024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45618</v>
      </c>
      <c r="E806" s="1" t="n">
        <v>46226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28357-2023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45099</v>
      </c>
      <c r="E807" s="1" t="n">
        <v>46226</v>
      </c>
      <c r="F807" t="inlineStr">
        <is>
          <t>NORRBOTTENS LÄN</t>
        </is>
      </c>
      <c r="G807" t="inlineStr">
        <is>
          <t>BODEN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38219-2022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44812</v>
      </c>
      <c r="E808" s="1" t="n">
        <v>46226</v>
      </c>
      <c r="F808" t="inlineStr">
        <is>
          <t>NORRBOTTENS LÄN</t>
        </is>
      </c>
      <c r="G808" t="inlineStr">
        <is>
          <t>BODEN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40624-2022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44823</v>
      </c>
      <c r="E809" s="1" t="n">
        <v>46226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56457-2024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46226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48107-2022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44856</v>
      </c>
      <c r="E811" s="1" t="n">
        <v>46226</v>
      </c>
      <c r="F811" t="inlineStr">
        <is>
          <t>NORRBOTTENS LÄN</t>
        </is>
      </c>
      <c r="G811" t="inlineStr">
        <is>
          <t>BODEN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14743-2023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45013</v>
      </c>
      <c r="E812" s="1" t="n">
        <v>46226</v>
      </c>
      <c r="F812" t="inlineStr">
        <is>
          <t>NORRBOTTENS LÄN</t>
        </is>
      </c>
      <c r="G812" t="inlineStr">
        <is>
          <t>BODEN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3462-2022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44585</v>
      </c>
      <c r="E813" s="1" t="n">
        <v>46226</v>
      </c>
      <c r="F813" t="inlineStr">
        <is>
          <t>NORRBOTTENS LÄN</t>
        </is>
      </c>
      <c r="G813" t="inlineStr">
        <is>
          <t>BODEN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49113-2023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45204</v>
      </c>
      <c r="E814" s="1" t="n">
        <v>46226</v>
      </c>
      <c r="F814" t="inlineStr">
        <is>
          <t>NORRBOTTENS LÄN</t>
        </is>
      </c>
      <c r="G814" t="inlineStr">
        <is>
          <t>BODEN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45687</v>
      </c>
      <c r="E815" s="1" t="n">
        <v>46226</v>
      </c>
      <c r="F815" t="inlineStr">
        <is>
          <t>NORRBOTTENS LÄN</t>
        </is>
      </c>
      <c r="G815" t="inlineStr">
        <is>
          <t>BODEN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1023-2023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44935</v>
      </c>
      <c r="E816" s="1" t="n">
        <v>46226</v>
      </c>
      <c r="F816" t="inlineStr">
        <is>
          <t>NORRBOTTENS LÄN</t>
        </is>
      </c>
      <c r="G816" t="inlineStr">
        <is>
          <t>BODEN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23232-2024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45453</v>
      </c>
      <c r="E817" s="1" t="n">
        <v>46226</v>
      </c>
      <c r="F817" t="inlineStr">
        <is>
          <t>NORRBOTTENS LÄN</t>
        </is>
      </c>
      <c r="G817" t="inlineStr">
        <is>
          <t>BODEN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45646</v>
      </c>
      <c r="E818" s="1" t="n">
        <v>46226</v>
      </c>
      <c r="F818" t="inlineStr">
        <is>
          <t>NORRBOTTENS LÄN</t>
        </is>
      </c>
      <c r="G818" t="inlineStr">
        <is>
          <t>BODEN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28758-2024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45478</v>
      </c>
      <c r="E819" s="1" t="n">
        <v>46226</v>
      </c>
      <c r="F819" t="inlineStr">
        <is>
          <t>NORRBOTTENS LÄN</t>
        </is>
      </c>
      <c r="G819" t="inlineStr">
        <is>
          <t>BODEN</t>
        </is>
      </c>
      <c r="I819" t="n">
        <v>7.5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13925-2024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45391</v>
      </c>
      <c r="E820" s="1" t="n">
        <v>46226</v>
      </c>
      <c r="F820" t="inlineStr">
        <is>
          <t>NORRBOTTENS LÄN</t>
        </is>
      </c>
      <c r="G820" t="inlineStr">
        <is>
          <t>BODEN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45778</v>
      </c>
      <c r="E821" s="1" t="n">
        <v>46226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21349-2025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45782</v>
      </c>
      <c r="E822" s="1" t="n">
        <v>46226</v>
      </c>
      <c r="F822" t="inlineStr">
        <is>
          <t>NORRBOTTENS LÄN</t>
        </is>
      </c>
      <c r="G822" t="inlineStr">
        <is>
          <t>BODEN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36115-2023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45149</v>
      </c>
      <c r="E823" s="1" t="n">
        <v>46226</v>
      </c>
      <c r="F823" t="inlineStr">
        <is>
          <t>NORRBOTTENS LÄN</t>
        </is>
      </c>
      <c r="G823" t="inlineStr">
        <is>
          <t>BODEN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22372-2025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45786</v>
      </c>
      <c r="E824" s="1" t="n">
        <v>46226</v>
      </c>
      <c r="F824" t="inlineStr">
        <is>
          <t>NORRBOTTENS LÄN</t>
        </is>
      </c>
      <c r="G824" t="inlineStr">
        <is>
          <t>BODEN</t>
        </is>
      </c>
      <c r="H824" t="inlineStr">
        <is>
          <t>Kommuner</t>
        </is>
      </c>
      <c r="I824" t="n">
        <v>16.3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23321-2025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45791</v>
      </c>
      <c r="E825" s="1" t="n">
        <v>46226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10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12558-2024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45379</v>
      </c>
      <c r="E826" s="1" t="n">
        <v>46226</v>
      </c>
      <c r="F826" t="inlineStr">
        <is>
          <t>NORRBOTTENS LÄN</t>
        </is>
      </c>
      <c r="G826" t="inlineStr">
        <is>
          <t>BODEN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46226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23763-2025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45793</v>
      </c>
      <c r="E828" s="1" t="n">
        <v>46226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23724-2025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45793</v>
      </c>
      <c r="E829" s="1" t="n">
        <v>46226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48420-2024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46226</v>
      </c>
      <c r="F830" t="inlineStr">
        <is>
          <t>NORRBOTTENS LÄN</t>
        </is>
      </c>
      <c r="G830" t="inlineStr">
        <is>
          <t>BODEN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48427-2024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45590</v>
      </c>
      <c r="E831" s="1" t="n">
        <v>46226</v>
      </c>
      <c r="F831" t="inlineStr">
        <is>
          <t>NORRBOTTENS LÄN</t>
        </is>
      </c>
      <c r="G831" t="inlineStr">
        <is>
          <t>BODEN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24358-2025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45797</v>
      </c>
      <c r="E832" s="1" t="n">
        <v>46226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24733-2025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45799</v>
      </c>
      <c r="E833" s="1" t="n">
        <v>46226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24545-2025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45798</v>
      </c>
      <c r="E834" s="1" t="n">
        <v>46226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24538-2025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45798</v>
      </c>
      <c r="E835" s="1" t="n">
        <v>46226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49806-2022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44862</v>
      </c>
      <c r="E836" s="1" t="n">
        <v>46226</v>
      </c>
      <c r="F836" t="inlineStr">
        <is>
          <t>NORRBOTTENS LÄN</t>
        </is>
      </c>
      <c r="G836" t="inlineStr">
        <is>
          <t>BODEN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24699-2025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45798</v>
      </c>
      <c r="E837" s="1" t="n">
        <v>46226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25983-2025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45803</v>
      </c>
      <c r="E838" s="1" t="n">
        <v>46226</v>
      </c>
      <c r="F838" t="inlineStr">
        <is>
          <t>NORRBOTTENS LÄN</t>
        </is>
      </c>
      <c r="G838" t="inlineStr">
        <is>
          <t>BODEN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52247-2024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45608</v>
      </c>
      <c r="E839" s="1" t="n">
        <v>46226</v>
      </c>
      <c r="F839" t="inlineStr">
        <is>
          <t>NORRBOTTENS LÄN</t>
        </is>
      </c>
      <c r="G839" t="inlineStr">
        <is>
          <t>BODEN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52248-2024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45608</v>
      </c>
      <c r="E840" s="1" t="n">
        <v>46226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48431-2024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45590</v>
      </c>
      <c r="E841" s="1" t="n">
        <v>46226</v>
      </c>
      <c r="F841" t="inlineStr">
        <is>
          <t>NORRBOTTENS LÄN</t>
        </is>
      </c>
      <c r="G841" t="inlineStr">
        <is>
          <t>BODEN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19564-2024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45429</v>
      </c>
      <c r="E842" s="1" t="n">
        <v>46226</v>
      </c>
      <c r="F842" t="inlineStr">
        <is>
          <t>NORRBOTTENS LÄN</t>
        </is>
      </c>
      <c r="G842" t="inlineStr">
        <is>
          <t>BODEN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25735-2024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45464</v>
      </c>
      <c r="E843" s="1" t="n">
        <v>46226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61031-2024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45645</v>
      </c>
      <c r="E844" s="1" t="n">
        <v>46226</v>
      </c>
      <c r="F844" t="inlineStr">
        <is>
          <t>NORRBOTTENS LÄN</t>
        </is>
      </c>
      <c r="G844" t="inlineStr">
        <is>
          <t>BODEN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18671-2025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45763</v>
      </c>
      <c r="E845" s="1" t="n">
        <v>46226</v>
      </c>
      <c r="F845" t="inlineStr">
        <is>
          <t>NORRBOTTENS LÄN</t>
        </is>
      </c>
      <c r="G845" t="inlineStr">
        <is>
          <t>BODEN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38652-2024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45546</v>
      </c>
      <c r="E846" s="1" t="n">
        <v>46226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56474-2023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45243</v>
      </c>
      <c r="E847" s="1" t="n">
        <v>46226</v>
      </c>
      <c r="F847" t="inlineStr">
        <is>
          <t>NORRBOTTENS LÄN</t>
        </is>
      </c>
      <c r="G847" t="inlineStr">
        <is>
          <t>BODEN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46226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46226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46226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46226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46226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46226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46226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46226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46226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46226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46226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46226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46226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46226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46226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46226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46226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46226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46226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46226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46226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46226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2026-07-23T01:44:30Z</dcterms:created>
  <dcterms:modified xmlns:dcterms="http://purl.org/dc/terms/" xmlns:xsi="http://www.w3.org/2001/XMLSchema-instance" xsi:type="dcterms:W3CDTF">2026-07-23T01:44:31Z</dcterms:modified>
</cp:coreProperties>
</file>