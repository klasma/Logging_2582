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46302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33409-2026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46302</v>
      </c>
      <c r="F8" t="inlineStr">
        <is>
          <t>NORRBOTTENS LÄN</t>
        </is>
      </c>
      <c r="G8" t="inlineStr">
        <is>
          <t>BODEN</t>
        </is>
      </c>
      <c r="H8" t="inlineStr">
        <is>
          <t>Kyrkan</t>
        </is>
      </c>
      <c r="I8" t="n">
        <v>22.8</v>
      </c>
      <c r="J8" t="n">
        <v>6</v>
      </c>
      <c r="K8" t="n">
        <v>1</v>
      </c>
      <c r="L8" t="n">
        <v>8</v>
      </c>
      <c r="M8" t="n">
        <v>2</v>
      </c>
      <c r="N8" t="n">
        <v>0</v>
      </c>
      <c r="O8" t="n">
        <v>0</v>
      </c>
      <c r="P8" t="n">
        <v>0</v>
      </c>
      <c r="Q8" t="n">
        <v>10</v>
      </c>
      <c r="R8" t="n">
        <v>2</v>
      </c>
      <c r="S8" t="n">
        <v>13</v>
      </c>
      <c r="T8" t="n">
        <v>61</v>
      </c>
      <c r="U8" t="n">
        <v>4</v>
      </c>
      <c r="V8" s="2" t="inlineStr">
        <is>
          <t>Garnlav
Knärot
Blå taggsvamp
Dropptaggsvamp
Orange taggsvamp
Skarp dropptaggsvamp
Tallriska
Tallticka
Talltita
Tretåig hackspett
Spindelblomster
Spillkråka
Fläcknycklar</t>
        </is>
      </c>
      <c r="W8">
        <f>HYPERLINK("https://klasma.github.io/Logging_2582/artfynd/A 33409-2026 artfynd.xlsx", "A 33409-2026")</f>
        <v/>
      </c>
      <c r="X8">
        <f>HYPERLINK("https://klasma.github.io/Logging_2582/kartor/A 33409-2026 karta.png", "A 33409-2026")</f>
        <v/>
      </c>
      <c r="Y8">
        <f>HYPERLINK("https://klasma.github.io/Logging_2582/kartor_geotiff/A 33409-2026 georefererad karta.tif", "A 33409-2026")</f>
        <v/>
      </c>
      <c r="Z8">
        <f>HYPERLINK("https://klasma.github.io/Logging_2582/knärot/A 33409-2026 karta knärot.png", "A 33409-2026")</f>
        <v/>
      </c>
      <c r="AA8">
        <f>HYPERLINK("https://klasma.github.io/Logging_2582/klagomål/A 33409-2026 FSC-klagomål.docx", "A 33409-2026")</f>
        <v/>
      </c>
      <c r="AB8">
        <f>HYPERLINK("https://klasma.github.io/Logging_2582/klagomålsmail/A 33409-2026 FSC-klagomål mail.docx", "A 33409-2026")</f>
        <v/>
      </c>
      <c r="AC8">
        <f>HYPERLINK("https://klasma.github.io/Logging_2582/tillsyn/A 33409-2026 tillsynsbegäran.docx", "A 33409-2026")</f>
        <v/>
      </c>
      <c r="AD8">
        <f>HYPERLINK("https://klasma.github.io/Logging_2582/tillsynsmail/A 33409-2026 tillsynsbegäran mail.docx", "A 33409-2026")</f>
        <v/>
      </c>
      <c r="AE8">
        <f>HYPERLINK("https://klasma.github.io/Logging_2582/fåglar/A 33409-2026 prioriterade fågelarter.docx", "A 33409-2026")</f>
        <v/>
      </c>
    </row>
    <row r="9" ht="15" customHeight="1">
      <c r="A9" t="inlineStr">
        <is>
          <t>A 47547-2022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44853</v>
      </c>
      <c r="E9" s="1" t="n">
        <v>46302</v>
      </c>
      <c r="F9" t="inlineStr">
        <is>
          <t>NORRBOTTENS LÄN</t>
        </is>
      </c>
      <c r="G9" t="inlineStr">
        <is>
          <t>BODEN</t>
        </is>
      </c>
      <c r="I9" t="n">
        <v>14.6</v>
      </c>
      <c r="J9" t="n">
        <v>4</v>
      </c>
      <c r="K9" t="n">
        <v>3</v>
      </c>
      <c r="L9" t="n">
        <v>7</v>
      </c>
      <c r="M9" t="n">
        <v>1</v>
      </c>
      <c r="N9" t="n">
        <v>0</v>
      </c>
      <c r="O9" t="n">
        <v>0</v>
      </c>
      <c r="P9" t="n">
        <v>0</v>
      </c>
      <c r="Q9" t="n">
        <v>8</v>
      </c>
      <c r="R9" t="n">
        <v>1</v>
      </c>
      <c r="S9" t="n">
        <v>13</v>
      </c>
      <c r="T9" t="n">
        <v>26</v>
      </c>
      <c r="U9" t="n">
        <v>26</v>
      </c>
      <c r="V9" s="2" t="inlineStr">
        <is>
          <t>Garnlav
Blå taggsvamp
Gammelgransskål
Kolflarnlav
Lunglav
Talltita
Tretåig hackspett
Vedskivlav
Bårdlav
Luddlav
Stuplav
Spillkråka
Revlummer</t>
        </is>
      </c>
      <c r="W9">
        <f>HYPERLINK("https://klasma.github.io/Logging_2582/artfynd/A 47547-2022 artfynd.xlsx", "A 47547-2022")</f>
        <v/>
      </c>
      <c r="X9">
        <f>HYPERLINK("https://klasma.github.io/Logging_2582/kartor/A 47547-2022 karta.png", "A 47547-2022")</f>
        <v/>
      </c>
      <c r="Y9">
        <f>HYPERLINK("https://klasma.github.io/Logging_2582/kartor_geotiff/A 47547-2022 georefererad karta.tif", "A 47547-2022")</f>
        <v/>
      </c>
      <c r="AA9">
        <f>HYPERLINK("https://klasma.github.io/Logging_2582/klagomål/A 47547-2022 FSC-klagomål.docx", "A 47547-2022")</f>
        <v/>
      </c>
      <c r="AB9">
        <f>HYPERLINK("https://klasma.github.io/Logging_2582/klagomålsmail/A 47547-2022 FSC-klagomål mail.docx", "A 47547-2022")</f>
        <v/>
      </c>
      <c r="AC9">
        <f>HYPERLINK("https://klasma.github.io/Logging_2582/tillsyn/A 47547-2022 tillsynsbegäran.docx", "A 47547-2022")</f>
        <v/>
      </c>
      <c r="AD9">
        <f>HYPERLINK("https://klasma.github.io/Logging_2582/tillsynsmail/A 47547-2022 tillsynsbegäran mail.docx", "A 47547-2022")</f>
        <v/>
      </c>
      <c r="AE9">
        <f>HYPERLINK("https://klasma.github.io/Logging_2582/fåglar/A 47547-2022 prioriterade fågelarter.docx", "A 47547-2022")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46302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46302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46302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46302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46302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46302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46302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46302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46302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46302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46302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46302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46302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46302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46302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46302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46302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46302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46302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46302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46302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46302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46302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31030-2025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46302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11.1</v>
      </c>
      <c r="J34" t="n">
        <v>3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9</v>
      </c>
      <c r="U34" t="n">
        <v>9</v>
      </c>
      <c r="V34" s="2" t="inlineStr">
        <is>
          <t>Knärot
Lunglav
Spindelblomster
Stuplav
Fläcknycklar</t>
        </is>
      </c>
      <c r="W34">
        <f>HYPERLINK("https://klasma.github.io/Logging_2582/artfynd/A 31030-2025 artfynd.xlsx", "A 31030-2025")</f>
        <v/>
      </c>
      <c r="X34">
        <f>HYPERLINK("https://klasma.github.io/Logging_2582/kartor/A 31030-2025 karta.png", "A 31030-2025")</f>
        <v/>
      </c>
      <c r="Y34">
        <f>HYPERLINK("https://klasma.github.io/Logging_2582/kartor_geotiff/A 31030-2025 georefererad karta.tif", "A 31030-2025")</f>
        <v/>
      </c>
      <c r="Z34">
        <f>HYPERLINK("https://klasma.github.io/Logging_2582/knärot/A 31030-2025 karta knärot.png", "A 31030-2025")</f>
        <v/>
      </c>
      <c r="AA34">
        <f>HYPERLINK("https://klasma.github.io/Logging_2582/klagomål/A 31030-2025 FSC-klagomål.docx", "A 31030-2025")</f>
        <v/>
      </c>
      <c r="AB34">
        <f>HYPERLINK("https://klasma.github.io/Logging_2582/klagomålsmail/A 31030-2025 FSC-klagomål mail.docx", "A 31030-2025")</f>
        <v/>
      </c>
      <c r="AC34">
        <f>HYPERLINK("https://klasma.github.io/Logging_2582/tillsyn/A 31030-2025 tillsynsbegäran.docx", "A 31030-2025")</f>
        <v/>
      </c>
      <c r="AD34">
        <f>HYPERLINK("https://klasma.github.io/Logging_2582/tillsynsmail/A 31030-2025 tillsynsbegäran mail.docx", "A 31030-2025")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46302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54167-2025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46302</v>
      </c>
      <c r="F36" t="inlineStr">
        <is>
          <t>NORRBOTTENS LÄN</t>
        </is>
      </c>
      <c r="G36" t="inlineStr">
        <is>
          <t>BODEN</t>
        </is>
      </c>
      <c r="I36" t="n">
        <v>1.1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Lunglav
Stiftgelélav
Järpe
Spillkråka
Vanlig padda</t>
        </is>
      </c>
      <c r="W36">
        <f>HYPERLINK("https://klasma.github.io/Logging_2582/artfynd/A 54167-2025 artfynd.xlsx", "A 54167-2025")</f>
        <v/>
      </c>
      <c r="X36">
        <f>HYPERLINK("https://klasma.github.io/Logging_2582/kartor/A 54167-2025 karta.png", "A 54167-2025")</f>
        <v/>
      </c>
      <c r="Y36">
        <f>HYPERLINK("https://klasma.github.io/Logging_2582/kartor_geotiff/A 54167-2025 georefererad karta.tif", "A 54167-2025")</f>
        <v/>
      </c>
      <c r="AA36">
        <f>HYPERLINK("https://klasma.github.io/Logging_2582/klagomål/A 54167-2025 FSC-klagomål.docx", "A 54167-2025")</f>
        <v/>
      </c>
      <c r="AB36">
        <f>HYPERLINK("https://klasma.github.io/Logging_2582/klagomålsmail/A 54167-2025 FSC-klagomål mail.docx", "A 54167-2025")</f>
        <v/>
      </c>
      <c r="AC36">
        <f>HYPERLINK("https://klasma.github.io/Logging_2582/tillsyn/A 54167-2025 tillsynsbegäran.docx", "A 54167-2025")</f>
        <v/>
      </c>
      <c r="AD36">
        <f>HYPERLINK("https://klasma.github.io/Logging_2582/tillsynsmail/A 54167-2025 tillsynsbegäran mail.docx", "A 54167-2025")</f>
        <v/>
      </c>
      <c r="AE36">
        <f>HYPERLINK("https://klasma.github.io/Logging_2582/fåglar/A 54167-2025 prioriterade fågelarter.docx", "A 54167-2025")</f>
        <v/>
      </c>
    </row>
    <row r="37" ht="15" customHeight="1">
      <c r="A37" t="inlineStr">
        <is>
          <t>A 39868-2025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45893</v>
      </c>
      <c r="E37" s="1" t="n">
        <v>46302</v>
      </c>
      <c r="F37" t="inlineStr">
        <is>
          <t>NORRBOTTENS LÄN</t>
        </is>
      </c>
      <c r="G37" t="inlineStr">
        <is>
          <t>BODEN</t>
        </is>
      </c>
      <c r="H37" t="inlineStr">
        <is>
          <t>Övriga statliga verk och myndigheter</t>
        </is>
      </c>
      <c r="I37" t="n">
        <v>3.1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Nötkråka
Talltita
Gråspett
Järpe
Spillkråka</t>
        </is>
      </c>
      <c r="W37">
        <f>HYPERLINK("https://klasma.github.io/Logging_2582/artfynd/A 39868-2025 artfynd.xlsx", "A 39868-2025")</f>
        <v/>
      </c>
      <c r="X37">
        <f>HYPERLINK("https://klasma.github.io/Logging_2582/kartor/A 39868-2025 karta.png", "A 39868-2025")</f>
        <v/>
      </c>
      <c r="Y37">
        <f>HYPERLINK("https://klasma.github.io/Logging_2582/kartor_geotiff/A 39868-2025 georefererad karta.tif", "A 39868-2025")</f>
        <v/>
      </c>
      <c r="AA37">
        <f>HYPERLINK("https://klasma.github.io/Logging_2582/klagomål/A 39868-2025 FSC-klagomål.docx", "A 39868-2025")</f>
        <v/>
      </c>
      <c r="AB37">
        <f>HYPERLINK("https://klasma.github.io/Logging_2582/klagomålsmail/A 39868-2025 FSC-klagomål mail.docx", "A 39868-2025")</f>
        <v/>
      </c>
      <c r="AC37">
        <f>HYPERLINK("https://klasma.github.io/Logging_2582/tillsyn/A 39868-2025 tillsynsbegäran.docx", "A 39868-2025")</f>
        <v/>
      </c>
      <c r="AD37">
        <f>HYPERLINK("https://klasma.github.io/Logging_2582/tillsynsmail/A 39868-2025 tillsynsbegäran mail.docx", "A 39868-2025")</f>
        <v/>
      </c>
      <c r="AE37">
        <f>HYPERLINK("https://klasma.github.io/Logging_2582/fåglar/A 39868-2025 prioriterade fågelarter.docx", "A 39868-2025")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46302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31197-2026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46209</v>
      </c>
      <c r="E39" s="1" t="n">
        <v>46302</v>
      </c>
      <c r="F39" t="inlineStr">
        <is>
          <t>NORRBOTTENS LÄN</t>
        </is>
      </c>
      <c r="G39" t="inlineStr">
        <is>
          <t>BODEN</t>
        </is>
      </c>
      <c r="H39" t="inlineStr">
        <is>
          <t>Kommuner</t>
        </is>
      </c>
      <c r="I39" t="n">
        <v>2.7</v>
      </c>
      <c r="J39" t="n">
        <v>4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0</v>
      </c>
      <c r="V39" s="2" t="inlineStr">
        <is>
          <t>Tornseglare
Älvstarr
Grönsiska
Svartvit flugsnappare
Vanlig groda</t>
        </is>
      </c>
      <c r="W39">
        <f>HYPERLINK("https://klasma.github.io/Logging_2582/artfynd/A 31197-2026 artfynd.xlsx", "A 31197-2026")</f>
        <v/>
      </c>
      <c r="X39">
        <f>HYPERLINK("https://klasma.github.io/Logging_2582/kartor/A 31197-2026 karta.png", "A 31197-2026")</f>
        <v/>
      </c>
      <c r="Y39">
        <f>HYPERLINK("https://klasma.github.io/Logging_2582/kartor_geotiff/A 31197-2026 georefererad karta.tif", "A 31197-2026")</f>
        <v/>
      </c>
      <c r="AA39">
        <f>HYPERLINK("https://klasma.github.io/Logging_2582/klagomål/A 31197-2026 FSC-klagomål.docx", "A 31197-2026")</f>
        <v/>
      </c>
      <c r="AB39">
        <f>HYPERLINK("https://klasma.github.io/Logging_2582/klagomålsmail/A 31197-2026 FSC-klagomål mail.docx", "A 31197-2026")</f>
        <v/>
      </c>
      <c r="AC39">
        <f>HYPERLINK("https://klasma.github.io/Logging_2582/tillsyn/A 31197-2026 tillsynsbegäran.docx", "A 31197-2026")</f>
        <v/>
      </c>
      <c r="AD39">
        <f>HYPERLINK("https://klasma.github.io/Logging_2582/tillsynsmail/A 31197-2026 tillsynsbegäran mail.docx", "A 31197-2026")</f>
        <v/>
      </c>
      <c r="AE39">
        <f>HYPERLINK("https://klasma.github.io/Logging_2582/fåglar/A 31197-2026 prioriterade fågelarter.docx", "A 31197-2026")</f>
        <v/>
      </c>
    </row>
    <row r="40" ht="15" customHeight="1">
      <c r="A40" t="inlineStr">
        <is>
          <t>A 32309-2025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46302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13.6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4</v>
      </c>
      <c r="V40" s="2" t="inlineStr">
        <is>
          <t>Doftticka
Garnlav
Lunglav
Bårdlav
Stuplav</t>
        </is>
      </c>
      <c r="W40">
        <f>HYPERLINK("https://klasma.github.io/Logging_2582/artfynd/A 32309-2025 artfynd.xlsx", "A 32309-2025")</f>
        <v/>
      </c>
      <c r="X40">
        <f>HYPERLINK("https://klasma.github.io/Logging_2582/kartor/A 32309-2025 karta.png", "A 32309-2025")</f>
        <v/>
      </c>
      <c r="Y40">
        <f>HYPERLINK("https://klasma.github.io/Logging_2582/kartor_geotiff/A 32309-2025 georefererad karta.tif", "A 32309-2025")</f>
        <v/>
      </c>
      <c r="AA40">
        <f>HYPERLINK("https://klasma.github.io/Logging_2582/klagomål/A 32309-2025 FSC-klagomål.docx", "A 32309-2025")</f>
        <v/>
      </c>
      <c r="AB40">
        <f>HYPERLINK("https://klasma.github.io/Logging_2582/klagomålsmail/A 32309-2025 FSC-klagomål mail.docx", "A 32309-2025")</f>
        <v/>
      </c>
      <c r="AC40">
        <f>HYPERLINK("https://klasma.github.io/Logging_2582/tillsyn/A 32309-2025 tillsynsbegäran.docx", "A 32309-2025")</f>
        <v/>
      </c>
      <c r="AD40">
        <f>HYPERLINK("https://klasma.github.io/Logging_2582/tillsynsmail/A 32309-2025 tillsynsbegäran mail.docx", "A 32309-2025")</f>
        <v/>
      </c>
    </row>
    <row r="41" ht="15" customHeight="1">
      <c r="A41" t="inlineStr">
        <is>
          <t>A 59358-2022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44904</v>
      </c>
      <c r="E41" s="1" t="n">
        <v>46302</v>
      </c>
      <c r="F41" t="inlineStr">
        <is>
          <t>NORRBOTTENS LÄN</t>
        </is>
      </c>
      <c r="G41" t="inlineStr">
        <is>
          <t>BODEN</t>
        </is>
      </c>
      <c r="I41" t="n">
        <v>1.5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Stare
Rosenfink
Rävticka
Sångsvan
Trana</t>
        </is>
      </c>
      <c r="W41">
        <f>HYPERLINK("https://klasma.github.io/Logging_2582/artfynd/A 59358-2022 artfynd.xlsx", "A 59358-2022")</f>
        <v/>
      </c>
      <c r="X41">
        <f>HYPERLINK("https://klasma.github.io/Logging_2582/kartor/A 59358-2022 karta.png", "A 59358-2022")</f>
        <v/>
      </c>
      <c r="Y41">
        <f>HYPERLINK("https://klasma.github.io/Logging_2582/kartor_geotiff/A 59358-2022 georefererad karta.tif", "A 59358-2022")</f>
        <v/>
      </c>
      <c r="AA41">
        <f>HYPERLINK("https://klasma.github.io/Logging_2582/klagomål/A 59358-2022 FSC-klagomål.docx", "A 59358-2022")</f>
        <v/>
      </c>
      <c r="AB41">
        <f>HYPERLINK("https://klasma.github.io/Logging_2582/klagomålsmail/A 59358-2022 FSC-klagomål mail.docx", "A 59358-2022")</f>
        <v/>
      </c>
      <c r="AC41">
        <f>HYPERLINK("https://klasma.github.io/Logging_2582/tillsyn/A 59358-2022 tillsynsbegäran.docx", "A 59358-2022")</f>
        <v/>
      </c>
      <c r="AD41">
        <f>HYPERLINK("https://klasma.github.io/Logging_2582/tillsynsmail/A 59358-2022 tillsynsbegäran mail.docx", "A 59358-2022")</f>
        <v/>
      </c>
      <c r="AE41">
        <f>HYPERLINK("https://klasma.github.io/Logging_2582/fåglar/A 59358-2022 prioriterade fågelarter.docx", "A 59358-2022")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46302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46302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46302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28358-2026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46302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7.3</v>
      </c>
      <c r="J45" t="n">
        <v>3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6</v>
      </c>
      <c r="U45" t="n">
        <v>0</v>
      </c>
      <c r="V45" s="2" t="inlineStr">
        <is>
          <t>Doftticka
Knärot
Lunglav
Spindelblomster</t>
        </is>
      </c>
      <c r="W45">
        <f>HYPERLINK("https://klasma.github.io/Logging_2582/artfynd/A 28358-2026 artfynd.xlsx", "A 28358-2026")</f>
        <v/>
      </c>
      <c r="X45">
        <f>HYPERLINK("https://klasma.github.io/Logging_2582/kartor/A 28358-2026 karta.png", "A 28358-2026")</f>
        <v/>
      </c>
      <c r="Y45">
        <f>HYPERLINK("https://klasma.github.io/Logging_2582/kartor_geotiff/A 28358-2026 georefererad karta.tif", "A 28358-2026")</f>
        <v/>
      </c>
      <c r="Z45">
        <f>HYPERLINK("https://klasma.github.io/Logging_2582/knärot/A 28358-2026 karta knärot.png", "A 28358-2026")</f>
        <v/>
      </c>
      <c r="AA45">
        <f>HYPERLINK("https://klasma.github.io/Logging_2582/klagomål/A 28358-2026 FSC-klagomål.docx", "A 28358-2026")</f>
        <v/>
      </c>
      <c r="AB45">
        <f>HYPERLINK("https://klasma.github.io/Logging_2582/klagomålsmail/A 28358-2026 FSC-klagomål mail.docx", "A 28358-2026")</f>
        <v/>
      </c>
      <c r="AC45">
        <f>HYPERLINK("https://klasma.github.io/Logging_2582/tillsyn/A 28358-2026 tillsynsbegäran.docx", "A 28358-2026")</f>
        <v/>
      </c>
      <c r="AD45">
        <f>HYPERLINK("https://klasma.github.io/Logging_2582/tillsynsmail/A 28358-2026 tillsynsbegäran mail.docx", "A 28358-2026")</f>
        <v/>
      </c>
    </row>
    <row r="46" ht="15" customHeight="1">
      <c r="A46" t="inlineStr">
        <is>
          <t>A 1879-2024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46302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4.5</v>
      </c>
      <c r="J46" t="n">
        <v>0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16</v>
      </c>
      <c r="U46" t="n">
        <v>16</v>
      </c>
      <c r="V46" s="2" t="inlineStr">
        <is>
          <t>Garnlav
Ringlav
Skogshare
Bårdlav</t>
        </is>
      </c>
      <c r="W46">
        <f>HYPERLINK("https://klasma.github.io/Logging_2582/artfynd/A 1879-2024 artfynd.xlsx", "A 1879-2024")</f>
        <v/>
      </c>
      <c r="X46">
        <f>HYPERLINK("https://klasma.github.io/Logging_2582/kartor/A 1879-2024 karta.png", "A 1879-2024")</f>
        <v/>
      </c>
      <c r="Y46">
        <f>HYPERLINK("https://klasma.github.io/Logging_2582/kartor_geotiff/A 1879-2024 georefererad karta.tif", "A 1879-2024")</f>
        <v/>
      </c>
      <c r="AA46">
        <f>HYPERLINK("https://klasma.github.io/Logging_2582/klagomål/A 1879-2024 FSC-klagomål.docx", "A 1879-2024")</f>
        <v/>
      </c>
      <c r="AB46">
        <f>HYPERLINK("https://klasma.github.io/Logging_2582/klagomålsmail/A 1879-2024 FSC-klagomål mail.docx", "A 1879-2024")</f>
        <v/>
      </c>
      <c r="AC46">
        <f>HYPERLINK("https://klasma.github.io/Logging_2582/tillsyn/A 1879-2024 tillsynsbegäran.docx", "A 1879-2024")</f>
        <v/>
      </c>
      <c r="AD46">
        <f>HYPERLINK("https://klasma.github.io/Logging_2582/tillsynsmail/A 1879-2024 tillsynsbegäran mail.docx", "A 1879-2024")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46302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46302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t="n">
        <v>14</v>
      </c>
      <c r="V49" s="2" t="inlineStr">
        <is>
          <t>Garnlav
Tretåig hackspett
Spillkråka</t>
        </is>
      </c>
      <c r="W49">
        <f>HYPERLINK("https://klasma.github.io/Logging_2582/artfynd/A 6118-2025 artfynd.xlsx", "A 6118-2025")</f>
        <v/>
      </c>
      <c r="X49">
        <f>HYPERLINK("https://klasma.github.io/Logging_2582/kartor/A 6118-2025 karta.png", "A 6118-2025")</f>
        <v/>
      </c>
      <c r="Y49">
        <f>HYPERLINK("https://klasma.github.io/Logging_2582/kartor_geotiff/A 6118-2025 georefererad karta.tif", "A 6118-2025")</f>
        <v/>
      </c>
      <c r="AA49">
        <f>HYPERLINK("https://klasma.github.io/Logging_2582/klagomål/A 6118-2025 FSC-klagomål.docx", "A 6118-2025")</f>
        <v/>
      </c>
      <c r="AB49">
        <f>HYPERLINK("https://klasma.github.io/Logging_2582/klagomålsmail/A 6118-2025 FSC-klagomål mail.docx", "A 6118-2025")</f>
        <v/>
      </c>
      <c r="AC49">
        <f>HYPERLINK("https://klasma.github.io/Logging_2582/tillsyn/A 6118-2025 tillsynsbegäran.docx", "A 6118-2025")</f>
        <v/>
      </c>
      <c r="AD49">
        <f>HYPERLINK("https://klasma.github.io/Logging_2582/tillsynsmail/A 6118-2025 tillsynsbegäran mail.docx", "A 6118-2025")</f>
        <v/>
      </c>
      <c r="AE49">
        <f>HYPERLINK("https://klasma.github.io/Logging_2582/fåglar/A 6118-2025 prioriterade fågelarter.docx", "A 6118-2025")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46302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46302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Korthornad vedstekel
Skogsödla
Vanlig padda</t>
        </is>
      </c>
      <c r="W51">
        <f>HYPERLINK("https://klasma.github.io/Logging_2582/artfynd/A 10087-2026 artfynd.xlsx", "A 10087-2026")</f>
        <v/>
      </c>
      <c r="X51">
        <f>HYPERLINK("https://klasma.github.io/Logging_2582/kartor/A 10087-2026 karta.png", "A 10087-2026")</f>
        <v/>
      </c>
      <c r="Y51">
        <f>HYPERLINK("https://klasma.github.io/Logging_2582/kartor_geotiff/A 10087-2026 georefererad karta.tif", "A 10087-2026")</f>
        <v/>
      </c>
      <c r="AA51">
        <f>HYPERLINK("https://klasma.github.io/Logging_2582/klagomål/A 10087-2026 FSC-klagomål.docx", "A 10087-2026")</f>
        <v/>
      </c>
      <c r="AB51">
        <f>HYPERLINK("https://klasma.github.io/Logging_2582/klagomålsmail/A 10087-2026 FSC-klagomål mail.docx", "A 10087-2026")</f>
        <v/>
      </c>
      <c r="AC51">
        <f>HYPERLINK("https://klasma.github.io/Logging_2582/tillsyn/A 10087-2026 tillsynsbegäran.docx", "A 10087-2026")</f>
        <v/>
      </c>
      <c r="AD51">
        <f>HYPERLINK("https://klasma.github.io/Logging_2582/tillsynsmail/A 10087-2026 tillsynsbegäran mail.docx", "A 10087-2026")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46302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46302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46302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46302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46302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46302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46302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46302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36162-2026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46267</v>
      </c>
      <c r="E60" s="1" t="n">
        <v>46302</v>
      </c>
      <c r="F60" t="inlineStr">
        <is>
          <t>NORRBOTTENS LÄN</t>
        </is>
      </c>
      <c r="G60" t="inlineStr">
        <is>
          <t>BODEN</t>
        </is>
      </c>
      <c r="I60" t="n">
        <v>2.3</v>
      </c>
      <c r="J60" t="n">
        <v>3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Björktrast
Rödvingetrast
Skrattmås</t>
        </is>
      </c>
      <c r="W60">
        <f>HYPERLINK("https://klasma.github.io/Logging_2582/artfynd/A 36162-2026 artfynd.xlsx", "A 36162-2026")</f>
        <v/>
      </c>
      <c r="X60">
        <f>HYPERLINK("https://klasma.github.io/Logging_2582/kartor/A 36162-2026 karta.png", "A 36162-2026")</f>
        <v/>
      </c>
      <c r="Y60">
        <f>HYPERLINK("https://klasma.github.io/Logging_2582/kartor_geotiff/A 36162-2026 georefererad karta.tif", "A 36162-2026")</f>
        <v/>
      </c>
      <c r="AA60">
        <f>HYPERLINK("https://klasma.github.io/Logging_2582/klagomål/A 36162-2026 FSC-klagomål.docx", "A 36162-2026")</f>
        <v/>
      </c>
      <c r="AB60">
        <f>HYPERLINK("https://klasma.github.io/Logging_2582/klagomålsmail/A 36162-2026 FSC-klagomål mail.docx", "A 36162-2026")</f>
        <v/>
      </c>
      <c r="AC60">
        <f>HYPERLINK("https://klasma.github.io/Logging_2582/tillsyn/A 36162-2026 tillsynsbegäran.docx", "A 36162-2026")</f>
        <v/>
      </c>
      <c r="AD60">
        <f>HYPERLINK("https://klasma.github.io/Logging_2582/tillsynsmail/A 36162-2026 tillsynsbegäran mail.docx", "A 36162-2026")</f>
        <v/>
      </c>
      <c r="AE60">
        <f>HYPERLINK("https://klasma.github.io/Logging_2582/fåglar/A 36162-2026 prioriterade fågelarter.docx", "A 36162-2026")</f>
        <v/>
      </c>
    </row>
    <row r="61" ht="15" customHeight="1">
      <c r="A61" t="inlineStr">
        <is>
          <t>A 23575-2023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46302</v>
      </c>
      <c r="F61" t="inlineStr">
        <is>
          <t>NORRBOTTENS LÄN</t>
        </is>
      </c>
      <c r="G61" t="inlineStr">
        <is>
          <t>BODEN</t>
        </is>
      </c>
      <c r="I61" t="n">
        <v>7.9</v>
      </c>
      <c r="J61" t="n">
        <v>1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1</v>
      </c>
      <c r="V61" s="2" t="inlineStr">
        <is>
          <t>Gammelgransskål
Nordfladdermus
Bollvitmossa</t>
        </is>
      </c>
      <c r="W61">
        <f>HYPERLINK("https://klasma.github.io/Logging_2582/artfynd/A 23575-2023 artfynd.xlsx", "A 23575-2023")</f>
        <v/>
      </c>
      <c r="X61">
        <f>HYPERLINK("https://klasma.github.io/Logging_2582/kartor/A 23575-2023 karta.png", "A 23575-2023")</f>
        <v/>
      </c>
      <c r="Y61">
        <f>HYPERLINK("https://klasma.github.io/Logging_2582/kartor_geotiff/A 23575-2023 georefererad karta.tif", "A 23575-2023")</f>
        <v/>
      </c>
      <c r="AA61">
        <f>HYPERLINK("https://klasma.github.io/Logging_2582/klagomål/A 23575-2023 FSC-klagomål.docx", "A 23575-2023")</f>
        <v/>
      </c>
      <c r="AB61">
        <f>HYPERLINK("https://klasma.github.io/Logging_2582/klagomålsmail/A 23575-2023 FSC-klagomål mail.docx", "A 23575-2023")</f>
        <v/>
      </c>
      <c r="AC61">
        <f>HYPERLINK("https://klasma.github.io/Logging_2582/tillsyn/A 23575-2023 tillsynsbegäran.docx", "A 23575-2023")</f>
        <v/>
      </c>
      <c r="AD61">
        <f>HYPERLINK("https://klasma.github.io/Logging_2582/tillsynsmail/A 23575-2023 tillsynsbegäran mail.docx", "A 23575-2023")</f>
        <v/>
      </c>
    </row>
    <row r="62" ht="15" customHeight="1">
      <c r="A62" t="inlineStr">
        <is>
          <t>A 43007-2022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46302</v>
      </c>
      <c r="F62" t="inlineStr">
        <is>
          <t>NORRBOTTENS LÄN</t>
        </is>
      </c>
      <c r="G62" t="inlineStr">
        <is>
          <t>BODEN</t>
        </is>
      </c>
      <c r="I62" t="n">
        <v>1.8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Kransmossa
Liljekonvalj
Nattviol</t>
        </is>
      </c>
      <c r="W62">
        <f>HYPERLINK("https://klasma.github.io/Logging_2582/artfynd/A 43007-2022 artfynd.xlsx", "A 43007-2022")</f>
        <v/>
      </c>
      <c r="X62">
        <f>HYPERLINK("https://klasma.github.io/Logging_2582/kartor/A 43007-2022 karta.png", "A 43007-2022")</f>
        <v/>
      </c>
      <c r="Y62">
        <f>HYPERLINK("https://klasma.github.io/Logging_2582/kartor_geotiff/A 43007-2022 georefererad karta.tif", "A 43007-2022")</f>
        <v/>
      </c>
      <c r="AA62">
        <f>HYPERLINK("https://klasma.github.io/Logging_2582/klagomål/A 43007-2022 FSC-klagomål.docx", "A 43007-2022")</f>
        <v/>
      </c>
      <c r="AB62">
        <f>HYPERLINK("https://klasma.github.io/Logging_2582/klagomålsmail/A 43007-2022 FSC-klagomål mail.docx", "A 43007-2022")</f>
        <v/>
      </c>
      <c r="AC62">
        <f>HYPERLINK("https://klasma.github.io/Logging_2582/tillsyn/A 43007-2022 tillsynsbegäran.docx", "A 43007-2022")</f>
        <v/>
      </c>
      <c r="AD62">
        <f>HYPERLINK("https://klasma.github.io/Logging_2582/tillsynsmail/A 43007-2022 tillsynsbegäran mail.docx", "A 43007-2022")</f>
        <v/>
      </c>
    </row>
    <row r="63" ht="15" customHeight="1">
      <c r="A63" t="inlineStr">
        <is>
          <t>A 37014-2023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46302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2.4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7</v>
      </c>
      <c r="U63" t="n">
        <v>7</v>
      </c>
      <c r="V63" s="2" t="inlineStr">
        <is>
          <t>Garnlav
Talltita
Stuplav</t>
        </is>
      </c>
      <c r="W63">
        <f>HYPERLINK("https://klasma.github.io/Logging_2582/artfynd/A 37014-2023 artfynd.xlsx", "A 37014-2023")</f>
        <v/>
      </c>
      <c r="X63">
        <f>HYPERLINK("https://klasma.github.io/Logging_2582/kartor/A 37014-2023 karta.png", "A 37014-2023")</f>
        <v/>
      </c>
      <c r="Y63">
        <f>HYPERLINK("https://klasma.github.io/Logging_2582/kartor_geotiff/A 37014-2023 georefererad karta.tif", "A 37014-2023")</f>
        <v/>
      </c>
      <c r="AA63">
        <f>HYPERLINK("https://klasma.github.io/Logging_2582/klagomål/A 37014-2023 FSC-klagomål.docx", "A 37014-2023")</f>
        <v/>
      </c>
      <c r="AB63">
        <f>HYPERLINK("https://klasma.github.io/Logging_2582/klagomålsmail/A 37014-2023 FSC-klagomål mail.docx", "A 37014-2023")</f>
        <v/>
      </c>
      <c r="AC63">
        <f>HYPERLINK("https://klasma.github.io/Logging_2582/tillsyn/A 37014-2023 tillsynsbegäran.docx", "A 37014-2023")</f>
        <v/>
      </c>
      <c r="AD63">
        <f>HYPERLINK("https://klasma.github.io/Logging_2582/tillsynsmail/A 37014-2023 tillsynsbegäran mail.docx", "A 37014-2023")</f>
        <v/>
      </c>
      <c r="AE63">
        <f>HYPERLINK("https://klasma.github.io/Logging_2582/fåglar/A 37014-2023 prioriterade fågelarter.docx", "A 37014-2023")</f>
        <v/>
      </c>
    </row>
    <row r="64" ht="15" customHeight="1">
      <c r="A64" t="inlineStr">
        <is>
          <t>A 32590-2026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46302</v>
      </c>
      <c r="F64" t="inlineStr">
        <is>
          <t>NORRBOTTENS LÄN</t>
        </is>
      </c>
      <c r="G64" t="inlineStr">
        <is>
          <t>BODEN</t>
        </is>
      </c>
      <c r="H64" t="inlineStr">
        <is>
          <t>SCA</t>
        </is>
      </c>
      <c r="I64" t="n">
        <v>5.9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Garnlav
Tretåig hackspett
Vitgrynig nållav</t>
        </is>
      </c>
      <c r="W64">
        <f>HYPERLINK("https://klasma.github.io/Logging_2582/artfynd/A 32590-2026 artfynd.xlsx", "A 32590-2026")</f>
        <v/>
      </c>
      <c r="X64">
        <f>HYPERLINK("https://klasma.github.io/Logging_2582/kartor/A 32590-2026 karta.png", "A 32590-2026")</f>
        <v/>
      </c>
      <c r="Y64">
        <f>HYPERLINK("https://klasma.github.io/Logging_2582/kartor_geotiff/A 32590-2026 georefererad karta.tif", "A 32590-2026")</f>
        <v/>
      </c>
      <c r="AA64">
        <f>HYPERLINK("https://klasma.github.io/Logging_2582/klagomål/A 32590-2026 FSC-klagomål.docx", "A 32590-2026")</f>
        <v/>
      </c>
      <c r="AB64">
        <f>HYPERLINK("https://klasma.github.io/Logging_2582/klagomålsmail/A 32590-2026 FSC-klagomål mail.docx", "A 32590-2026")</f>
        <v/>
      </c>
      <c r="AC64">
        <f>HYPERLINK("https://klasma.github.io/Logging_2582/tillsyn/A 32590-2026 tillsynsbegäran.docx", "A 32590-2026")</f>
        <v/>
      </c>
      <c r="AD64">
        <f>HYPERLINK("https://klasma.github.io/Logging_2582/tillsynsmail/A 32590-2026 tillsynsbegäran mail.docx", "A 32590-2026")</f>
        <v/>
      </c>
      <c r="AE64">
        <f>HYPERLINK("https://klasma.github.io/Logging_2582/fåglar/A 32590-2026 prioriterade fågelarter.docx", "A 32590-2026")</f>
        <v/>
      </c>
    </row>
    <row r="65" ht="15" customHeight="1">
      <c r="A65" t="inlineStr">
        <is>
          <t>A 38808-2026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46286</v>
      </c>
      <c r="E65" s="1" t="n">
        <v>46302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12.7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Lunglav
Vedflamlav
Stuplav</t>
        </is>
      </c>
      <c r="W65">
        <f>HYPERLINK("https://klasma.github.io/Logging_2582/artfynd/A 38808-2026 artfynd.xlsx", "A 38808-2026")</f>
        <v/>
      </c>
      <c r="X65">
        <f>HYPERLINK("https://klasma.github.io/Logging_2582/kartor/A 38808-2026 karta.png", "A 38808-2026")</f>
        <v/>
      </c>
      <c r="Y65">
        <f>HYPERLINK("https://klasma.github.io/Logging_2582/kartor_geotiff/A 38808-2026 georefererad karta.tif", "A 38808-2026")</f>
        <v/>
      </c>
      <c r="AA65">
        <f>HYPERLINK("https://klasma.github.io/Logging_2582/klagomål/A 38808-2026 FSC-klagomål.docx", "A 38808-2026")</f>
        <v/>
      </c>
      <c r="AB65">
        <f>HYPERLINK("https://klasma.github.io/Logging_2582/klagomålsmail/A 38808-2026 FSC-klagomål mail.docx", "A 38808-2026")</f>
        <v/>
      </c>
      <c r="AC65">
        <f>HYPERLINK("https://klasma.github.io/Logging_2582/tillsyn/A 38808-2026 tillsynsbegäran.docx", "A 38808-2026")</f>
        <v/>
      </c>
      <c r="AD65">
        <f>HYPERLINK("https://klasma.github.io/Logging_2582/tillsynsmail/A 38808-2026 tillsynsbegäran mail.docx", "A 38808-2026")</f>
        <v/>
      </c>
    </row>
    <row r="66" ht="15" customHeight="1">
      <c r="A66" t="inlineStr">
        <is>
          <t>A 29797-2022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44755</v>
      </c>
      <c r="E66" s="1" t="n">
        <v>46302</v>
      </c>
      <c r="F66" t="inlineStr">
        <is>
          <t>NORRBOTTENS LÄN</t>
        </is>
      </c>
      <c r="G66" t="inlineStr">
        <is>
          <t>BODEN</t>
        </is>
      </c>
      <c r="H66" t="inlineStr">
        <is>
          <t>Kyrkan</t>
        </is>
      </c>
      <c r="I66" t="n">
        <v>29.2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Vanlig groda
Vanlig padda
Revlummer</t>
        </is>
      </c>
      <c r="W66">
        <f>HYPERLINK("https://klasma.github.io/Logging_2582/artfynd/A 29797-2022 artfynd.xlsx", "A 29797-2022")</f>
        <v/>
      </c>
      <c r="X66">
        <f>HYPERLINK("https://klasma.github.io/Logging_2582/kartor/A 29797-2022 karta.png", "A 29797-2022")</f>
        <v/>
      </c>
      <c r="Y66">
        <f>HYPERLINK("https://klasma.github.io/Logging_2582/kartor_geotiff/A 29797-2022 georefererad karta.tif", "A 29797-2022")</f>
        <v/>
      </c>
      <c r="AA66">
        <f>HYPERLINK("https://klasma.github.io/Logging_2582/klagomål/A 29797-2022 FSC-klagomål.docx", "A 29797-2022")</f>
        <v/>
      </c>
      <c r="AB66">
        <f>HYPERLINK("https://klasma.github.io/Logging_2582/klagomålsmail/A 29797-2022 FSC-klagomål mail.docx", "A 29797-2022")</f>
        <v/>
      </c>
      <c r="AC66">
        <f>HYPERLINK("https://klasma.github.io/Logging_2582/tillsyn/A 29797-2022 tillsynsbegäran.docx", "A 29797-2022")</f>
        <v/>
      </c>
      <c r="AD66">
        <f>HYPERLINK("https://klasma.github.io/Logging_2582/tillsynsmail/A 29797-2022 tillsynsbegäran mail.docx", "A 29797-2022")</f>
        <v/>
      </c>
    </row>
    <row r="67" ht="15" customHeight="1">
      <c r="A67" t="inlineStr">
        <is>
          <t>A 34875-2026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46302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5.1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Knärot
Tallticka
Fläcknycklar</t>
        </is>
      </c>
      <c r="W67">
        <f>HYPERLINK("https://klasma.github.io/Logging_2582/artfynd/A 34875-2026 artfynd.xlsx", "A 34875-2026")</f>
        <v/>
      </c>
      <c r="X67">
        <f>HYPERLINK("https://klasma.github.io/Logging_2582/kartor/A 34875-2026 karta.png", "A 34875-2026")</f>
        <v/>
      </c>
      <c r="Y67">
        <f>HYPERLINK("https://klasma.github.io/Logging_2582/kartor_geotiff/A 34875-2026 georefererad karta.tif", "A 34875-2026")</f>
        <v/>
      </c>
      <c r="Z67">
        <f>HYPERLINK("https://klasma.github.io/Logging_2582/knärot/A 34875-2026 karta knärot.png", "A 34875-2026")</f>
        <v/>
      </c>
      <c r="AA67">
        <f>HYPERLINK("https://klasma.github.io/Logging_2582/klagomål/A 34875-2026 FSC-klagomål.docx", "A 34875-2026")</f>
        <v/>
      </c>
      <c r="AB67">
        <f>HYPERLINK("https://klasma.github.io/Logging_2582/klagomålsmail/A 34875-2026 FSC-klagomål mail.docx", "A 34875-2026")</f>
        <v/>
      </c>
      <c r="AC67">
        <f>HYPERLINK("https://klasma.github.io/Logging_2582/tillsyn/A 34875-2026 tillsynsbegäran.docx", "A 34875-2026")</f>
        <v/>
      </c>
      <c r="AD67">
        <f>HYPERLINK("https://klasma.github.io/Logging_2582/tillsynsmail/A 34875-2026 tillsynsbegäran mail.docx", "A 34875-2026")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46302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46302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46302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46302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46302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46302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32971-2024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46302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10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5</v>
      </c>
      <c r="U74" t="n">
        <v>4</v>
      </c>
      <c r="V74" s="2" t="inlineStr">
        <is>
          <t>Lunglav
Fläcknycklar</t>
        </is>
      </c>
      <c r="W74">
        <f>HYPERLINK("https://klasma.github.io/Logging_2582/artfynd/A 32971-2024 artfynd.xlsx", "A 32971-2024")</f>
        <v/>
      </c>
      <c r="X74">
        <f>HYPERLINK("https://klasma.github.io/Logging_2582/kartor/A 32971-2024 karta.png", "A 32971-2024")</f>
        <v/>
      </c>
      <c r="Y74">
        <f>HYPERLINK("https://klasma.github.io/Logging_2582/kartor_geotiff/A 32971-2024 georefererad karta.tif", "A 32971-2024")</f>
        <v/>
      </c>
      <c r="AA74">
        <f>HYPERLINK("https://klasma.github.io/Logging_2582/klagomål/A 32971-2024 FSC-klagomål.docx", "A 32971-2024")</f>
        <v/>
      </c>
      <c r="AB74">
        <f>HYPERLINK("https://klasma.github.io/Logging_2582/klagomålsmail/A 32971-2024 FSC-klagomål mail.docx", "A 32971-2024")</f>
        <v/>
      </c>
      <c r="AC74">
        <f>HYPERLINK("https://klasma.github.io/Logging_2582/tillsyn/A 32971-2024 tillsynsbegäran.docx", "A 32971-2024")</f>
        <v/>
      </c>
      <c r="AD74">
        <f>HYPERLINK("https://klasma.github.io/Logging_2582/tillsynsmail/A 32971-2024 tillsynsbegäran mail.docx", "A 32971-2024")</f>
        <v/>
      </c>
    </row>
    <row r="75" ht="15" customHeight="1">
      <c r="A75" t="inlineStr">
        <is>
          <t>A 8754-2026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46302</v>
      </c>
      <c r="F75" t="inlineStr">
        <is>
          <t>NORRBOTTENS LÄN</t>
        </is>
      </c>
      <c r="G75" t="inlineStr">
        <is>
          <t>BODEN</t>
        </is>
      </c>
      <c r="I75" t="n">
        <v>2.1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Ullticka</t>
        </is>
      </c>
      <c r="W75">
        <f>HYPERLINK("https://klasma.github.io/Logging_2582/artfynd/A 8754-2026 artfynd.xlsx", "A 8754-2026")</f>
        <v/>
      </c>
      <c r="X75">
        <f>HYPERLINK("https://klasma.github.io/Logging_2582/kartor/A 8754-2026 karta.png", "A 8754-2026")</f>
        <v/>
      </c>
      <c r="Y75">
        <f>HYPERLINK("https://klasma.github.io/Logging_2582/kartor_geotiff/A 8754-2026 georefererad karta.tif", "A 8754-2026")</f>
        <v/>
      </c>
      <c r="AA75">
        <f>HYPERLINK("https://klasma.github.io/Logging_2582/klagomål/A 8754-2026 FSC-klagomål.docx", "A 8754-2026")</f>
        <v/>
      </c>
      <c r="AB75">
        <f>HYPERLINK("https://klasma.github.io/Logging_2582/klagomålsmail/A 8754-2026 FSC-klagomål mail.docx", "A 8754-2026")</f>
        <v/>
      </c>
      <c r="AC75">
        <f>HYPERLINK("https://klasma.github.io/Logging_2582/tillsyn/A 8754-2026 tillsynsbegäran.docx", "A 8754-2026")</f>
        <v/>
      </c>
      <c r="AD75">
        <f>HYPERLINK("https://klasma.github.io/Logging_2582/tillsynsmail/A 8754-2026 tillsynsbegäran mail.docx", "A 8754-2026")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46302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6895-2025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45701</v>
      </c>
      <c r="E77" s="1" t="n">
        <v>46302</v>
      </c>
      <c r="F77" t="inlineStr">
        <is>
          <t>NORRBOTTENS LÄN</t>
        </is>
      </c>
      <c r="G77" t="inlineStr">
        <is>
          <t>BODEN</t>
        </is>
      </c>
      <c r="I77" t="n">
        <v>1.5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Kolflarnlav
Plattlummer</t>
        </is>
      </c>
      <c r="W77">
        <f>HYPERLINK("https://klasma.github.io/Logging_2582/artfynd/A 6895-2025 artfynd.xlsx", "A 6895-2025")</f>
        <v/>
      </c>
      <c r="X77">
        <f>HYPERLINK("https://klasma.github.io/Logging_2582/kartor/A 6895-2025 karta.png", "A 6895-2025")</f>
        <v/>
      </c>
      <c r="Y77">
        <f>HYPERLINK("https://klasma.github.io/Logging_2582/kartor_geotiff/A 6895-2025 georefererad karta.tif", "A 6895-2025")</f>
        <v/>
      </c>
      <c r="AA77">
        <f>HYPERLINK("https://klasma.github.io/Logging_2582/klagomål/A 6895-2025 FSC-klagomål.docx", "A 6895-2025")</f>
        <v/>
      </c>
      <c r="AB77">
        <f>HYPERLINK("https://klasma.github.io/Logging_2582/klagomålsmail/A 6895-2025 FSC-klagomål mail.docx", "A 6895-2025")</f>
        <v/>
      </c>
      <c r="AC77">
        <f>HYPERLINK("https://klasma.github.io/Logging_2582/tillsyn/A 6895-2025 tillsynsbegäran.docx", "A 6895-2025")</f>
        <v/>
      </c>
      <c r="AD77">
        <f>HYPERLINK("https://klasma.github.io/Logging_2582/tillsynsmail/A 6895-2025 tillsynsbegäran mail.docx", "A 6895-2025")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46302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46302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46302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28867-2025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46302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8.199999999999999</v>
      </c>
      <c r="J81" t="n">
        <v>2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12</v>
      </c>
      <c r="U81" t="n">
        <v>12</v>
      </c>
      <c r="V81" s="2" t="inlineStr">
        <is>
          <t>Knärot
Fläcknycklar</t>
        </is>
      </c>
      <c r="W81">
        <f>HYPERLINK("https://klasma.github.io/Logging_2582/artfynd/A 28867-2025 artfynd.xlsx", "A 28867-2025")</f>
        <v/>
      </c>
      <c r="X81">
        <f>HYPERLINK("https://klasma.github.io/Logging_2582/kartor/A 28867-2025 karta.png", "A 28867-2025")</f>
        <v/>
      </c>
      <c r="Y81">
        <f>HYPERLINK("https://klasma.github.io/Logging_2582/kartor_geotiff/A 28867-2025 georefererad karta.tif", "A 28867-2025")</f>
        <v/>
      </c>
      <c r="Z81">
        <f>HYPERLINK("https://klasma.github.io/Logging_2582/knärot/A 28867-2025 karta knärot.png", "A 28867-2025")</f>
        <v/>
      </c>
      <c r="AA81">
        <f>HYPERLINK("https://klasma.github.io/Logging_2582/klagomål/A 28867-2025 FSC-klagomål.docx", "A 28867-2025")</f>
        <v/>
      </c>
      <c r="AB81">
        <f>HYPERLINK("https://klasma.github.io/Logging_2582/klagomålsmail/A 28867-2025 FSC-klagomål mail.docx", "A 28867-2025")</f>
        <v/>
      </c>
      <c r="AC81">
        <f>HYPERLINK("https://klasma.github.io/Logging_2582/tillsyn/A 28867-2025 tillsynsbegäran.docx", "A 28867-2025")</f>
        <v/>
      </c>
      <c r="AD81">
        <f>HYPERLINK("https://klasma.github.io/Logging_2582/tillsynsmail/A 28867-2025 tillsynsbegäran mail.docx", "A 28867-2025")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46302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9306-2025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46302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Rynkskinn</t>
        </is>
      </c>
      <c r="W83">
        <f>HYPERLINK("https://klasma.github.io/Logging_2582/artfynd/A 9306-2025 artfynd.xlsx", "A 9306-2025")</f>
        <v/>
      </c>
      <c r="X83">
        <f>HYPERLINK("https://klasma.github.io/Logging_2582/kartor/A 9306-2025 karta.png", "A 9306-2025")</f>
        <v/>
      </c>
      <c r="Y83">
        <f>HYPERLINK("https://klasma.github.io/Logging_2582/kartor_geotiff/A 9306-2025 georefererad karta.tif", "A 9306-2025")</f>
        <v/>
      </c>
      <c r="AA83">
        <f>HYPERLINK("https://klasma.github.io/Logging_2582/klagomål/A 9306-2025 FSC-klagomål.docx", "A 9306-2025")</f>
        <v/>
      </c>
      <c r="AB83">
        <f>HYPERLINK("https://klasma.github.io/Logging_2582/klagomålsmail/A 9306-2025 FSC-klagomål mail.docx", "A 9306-2025")</f>
        <v/>
      </c>
      <c r="AC83">
        <f>HYPERLINK("https://klasma.github.io/Logging_2582/tillsyn/A 9306-2025 tillsynsbegäran.docx", "A 9306-2025")</f>
        <v/>
      </c>
      <c r="AD83">
        <f>HYPERLINK("https://klasma.github.io/Logging_2582/tillsynsmail/A 9306-2025 tillsynsbegäran mail.docx", "A 9306-2025")</f>
        <v/>
      </c>
    </row>
    <row r="84" ht="15" customHeight="1">
      <c r="A84" t="inlineStr">
        <is>
          <t>A 37086-2025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46302</v>
      </c>
      <c r="F84" t="inlineStr">
        <is>
          <t>NORRBOTTENS LÄN</t>
        </is>
      </c>
      <c r="G84" t="inlineStr">
        <is>
          <t>BODEN</t>
        </is>
      </c>
      <c r="H84" t="inlineStr">
        <is>
          <t>Övriga Aktiebolag</t>
        </is>
      </c>
      <c r="I84" t="n">
        <v>22.8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Lunglav
Stuplav</t>
        </is>
      </c>
      <c r="W84">
        <f>HYPERLINK("https://klasma.github.io/Logging_2582/artfynd/A 37086-2025 artfynd.xlsx", "A 37086-2025")</f>
        <v/>
      </c>
      <c r="X84">
        <f>HYPERLINK("https://klasma.github.io/Logging_2582/kartor/A 37086-2025 karta.png", "A 37086-2025")</f>
        <v/>
      </c>
      <c r="Y84">
        <f>HYPERLINK("https://klasma.github.io/Logging_2582/kartor_geotiff/A 37086-2025 georefererad karta.tif", "A 37086-2025")</f>
        <v/>
      </c>
      <c r="AA84">
        <f>HYPERLINK("https://klasma.github.io/Logging_2582/klagomål/A 37086-2025 FSC-klagomål.docx", "A 37086-2025")</f>
        <v/>
      </c>
      <c r="AB84">
        <f>HYPERLINK("https://klasma.github.io/Logging_2582/klagomålsmail/A 37086-2025 FSC-klagomål mail.docx", "A 37086-2025")</f>
        <v/>
      </c>
      <c r="AC84">
        <f>HYPERLINK("https://klasma.github.io/Logging_2582/tillsyn/A 37086-2025 tillsynsbegäran.docx", "A 37086-2025")</f>
        <v/>
      </c>
      <c r="AD84">
        <f>HYPERLINK("https://klasma.github.io/Logging_2582/tillsynsmail/A 37086-2025 tillsynsbegäran mail.docx", "A 37086-2025")</f>
        <v/>
      </c>
    </row>
    <row r="85" ht="15" customHeight="1">
      <c r="A85" t="inlineStr">
        <is>
          <t>A 60774-2025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46302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60774-2025 artfynd.xlsx", "A 60774-2025")</f>
        <v/>
      </c>
      <c r="X85">
        <f>HYPERLINK("https://klasma.github.io/Logging_2582/kartor/A 60774-2025 karta.png", "A 60774-2025")</f>
        <v/>
      </c>
      <c r="Y85">
        <f>HYPERLINK("https://klasma.github.io/Logging_2582/kartor_geotiff/A 60774-2025 georefererad karta.tif", "A 60774-2025")</f>
        <v/>
      </c>
      <c r="AA85">
        <f>HYPERLINK("https://klasma.github.io/Logging_2582/klagomål/A 60774-2025 FSC-klagomål.docx", "A 60774-2025")</f>
        <v/>
      </c>
      <c r="AB85">
        <f>HYPERLINK("https://klasma.github.io/Logging_2582/klagomålsmail/A 60774-2025 FSC-klagomål mail.docx", "A 60774-2025")</f>
        <v/>
      </c>
      <c r="AC85">
        <f>HYPERLINK("https://klasma.github.io/Logging_2582/tillsyn/A 60774-2025 tillsynsbegäran.docx", "A 60774-2025")</f>
        <v/>
      </c>
      <c r="AD85">
        <f>HYPERLINK("https://klasma.github.io/Logging_2582/tillsynsmail/A 60774-2025 tillsynsbegäran mail.docx", "A 60774-2025")</f>
        <v/>
      </c>
    </row>
    <row r="86" ht="15" customHeight="1">
      <c r="A86" t="inlineStr">
        <is>
          <t>A 48899-2024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46302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Hässlebrodd
Fläcknycklar</t>
        </is>
      </c>
      <c r="W86">
        <f>HYPERLINK("https://klasma.github.io/Logging_2582/artfynd/A 48899-2024 artfynd.xlsx", "A 48899-2024")</f>
        <v/>
      </c>
      <c r="X86">
        <f>HYPERLINK("https://klasma.github.io/Logging_2582/kartor/A 48899-2024 karta.png", "A 48899-2024")</f>
        <v/>
      </c>
      <c r="Y86">
        <f>HYPERLINK("https://klasma.github.io/Logging_2582/kartor_geotiff/A 48899-2024 georefererad karta.tif", "A 48899-2024")</f>
        <v/>
      </c>
      <c r="AA86">
        <f>HYPERLINK("https://klasma.github.io/Logging_2582/klagomål/A 48899-2024 FSC-klagomål.docx", "A 48899-2024")</f>
        <v/>
      </c>
      <c r="AB86">
        <f>HYPERLINK("https://klasma.github.io/Logging_2582/klagomålsmail/A 48899-2024 FSC-klagomål mail.docx", "A 48899-2024")</f>
        <v/>
      </c>
      <c r="AC86">
        <f>HYPERLINK("https://klasma.github.io/Logging_2582/tillsyn/A 48899-2024 tillsynsbegäran.docx", "A 48899-2024")</f>
        <v/>
      </c>
      <c r="AD86">
        <f>HYPERLINK("https://klasma.github.io/Logging_2582/tillsynsmail/A 48899-2024 tillsynsbegäran mail.docx", "A 48899-2024")</f>
        <v/>
      </c>
    </row>
    <row r="87" ht="15" customHeight="1">
      <c r="A87" t="inlineStr">
        <is>
          <t>A 59435-2024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46302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Lappranunkel
Ögonpyrola</t>
        </is>
      </c>
      <c r="W87">
        <f>HYPERLINK("https://klasma.github.io/Logging_2582/artfynd/A 59435-2024 artfynd.xlsx", "A 59435-2024")</f>
        <v/>
      </c>
      <c r="X87">
        <f>HYPERLINK("https://klasma.github.io/Logging_2582/kartor/A 59435-2024 karta.png", "A 59435-2024")</f>
        <v/>
      </c>
      <c r="Y87">
        <f>HYPERLINK("https://klasma.github.io/Logging_2582/kartor_geotiff/A 59435-2024 georefererad karta.tif", "A 59435-2024")</f>
        <v/>
      </c>
      <c r="AA87">
        <f>HYPERLINK("https://klasma.github.io/Logging_2582/klagomål/A 59435-2024 FSC-klagomål.docx", "A 59435-2024")</f>
        <v/>
      </c>
      <c r="AB87">
        <f>HYPERLINK("https://klasma.github.io/Logging_2582/klagomålsmail/A 59435-2024 FSC-klagomål mail.docx", "A 59435-2024")</f>
        <v/>
      </c>
      <c r="AC87">
        <f>HYPERLINK("https://klasma.github.io/Logging_2582/tillsyn/A 59435-2024 tillsynsbegäran.docx", "A 59435-2024")</f>
        <v/>
      </c>
      <c r="AD87">
        <f>HYPERLINK("https://klasma.github.io/Logging_2582/tillsynsmail/A 59435-2024 tillsynsbegäran mail.docx", "A 59435-2024")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46302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8703-2026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46302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8703-2026 artfynd.xlsx", "A 8703-2026")</f>
        <v/>
      </c>
      <c r="X89">
        <f>HYPERLINK("https://klasma.github.io/Logging_2582/kartor/A 8703-2026 karta.png", "A 8703-2026")</f>
        <v/>
      </c>
      <c r="Y89">
        <f>HYPERLINK("https://klasma.github.io/Logging_2582/kartor_geotiff/A 8703-2026 georefererad karta.tif", "A 8703-2026")</f>
        <v/>
      </c>
      <c r="AA89">
        <f>HYPERLINK("https://klasma.github.io/Logging_2582/klagomål/A 8703-2026 FSC-klagomål.docx", "A 8703-2026")</f>
        <v/>
      </c>
      <c r="AB89">
        <f>HYPERLINK("https://klasma.github.io/Logging_2582/klagomålsmail/A 8703-2026 FSC-klagomål mail.docx", "A 8703-2026")</f>
        <v/>
      </c>
      <c r="AC89">
        <f>HYPERLINK("https://klasma.github.io/Logging_2582/tillsyn/A 8703-2026 tillsynsbegäran.docx", "A 8703-2026")</f>
        <v/>
      </c>
      <c r="AD89">
        <f>HYPERLINK("https://klasma.github.io/Logging_2582/tillsynsmail/A 8703-2026 tillsynsbegäran mail.docx", "A 8703-2026")</f>
        <v/>
      </c>
    </row>
    <row r="90" ht="15" customHeight="1">
      <c r="A90" t="inlineStr">
        <is>
          <t>A 21657-2026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46149</v>
      </c>
      <c r="E90" s="1" t="n">
        <v>46302</v>
      </c>
      <c r="F90" t="inlineStr">
        <is>
          <t>NORRBOTTENS LÄN</t>
        </is>
      </c>
      <c r="G90" t="inlineStr">
        <is>
          <t>BODEN</t>
        </is>
      </c>
      <c r="I90" t="n">
        <v>9.800000000000001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Orre
Utter</t>
        </is>
      </c>
      <c r="W90">
        <f>HYPERLINK("https://klasma.github.io/Logging_2582/artfynd/A 21657-2026 artfynd.xlsx", "A 21657-2026")</f>
        <v/>
      </c>
      <c r="X90">
        <f>HYPERLINK("https://klasma.github.io/Logging_2582/kartor/A 21657-2026 karta.png", "A 21657-2026")</f>
        <v/>
      </c>
      <c r="Y90">
        <f>HYPERLINK("https://klasma.github.io/Logging_2582/kartor_geotiff/A 21657-2026 georefererad karta.tif", "A 21657-2026")</f>
        <v/>
      </c>
      <c r="AA90">
        <f>HYPERLINK("https://klasma.github.io/Logging_2582/klagomål/A 21657-2026 FSC-klagomål.docx", "A 21657-2026")</f>
        <v/>
      </c>
      <c r="AB90">
        <f>HYPERLINK("https://klasma.github.io/Logging_2582/klagomålsmail/A 21657-2026 FSC-klagomål mail.docx", "A 21657-2026")</f>
        <v/>
      </c>
      <c r="AC90">
        <f>HYPERLINK("https://klasma.github.io/Logging_2582/tillsyn/A 21657-2026 tillsynsbegäran.docx", "A 21657-2026")</f>
        <v/>
      </c>
      <c r="AD90">
        <f>HYPERLINK("https://klasma.github.io/Logging_2582/tillsynsmail/A 21657-2026 tillsynsbegäran mail.docx", "A 21657-2026")</f>
        <v/>
      </c>
      <c r="AE90">
        <f>HYPERLINK("https://klasma.github.io/Logging_2582/fåglar/A 21657-2026 prioriterade fågelarter.docx", "A 21657-2026")</f>
        <v/>
      </c>
    </row>
    <row r="91" ht="15" customHeight="1">
      <c r="A91" t="inlineStr">
        <is>
          <t>A 23794-2026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46302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3.1</v>
      </c>
      <c r="J91" t="n">
        <v>2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Plattlummer
Spindelblomster</t>
        </is>
      </c>
      <c r="W91">
        <f>HYPERLINK("https://klasma.github.io/Logging_2582/artfynd/A 23794-2026 artfynd.xlsx", "A 23794-2026")</f>
        <v/>
      </c>
      <c r="X91">
        <f>HYPERLINK("https://klasma.github.io/Logging_2582/kartor/A 23794-2026 karta.png", "A 23794-2026")</f>
        <v/>
      </c>
      <c r="Y91">
        <f>HYPERLINK("https://klasma.github.io/Logging_2582/kartor_geotiff/A 23794-2026 georefererad karta.tif", "A 23794-2026")</f>
        <v/>
      </c>
      <c r="AA91">
        <f>HYPERLINK("https://klasma.github.io/Logging_2582/klagomål/A 23794-2026 FSC-klagomål.docx", "A 23794-2026")</f>
        <v/>
      </c>
      <c r="AB91">
        <f>HYPERLINK("https://klasma.github.io/Logging_2582/klagomålsmail/A 23794-2026 FSC-klagomål mail.docx", "A 23794-2026")</f>
        <v/>
      </c>
      <c r="AC91">
        <f>HYPERLINK("https://klasma.github.io/Logging_2582/tillsyn/A 23794-2026 tillsynsbegäran.docx", "A 23794-2026")</f>
        <v/>
      </c>
      <c r="AD91">
        <f>HYPERLINK("https://klasma.github.io/Logging_2582/tillsynsmail/A 23794-2026 tillsynsbegäran mail.docx", "A 23794-2026")</f>
        <v/>
      </c>
    </row>
    <row r="92" ht="15" customHeight="1">
      <c r="A92" t="inlineStr">
        <is>
          <t>A 61210-2024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46302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4</v>
      </c>
      <c r="U92" t="n">
        <v>0</v>
      </c>
      <c r="V92" s="2" t="inlineStr">
        <is>
          <t>Skrovlig taggsvamp
Blå taggsvamp</t>
        </is>
      </c>
      <c r="W92">
        <f>HYPERLINK("https://klasma.github.io/Logging_2582/artfynd/A 61210-2024 artfynd.xlsx", "A 61210-2024")</f>
        <v/>
      </c>
      <c r="X92">
        <f>HYPERLINK("https://klasma.github.io/Logging_2582/kartor/A 61210-2024 karta.png", "A 61210-2024")</f>
        <v/>
      </c>
      <c r="Y92">
        <f>HYPERLINK("https://klasma.github.io/Logging_2582/kartor_geotiff/A 61210-2024 georefererad karta.tif", "A 61210-2024")</f>
        <v/>
      </c>
      <c r="AA92">
        <f>HYPERLINK("https://klasma.github.io/Logging_2582/klagomål/A 61210-2024 FSC-klagomål.docx", "A 61210-2024")</f>
        <v/>
      </c>
      <c r="AB92">
        <f>HYPERLINK("https://klasma.github.io/Logging_2582/klagomålsmail/A 61210-2024 FSC-klagomål mail.docx", "A 61210-2024")</f>
        <v/>
      </c>
      <c r="AC92">
        <f>HYPERLINK("https://klasma.github.io/Logging_2582/tillsyn/A 61210-2024 tillsynsbegäran.docx", "A 61210-2024")</f>
        <v/>
      </c>
      <c r="AD92">
        <f>HYPERLINK("https://klasma.github.io/Logging_2582/tillsynsmail/A 61210-2024 tillsynsbegäran mail.docx", "A 61210-2024")</f>
        <v/>
      </c>
    </row>
    <row r="93" ht="15" customHeight="1">
      <c r="A93" t="inlineStr">
        <is>
          <t>A 26773-2026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46302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2.9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Lunglav</t>
        </is>
      </c>
      <c r="W93">
        <f>HYPERLINK("https://klasma.github.io/Logging_2582/artfynd/A 26773-2026 artfynd.xlsx", "A 26773-2026")</f>
        <v/>
      </c>
      <c r="X93">
        <f>HYPERLINK("https://klasma.github.io/Logging_2582/kartor/A 26773-2026 karta.png", "A 26773-2026")</f>
        <v/>
      </c>
      <c r="Y93">
        <f>HYPERLINK("https://klasma.github.io/Logging_2582/kartor_geotiff/A 26773-2026 georefererad karta.tif", "A 26773-2026")</f>
        <v/>
      </c>
      <c r="Z93">
        <f>HYPERLINK("https://klasma.github.io/Logging_2582/knärot/A 26773-2026 karta knärot.png", "A 26773-2026")</f>
        <v/>
      </c>
      <c r="AA93">
        <f>HYPERLINK("https://klasma.github.io/Logging_2582/klagomål/A 26773-2026 FSC-klagomål.docx", "A 26773-2026")</f>
        <v/>
      </c>
      <c r="AB93">
        <f>HYPERLINK("https://klasma.github.io/Logging_2582/klagomålsmail/A 26773-2026 FSC-klagomål mail.docx", "A 26773-2026")</f>
        <v/>
      </c>
      <c r="AC93">
        <f>HYPERLINK("https://klasma.github.io/Logging_2582/tillsyn/A 26773-2026 tillsynsbegäran.docx", "A 26773-2026")</f>
        <v/>
      </c>
      <c r="AD93">
        <f>HYPERLINK("https://klasma.github.io/Logging_2582/tillsynsmail/A 26773-2026 tillsynsbegäran mail.docx", "A 26773-2026")</f>
        <v/>
      </c>
    </row>
    <row r="94" ht="15" customHeight="1">
      <c r="A94" t="inlineStr">
        <is>
          <t>A 26721-2026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46302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7.8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Tibast</t>
        </is>
      </c>
      <c r="W94">
        <f>HYPERLINK("https://klasma.github.io/Logging_2582/artfynd/A 26721-2026 artfynd.xlsx", "A 26721-2026")</f>
        <v/>
      </c>
      <c r="X94">
        <f>HYPERLINK("https://klasma.github.io/Logging_2582/kartor/A 26721-2026 karta.png", "A 26721-2026")</f>
        <v/>
      </c>
      <c r="Y94">
        <f>HYPERLINK("https://klasma.github.io/Logging_2582/kartor_geotiff/A 26721-2026 georefererad karta.tif", "A 26721-2026")</f>
        <v/>
      </c>
      <c r="AA94">
        <f>HYPERLINK("https://klasma.github.io/Logging_2582/klagomål/A 26721-2026 FSC-klagomål.docx", "A 26721-2026")</f>
        <v/>
      </c>
      <c r="AB94">
        <f>HYPERLINK("https://klasma.github.io/Logging_2582/klagomålsmail/A 26721-2026 FSC-klagomål mail.docx", "A 26721-2026")</f>
        <v/>
      </c>
      <c r="AC94">
        <f>HYPERLINK("https://klasma.github.io/Logging_2582/tillsyn/A 26721-2026 tillsynsbegäran.docx", "A 26721-2026")</f>
        <v/>
      </c>
      <c r="AD94">
        <f>HYPERLINK("https://klasma.github.io/Logging_2582/tillsynsmail/A 26721-2026 tillsynsbegäran mail.docx", "A 26721-2026")</f>
        <v/>
      </c>
    </row>
    <row r="95" ht="15" customHeight="1">
      <c r="A95" t="inlineStr">
        <is>
          <t>A 34737-2024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45526</v>
      </c>
      <c r="E95" s="1" t="n">
        <v>46302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4</v>
      </c>
      <c r="U95" t="n">
        <v>1</v>
      </c>
      <c r="V95" s="2" t="inlineStr">
        <is>
          <t>Lunglav
Fläcknycklar</t>
        </is>
      </c>
      <c r="W95">
        <f>HYPERLINK("https://klasma.github.io/Logging_2582/artfynd/A 34737-2024 artfynd.xlsx", "A 34737-2024")</f>
        <v/>
      </c>
      <c r="X95">
        <f>HYPERLINK("https://klasma.github.io/Logging_2582/kartor/A 34737-2024 karta.png", "A 34737-2024")</f>
        <v/>
      </c>
      <c r="Y95">
        <f>HYPERLINK("https://klasma.github.io/Logging_2582/kartor_geotiff/A 34737-2024 georefererad karta.tif", "A 34737-2024")</f>
        <v/>
      </c>
      <c r="AA95">
        <f>HYPERLINK("https://klasma.github.io/Logging_2582/klagomål/A 34737-2024 FSC-klagomål.docx", "A 34737-2024")</f>
        <v/>
      </c>
      <c r="AB95">
        <f>HYPERLINK("https://klasma.github.io/Logging_2582/klagomålsmail/A 34737-2024 FSC-klagomål mail.docx", "A 34737-2024")</f>
        <v/>
      </c>
      <c r="AC95">
        <f>HYPERLINK("https://klasma.github.io/Logging_2582/tillsyn/A 34737-2024 tillsynsbegäran.docx", "A 34737-2024")</f>
        <v/>
      </c>
      <c r="AD95">
        <f>HYPERLINK("https://klasma.github.io/Logging_2582/tillsynsmail/A 34737-2024 tillsynsbegäran mail.docx", "A 34737-2024")</f>
        <v/>
      </c>
    </row>
    <row r="96" ht="15" customHeight="1">
      <c r="A96" t="inlineStr">
        <is>
          <t>A 29881-2026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46302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Lunglav
Fläcknycklar</t>
        </is>
      </c>
      <c r="W96">
        <f>HYPERLINK("https://klasma.github.io/Logging_2582/artfynd/A 29881-2026 artfynd.xlsx", "A 29881-2026")</f>
        <v/>
      </c>
      <c r="X96">
        <f>HYPERLINK("https://klasma.github.io/Logging_2582/kartor/A 29881-2026 karta.png", "A 29881-2026")</f>
        <v/>
      </c>
      <c r="Y96">
        <f>HYPERLINK("https://klasma.github.io/Logging_2582/kartor_geotiff/A 29881-2026 georefererad karta.tif", "A 29881-2026")</f>
        <v/>
      </c>
      <c r="AA96">
        <f>HYPERLINK("https://klasma.github.io/Logging_2582/klagomål/A 29881-2026 FSC-klagomål.docx", "A 29881-2026")</f>
        <v/>
      </c>
      <c r="AB96">
        <f>HYPERLINK("https://klasma.github.io/Logging_2582/klagomålsmail/A 29881-2026 FSC-klagomål mail.docx", "A 29881-2026")</f>
        <v/>
      </c>
      <c r="AC96">
        <f>HYPERLINK("https://klasma.github.io/Logging_2582/tillsyn/A 29881-2026 tillsynsbegäran.docx", "A 29881-2026")</f>
        <v/>
      </c>
      <c r="AD96">
        <f>HYPERLINK("https://klasma.github.io/Logging_2582/tillsynsmail/A 29881-2026 tillsynsbegäran mail.docx", "A 29881-2026")</f>
        <v/>
      </c>
    </row>
    <row r="97" ht="15" customHeight="1">
      <c r="A97" t="inlineStr">
        <is>
          <t>A 29807-2026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46302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Mörk kolflarnlav</t>
        </is>
      </c>
      <c r="W97">
        <f>HYPERLINK("https://klasma.github.io/Logging_2582/artfynd/A 29807-2026 artfynd.xlsx", "A 29807-2026")</f>
        <v/>
      </c>
      <c r="X97">
        <f>HYPERLINK("https://klasma.github.io/Logging_2582/kartor/A 29807-2026 karta.png", "A 29807-2026")</f>
        <v/>
      </c>
      <c r="Y97">
        <f>HYPERLINK("https://klasma.github.io/Logging_2582/kartor_geotiff/A 29807-2026 georefererad karta.tif", "A 29807-2026")</f>
        <v/>
      </c>
      <c r="AA97">
        <f>HYPERLINK("https://klasma.github.io/Logging_2582/klagomål/A 29807-2026 FSC-klagomål.docx", "A 29807-2026")</f>
        <v/>
      </c>
      <c r="AB97">
        <f>HYPERLINK("https://klasma.github.io/Logging_2582/klagomålsmail/A 29807-2026 FSC-klagomål mail.docx", "A 29807-2026")</f>
        <v/>
      </c>
      <c r="AC97">
        <f>HYPERLINK("https://klasma.github.io/Logging_2582/tillsyn/A 29807-2026 tillsynsbegäran.docx", "A 29807-2026")</f>
        <v/>
      </c>
      <c r="AD97">
        <f>HYPERLINK("https://klasma.github.io/Logging_2582/tillsynsmail/A 29807-2026 tillsynsbegäran mail.docx", "A 29807-2026")</f>
        <v/>
      </c>
    </row>
    <row r="98" ht="15" customHeight="1">
      <c r="A98" t="inlineStr">
        <is>
          <t>A 29860-2026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46302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Knottrig blåslav
Lunglav</t>
        </is>
      </c>
      <c r="W98">
        <f>HYPERLINK("https://klasma.github.io/Logging_2582/artfynd/A 29860-2026 artfynd.xlsx", "A 29860-2026")</f>
        <v/>
      </c>
      <c r="X98">
        <f>HYPERLINK("https://klasma.github.io/Logging_2582/kartor/A 29860-2026 karta.png", "A 29860-2026")</f>
        <v/>
      </c>
      <c r="Y98">
        <f>HYPERLINK("https://klasma.github.io/Logging_2582/kartor_geotiff/A 29860-2026 georefererad karta.tif", "A 29860-2026")</f>
        <v/>
      </c>
      <c r="AA98">
        <f>HYPERLINK("https://klasma.github.io/Logging_2582/klagomål/A 29860-2026 FSC-klagomål.docx", "A 29860-2026")</f>
        <v/>
      </c>
      <c r="AB98">
        <f>HYPERLINK("https://klasma.github.io/Logging_2582/klagomålsmail/A 29860-2026 FSC-klagomål mail.docx", "A 29860-2026")</f>
        <v/>
      </c>
      <c r="AC98">
        <f>HYPERLINK("https://klasma.github.io/Logging_2582/tillsyn/A 29860-2026 tillsynsbegäran.docx", "A 29860-2026")</f>
        <v/>
      </c>
      <c r="AD98">
        <f>HYPERLINK("https://klasma.github.io/Logging_2582/tillsynsmail/A 29860-2026 tillsynsbegäran mail.docx", "A 29860-2026")</f>
        <v/>
      </c>
    </row>
    <row r="99" ht="15" customHeight="1">
      <c r="A99" t="inlineStr">
        <is>
          <t>A 35418-2026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46261</v>
      </c>
      <c r="E99" s="1" t="n">
        <v>46302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4.3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8</v>
      </c>
      <c r="U99" t="n">
        <v>8</v>
      </c>
      <c r="V99" s="2" t="inlineStr">
        <is>
          <t>Knärot
Dropptaggsvamp</t>
        </is>
      </c>
      <c r="W99">
        <f>HYPERLINK("https://klasma.github.io/Logging_2582/artfynd/A 35418-2026 artfynd.xlsx", "A 35418-2026")</f>
        <v/>
      </c>
      <c r="X99">
        <f>HYPERLINK("https://klasma.github.io/Logging_2582/kartor/A 35418-2026 karta.png", "A 35418-2026")</f>
        <v/>
      </c>
      <c r="Y99">
        <f>HYPERLINK("https://klasma.github.io/Logging_2582/kartor_geotiff/A 35418-2026 georefererad karta.tif", "A 35418-2026")</f>
        <v/>
      </c>
      <c r="Z99">
        <f>HYPERLINK("https://klasma.github.io/Logging_2582/knärot/A 35418-2026 karta knärot.png", "A 35418-2026")</f>
        <v/>
      </c>
      <c r="AA99">
        <f>HYPERLINK("https://klasma.github.io/Logging_2582/klagomål/A 35418-2026 FSC-klagomål.docx", "A 35418-2026")</f>
        <v/>
      </c>
      <c r="AB99">
        <f>HYPERLINK("https://klasma.github.io/Logging_2582/klagomålsmail/A 35418-2026 FSC-klagomål mail.docx", "A 35418-2026")</f>
        <v/>
      </c>
      <c r="AC99">
        <f>HYPERLINK("https://klasma.github.io/Logging_2582/tillsyn/A 35418-2026 tillsynsbegäran.docx", "A 35418-2026")</f>
        <v/>
      </c>
      <c r="AD99">
        <f>HYPERLINK("https://klasma.github.io/Logging_2582/tillsynsmail/A 35418-2026 tillsynsbegäran mail.docx", "A 35418-2026")</f>
        <v/>
      </c>
    </row>
    <row r="100" ht="15" customHeight="1">
      <c r="A100" t="inlineStr">
        <is>
          <t>A 31233-2026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46217</v>
      </c>
      <c r="E100" s="1" t="n">
        <v>46302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18.5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3</v>
      </c>
      <c r="V100" s="2" t="inlineStr">
        <is>
          <t>Lunglav
Fläcknycklar</t>
        </is>
      </c>
      <c r="W100">
        <f>HYPERLINK("https://klasma.github.io/Logging_2582/artfynd/A 31233-2026 artfynd.xlsx", "A 31233-2026")</f>
        <v/>
      </c>
      <c r="X100">
        <f>HYPERLINK("https://klasma.github.io/Logging_2582/kartor/A 31233-2026 karta.png", "A 31233-2026")</f>
        <v/>
      </c>
      <c r="Y100">
        <f>HYPERLINK("https://klasma.github.io/Logging_2582/kartor_geotiff/A 31233-2026 georefererad karta.tif", "A 31233-2026")</f>
        <v/>
      </c>
      <c r="AA100">
        <f>HYPERLINK("https://klasma.github.io/Logging_2582/klagomål/A 31233-2026 FSC-klagomål.docx", "A 31233-2026")</f>
        <v/>
      </c>
      <c r="AB100">
        <f>HYPERLINK("https://klasma.github.io/Logging_2582/klagomålsmail/A 31233-2026 FSC-klagomål mail.docx", "A 31233-2026")</f>
        <v/>
      </c>
      <c r="AC100">
        <f>HYPERLINK("https://klasma.github.io/Logging_2582/tillsyn/A 31233-2026 tillsynsbegäran.docx", "A 31233-2026")</f>
        <v/>
      </c>
      <c r="AD100">
        <f>HYPERLINK("https://klasma.github.io/Logging_2582/tillsynsmail/A 31233-2026 tillsynsbegäran mail.docx", "A 31233-2026")</f>
        <v/>
      </c>
    </row>
    <row r="101" ht="15" customHeight="1">
      <c r="A101" t="inlineStr">
        <is>
          <t>A 35300-2026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46302</v>
      </c>
      <c r="F101" t="inlineStr">
        <is>
          <t>NORRBOTTENS LÄN</t>
        </is>
      </c>
      <c r="G101" t="inlineStr">
        <is>
          <t>BODEN</t>
        </is>
      </c>
      <c r="I101" t="n">
        <v>3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Vitgrynig nållav</t>
        </is>
      </c>
      <c r="W101">
        <f>HYPERLINK("https://klasma.github.io/Logging_2582/artfynd/A 35300-2026 artfynd.xlsx", "A 35300-2026")</f>
        <v/>
      </c>
      <c r="X101">
        <f>HYPERLINK("https://klasma.github.io/Logging_2582/kartor/A 35300-2026 karta.png", "A 35300-2026")</f>
        <v/>
      </c>
      <c r="Y101">
        <f>HYPERLINK("https://klasma.github.io/Logging_2582/kartor_geotiff/A 35300-2026 georefererad karta.tif", "A 35300-2026")</f>
        <v/>
      </c>
      <c r="AA101">
        <f>HYPERLINK("https://klasma.github.io/Logging_2582/klagomål/A 35300-2026 FSC-klagomål.docx", "A 35300-2026")</f>
        <v/>
      </c>
      <c r="AB101">
        <f>HYPERLINK("https://klasma.github.io/Logging_2582/klagomålsmail/A 35300-2026 FSC-klagomål mail.docx", "A 35300-2026")</f>
        <v/>
      </c>
      <c r="AC101">
        <f>HYPERLINK("https://klasma.github.io/Logging_2582/tillsyn/A 35300-2026 tillsynsbegäran.docx", "A 35300-2026")</f>
        <v/>
      </c>
      <c r="AD101">
        <f>HYPERLINK("https://klasma.github.io/Logging_2582/tillsynsmail/A 35300-2026 tillsynsbegäran mail.docx", "A 35300-2026")</f>
        <v/>
      </c>
    </row>
    <row r="102" ht="15" customHeight="1">
      <c r="A102" t="inlineStr">
        <is>
          <t>A 36163-2026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46267</v>
      </c>
      <c r="E102" s="1" t="n">
        <v>46302</v>
      </c>
      <c r="F102" t="inlineStr">
        <is>
          <t>NORRBOTTENS LÄN</t>
        </is>
      </c>
      <c r="G102" t="inlineStr">
        <is>
          <t>BODEN</t>
        </is>
      </c>
      <c r="I102" t="n">
        <v>7.2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Björktrast
Rödvingetrast</t>
        </is>
      </c>
      <c r="W102">
        <f>HYPERLINK("https://klasma.github.io/Logging_2582/artfynd/A 36163-2026 artfynd.xlsx", "A 36163-2026")</f>
        <v/>
      </c>
      <c r="X102">
        <f>HYPERLINK("https://klasma.github.io/Logging_2582/kartor/A 36163-2026 karta.png", "A 36163-2026")</f>
        <v/>
      </c>
      <c r="Y102">
        <f>HYPERLINK("https://klasma.github.io/Logging_2582/kartor_geotiff/A 36163-2026 georefererad karta.tif", "A 36163-2026")</f>
        <v/>
      </c>
      <c r="AA102">
        <f>HYPERLINK("https://klasma.github.io/Logging_2582/klagomål/A 36163-2026 FSC-klagomål.docx", "A 36163-2026")</f>
        <v/>
      </c>
      <c r="AB102">
        <f>HYPERLINK("https://klasma.github.io/Logging_2582/klagomålsmail/A 36163-2026 FSC-klagomål mail.docx", "A 36163-2026")</f>
        <v/>
      </c>
      <c r="AC102">
        <f>HYPERLINK("https://klasma.github.io/Logging_2582/tillsyn/A 36163-2026 tillsynsbegäran.docx", "A 36163-2026")</f>
        <v/>
      </c>
      <c r="AD102">
        <f>HYPERLINK("https://klasma.github.io/Logging_2582/tillsynsmail/A 36163-2026 tillsynsbegäran mail.docx", "A 36163-2026")</f>
        <v/>
      </c>
      <c r="AE102">
        <f>HYPERLINK("https://klasma.github.io/Logging_2582/fåglar/A 36163-2026 prioriterade fågelarter.docx", "A 36163-2026")</f>
        <v/>
      </c>
    </row>
    <row r="103" ht="15" customHeight="1">
      <c r="A103" t="inlineStr">
        <is>
          <t>A 31655-2026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46225</v>
      </c>
      <c r="E103" s="1" t="n">
        <v>46302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Lunglav</t>
        </is>
      </c>
      <c r="W103">
        <f>HYPERLINK("https://klasma.github.io/Logging_2582/artfynd/A 31655-2026 artfynd.xlsx", "A 31655-2026")</f>
        <v/>
      </c>
      <c r="X103">
        <f>HYPERLINK("https://klasma.github.io/Logging_2582/kartor/A 31655-2026 karta.png", "A 31655-2026")</f>
        <v/>
      </c>
      <c r="Y103">
        <f>HYPERLINK("https://klasma.github.io/Logging_2582/kartor_geotiff/A 31655-2026 georefererad karta.tif", "A 31655-2026")</f>
        <v/>
      </c>
      <c r="AA103">
        <f>HYPERLINK("https://klasma.github.io/Logging_2582/klagomål/A 31655-2026 FSC-klagomål.docx", "A 31655-2026")</f>
        <v/>
      </c>
      <c r="AB103">
        <f>HYPERLINK("https://klasma.github.io/Logging_2582/klagomålsmail/A 31655-2026 FSC-klagomål mail.docx", "A 31655-2026")</f>
        <v/>
      </c>
      <c r="AC103">
        <f>HYPERLINK("https://klasma.github.io/Logging_2582/tillsyn/A 31655-2026 tillsynsbegäran.docx", "A 31655-2026")</f>
        <v/>
      </c>
      <c r="AD103">
        <f>HYPERLINK("https://klasma.github.io/Logging_2582/tillsynsmail/A 31655-2026 tillsynsbegäran mail.docx", "A 31655-2026")</f>
        <v/>
      </c>
    </row>
    <row r="104" ht="15" customHeight="1">
      <c r="A104" t="inlineStr">
        <is>
          <t>A 34164-2023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45137</v>
      </c>
      <c r="E104" s="1" t="n">
        <v>46302</v>
      </c>
      <c r="F104" t="inlineStr">
        <is>
          <t>NORRBOTTENS LÄN</t>
        </is>
      </c>
      <c r="G104" t="inlineStr">
        <is>
          <t>BODEN</t>
        </is>
      </c>
      <c r="H104" t="inlineStr">
        <is>
          <t>SCA</t>
        </is>
      </c>
      <c r="I104" t="n">
        <v>2.2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Tretåig hackspett</t>
        </is>
      </c>
      <c r="W104">
        <f>HYPERLINK("https://klasma.github.io/Logging_2582/artfynd/A 34164-2023 artfynd.xlsx", "A 34164-2023")</f>
        <v/>
      </c>
      <c r="X104">
        <f>HYPERLINK("https://klasma.github.io/Logging_2582/kartor/A 34164-2023 karta.png", "A 34164-2023")</f>
        <v/>
      </c>
      <c r="Y104">
        <f>HYPERLINK("https://klasma.github.io/Logging_2582/kartor_geotiff/A 34164-2023 georefererad karta.tif", "A 34164-2023")</f>
        <v/>
      </c>
      <c r="AA104">
        <f>HYPERLINK("https://klasma.github.io/Logging_2582/klagomål/A 34164-2023 FSC-klagomål.docx", "A 34164-2023")</f>
        <v/>
      </c>
      <c r="AB104">
        <f>HYPERLINK("https://klasma.github.io/Logging_2582/klagomålsmail/A 34164-2023 FSC-klagomål mail.docx", "A 34164-2023")</f>
        <v/>
      </c>
      <c r="AC104">
        <f>HYPERLINK("https://klasma.github.io/Logging_2582/tillsyn/A 34164-2023 tillsynsbegäran.docx", "A 34164-2023")</f>
        <v/>
      </c>
      <c r="AD104">
        <f>HYPERLINK("https://klasma.github.io/Logging_2582/tillsynsmail/A 34164-2023 tillsynsbegäran mail.docx", "A 34164-2023")</f>
        <v/>
      </c>
      <c r="AE104">
        <f>HYPERLINK("https://klasma.github.io/Logging_2582/fåglar/A 34164-2023 prioriterade fågelarter.docx", "A 34164-2023")</f>
        <v/>
      </c>
    </row>
    <row r="105" ht="15" customHeight="1">
      <c r="A105" t="inlineStr">
        <is>
          <t>A 36622-2026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46270</v>
      </c>
      <c r="E105" s="1" t="n">
        <v>46302</v>
      </c>
      <c r="F105" t="inlineStr">
        <is>
          <t>NORRBOTTENS LÄN</t>
        </is>
      </c>
      <c r="G105" t="inlineStr">
        <is>
          <t>BODEN</t>
        </is>
      </c>
      <c r="I105" t="n">
        <v>11.7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Dropptaggsvamp
Revlummer</t>
        </is>
      </c>
      <c r="W105">
        <f>HYPERLINK("https://klasma.github.io/Logging_2582/artfynd/A 36622-2026 artfynd.xlsx", "A 36622-2026")</f>
        <v/>
      </c>
      <c r="X105">
        <f>HYPERLINK("https://klasma.github.io/Logging_2582/kartor/A 36622-2026 karta.png", "A 36622-2026")</f>
        <v/>
      </c>
      <c r="Y105">
        <f>HYPERLINK("https://klasma.github.io/Logging_2582/kartor_geotiff/A 36622-2026 georefererad karta.tif", "A 36622-2026")</f>
        <v/>
      </c>
      <c r="AA105">
        <f>HYPERLINK("https://klasma.github.io/Logging_2582/klagomål/A 36622-2026 FSC-klagomål.docx", "A 36622-2026")</f>
        <v/>
      </c>
      <c r="AB105">
        <f>HYPERLINK("https://klasma.github.io/Logging_2582/klagomålsmail/A 36622-2026 FSC-klagomål mail.docx", "A 36622-2026")</f>
        <v/>
      </c>
      <c r="AC105">
        <f>HYPERLINK("https://klasma.github.io/Logging_2582/tillsyn/A 36622-2026 tillsynsbegäran.docx", "A 36622-2026")</f>
        <v/>
      </c>
      <c r="AD105">
        <f>HYPERLINK("https://klasma.github.io/Logging_2582/tillsynsmail/A 36622-2026 tillsynsbegäran mail.docx", "A 36622-2026")</f>
        <v/>
      </c>
    </row>
    <row r="106" ht="15" customHeight="1">
      <c r="A106" t="inlineStr">
        <is>
          <t>A 38870-2026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46302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Fläcknycklar
Revlummer</t>
        </is>
      </c>
      <c r="W106">
        <f>HYPERLINK("https://klasma.github.io/Logging_2582/artfynd/A 38870-2026 artfynd.xlsx", "A 38870-2026")</f>
        <v/>
      </c>
      <c r="X106">
        <f>HYPERLINK("https://klasma.github.io/Logging_2582/kartor/A 38870-2026 karta.png", "A 38870-2026")</f>
        <v/>
      </c>
      <c r="Y106">
        <f>HYPERLINK("https://klasma.github.io/Logging_2582/kartor_geotiff/A 38870-2026 georefererad karta.tif", "A 38870-2026")</f>
        <v/>
      </c>
      <c r="AA106">
        <f>HYPERLINK("https://klasma.github.io/Logging_2582/klagomål/A 38870-2026 FSC-klagomål.docx", "A 38870-2026")</f>
        <v/>
      </c>
      <c r="AB106">
        <f>HYPERLINK("https://klasma.github.io/Logging_2582/klagomålsmail/A 38870-2026 FSC-klagomål mail.docx", "A 38870-2026")</f>
        <v/>
      </c>
      <c r="AC106">
        <f>HYPERLINK("https://klasma.github.io/Logging_2582/tillsyn/A 38870-2026 tillsynsbegäran.docx", "A 38870-2026")</f>
        <v/>
      </c>
      <c r="AD106">
        <f>HYPERLINK("https://klasma.github.io/Logging_2582/tillsynsmail/A 38870-2026 tillsynsbegäran mail.docx", "A 38870-2026")</f>
        <v/>
      </c>
    </row>
    <row r="107" ht="15" customHeight="1">
      <c r="A107" t="inlineStr">
        <is>
          <t>A 33096-2026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46302</v>
      </c>
      <c r="F107" t="inlineStr">
        <is>
          <t>NORRBOTTENS LÄN</t>
        </is>
      </c>
      <c r="G107" t="inlineStr">
        <is>
          <t>BODEN</t>
        </is>
      </c>
      <c r="I107" t="n">
        <v>36.6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HYPERLINK("https://klasma.github.io/Logging_2582/artfynd/A 33096-2026 artfynd.xlsx", "A 33096-2026")</f>
        <v/>
      </c>
      <c r="X107">
        <f>HYPERLINK("https://klasma.github.io/Logging_2582/kartor/A 33096-2026 karta.png", "A 33096-2026")</f>
        <v/>
      </c>
      <c r="Y107">
        <f>HYPERLINK("https://klasma.github.io/Logging_2582/kartor_geotiff/A 33096-2026 georefererad karta.tif", "A 33096-2026")</f>
        <v/>
      </c>
      <c r="AA107">
        <f>HYPERLINK("https://klasma.github.io/Logging_2582/klagomål/A 33096-2026 FSC-klagomål.docx", "A 33096-2026")</f>
        <v/>
      </c>
      <c r="AB107">
        <f>HYPERLINK("https://klasma.github.io/Logging_2582/klagomålsmail/A 33096-2026 FSC-klagomål mail.docx", "A 33096-2026")</f>
        <v/>
      </c>
      <c r="AC107">
        <f>HYPERLINK("https://klasma.github.io/Logging_2582/tillsyn/A 33096-2026 tillsynsbegäran.docx", "A 33096-2026")</f>
        <v/>
      </c>
      <c r="AD107">
        <f>HYPERLINK("https://klasma.github.io/Logging_2582/tillsynsmail/A 33096-2026 tillsynsbegäran mail.docx", "A 33096-2026")</f>
        <v/>
      </c>
    </row>
    <row r="108" ht="15" customHeight="1">
      <c r="A108" t="inlineStr">
        <is>
          <t>A 33416-2026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46302</v>
      </c>
      <c r="F108" t="inlineStr">
        <is>
          <t>NORRBOTTENS LÄN</t>
        </is>
      </c>
      <c r="G108" t="inlineStr">
        <is>
          <t>BODEN</t>
        </is>
      </c>
      <c r="H108" t="inlineStr">
        <is>
          <t>Kyrkan</t>
        </is>
      </c>
      <c r="I108" t="n">
        <v>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Plattlummer</t>
        </is>
      </c>
      <c r="W108">
        <f>HYPERLINK("https://klasma.github.io/Logging_2582/artfynd/A 33416-2026 artfynd.xlsx", "A 33416-2026")</f>
        <v/>
      </c>
      <c r="X108">
        <f>HYPERLINK("https://klasma.github.io/Logging_2582/kartor/A 33416-2026 karta.png", "A 33416-2026")</f>
        <v/>
      </c>
      <c r="Y108">
        <f>HYPERLINK("https://klasma.github.io/Logging_2582/kartor_geotiff/A 33416-2026 georefererad karta.tif", "A 33416-2026")</f>
        <v/>
      </c>
      <c r="AA108">
        <f>HYPERLINK("https://klasma.github.io/Logging_2582/klagomål/A 33416-2026 FSC-klagomål.docx", "A 33416-2026")</f>
        <v/>
      </c>
      <c r="AB108">
        <f>HYPERLINK("https://klasma.github.io/Logging_2582/klagomålsmail/A 33416-2026 FSC-klagomål mail.docx", "A 33416-2026")</f>
        <v/>
      </c>
      <c r="AC108">
        <f>HYPERLINK("https://klasma.github.io/Logging_2582/tillsyn/A 33416-2026 tillsynsbegäran.docx", "A 33416-2026")</f>
        <v/>
      </c>
      <c r="AD108">
        <f>HYPERLINK("https://klasma.github.io/Logging_2582/tillsynsmail/A 33416-2026 tillsynsbegäran mail.docx", "A 33416-2026")</f>
        <v/>
      </c>
    </row>
    <row r="109" ht="15" customHeight="1">
      <c r="A109" t="inlineStr">
        <is>
          <t>A 900-2024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46302</v>
      </c>
      <c r="F109" t="inlineStr">
        <is>
          <t>NORRBOTTENS LÄN</t>
        </is>
      </c>
      <c r="G109" t="inlineStr">
        <is>
          <t>BODEN</t>
        </is>
      </c>
      <c r="I109" t="n">
        <v>5.2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Revlummer</t>
        </is>
      </c>
      <c r="W109">
        <f>HYPERLINK("https://klasma.github.io/Logging_2582/artfynd/A 900-2024 artfynd.xlsx", "A 900-2024")</f>
        <v/>
      </c>
      <c r="X109">
        <f>HYPERLINK("https://klasma.github.io/Logging_2582/kartor/A 900-2024 karta.png", "A 900-2024")</f>
        <v/>
      </c>
      <c r="Y109">
        <f>HYPERLINK("https://klasma.github.io/Logging_2582/kartor_geotiff/A 900-2024 georefererad karta.tif", "A 900-2024")</f>
        <v/>
      </c>
      <c r="Z109">
        <f>HYPERLINK("https://klasma.github.io/Logging_2582/knärot/A 900-2024 karta knärot.png", "A 900-2024")</f>
        <v/>
      </c>
      <c r="AA109">
        <f>HYPERLINK("https://klasma.github.io/Logging_2582/klagomål/A 900-2024 FSC-klagomål.docx", "A 900-2024")</f>
        <v/>
      </c>
      <c r="AB109">
        <f>HYPERLINK("https://klasma.github.io/Logging_2582/klagomålsmail/A 900-2024 FSC-klagomål mail.docx", "A 900-2024")</f>
        <v/>
      </c>
      <c r="AC109">
        <f>HYPERLINK("https://klasma.github.io/Logging_2582/tillsyn/A 900-2024 tillsynsbegäran.docx", "A 900-2024")</f>
        <v/>
      </c>
      <c r="AD109">
        <f>HYPERLINK("https://klasma.github.io/Logging_2582/tillsynsmail/A 900-2024 tillsynsbegäran mail.docx", "A 900-2024")</f>
        <v/>
      </c>
    </row>
    <row r="110" ht="15" customHeight="1">
      <c r="A110" t="inlineStr">
        <is>
          <t>A 42233-2022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44830</v>
      </c>
      <c r="E110" s="1" t="n">
        <v>46302</v>
      </c>
      <c r="F110" t="inlineStr">
        <is>
          <t>NORRBOTTENS LÄN</t>
        </is>
      </c>
      <c r="G110" t="inlineStr">
        <is>
          <t>BODEN</t>
        </is>
      </c>
      <c r="I110" t="n">
        <v>3.6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Enkelbeckasin
Svartvit flugsnappare</t>
        </is>
      </c>
      <c r="W110">
        <f>HYPERLINK("https://klasma.github.io/Logging_2582/artfynd/A 42233-2022 artfynd.xlsx", "A 42233-2022")</f>
        <v/>
      </c>
      <c r="X110">
        <f>HYPERLINK("https://klasma.github.io/Logging_2582/kartor/A 42233-2022 karta.png", "A 42233-2022")</f>
        <v/>
      </c>
      <c r="Y110">
        <f>HYPERLINK("https://klasma.github.io/Logging_2582/kartor_geotiff/A 42233-2022 georefererad karta.tif", "A 42233-2022")</f>
        <v/>
      </c>
      <c r="AA110">
        <f>HYPERLINK("https://klasma.github.io/Logging_2582/klagomål/A 42233-2022 FSC-klagomål.docx", "A 42233-2022")</f>
        <v/>
      </c>
      <c r="AB110">
        <f>HYPERLINK("https://klasma.github.io/Logging_2582/klagomålsmail/A 42233-2022 FSC-klagomål mail.docx", "A 42233-2022")</f>
        <v/>
      </c>
      <c r="AC110">
        <f>HYPERLINK("https://klasma.github.io/Logging_2582/tillsyn/A 42233-2022 tillsynsbegäran.docx", "A 42233-2022")</f>
        <v/>
      </c>
      <c r="AD110">
        <f>HYPERLINK("https://klasma.github.io/Logging_2582/tillsynsmail/A 42233-2022 tillsynsbegäran mail.docx", "A 42233-2022")</f>
        <v/>
      </c>
      <c r="AE110">
        <f>HYPERLINK("https://klasma.github.io/Logging_2582/fåglar/A 42233-2022 prioriterade fågelarter.docx", "A 42233-2022")</f>
        <v/>
      </c>
    </row>
    <row r="111" ht="15" customHeight="1">
      <c r="A111" t="inlineStr">
        <is>
          <t>A 34874-2026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46302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6</v>
      </c>
      <c r="J111" t="n">
        <v>1</v>
      </c>
      <c r="K111" t="n">
        <v>0</v>
      </c>
      <c r="L111" t="n">
        <v>0</v>
      </c>
      <c r="M111" t="n">
        <v>2</v>
      </c>
      <c r="N111" t="n">
        <v>0</v>
      </c>
      <c r="O111" t="n">
        <v>0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Garnlav
Knärot</t>
        </is>
      </c>
      <c r="W111">
        <f>HYPERLINK("https://klasma.github.io/Logging_2582/artfynd/A 34874-2026 artfynd.xlsx", "A 34874-2026")</f>
        <v/>
      </c>
      <c r="X111">
        <f>HYPERLINK("https://klasma.github.io/Logging_2582/kartor/A 34874-2026 karta.png", "A 34874-2026")</f>
        <v/>
      </c>
      <c r="Y111">
        <f>HYPERLINK("https://klasma.github.io/Logging_2582/kartor_geotiff/A 34874-2026 georefererad karta.tif", "A 34874-2026")</f>
        <v/>
      </c>
      <c r="Z111">
        <f>HYPERLINK("https://klasma.github.io/Logging_2582/knärot/A 34874-2026 karta knärot.png", "A 34874-2026")</f>
        <v/>
      </c>
      <c r="AA111">
        <f>HYPERLINK("https://klasma.github.io/Logging_2582/klagomål/A 34874-2026 FSC-klagomål.docx", "A 34874-2026")</f>
        <v/>
      </c>
      <c r="AB111">
        <f>HYPERLINK("https://klasma.github.io/Logging_2582/klagomålsmail/A 34874-2026 FSC-klagomål mail.docx", "A 34874-2026")</f>
        <v/>
      </c>
      <c r="AC111">
        <f>HYPERLINK("https://klasma.github.io/Logging_2582/tillsyn/A 34874-2026 tillsynsbegäran.docx", "A 34874-2026")</f>
        <v/>
      </c>
      <c r="AD111">
        <f>HYPERLINK("https://klasma.github.io/Logging_2582/tillsynsmail/A 34874-2026 tillsynsbegäran mail.docx", "A 34874-2026")</f>
        <v/>
      </c>
    </row>
    <row r="112" ht="15" customHeight="1">
      <c r="A112" t="inlineStr">
        <is>
          <t>A 1507-2022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46302</v>
      </c>
      <c r="F112" t="inlineStr">
        <is>
          <t>NORRBOTTENS LÄN</t>
        </is>
      </c>
      <c r="G112" t="inlineStr">
        <is>
          <t>BODEN</t>
        </is>
      </c>
      <c r="H112" t="inlineStr">
        <is>
          <t>Övriga statliga verk och myndigheter</t>
        </is>
      </c>
      <c r="I112" t="n">
        <v>15.4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1</v>
      </c>
      <c r="V112" s="2" t="inlineStr">
        <is>
          <t>Talltita
Gråspett</t>
        </is>
      </c>
      <c r="W112">
        <f>HYPERLINK("https://klasma.github.io/Logging_2582/artfynd/A 1507-2022 artfynd.xlsx", "A 1507-2022")</f>
        <v/>
      </c>
      <c r="X112">
        <f>HYPERLINK("https://klasma.github.io/Logging_2582/kartor/A 1507-2022 karta.png", "A 1507-2022")</f>
        <v/>
      </c>
      <c r="Y112">
        <f>HYPERLINK("https://klasma.github.io/Logging_2582/kartor_geotiff/A 1507-2022 georefererad karta.tif", "A 1507-2022")</f>
        <v/>
      </c>
      <c r="AA112">
        <f>HYPERLINK("https://klasma.github.io/Logging_2582/klagomål/A 1507-2022 FSC-klagomål.docx", "A 1507-2022")</f>
        <v/>
      </c>
      <c r="AB112">
        <f>HYPERLINK("https://klasma.github.io/Logging_2582/klagomålsmail/A 1507-2022 FSC-klagomål mail.docx", "A 1507-2022")</f>
        <v/>
      </c>
      <c r="AC112">
        <f>HYPERLINK("https://klasma.github.io/Logging_2582/tillsyn/A 1507-2022 tillsynsbegäran.docx", "A 1507-2022")</f>
        <v/>
      </c>
      <c r="AD112">
        <f>HYPERLINK("https://klasma.github.io/Logging_2582/tillsynsmail/A 1507-2022 tillsynsbegäran mail.docx", "A 1507-2022")</f>
        <v/>
      </c>
      <c r="AE112">
        <f>HYPERLINK("https://klasma.github.io/Logging_2582/fåglar/A 1507-2022 prioriterade fågelarter.docx", "A 1507-2022")</f>
        <v/>
      </c>
    </row>
    <row r="113" ht="15" customHeight="1">
      <c r="A113" t="inlineStr">
        <is>
          <t>A 22906-2023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45072</v>
      </c>
      <c r="E113" s="1" t="n">
        <v>46302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3.5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Talltita
Utter</t>
        </is>
      </c>
      <c r="W113">
        <f>HYPERLINK("https://klasma.github.io/Logging_2582/artfynd/A 22906-2023 artfynd.xlsx", "A 22906-2023")</f>
        <v/>
      </c>
      <c r="X113">
        <f>HYPERLINK("https://klasma.github.io/Logging_2582/kartor/A 22906-2023 karta.png", "A 22906-2023")</f>
        <v/>
      </c>
      <c r="Y113">
        <f>HYPERLINK("https://klasma.github.io/Logging_2582/kartor_geotiff/A 22906-2023 georefererad karta.tif", "A 22906-2023")</f>
        <v/>
      </c>
      <c r="AA113">
        <f>HYPERLINK("https://klasma.github.io/Logging_2582/klagomål/A 22906-2023 FSC-klagomål.docx", "A 22906-2023")</f>
        <v/>
      </c>
      <c r="AB113">
        <f>HYPERLINK("https://klasma.github.io/Logging_2582/klagomålsmail/A 22906-2023 FSC-klagomål mail.docx", "A 22906-2023")</f>
        <v/>
      </c>
      <c r="AC113">
        <f>HYPERLINK("https://klasma.github.io/Logging_2582/tillsyn/A 22906-2023 tillsynsbegäran.docx", "A 22906-2023")</f>
        <v/>
      </c>
      <c r="AD113">
        <f>HYPERLINK("https://klasma.github.io/Logging_2582/tillsynsmail/A 22906-2023 tillsynsbegäran mail.docx", "A 22906-2023")</f>
        <v/>
      </c>
      <c r="AE113">
        <f>HYPERLINK("https://klasma.github.io/Logging_2582/fåglar/A 22906-2023 prioriterade fågelarter.docx", "A 22906-2023")</f>
        <v/>
      </c>
    </row>
    <row r="114" ht="15" customHeight="1">
      <c r="A114" t="inlineStr">
        <is>
          <t>A 17292-2022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44678</v>
      </c>
      <c r="E114" s="1" t="n">
        <v>46302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Revlummer</t>
        </is>
      </c>
      <c r="W114">
        <f>HYPERLINK("https://klasma.github.io/Logging_2582/artfynd/A 17292-2022 artfynd.xlsx", "A 17292-2022")</f>
        <v/>
      </c>
      <c r="X114">
        <f>HYPERLINK("https://klasma.github.io/Logging_2582/kartor/A 17292-2022 karta.png", "A 17292-2022")</f>
        <v/>
      </c>
      <c r="Y114">
        <f>HYPERLINK("https://klasma.github.io/Logging_2582/kartor_geotiff/A 17292-2022 georefererad karta.tif", "A 17292-2022")</f>
        <v/>
      </c>
      <c r="AA114">
        <f>HYPERLINK("https://klasma.github.io/Logging_2582/klagomål/A 17292-2022 FSC-klagomål.docx", "A 17292-2022")</f>
        <v/>
      </c>
      <c r="AB114">
        <f>HYPERLINK("https://klasma.github.io/Logging_2582/klagomålsmail/A 17292-2022 FSC-klagomål mail.docx", "A 17292-2022")</f>
        <v/>
      </c>
      <c r="AC114">
        <f>HYPERLINK("https://klasma.github.io/Logging_2582/tillsyn/A 17292-2022 tillsynsbegäran.docx", "A 17292-2022")</f>
        <v/>
      </c>
      <c r="AD114">
        <f>HYPERLINK("https://klasma.github.io/Logging_2582/tillsynsmail/A 17292-2022 tillsynsbegäran mail.docx", "A 17292-2022")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46302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46302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46302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2568-2024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46302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 taggsvamp</t>
        </is>
      </c>
      <c r="W118">
        <f>HYPERLINK("https://klasma.github.io/Logging_2582/artfynd/A 2568-2024 artfynd.xlsx", "A 2568-2024")</f>
        <v/>
      </c>
      <c r="X118">
        <f>HYPERLINK("https://klasma.github.io/Logging_2582/kartor/A 2568-2024 karta.png", "A 2568-2024")</f>
        <v/>
      </c>
      <c r="Y118">
        <f>HYPERLINK("https://klasma.github.io/Logging_2582/kartor_geotiff/A 2568-2024 georefererad karta.tif", "A 2568-2024")</f>
        <v/>
      </c>
      <c r="AA118">
        <f>HYPERLINK("https://klasma.github.io/Logging_2582/klagomål/A 2568-2024 FSC-klagomål.docx", "A 2568-2024")</f>
        <v/>
      </c>
      <c r="AB118">
        <f>HYPERLINK("https://klasma.github.io/Logging_2582/klagomålsmail/A 2568-2024 FSC-klagomål mail.docx", "A 2568-2024")</f>
        <v/>
      </c>
      <c r="AC118">
        <f>HYPERLINK("https://klasma.github.io/Logging_2582/tillsyn/A 2568-2024 tillsynsbegäran.docx", "A 2568-2024")</f>
        <v/>
      </c>
      <c r="AD118">
        <f>HYPERLINK("https://klasma.github.io/Logging_2582/tillsynsmail/A 2568-2024 tillsynsbegäran mail.docx", "A 2568-2024")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46302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46302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68514-2021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46302</v>
      </c>
      <c r="F121" t="inlineStr">
        <is>
          <t>NORRBOTTENS LÄN</t>
        </is>
      </c>
      <c r="G121" t="inlineStr">
        <is>
          <t>BODEN</t>
        </is>
      </c>
      <c r="I121" t="n">
        <v>6.2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HYPERLINK("https://klasma.github.io/Logging_2582/artfynd/A 68514-2021 artfynd.xlsx", "A 68514-2021")</f>
        <v/>
      </c>
      <c r="X121">
        <f>HYPERLINK("https://klasma.github.io/Logging_2582/kartor/A 68514-2021 karta.png", "A 68514-2021")</f>
        <v/>
      </c>
      <c r="Y121">
        <f>HYPERLINK("https://klasma.github.io/Logging_2582/kartor_geotiff/A 68514-2021 georefererad karta.tif", "A 68514-2021")</f>
        <v/>
      </c>
      <c r="Z121">
        <f>HYPERLINK("https://klasma.github.io/Logging_2582/knärot/A 68514-2021 karta knärot.png", "A 68514-2021")</f>
        <v/>
      </c>
      <c r="AA121">
        <f>HYPERLINK("https://klasma.github.io/Logging_2582/klagomål/A 68514-2021 FSC-klagomål.docx", "A 68514-2021")</f>
        <v/>
      </c>
      <c r="AB121">
        <f>HYPERLINK("https://klasma.github.io/Logging_2582/klagomålsmail/A 68514-2021 FSC-klagomål mail.docx", "A 68514-2021")</f>
        <v/>
      </c>
      <c r="AC121">
        <f>HYPERLINK("https://klasma.github.io/Logging_2582/tillsyn/A 68514-2021 tillsynsbegäran.docx", "A 68514-2021")</f>
        <v/>
      </c>
      <c r="AD121">
        <f>HYPERLINK("https://klasma.github.io/Logging_2582/tillsynsmail/A 68514-2021 tillsynsbegäran mail.docx", "A 68514-2021")</f>
        <v/>
      </c>
      <c r="AE121">
        <f>HYPERLINK("https://klasma.github.io/Logging_2582/fåglar/A 68514-2021 prioriterade fågelarter.docx", "A 68514-2021")</f>
        <v/>
      </c>
    </row>
    <row r="122" ht="15" customHeight="1">
      <c r="A122" t="inlineStr">
        <is>
          <t>A 4878-2026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46302</v>
      </c>
      <c r="F122" t="inlineStr">
        <is>
          <t>NORRBOTTENS LÄN</t>
        </is>
      </c>
      <c r="G122" t="inlineStr">
        <is>
          <t>BODEN</t>
        </is>
      </c>
      <c r="I122" t="n">
        <v>1.8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padda</t>
        </is>
      </c>
      <c r="W122">
        <f>HYPERLINK("https://klasma.github.io/Logging_2582/artfynd/A 4878-2026 artfynd.xlsx", "A 4878-2026")</f>
        <v/>
      </c>
      <c r="X122">
        <f>HYPERLINK("https://klasma.github.io/Logging_2582/kartor/A 4878-2026 karta.png", "A 4878-2026")</f>
        <v/>
      </c>
      <c r="Y122">
        <f>HYPERLINK("https://klasma.github.io/Logging_2582/kartor_geotiff/A 4878-2026 georefererad karta.tif", "A 4878-2026")</f>
        <v/>
      </c>
      <c r="AA122">
        <f>HYPERLINK("https://klasma.github.io/Logging_2582/klagomål/A 4878-2026 FSC-klagomål.docx", "A 4878-2026")</f>
        <v/>
      </c>
      <c r="AB122">
        <f>HYPERLINK("https://klasma.github.io/Logging_2582/klagomålsmail/A 4878-2026 FSC-klagomål mail.docx", "A 4878-2026")</f>
        <v/>
      </c>
      <c r="AC122">
        <f>HYPERLINK("https://klasma.github.io/Logging_2582/tillsyn/A 4878-2026 tillsynsbegäran.docx", "A 4878-2026")</f>
        <v/>
      </c>
      <c r="AD122">
        <f>HYPERLINK("https://klasma.github.io/Logging_2582/tillsynsmail/A 4878-2026 tillsynsbegäran mail.docx", "A 4878-2026")</f>
        <v/>
      </c>
    </row>
    <row r="123" ht="15" customHeight="1">
      <c r="A123" t="inlineStr">
        <is>
          <t>A 22892-2024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46302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Bollvitmossa</t>
        </is>
      </c>
      <c r="W123">
        <f>HYPERLINK("https://klasma.github.io/Logging_2582/artfynd/A 22892-2024 artfynd.xlsx", "A 22892-2024")</f>
        <v/>
      </c>
      <c r="X123">
        <f>HYPERLINK("https://klasma.github.io/Logging_2582/kartor/A 22892-2024 karta.png", "A 22892-2024")</f>
        <v/>
      </c>
      <c r="Y123">
        <f>HYPERLINK("https://klasma.github.io/Logging_2582/kartor_geotiff/A 22892-2024 georefererad karta.tif", "A 22892-2024")</f>
        <v/>
      </c>
      <c r="AA123">
        <f>HYPERLINK("https://klasma.github.io/Logging_2582/klagomål/A 22892-2024 FSC-klagomål.docx", "A 22892-2024")</f>
        <v/>
      </c>
      <c r="AB123">
        <f>HYPERLINK("https://klasma.github.io/Logging_2582/klagomålsmail/A 22892-2024 FSC-klagomål mail.docx", "A 22892-2024")</f>
        <v/>
      </c>
      <c r="AC123">
        <f>HYPERLINK("https://klasma.github.io/Logging_2582/tillsyn/A 22892-2024 tillsynsbegäran.docx", "A 22892-2024")</f>
        <v/>
      </c>
      <c r="AD123">
        <f>HYPERLINK("https://klasma.github.io/Logging_2582/tillsynsmail/A 22892-2024 tillsynsbegäran mail.docx", "A 22892-2024")</f>
        <v/>
      </c>
    </row>
    <row r="124" ht="15" customHeight="1">
      <c r="A124" t="inlineStr">
        <is>
          <t>A 41443-2025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45901</v>
      </c>
      <c r="E124" s="1" t="n">
        <v>46302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HYPERLINK("https://klasma.github.io/Logging_2582/artfynd/A 41443-2025 artfynd.xlsx", "A 41443-2025")</f>
        <v/>
      </c>
      <c r="X124">
        <f>HYPERLINK("https://klasma.github.io/Logging_2582/kartor/A 41443-2025 karta.png", "A 41443-2025")</f>
        <v/>
      </c>
      <c r="Y124">
        <f>HYPERLINK("https://klasma.github.io/Logging_2582/kartor_geotiff/A 41443-2025 georefererad karta.tif", "A 41443-2025")</f>
        <v/>
      </c>
      <c r="AA124">
        <f>HYPERLINK("https://klasma.github.io/Logging_2582/klagomål/A 41443-2025 FSC-klagomål.docx", "A 41443-2025")</f>
        <v/>
      </c>
      <c r="AB124">
        <f>HYPERLINK("https://klasma.github.io/Logging_2582/klagomålsmail/A 41443-2025 FSC-klagomål mail.docx", "A 41443-2025")</f>
        <v/>
      </c>
      <c r="AC124">
        <f>HYPERLINK("https://klasma.github.io/Logging_2582/tillsyn/A 41443-2025 tillsynsbegäran.docx", "A 41443-2025")</f>
        <v/>
      </c>
      <c r="AD124">
        <f>HYPERLINK("https://klasma.github.io/Logging_2582/tillsynsmail/A 41443-2025 tillsynsbegäran mail.docx", "A 41443-2025")</f>
        <v/>
      </c>
    </row>
    <row r="125" ht="15" customHeight="1">
      <c r="A125" t="inlineStr">
        <is>
          <t>A 38511-2025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46302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5.3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Knärot</t>
        </is>
      </c>
      <c r="W125">
        <f>HYPERLINK("https://klasma.github.io/Logging_2582/artfynd/A 38511-2025 artfynd.xlsx", "A 38511-2025")</f>
        <v/>
      </c>
      <c r="X125">
        <f>HYPERLINK("https://klasma.github.io/Logging_2582/kartor/A 38511-2025 karta.png", "A 38511-2025")</f>
        <v/>
      </c>
      <c r="Y125">
        <f>HYPERLINK("https://klasma.github.io/Logging_2582/kartor_geotiff/A 38511-2025 georefererad karta.tif", "A 38511-2025")</f>
        <v/>
      </c>
      <c r="Z125">
        <f>HYPERLINK("https://klasma.github.io/Logging_2582/knärot/A 38511-2025 karta knärot.png", "A 38511-2025")</f>
        <v/>
      </c>
      <c r="AA125">
        <f>HYPERLINK("https://klasma.github.io/Logging_2582/klagomål/A 38511-2025 FSC-klagomål.docx", "A 38511-2025")</f>
        <v/>
      </c>
      <c r="AB125">
        <f>HYPERLINK("https://klasma.github.io/Logging_2582/klagomålsmail/A 38511-2025 FSC-klagomål mail.docx", "A 38511-2025")</f>
        <v/>
      </c>
      <c r="AC125">
        <f>HYPERLINK("https://klasma.github.io/Logging_2582/tillsyn/A 38511-2025 tillsynsbegäran.docx", "A 38511-2025")</f>
        <v/>
      </c>
      <c r="AD125">
        <f>HYPERLINK("https://klasma.github.io/Logging_2582/tillsynsmail/A 38511-2025 tillsynsbegäran mail.docx", "A 38511-2025")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46302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13568-2022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46302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Lavskrika</t>
        </is>
      </c>
      <c r="W127">
        <f>HYPERLINK("https://klasma.github.io/Logging_2582/artfynd/A 13568-2022 artfynd.xlsx", "A 13568-2022")</f>
        <v/>
      </c>
      <c r="X127">
        <f>HYPERLINK("https://klasma.github.io/Logging_2582/kartor/A 13568-2022 karta.png", "A 13568-2022")</f>
        <v/>
      </c>
      <c r="Y127">
        <f>HYPERLINK("https://klasma.github.io/Logging_2582/kartor_geotiff/A 13568-2022 georefererad karta.tif", "A 13568-2022")</f>
        <v/>
      </c>
      <c r="AA127">
        <f>HYPERLINK("https://klasma.github.io/Logging_2582/klagomål/A 13568-2022 FSC-klagomål.docx", "A 13568-2022")</f>
        <v/>
      </c>
      <c r="AB127">
        <f>HYPERLINK("https://klasma.github.io/Logging_2582/klagomålsmail/A 13568-2022 FSC-klagomål mail.docx", "A 13568-2022")</f>
        <v/>
      </c>
      <c r="AC127">
        <f>HYPERLINK("https://klasma.github.io/Logging_2582/tillsyn/A 13568-2022 tillsynsbegäran.docx", "A 13568-2022")</f>
        <v/>
      </c>
      <c r="AD127">
        <f>HYPERLINK("https://klasma.github.io/Logging_2582/tillsynsmail/A 13568-2022 tillsynsbegäran mail.docx", "A 13568-2022")</f>
        <v/>
      </c>
      <c r="AE127">
        <f>HYPERLINK("https://klasma.github.io/Logging_2582/fåglar/A 13568-2022 prioriterade fågelarter.docx", "A 13568-2022")</f>
        <v/>
      </c>
    </row>
    <row r="128" ht="15" customHeight="1">
      <c r="A128" t="inlineStr">
        <is>
          <t>A 48549-2025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46302</v>
      </c>
      <c r="F128" t="inlineStr">
        <is>
          <t>NORRBOTTENS LÄN</t>
        </is>
      </c>
      <c r="G128" t="inlineStr">
        <is>
          <t>BODEN</t>
        </is>
      </c>
      <c r="I128" t="n">
        <v>4.1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Gråspett</t>
        </is>
      </c>
      <c r="W128">
        <f>HYPERLINK("https://klasma.github.io/Logging_2582/artfynd/A 48549-2025 artfynd.xlsx", "A 48549-2025")</f>
        <v/>
      </c>
      <c r="X128">
        <f>HYPERLINK("https://klasma.github.io/Logging_2582/kartor/A 48549-2025 karta.png", "A 48549-2025")</f>
        <v/>
      </c>
      <c r="Y128">
        <f>HYPERLINK("https://klasma.github.io/Logging_2582/kartor_geotiff/A 48549-2025 georefererad karta.tif", "A 48549-2025")</f>
        <v/>
      </c>
      <c r="AA128">
        <f>HYPERLINK("https://klasma.github.io/Logging_2582/klagomål/A 48549-2025 FSC-klagomål.docx", "A 48549-2025")</f>
        <v/>
      </c>
      <c r="AB128">
        <f>HYPERLINK("https://klasma.github.io/Logging_2582/klagomålsmail/A 48549-2025 FSC-klagomål mail.docx", "A 48549-2025")</f>
        <v/>
      </c>
      <c r="AC128">
        <f>HYPERLINK("https://klasma.github.io/Logging_2582/tillsyn/A 48549-2025 tillsynsbegäran.docx", "A 48549-2025")</f>
        <v/>
      </c>
      <c r="AD128">
        <f>HYPERLINK("https://klasma.github.io/Logging_2582/tillsynsmail/A 48549-2025 tillsynsbegäran mail.docx", "A 48549-2025")</f>
        <v/>
      </c>
      <c r="AE128">
        <f>HYPERLINK("https://klasma.github.io/Logging_2582/fåglar/A 48549-2025 prioriterade fågelarter.docx", "A 48549-2025")</f>
        <v/>
      </c>
    </row>
    <row r="129" ht="15" customHeight="1">
      <c r="A129" t="inlineStr">
        <is>
          <t>A 14329-2026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46302</v>
      </c>
      <c r="F129" t="inlineStr">
        <is>
          <t>NORRBOTTENS LÄN</t>
        </is>
      </c>
      <c r="G129" t="inlineStr">
        <is>
          <t>BODEN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HYPERLINK("https://klasma.github.io/Logging_2582/artfynd/A 14329-2026 artfynd.xlsx", "A 14329-2026")</f>
        <v/>
      </c>
      <c r="X129">
        <f>HYPERLINK("https://klasma.github.io/Logging_2582/kartor/A 14329-2026 karta.png", "A 14329-2026")</f>
        <v/>
      </c>
      <c r="Y129">
        <f>HYPERLINK("https://klasma.github.io/Logging_2582/kartor_geotiff/A 14329-2026 georefererad karta.tif", "A 14329-2026")</f>
        <v/>
      </c>
      <c r="AA129">
        <f>HYPERLINK("https://klasma.github.io/Logging_2582/klagomål/A 14329-2026 FSC-klagomål.docx", "A 14329-2026")</f>
        <v/>
      </c>
      <c r="AB129">
        <f>HYPERLINK("https://klasma.github.io/Logging_2582/klagomålsmail/A 14329-2026 FSC-klagomål mail.docx", "A 14329-2026")</f>
        <v/>
      </c>
      <c r="AC129">
        <f>HYPERLINK("https://klasma.github.io/Logging_2582/tillsyn/A 14329-2026 tillsynsbegäran.docx", "A 14329-2026")</f>
        <v/>
      </c>
      <c r="AD129">
        <f>HYPERLINK("https://klasma.github.io/Logging_2582/tillsynsmail/A 14329-2026 tillsynsbegäran mail.docx", "A 14329-2026")</f>
        <v/>
      </c>
      <c r="AE129">
        <f>HYPERLINK("https://klasma.github.io/Logging_2582/fåglar/A 14329-2026 prioriterade fågelarter.docx", "A 14329-2026")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46302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46302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46302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51304-2025 artfynd.xlsx", "A 51304-2025")</f>
        <v/>
      </c>
      <c r="X132">
        <f>HYPERLINK("https://klasma.github.io/Logging_2582/kartor/A 51304-2025 karta.png", "A 51304-2025")</f>
        <v/>
      </c>
      <c r="Y132">
        <f>HYPERLINK("https://klasma.github.io/Logging_2582/kartor_geotiff/A 51304-2025 georefererad karta.tif", "A 51304-2025")</f>
        <v/>
      </c>
      <c r="AA132">
        <f>HYPERLINK("https://klasma.github.io/Logging_2582/klagomål/A 51304-2025 FSC-klagomål.docx", "A 51304-2025")</f>
        <v/>
      </c>
      <c r="AB132">
        <f>HYPERLINK("https://klasma.github.io/Logging_2582/klagomålsmail/A 51304-2025 FSC-klagomål mail.docx", "A 51304-2025")</f>
        <v/>
      </c>
      <c r="AC132">
        <f>HYPERLINK("https://klasma.github.io/Logging_2582/tillsyn/A 51304-2025 tillsynsbegäran.docx", "A 51304-2025")</f>
        <v/>
      </c>
      <c r="AD132">
        <f>HYPERLINK("https://klasma.github.io/Logging_2582/tillsynsmail/A 51304-2025 tillsynsbegäran mail.docx", "A 51304-2025")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46302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46302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46302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46302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49410-2023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46302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49410-2023 artfynd.xlsx", "A 49410-2023")</f>
        <v/>
      </c>
      <c r="X137">
        <f>HYPERLINK("https://klasma.github.io/Logging_2582/kartor/A 49410-2023 karta.png", "A 49410-2023")</f>
        <v/>
      </c>
      <c r="Y137">
        <f>HYPERLINK("https://klasma.github.io/Logging_2582/kartor_geotiff/A 49410-2023 georefererad karta.tif", "A 49410-2023")</f>
        <v/>
      </c>
      <c r="AA137">
        <f>HYPERLINK("https://klasma.github.io/Logging_2582/klagomål/A 49410-2023 FSC-klagomål.docx", "A 49410-2023")</f>
        <v/>
      </c>
      <c r="AB137">
        <f>HYPERLINK("https://klasma.github.io/Logging_2582/klagomålsmail/A 49410-2023 FSC-klagomål mail.docx", "A 49410-2023")</f>
        <v/>
      </c>
      <c r="AC137">
        <f>HYPERLINK("https://klasma.github.io/Logging_2582/tillsyn/A 49410-2023 tillsynsbegäran.docx", "A 49410-2023")</f>
        <v/>
      </c>
      <c r="AD137">
        <f>HYPERLINK("https://klasma.github.io/Logging_2582/tillsynsmail/A 49410-2023 tillsynsbegäran mail.docx", "A 49410-2023")</f>
        <v/>
      </c>
    </row>
    <row r="138" ht="15" customHeight="1">
      <c r="A138" t="inlineStr">
        <is>
          <t>A 56598-2025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46302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HYPERLINK("https://klasma.github.io/Logging_2582/artfynd/A 56598-2025 artfynd.xlsx", "A 56598-2025")</f>
        <v/>
      </c>
      <c r="X138">
        <f>HYPERLINK("https://klasma.github.io/Logging_2582/kartor/A 56598-2025 karta.png", "A 56598-2025")</f>
        <v/>
      </c>
      <c r="Y138">
        <f>HYPERLINK("https://klasma.github.io/Logging_2582/kartor_geotiff/A 56598-2025 georefererad karta.tif", "A 56598-2025")</f>
        <v/>
      </c>
      <c r="AA138">
        <f>HYPERLINK("https://klasma.github.io/Logging_2582/klagomål/A 56598-2025 FSC-klagomål.docx", "A 56598-2025")</f>
        <v/>
      </c>
      <c r="AB138">
        <f>HYPERLINK("https://klasma.github.io/Logging_2582/klagomålsmail/A 56598-2025 FSC-klagomål mail.docx", "A 56598-2025")</f>
        <v/>
      </c>
      <c r="AC138">
        <f>HYPERLINK("https://klasma.github.io/Logging_2582/tillsyn/A 56598-2025 tillsynsbegäran.docx", "A 56598-2025")</f>
        <v/>
      </c>
      <c r="AD138">
        <f>HYPERLINK("https://klasma.github.io/Logging_2582/tillsynsmail/A 56598-2025 tillsynsbegäran mail.docx", "A 56598-2025")</f>
        <v/>
      </c>
    </row>
    <row r="139" ht="15" customHeight="1">
      <c r="A139" t="inlineStr">
        <is>
          <t>A 60196-2025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46302</v>
      </c>
      <c r="F139" t="inlineStr">
        <is>
          <t>NORRBOTTENS LÄN</t>
        </is>
      </c>
      <c r="G139" t="inlineStr">
        <is>
          <t>BODEN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HYPERLINK("https://klasma.github.io/Logging_2582/artfynd/A 60196-2025 artfynd.xlsx", "A 60196-2025")</f>
        <v/>
      </c>
      <c r="X139">
        <f>HYPERLINK("https://klasma.github.io/Logging_2582/kartor/A 60196-2025 karta.png", "A 60196-2025")</f>
        <v/>
      </c>
      <c r="Y139">
        <f>HYPERLINK("https://klasma.github.io/Logging_2582/kartor_geotiff/A 60196-2025 georefererad karta.tif", "A 60196-2025")</f>
        <v/>
      </c>
      <c r="AA139">
        <f>HYPERLINK("https://klasma.github.io/Logging_2582/klagomål/A 60196-2025 FSC-klagomål.docx", "A 60196-2025")</f>
        <v/>
      </c>
      <c r="AB139">
        <f>HYPERLINK("https://klasma.github.io/Logging_2582/klagomålsmail/A 60196-2025 FSC-klagomål mail.docx", "A 60196-2025")</f>
        <v/>
      </c>
      <c r="AC139">
        <f>HYPERLINK("https://klasma.github.io/Logging_2582/tillsyn/A 60196-2025 tillsynsbegäran.docx", "A 60196-2025")</f>
        <v/>
      </c>
      <c r="AD139">
        <f>HYPERLINK("https://klasma.github.io/Logging_2582/tillsynsmail/A 60196-2025 tillsynsbegäran mail.docx", "A 60196-2025")</f>
        <v/>
      </c>
    </row>
    <row r="140" ht="15" customHeight="1">
      <c r="A140" t="inlineStr">
        <is>
          <t>A 60781-2025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46302</v>
      </c>
      <c r="F140" t="inlineStr">
        <is>
          <t>NORRBOTTENS LÄN</t>
        </is>
      </c>
      <c r="G140" t="inlineStr">
        <is>
          <t>BODEN</t>
        </is>
      </c>
      <c r="I140" t="n">
        <v>12.3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Rosenticka</t>
        </is>
      </c>
      <c r="W140">
        <f>HYPERLINK("https://klasma.github.io/Logging_2582/artfynd/A 60781-2025 artfynd.xlsx", "A 60781-2025")</f>
        <v/>
      </c>
      <c r="X140">
        <f>HYPERLINK("https://klasma.github.io/Logging_2582/kartor/A 60781-2025 karta.png", "A 60781-2025")</f>
        <v/>
      </c>
      <c r="Y140">
        <f>HYPERLINK("https://klasma.github.io/Logging_2582/kartor_geotiff/A 60781-2025 georefererad karta.tif", "A 60781-2025")</f>
        <v/>
      </c>
      <c r="AA140">
        <f>HYPERLINK("https://klasma.github.io/Logging_2582/klagomål/A 60781-2025 FSC-klagomål.docx", "A 60781-2025")</f>
        <v/>
      </c>
      <c r="AB140">
        <f>HYPERLINK("https://klasma.github.io/Logging_2582/klagomålsmail/A 60781-2025 FSC-klagomål mail.docx", "A 60781-2025")</f>
        <v/>
      </c>
      <c r="AC140">
        <f>HYPERLINK("https://klasma.github.io/Logging_2582/tillsyn/A 60781-2025 tillsynsbegäran.docx", "A 60781-2025")</f>
        <v/>
      </c>
      <c r="AD140">
        <f>HYPERLINK("https://klasma.github.io/Logging_2582/tillsynsmail/A 60781-2025 tillsynsbegäran mail.docx", "A 60781-2025")</f>
        <v/>
      </c>
    </row>
    <row r="141" ht="15" customHeight="1">
      <c r="A141" t="inlineStr">
        <is>
          <t>A 62002-2025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46003</v>
      </c>
      <c r="E141" s="1" t="n">
        <v>46302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Vitgrynig nållav</t>
        </is>
      </c>
      <c r="W141">
        <f>HYPERLINK("https://klasma.github.io/Logging_2582/artfynd/A 62002-2025 artfynd.xlsx", "A 62002-2025")</f>
        <v/>
      </c>
      <c r="X141">
        <f>HYPERLINK("https://klasma.github.io/Logging_2582/kartor/A 62002-2025 karta.png", "A 62002-2025")</f>
        <v/>
      </c>
      <c r="Y141">
        <f>HYPERLINK("https://klasma.github.io/Logging_2582/kartor_geotiff/A 62002-2025 georefererad karta.tif", "A 62002-2025")</f>
        <v/>
      </c>
      <c r="AA141">
        <f>HYPERLINK("https://klasma.github.io/Logging_2582/klagomål/A 62002-2025 FSC-klagomål.docx", "A 62002-2025")</f>
        <v/>
      </c>
      <c r="AB141">
        <f>HYPERLINK("https://klasma.github.io/Logging_2582/klagomålsmail/A 62002-2025 FSC-klagomål mail.docx", "A 62002-2025")</f>
        <v/>
      </c>
      <c r="AC141">
        <f>HYPERLINK("https://klasma.github.io/Logging_2582/tillsyn/A 62002-2025 tillsynsbegäran.docx", "A 62002-2025")</f>
        <v/>
      </c>
      <c r="AD141">
        <f>HYPERLINK("https://klasma.github.io/Logging_2582/tillsynsmail/A 62002-2025 tillsynsbegäran mail.docx", "A 62002-2025")</f>
        <v/>
      </c>
    </row>
    <row r="142" ht="15" customHeight="1">
      <c r="A142" t="inlineStr">
        <is>
          <t>A 21310-2026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46302</v>
      </c>
      <c r="F142" t="inlineStr">
        <is>
          <t>NORRBOTTENS LÄN</t>
        </is>
      </c>
      <c r="G142" t="inlineStr">
        <is>
          <t>BODEN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HYPERLINK("https://klasma.github.io/Logging_2582/artfynd/A 21310-2026 artfynd.xlsx", "A 21310-2026")</f>
        <v/>
      </c>
      <c r="X142">
        <f>HYPERLINK("https://klasma.github.io/Logging_2582/kartor/A 21310-2026 karta.png", "A 21310-2026")</f>
        <v/>
      </c>
      <c r="Y142">
        <f>HYPERLINK("https://klasma.github.io/Logging_2582/kartor_geotiff/A 21310-2026 georefererad karta.tif", "A 21310-2026")</f>
        <v/>
      </c>
      <c r="AA142">
        <f>HYPERLINK("https://klasma.github.io/Logging_2582/klagomål/A 21310-2026 FSC-klagomål.docx", "A 21310-2026")</f>
        <v/>
      </c>
      <c r="AB142">
        <f>HYPERLINK("https://klasma.github.io/Logging_2582/klagomålsmail/A 21310-2026 FSC-klagomål mail.docx", "A 21310-2026")</f>
        <v/>
      </c>
      <c r="AC142">
        <f>HYPERLINK("https://klasma.github.io/Logging_2582/tillsyn/A 21310-2026 tillsynsbegäran.docx", "A 21310-2026")</f>
        <v/>
      </c>
      <c r="AD142">
        <f>HYPERLINK("https://klasma.github.io/Logging_2582/tillsynsmail/A 21310-2026 tillsynsbegäran mail.docx", "A 21310-2026")</f>
        <v/>
      </c>
    </row>
    <row r="143" ht="15" customHeight="1">
      <c r="A143" t="inlineStr">
        <is>
          <t>A 24429-2026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46302</v>
      </c>
      <c r="F143" t="inlineStr">
        <is>
          <t>NORRBOTTENS LÄN</t>
        </is>
      </c>
      <c r="G143" t="inlineStr">
        <is>
          <t>BODEN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HYPERLINK("https://klasma.github.io/Logging_2582/artfynd/A 24429-2026 artfynd.xlsx", "A 24429-2026")</f>
        <v/>
      </c>
      <c r="X143">
        <f>HYPERLINK("https://klasma.github.io/Logging_2582/kartor/A 24429-2026 karta.png", "A 24429-2026")</f>
        <v/>
      </c>
      <c r="Y143">
        <f>HYPERLINK("https://klasma.github.io/Logging_2582/kartor_geotiff/A 24429-2026 georefererad karta.tif", "A 24429-2026")</f>
        <v/>
      </c>
      <c r="AA143">
        <f>HYPERLINK("https://klasma.github.io/Logging_2582/klagomål/A 24429-2026 FSC-klagomål.docx", "A 24429-2026")</f>
        <v/>
      </c>
      <c r="AB143">
        <f>HYPERLINK("https://klasma.github.io/Logging_2582/klagomålsmail/A 24429-2026 FSC-klagomål mail.docx", "A 24429-2026")</f>
        <v/>
      </c>
      <c r="AC143">
        <f>HYPERLINK("https://klasma.github.io/Logging_2582/tillsyn/A 24429-2026 tillsynsbegäran.docx", "A 24429-2026")</f>
        <v/>
      </c>
      <c r="AD143">
        <f>HYPERLINK("https://klasma.github.io/Logging_2582/tillsynsmail/A 24429-2026 tillsynsbegäran mail.docx", "A 24429-2026")</f>
        <v/>
      </c>
    </row>
    <row r="144" ht="15" customHeight="1">
      <c r="A144" t="inlineStr">
        <is>
          <t>A 25805-2026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46302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3.6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Plattlummer</t>
        </is>
      </c>
      <c r="W144">
        <f>HYPERLINK("https://klasma.github.io/Logging_2582/artfynd/A 25805-2026 artfynd.xlsx", "A 25805-2026")</f>
        <v/>
      </c>
      <c r="X144">
        <f>HYPERLINK("https://klasma.github.io/Logging_2582/kartor/A 25805-2026 karta.png", "A 25805-2026")</f>
        <v/>
      </c>
      <c r="Y144">
        <f>HYPERLINK("https://klasma.github.io/Logging_2582/kartor_geotiff/A 25805-2026 georefererad karta.tif", "A 25805-2026")</f>
        <v/>
      </c>
      <c r="AA144">
        <f>HYPERLINK("https://klasma.github.io/Logging_2582/klagomål/A 25805-2026 FSC-klagomål.docx", "A 25805-2026")</f>
        <v/>
      </c>
      <c r="AB144">
        <f>HYPERLINK("https://klasma.github.io/Logging_2582/klagomålsmail/A 25805-2026 FSC-klagomål mail.docx", "A 25805-2026")</f>
        <v/>
      </c>
      <c r="AC144">
        <f>HYPERLINK("https://klasma.github.io/Logging_2582/tillsyn/A 25805-2026 tillsynsbegäran.docx", "A 25805-2026")</f>
        <v/>
      </c>
      <c r="AD144">
        <f>HYPERLINK("https://klasma.github.io/Logging_2582/tillsynsmail/A 25805-2026 tillsynsbegäran mail.docx", "A 25805-2026")</f>
        <v/>
      </c>
    </row>
    <row r="145" ht="15" customHeight="1">
      <c r="A145" t="inlineStr">
        <is>
          <t>A 25803-2026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46302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9.9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Spindelblomster</t>
        </is>
      </c>
      <c r="W145">
        <f>HYPERLINK("https://klasma.github.io/Logging_2582/artfynd/A 25803-2026 artfynd.xlsx", "A 25803-2026")</f>
        <v/>
      </c>
      <c r="X145">
        <f>HYPERLINK("https://klasma.github.io/Logging_2582/kartor/A 25803-2026 karta.png", "A 25803-2026")</f>
        <v/>
      </c>
      <c r="Y145">
        <f>HYPERLINK("https://klasma.github.io/Logging_2582/kartor_geotiff/A 25803-2026 georefererad karta.tif", "A 25803-2026")</f>
        <v/>
      </c>
      <c r="AA145">
        <f>HYPERLINK("https://klasma.github.io/Logging_2582/klagomål/A 25803-2026 FSC-klagomål.docx", "A 25803-2026")</f>
        <v/>
      </c>
      <c r="AB145">
        <f>HYPERLINK("https://klasma.github.io/Logging_2582/klagomålsmail/A 25803-2026 FSC-klagomål mail.docx", "A 25803-2026")</f>
        <v/>
      </c>
      <c r="AC145">
        <f>HYPERLINK("https://klasma.github.io/Logging_2582/tillsyn/A 25803-2026 tillsynsbegäran.docx", "A 25803-2026")</f>
        <v/>
      </c>
      <c r="AD145">
        <f>HYPERLINK("https://klasma.github.io/Logging_2582/tillsynsmail/A 25803-2026 tillsynsbegäran mail.docx", "A 25803-2026")</f>
        <v/>
      </c>
    </row>
    <row r="146" ht="15" customHeight="1">
      <c r="A146" t="inlineStr">
        <is>
          <t>A 25801-2026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46302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HYPERLINK("https://klasma.github.io/Logging_2582/artfynd/A 25801-2026 artfynd.xlsx", "A 25801-2026")</f>
        <v/>
      </c>
      <c r="X146">
        <f>HYPERLINK("https://klasma.github.io/Logging_2582/kartor/A 25801-2026 karta.png", "A 25801-2026")</f>
        <v/>
      </c>
      <c r="Y146">
        <f>HYPERLINK("https://klasma.github.io/Logging_2582/kartor_geotiff/A 25801-2026 georefererad karta.tif", "A 25801-2026")</f>
        <v/>
      </c>
      <c r="Z146">
        <f>HYPERLINK("https://klasma.github.io/Logging_2582/knärot/A 25801-2026 karta knärot.png", "A 25801-2026")</f>
        <v/>
      </c>
      <c r="AA146">
        <f>HYPERLINK("https://klasma.github.io/Logging_2582/klagomål/A 25801-2026 FSC-klagomål.docx", "A 25801-2026")</f>
        <v/>
      </c>
      <c r="AB146">
        <f>HYPERLINK("https://klasma.github.io/Logging_2582/klagomålsmail/A 25801-2026 FSC-klagomål mail.docx", "A 25801-2026")</f>
        <v/>
      </c>
      <c r="AC146">
        <f>HYPERLINK("https://klasma.github.io/Logging_2582/tillsyn/A 25801-2026 tillsynsbegäran.docx", "A 25801-2026")</f>
        <v/>
      </c>
      <c r="AD146">
        <f>HYPERLINK("https://klasma.github.io/Logging_2582/tillsynsmail/A 25801-2026 tillsynsbegäran mail.docx", "A 25801-2026")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46302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26690-2026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46302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26690-2026 artfynd.xlsx", "A 26690-2026")</f>
        <v/>
      </c>
      <c r="X148">
        <f>HYPERLINK("https://klasma.github.io/Logging_2582/kartor/A 26690-2026 karta.png", "A 26690-2026")</f>
        <v/>
      </c>
      <c r="Y148">
        <f>HYPERLINK("https://klasma.github.io/Logging_2582/kartor_geotiff/A 26690-2026 georefererad karta.tif", "A 26690-2026")</f>
        <v/>
      </c>
      <c r="Z148">
        <f>HYPERLINK("https://klasma.github.io/Logging_2582/knärot/A 26690-2026 karta knärot.png", "A 26690-2026")</f>
        <v/>
      </c>
      <c r="AA148">
        <f>HYPERLINK("https://klasma.github.io/Logging_2582/klagomål/A 26690-2026 FSC-klagomål.docx", "A 26690-2026")</f>
        <v/>
      </c>
      <c r="AB148">
        <f>HYPERLINK("https://klasma.github.io/Logging_2582/klagomålsmail/A 26690-2026 FSC-klagomål mail.docx", "A 26690-2026")</f>
        <v/>
      </c>
      <c r="AC148">
        <f>HYPERLINK("https://klasma.github.io/Logging_2582/tillsyn/A 26690-2026 tillsynsbegäran.docx", "A 26690-2026")</f>
        <v/>
      </c>
      <c r="AD148">
        <f>HYPERLINK("https://klasma.github.io/Logging_2582/tillsynsmail/A 26690-2026 tillsynsbegäran mail.docx", "A 26690-2026")</f>
        <v/>
      </c>
    </row>
    <row r="149" ht="15" customHeight="1">
      <c r="A149" t="inlineStr">
        <is>
          <t>A 36743-2024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46302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HYPERLINK("https://klasma.github.io/Logging_2582/artfynd/A 36743-2024 artfynd.xlsx", "A 36743-2024")</f>
        <v/>
      </c>
      <c r="X149">
        <f>HYPERLINK("https://klasma.github.io/Logging_2582/kartor/A 36743-2024 karta.png", "A 36743-2024")</f>
        <v/>
      </c>
      <c r="Y149">
        <f>HYPERLINK("https://klasma.github.io/Logging_2582/kartor_geotiff/A 36743-2024 georefererad karta.tif", "A 36743-2024")</f>
        <v/>
      </c>
      <c r="AA149">
        <f>HYPERLINK("https://klasma.github.io/Logging_2582/klagomål/A 36743-2024 FSC-klagomål.docx", "A 36743-2024")</f>
        <v/>
      </c>
      <c r="AB149">
        <f>HYPERLINK("https://klasma.github.io/Logging_2582/klagomålsmail/A 36743-2024 FSC-klagomål mail.docx", "A 36743-2024")</f>
        <v/>
      </c>
      <c r="AC149">
        <f>HYPERLINK("https://klasma.github.io/Logging_2582/tillsyn/A 36743-2024 tillsynsbegäran.docx", "A 36743-2024")</f>
        <v/>
      </c>
      <c r="AD149">
        <f>HYPERLINK("https://klasma.github.io/Logging_2582/tillsynsmail/A 36743-2024 tillsynsbegäran mail.docx", "A 36743-2024")</f>
        <v/>
      </c>
    </row>
    <row r="150" ht="15" customHeight="1">
      <c r="A150" t="inlineStr">
        <is>
          <t>A 32600-2024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45513</v>
      </c>
      <c r="E150" s="1" t="n">
        <v>46302</v>
      </c>
      <c r="F150" t="inlineStr">
        <is>
          <t>NORRBOTTENS LÄN</t>
        </is>
      </c>
      <c r="G150" t="inlineStr">
        <is>
          <t>BODEN</t>
        </is>
      </c>
      <c r="I150" t="n">
        <v>2.5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HYPERLINK("https://klasma.github.io/Logging_2582/artfynd/A 32600-2024 artfynd.xlsx", "A 32600-2024")</f>
        <v/>
      </c>
      <c r="X150">
        <f>HYPERLINK("https://klasma.github.io/Logging_2582/kartor/A 32600-2024 karta.png", "A 32600-2024")</f>
        <v/>
      </c>
      <c r="Y150">
        <f>HYPERLINK("https://klasma.github.io/Logging_2582/kartor_geotiff/A 32600-2024 georefererad karta.tif", "A 32600-2024")</f>
        <v/>
      </c>
      <c r="AA150">
        <f>HYPERLINK("https://klasma.github.io/Logging_2582/klagomål/A 32600-2024 FSC-klagomål.docx", "A 32600-2024")</f>
        <v/>
      </c>
      <c r="AB150">
        <f>HYPERLINK("https://klasma.github.io/Logging_2582/klagomålsmail/A 32600-2024 FSC-klagomål mail.docx", "A 32600-2024")</f>
        <v/>
      </c>
      <c r="AC150">
        <f>HYPERLINK("https://klasma.github.io/Logging_2582/tillsyn/A 32600-2024 tillsynsbegäran.docx", "A 32600-2024")</f>
        <v/>
      </c>
      <c r="AD150">
        <f>HYPERLINK("https://klasma.github.io/Logging_2582/tillsynsmail/A 32600-2024 tillsynsbegäran mail.docx", "A 32600-2024")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46302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665-2023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44925</v>
      </c>
      <c r="E152" s="1" t="n">
        <v>46302</v>
      </c>
      <c r="F152" t="inlineStr">
        <is>
          <t>NORRBOTTENS LÄN</t>
        </is>
      </c>
      <c r="G152" t="inlineStr">
        <is>
          <t>BODEN</t>
        </is>
      </c>
      <c r="I152" t="n">
        <v>0.9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Duvhök</t>
        </is>
      </c>
      <c r="W152">
        <f>HYPERLINK("https://klasma.github.io/Logging_2582/artfynd/A 665-2023 artfynd.xlsx", "A 665-2023")</f>
        <v/>
      </c>
      <c r="X152">
        <f>HYPERLINK("https://klasma.github.io/Logging_2582/kartor/A 665-2023 karta.png", "A 665-2023")</f>
        <v/>
      </c>
      <c r="Y152">
        <f>HYPERLINK("https://klasma.github.io/Logging_2582/kartor_geotiff/A 665-2023 georefererad karta.tif", "A 665-2023")</f>
        <v/>
      </c>
      <c r="AA152">
        <f>HYPERLINK("https://klasma.github.io/Logging_2582/klagomål/A 665-2023 FSC-klagomål.docx", "A 665-2023")</f>
        <v/>
      </c>
      <c r="AB152">
        <f>HYPERLINK("https://klasma.github.io/Logging_2582/klagomålsmail/A 665-2023 FSC-klagomål mail.docx", "A 665-2023")</f>
        <v/>
      </c>
      <c r="AC152">
        <f>HYPERLINK("https://klasma.github.io/Logging_2582/tillsyn/A 665-2023 tillsynsbegäran.docx", "A 665-2023")</f>
        <v/>
      </c>
      <c r="AD152">
        <f>HYPERLINK("https://klasma.github.io/Logging_2582/tillsynsmail/A 665-2023 tillsynsbegäran mail.docx", "A 665-2023")</f>
        <v/>
      </c>
      <c r="AE152">
        <f>HYPERLINK("https://klasma.github.io/Logging_2582/fåglar/A 665-2023 prioriterade fågelarter.docx", "A 665-2023")</f>
        <v/>
      </c>
    </row>
    <row r="153" ht="15" customHeight="1">
      <c r="A153" t="inlineStr">
        <is>
          <t>A 35292-2026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46261</v>
      </c>
      <c r="E153" s="1" t="n">
        <v>46302</v>
      </c>
      <c r="F153" t="inlineStr">
        <is>
          <t>NORRBOTTENS LÄN</t>
        </is>
      </c>
      <c r="G153" t="inlineStr">
        <is>
          <t>BODEN</t>
        </is>
      </c>
      <c r="I153" t="n">
        <v>4.9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Tretåig hackspett</t>
        </is>
      </c>
      <c r="W153">
        <f>HYPERLINK("https://klasma.github.io/Logging_2582/artfynd/A 35292-2026 artfynd.xlsx", "A 35292-2026")</f>
        <v/>
      </c>
      <c r="X153">
        <f>HYPERLINK("https://klasma.github.io/Logging_2582/kartor/A 35292-2026 karta.png", "A 35292-2026")</f>
        <v/>
      </c>
      <c r="Y153">
        <f>HYPERLINK("https://klasma.github.io/Logging_2582/kartor_geotiff/A 35292-2026 georefererad karta.tif", "A 35292-2026")</f>
        <v/>
      </c>
      <c r="AA153">
        <f>HYPERLINK("https://klasma.github.io/Logging_2582/klagomål/A 35292-2026 FSC-klagomål.docx", "A 35292-2026")</f>
        <v/>
      </c>
      <c r="AB153">
        <f>HYPERLINK("https://klasma.github.io/Logging_2582/klagomålsmail/A 35292-2026 FSC-klagomål mail.docx", "A 35292-2026")</f>
        <v/>
      </c>
      <c r="AC153">
        <f>HYPERLINK("https://klasma.github.io/Logging_2582/tillsyn/A 35292-2026 tillsynsbegäran.docx", "A 35292-2026")</f>
        <v/>
      </c>
      <c r="AD153">
        <f>HYPERLINK("https://klasma.github.io/Logging_2582/tillsynsmail/A 35292-2026 tillsynsbegäran mail.docx", "A 35292-2026")</f>
        <v/>
      </c>
      <c r="AE153">
        <f>HYPERLINK("https://klasma.github.io/Logging_2582/fåglar/A 35292-2026 prioriterade fågelarter.docx", "A 35292-2026")</f>
        <v/>
      </c>
    </row>
    <row r="154" ht="15" customHeight="1">
      <c r="A154" t="inlineStr">
        <is>
          <t>A 35410-2026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46261</v>
      </c>
      <c r="E154" s="1" t="n">
        <v>46302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9</v>
      </c>
      <c r="U154" t="n">
        <v>9</v>
      </c>
      <c r="V154" s="2" t="inlineStr">
        <is>
          <t>Knärot</t>
        </is>
      </c>
      <c r="W154">
        <f>HYPERLINK("https://klasma.github.io/Logging_2582/artfynd/A 35410-2026 artfynd.xlsx", "A 35410-2026")</f>
        <v/>
      </c>
      <c r="X154">
        <f>HYPERLINK("https://klasma.github.io/Logging_2582/kartor/A 35410-2026 karta.png", "A 35410-2026")</f>
        <v/>
      </c>
      <c r="Y154">
        <f>HYPERLINK("https://klasma.github.io/Logging_2582/kartor_geotiff/A 35410-2026 georefererad karta.tif", "A 35410-2026")</f>
        <v/>
      </c>
      <c r="Z154">
        <f>HYPERLINK("https://klasma.github.io/Logging_2582/knärot/A 35410-2026 karta knärot.png", "A 35410-2026")</f>
        <v/>
      </c>
      <c r="AA154">
        <f>HYPERLINK("https://klasma.github.io/Logging_2582/klagomål/A 35410-2026 FSC-klagomål.docx", "A 35410-2026")</f>
        <v/>
      </c>
      <c r="AB154">
        <f>HYPERLINK("https://klasma.github.io/Logging_2582/klagomålsmail/A 35410-2026 FSC-klagomål mail.docx", "A 35410-2026")</f>
        <v/>
      </c>
      <c r="AC154">
        <f>HYPERLINK("https://klasma.github.io/Logging_2582/tillsyn/A 35410-2026 tillsynsbegäran.docx", "A 35410-2026")</f>
        <v/>
      </c>
      <c r="AD154">
        <f>HYPERLINK("https://klasma.github.io/Logging_2582/tillsynsmail/A 35410-2026 tillsynsbegäran mail.docx", "A 35410-2026")</f>
        <v/>
      </c>
    </row>
    <row r="155" ht="15" customHeight="1">
      <c r="A155" t="inlineStr">
        <is>
          <t>A 35299-2026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46261</v>
      </c>
      <c r="E155" s="1" t="n">
        <v>46302</v>
      </c>
      <c r="F155" t="inlineStr">
        <is>
          <t>NORRBOTTENS LÄN</t>
        </is>
      </c>
      <c r="G155" t="inlineStr">
        <is>
          <t>BODEN</t>
        </is>
      </c>
      <c r="I155" t="n">
        <v>3.3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35299-2026 artfynd.xlsx", "A 35299-2026")</f>
        <v/>
      </c>
      <c r="X155">
        <f>HYPERLINK("https://klasma.github.io/Logging_2582/kartor/A 35299-2026 karta.png", "A 35299-2026")</f>
        <v/>
      </c>
      <c r="Y155">
        <f>HYPERLINK("https://klasma.github.io/Logging_2582/kartor_geotiff/A 35299-2026 georefererad karta.tif", "A 35299-2026")</f>
        <v/>
      </c>
      <c r="Z155">
        <f>HYPERLINK("https://klasma.github.io/Logging_2582/knärot/A 35299-2026 karta knärot.png", "A 35299-2026")</f>
        <v/>
      </c>
      <c r="AA155">
        <f>HYPERLINK("https://klasma.github.io/Logging_2582/klagomål/A 35299-2026 FSC-klagomål.docx", "A 35299-2026")</f>
        <v/>
      </c>
      <c r="AB155">
        <f>HYPERLINK("https://klasma.github.io/Logging_2582/klagomålsmail/A 35299-2026 FSC-klagomål mail.docx", "A 35299-2026")</f>
        <v/>
      </c>
      <c r="AC155">
        <f>HYPERLINK("https://klasma.github.io/Logging_2582/tillsyn/A 35299-2026 tillsynsbegäran.docx", "A 35299-2026")</f>
        <v/>
      </c>
      <c r="AD155">
        <f>HYPERLINK("https://klasma.github.io/Logging_2582/tillsynsmail/A 35299-2026 tillsynsbegäran mail.docx", "A 35299-2026")</f>
        <v/>
      </c>
    </row>
    <row r="156" ht="15" customHeight="1">
      <c r="A156" t="inlineStr">
        <is>
          <t>A 35415-2026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46302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2.6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2</v>
      </c>
      <c r="U156" t="n">
        <v>2</v>
      </c>
      <c r="V156" s="2" t="inlineStr">
        <is>
          <t>Knärot</t>
        </is>
      </c>
      <c r="W156">
        <f>HYPERLINK("https://klasma.github.io/Logging_2582/artfynd/A 35415-2026 artfynd.xlsx", "A 35415-2026")</f>
        <v/>
      </c>
      <c r="X156">
        <f>HYPERLINK("https://klasma.github.io/Logging_2582/kartor/A 35415-2026 karta.png", "A 35415-2026")</f>
        <v/>
      </c>
      <c r="Y156">
        <f>HYPERLINK("https://klasma.github.io/Logging_2582/kartor_geotiff/A 35415-2026 georefererad karta.tif", "A 35415-2026")</f>
        <v/>
      </c>
      <c r="Z156">
        <f>HYPERLINK("https://klasma.github.io/Logging_2582/knärot/A 35415-2026 karta knärot.png", "A 35415-2026")</f>
        <v/>
      </c>
      <c r="AA156">
        <f>HYPERLINK("https://klasma.github.io/Logging_2582/klagomål/A 35415-2026 FSC-klagomål.docx", "A 35415-2026")</f>
        <v/>
      </c>
      <c r="AB156">
        <f>HYPERLINK("https://klasma.github.io/Logging_2582/klagomålsmail/A 35415-2026 FSC-klagomål mail.docx", "A 35415-2026")</f>
        <v/>
      </c>
      <c r="AC156">
        <f>HYPERLINK("https://klasma.github.io/Logging_2582/tillsyn/A 35415-2026 tillsynsbegäran.docx", "A 35415-2026")</f>
        <v/>
      </c>
      <c r="AD156">
        <f>HYPERLINK("https://klasma.github.io/Logging_2582/tillsynsmail/A 35415-2026 tillsynsbegäran mail.docx", "A 35415-2026")</f>
        <v/>
      </c>
    </row>
    <row r="157" ht="15" customHeight="1">
      <c r="A157" t="inlineStr">
        <is>
          <t>A 12832-2022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46302</v>
      </c>
      <c r="F157" t="inlineStr">
        <is>
          <t>NORRBOTTENS LÄN</t>
        </is>
      </c>
      <c r="G157" t="inlineStr">
        <is>
          <t>BODEN</t>
        </is>
      </c>
      <c r="I157" t="n">
        <v>6.6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Doftticka</t>
        </is>
      </c>
      <c r="W157">
        <f>HYPERLINK("https://klasma.github.io/Logging_2582/artfynd/A 12832-2022 artfynd.xlsx", "A 12832-2022")</f>
        <v/>
      </c>
      <c r="X157">
        <f>HYPERLINK("https://klasma.github.io/Logging_2582/kartor/A 12832-2022 karta.png", "A 12832-2022")</f>
        <v/>
      </c>
      <c r="Y157">
        <f>HYPERLINK("https://klasma.github.io/Logging_2582/kartor_geotiff/A 12832-2022 georefererad karta.tif", "A 12832-2022")</f>
        <v/>
      </c>
      <c r="AA157">
        <f>HYPERLINK("https://klasma.github.io/Logging_2582/klagomål/A 12832-2022 FSC-klagomål.docx", "A 12832-2022")</f>
        <v/>
      </c>
      <c r="AB157">
        <f>HYPERLINK("https://klasma.github.io/Logging_2582/klagomålsmail/A 12832-2022 FSC-klagomål mail.docx", "A 12832-2022")</f>
        <v/>
      </c>
      <c r="AC157">
        <f>HYPERLINK("https://klasma.github.io/Logging_2582/tillsyn/A 12832-2022 tillsynsbegäran.docx", "A 12832-2022")</f>
        <v/>
      </c>
      <c r="AD157">
        <f>HYPERLINK("https://klasma.github.io/Logging_2582/tillsynsmail/A 12832-2022 tillsynsbegäran mail.docx", "A 12832-2022")</f>
        <v/>
      </c>
    </row>
    <row r="158" ht="15" customHeight="1">
      <c r="A158" t="inlineStr">
        <is>
          <t>A 36734-2026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46302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Fläcknycklar</t>
        </is>
      </c>
      <c r="W158">
        <f>HYPERLINK("https://klasma.github.io/Logging_2582/artfynd/A 36734-2026 artfynd.xlsx", "A 36734-2026")</f>
        <v/>
      </c>
      <c r="X158">
        <f>HYPERLINK("https://klasma.github.io/Logging_2582/kartor/A 36734-2026 karta.png", "A 36734-2026")</f>
        <v/>
      </c>
      <c r="Y158">
        <f>HYPERLINK("https://klasma.github.io/Logging_2582/kartor_geotiff/A 36734-2026 georefererad karta.tif", "A 36734-2026")</f>
        <v/>
      </c>
      <c r="AA158">
        <f>HYPERLINK("https://klasma.github.io/Logging_2582/klagomål/A 36734-2026 FSC-klagomål.docx", "A 36734-2026")</f>
        <v/>
      </c>
      <c r="AB158">
        <f>HYPERLINK("https://klasma.github.io/Logging_2582/klagomålsmail/A 36734-2026 FSC-klagomål mail.docx", "A 36734-2026")</f>
        <v/>
      </c>
      <c r="AC158">
        <f>HYPERLINK("https://klasma.github.io/Logging_2582/tillsyn/A 36734-2026 tillsynsbegäran.docx", "A 36734-2026")</f>
        <v/>
      </c>
      <c r="AD158">
        <f>HYPERLINK("https://klasma.github.io/Logging_2582/tillsynsmail/A 36734-2026 tillsynsbegäran mail.docx", "A 36734-2026")</f>
        <v/>
      </c>
    </row>
    <row r="159" ht="15" customHeight="1">
      <c r="A159" t="inlineStr">
        <is>
          <t>A 36749-2026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46302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Vedflamlav</t>
        </is>
      </c>
      <c r="W159">
        <f>HYPERLINK("https://klasma.github.io/Logging_2582/artfynd/A 36749-2026 artfynd.xlsx", "A 36749-2026")</f>
        <v/>
      </c>
      <c r="X159">
        <f>HYPERLINK("https://klasma.github.io/Logging_2582/kartor/A 36749-2026 karta.png", "A 36749-2026")</f>
        <v/>
      </c>
      <c r="Y159">
        <f>HYPERLINK("https://klasma.github.io/Logging_2582/kartor_geotiff/A 36749-2026 georefererad karta.tif", "A 36749-2026")</f>
        <v/>
      </c>
      <c r="AA159">
        <f>HYPERLINK("https://klasma.github.io/Logging_2582/klagomål/A 36749-2026 FSC-klagomål.docx", "A 36749-2026")</f>
        <v/>
      </c>
      <c r="AB159">
        <f>HYPERLINK("https://klasma.github.io/Logging_2582/klagomålsmail/A 36749-2026 FSC-klagomål mail.docx", "A 36749-2026")</f>
        <v/>
      </c>
      <c r="AC159">
        <f>HYPERLINK("https://klasma.github.io/Logging_2582/tillsyn/A 36749-2026 tillsynsbegäran.docx", "A 36749-2026")</f>
        <v/>
      </c>
      <c r="AD159">
        <f>HYPERLINK("https://klasma.github.io/Logging_2582/tillsynsmail/A 36749-2026 tillsynsbegäran mail.docx", "A 36749-2026")</f>
        <v/>
      </c>
    </row>
    <row r="160" ht="15" customHeight="1">
      <c r="A160" t="inlineStr">
        <is>
          <t>A 36130-2026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46267</v>
      </c>
      <c r="E160" s="1" t="n">
        <v>46302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Vedflamlav</t>
        </is>
      </c>
      <c r="W160">
        <f>HYPERLINK("https://klasma.github.io/Logging_2582/artfynd/A 36130-2026 artfynd.xlsx", "A 36130-2026")</f>
        <v/>
      </c>
      <c r="X160">
        <f>HYPERLINK("https://klasma.github.io/Logging_2582/kartor/A 36130-2026 karta.png", "A 36130-2026")</f>
        <v/>
      </c>
      <c r="Y160">
        <f>HYPERLINK("https://klasma.github.io/Logging_2582/kartor_geotiff/A 36130-2026 georefererad karta.tif", "A 36130-2026")</f>
        <v/>
      </c>
      <c r="AA160">
        <f>HYPERLINK("https://klasma.github.io/Logging_2582/klagomål/A 36130-2026 FSC-klagomål.docx", "A 36130-2026")</f>
        <v/>
      </c>
      <c r="AB160">
        <f>HYPERLINK("https://klasma.github.io/Logging_2582/klagomålsmail/A 36130-2026 FSC-klagomål mail.docx", "A 36130-2026")</f>
        <v/>
      </c>
      <c r="AC160">
        <f>HYPERLINK("https://klasma.github.io/Logging_2582/tillsyn/A 36130-2026 tillsynsbegäran.docx", "A 36130-2026")</f>
        <v/>
      </c>
      <c r="AD160">
        <f>HYPERLINK("https://klasma.github.io/Logging_2582/tillsynsmail/A 36130-2026 tillsynsbegäran mail.docx", "A 36130-2026")</f>
        <v/>
      </c>
    </row>
    <row r="161" ht="15" customHeight="1">
      <c r="A161" t="inlineStr">
        <is>
          <t>A 32159-2026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46236</v>
      </c>
      <c r="E161" s="1" t="n">
        <v>46302</v>
      </c>
      <c r="F161" t="inlineStr">
        <is>
          <t>NORRBOTTENS LÄN</t>
        </is>
      </c>
      <c r="G161" t="inlineStr">
        <is>
          <t>BODEN</t>
        </is>
      </c>
      <c r="I161" t="n">
        <v>5.8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HYPERLINK("https://klasma.github.io/Logging_2582/artfynd/A 32159-2026 artfynd.xlsx", "A 32159-2026")</f>
        <v/>
      </c>
      <c r="X161">
        <f>HYPERLINK("https://klasma.github.io/Logging_2582/kartor/A 32159-2026 karta.png", "A 32159-2026")</f>
        <v/>
      </c>
      <c r="Y161">
        <f>HYPERLINK("https://klasma.github.io/Logging_2582/kartor_geotiff/A 32159-2026 georefererad karta.tif", "A 32159-2026")</f>
        <v/>
      </c>
      <c r="AA161">
        <f>HYPERLINK("https://klasma.github.io/Logging_2582/klagomål/A 32159-2026 FSC-klagomål.docx", "A 32159-2026")</f>
        <v/>
      </c>
      <c r="AB161">
        <f>HYPERLINK("https://klasma.github.io/Logging_2582/klagomålsmail/A 32159-2026 FSC-klagomål mail.docx", "A 32159-2026")</f>
        <v/>
      </c>
      <c r="AC161">
        <f>HYPERLINK("https://klasma.github.io/Logging_2582/tillsyn/A 32159-2026 tillsynsbegäran.docx", "A 32159-2026")</f>
        <v/>
      </c>
      <c r="AD161">
        <f>HYPERLINK("https://klasma.github.io/Logging_2582/tillsynsmail/A 32159-2026 tillsynsbegäran mail.docx", "A 32159-2026")</f>
        <v/>
      </c>
    </row>
    <row r="162" ht="15" customHeight="1">
      <c r="A162" t="inlineStr">
        <is>
          <t>A 41087-2024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45559</v>
      </c>
      <c r="E162" s="1" t="n">
        <v>46302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HYPERLINK("https://klasma.github.io/Logging_2582/artfynd/A 41087-2024 artfynd.xlsx", "A 41087-2024")</f>
        <v/>
      </c>
      <c r="X162">
        <f>HYPERLINK("https://klasma.github.io/Logging_2582/kartor/A 41087-2024 karta.png", "A 41087-2024")</f>
        <v/>
      </c>
      <c r="Y162">
        <f>HYPERLINK("https://klasma.github.io/Logging_2582/kartor_geotiff/A 41087-2024 georefererad karta.tif", "A 41087-2024")</f>
        <v/>
      </c>
      <c r="AA162">
        <f>HYPERLINK("https://klasma.github.io/Logging_2582/klagomål/A 41087-2024 FSC-klagomål.docx", "A 41087-2024")</f>
        <v/>
      </c>
      <c r="AB162">
        <f>HYPERLINK("https://klasma.github.io/Logging_2582/klagomålsmail/A 41087-2024 FSC-klagomål mail.docx", "A 41087-2024")</f>
        <v/>
      </c>
      <c r="AC162">
        <f>HYPERLINK("https://klasma.github.io/Logging_2582/tillsyn/A 41087-2024 tillsynsbegäran.docx", "A 41087-2024")</f>
        <v/>
      </c>
      <c r="AD162">
        <f>HYPERLINK("https://klasma.github.io/Logging_2582/tillsynsmail/A 41087-2024 tillsynsbegäran mail.docx", "A 41087-2024")</f>
        <v/>
      </c>
    </row>
    <row r="163" ht="15" customHeight="1">
      <c r="A163" t="inlineStr">
        <is>
          <t>A 32664-2026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46240</v>
      </c>
      <c r="E163" s="1" t="n">
        <v>46302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14.3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4</v>
      </c>
      <c r="U163" t="n">
        <v>0</v>
      </c>
      <c r="V163" s="2" t="inlineStr">
        <is>
          <t>Lunglav</t>
        </is>
      </c>
      <c r="W163">
        <f>HYPERLINK("https://klasma.github.io/Logging_2582/artfynd/A 32664-2026 artfynd.xlsx", "A 32664-2026")</f>
        <v/>
      </c>
      <c r="X163">
        <f>HYPERLINK("https://klasma.github.io/Logging_2582/kartor/A 32664-2026 karta.png", "A 32664-2026")</f>
        <v/>
      </c>
      <c r="Y163">
        <f>HYPERLINK("https://klasma.github.io/Logging_2582/kartor_geotiff/A 32664-2026 georefererad karta.tif", "A 32664-2026")</f>
        <v/>
      </c>
      <c r="AA163">
        <f>HYPERLINK("https://klasma.github.io/Logging_2582/klagomål/A 32664-2026 FSC-klagomål.docx", "A 32664-2026")</f>
        <v/>
      </c>
      <c r="AB163">
        <f>HYPERLINK("https://klasma.github.io/Logging_2582/klagomålsmail/A 32664-2026 FSC-klagomål mail.docx", "A 32664-2026")</f>
        <v/>
      </c>
      <c r="AC163">
        <f>HYPERLINK("https://klasma.github.io/Logging_2582/tillsyn/A 32664-2026 tillsynsbegäran.docx", "A 32664-2026")</f>
        <v/>
      </c>
      <c r="AD163">
        <f>HYPERLINK("https://klasma.github.io/Logging_2582/tillsynsmail/A 32664-2026 tillsynsbegäran mail.docx", "A 32664-2026")</f>
        <v/>
      </c>
    </row>
    <row r="164" ht="15" customHeight="1">
      <c r="A164" t="inlineStr">
        <is>
          <t>A 38395-2026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46302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HYPERLINK("https://klasma.github.io/Logging_2582/artfynd/A 38395-2026 artfynd.xlsx", "A 38395-2026")</f>
        <v/>
      </c>
      <c r="X164">
        <f>HYPERLINK("https://klasma.github.io/Logging_2582/kartor/A 38395-2026 karta.png", "A 38395-2026")</f>
        <v/>
      </c>
      <c r="Y164">
        <f>HYPERLINK("https://klasma.github.io/Logging_2582/kartor_geotiff/A 38395-2026 georefererad karta.tif", "A 38395-2026")</f>
        <v/>
      </c>
      <c r="AA164">
        <f>HYPERLINK("https://klasma.github.io/Logging_2582/klagomål/A 38395-2026 FSC-klagomål.docx", "A 38395-2026")</f>
        <v/>
      </c>
      <c r="AB164">
        <f>HYPERLINK("https://klasma.github.io/Logging_2582/klagomålsmail/A 38395-2026 FSC-klagomål mail.docx", "A 38395-2026")</f>
        <v/>
      </c>
      <c r="AC164">
        <f>HYPERLINK("https://klasma.github.io/Logging_2582/tillsyn/A 38395-2026 tillsynsbegäran.docx", "A 38395-2026")</f>
        <v/>
      </c>
      <c r="AD164">
        <f>HYPERLINK("https://klasma.github.io/Logging_2582/tillsynsmail/A 38395-2026 tillsynsbegäran mail.docx", "A 38395-2026")</f>
        <v/>
      </c>
    </row>
    <row r="165" ht="15" customHeight="1">
      <c r="A165" t="inlineStr">
        <is>
          <t>A 32708-2026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46302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12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Lunglav</t>
        </is>
      </c>
      <c r="W165">
        <f>HYPERLINK("https://klasma.github.io/Logging_2582/artfynd/A 32708-2026 artfynd.xlsx", "A 32708-2026")</f>
        <v/>
      </c>
      <c r="X165">
        <f>HYPERLINK("https://klasma.github.io/Logging_2582/kartor/A 32708-2026 karta.png", "A 32708-2026")</f>
        <v/>
      </c>
      <c r="Y165">
        <f>HYPERLINK("https://klasma.github.io/Logging_2582/kartor_geotiff/A 32708-2026 georefererad karta.tif", "A 32708-2026")</f>
        <v/>
      </c>
      <c r="AA165">
        <f>HYPERLINK("https://klasma.github.io/Logging_2582/klagomål/A 32708-2026 FSC-klagomål.docx", "A 32708-2026")</f>
        <v/>
      </c>
      <c r="AB165">
        <f>HYPERLINK("https://klasma.github.io/Logging_2582/klagomålsmail/A 32708-2026 FSC-klagomål mail.docx", "A 32708-2026")</f>
        <v/>
      </c>
      <c r="AC165">
        <f>HYPERLINK("https://klasma.github.io/Logging_2582/tillsyn/A 32708-2026 tillsynsbegäran.docx", "A 32708-2026")</f>
        <v/>
      </c>
      <c r="AD165">
        <f>HYPERLINK("https://klasma.github.io/Logging_2582/tillsynsmail/A 32708-2026 tillsynsbegäran mail.docx", "A 32708-2026")</f>
        <v/>
      </c>
    </row>
    <row r="166" ht="15" customHeight="1">
      <c r="A166" t="inlineStr">
        <is>
          <t>A 54833-2025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46302</v>
      </c>
      <c r="F166" t="inlineStr">
        <is>
          <t>NORRBOTTENS LÄN</t>
        </is>
      </c>
      <c r="G166" t="inlineStr">
        <is>
          <t>BODEN</t>
        </is>
      </c>
      <c r="I166" t="n">
        <v>2.5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Utter</t>
        </is>
      </c>
      <c r="W166">
        <f>HYPERLINK("https://klasma.github.io/Logging_2582/artfynd/A 54833-2025 artfynd.xlsx", "A 54833-2025")</f>
        <v/>
      </c>
      <c r="X166">
        <f>HYPERLINK("https://klasma.github.io/Logging_2582/kartor/A 54833-2025 karta.png", "A 54833-2025")</f>
        <v/>
      </c>
      <c r="Y166">
        <f>HYPERLINK("https://klasma.github.io/Logging_2582/kartor_geotiff/A 54833-2025 georefererad karta.tif", "A 54833-2025")</f>
        <v/>
      </c>
      <c r="AA166">
        <f>HYPERLINK("https://klasma.github.io/Logging_2582/klagomål/A 54833-2025 FSC-klagomål.docx", "A 54833-2025")</f>
        <v/>
      </c>
      <c r="AB166">
        <f>HYPERLINK("https://klasma.github.io/Logging_2582/klagomålsmail/A 54833-2025 FSC-klagomål mail.docx", "A 54833-2025")</f>
        <v/>
      </c>
      <c r="AC166">
        <f>HYPERLINK("https://klasma.github.io/Logging_2582/tillsyn/A 54833-2025 tillsynsbegäran.docx", "A 54833-2025")</f>
        <v/>
      </c>
      <c r="AD166">
        <f>HYPERLINK("https://klasma.github.io/Logging_2582/tillsynsmail/A 54833-2025 tillsynsbegäran mail.docx", "A 54833-2025")</f>
        <v/>
      </c>
    </row>
    <row r="167" ht="15" customHeight="1">
      <c r="A167" t="inlineStr">
        <is>
          <t>A 19580-2026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46302</v>
      </c>
      <c r="F167" t="inlineStr">
        <is>
          <t>NORRBOTTENS LÄN</t>
        </is>
      </c>
      <c r="G167" t="inlineStr">
        <is>
          <t>BODEN</t>
        </is>
      </c>
      <c r="I167" t="n">
        <v>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0</v>
      </c>
      <c r="V167" s="2" t="inlineStr">
        <is>
          <t>Dropptaggsvamp</t>
        </is>
      </c>
      <c r="W167">
        <f>HYPERLINK("https://klasma.github.io/Logging_2582/artfynd/A 19580-2026 artfynd.xlsx", "A 19580-2026")</f>
        <v/>
      </c>
      <c r="X167">
        <f>HYPERLINK("https://klasma.github.io/Logging_2582/kartor/A 19580-2026 karta.png", "A 19580-2026")</f>
        <v/>
      </c>
      <c r="Y167">
        <f>HYPERLINK("https://klasma.github.io/Logging_2582/kartor_geotiff/A 19580-2026 georefererad karta.tif", "A 19580-2026")</f>
        <v/>
      </c>
      <c r="AA167">
        <f>HYPERLINK("https://klasma.github.io/Logging_2582/klagomål/A 19580-2026 FSC-klagomål.docx", "A 19580-2026")</f>
        <v/>
      </c>
      <c r="AB167">
        <f>HYPERLINK("https://klasma.github.io/Logging_2582/klagomålsmail/A 19580-2026 FSC-klagomål mail.docx", "A 19580-2026")</f>
        <v/>
      </c>
      <c r="AC167">
        <f>HYPERLINK("https://klasma.github.io/Logging_2582/tillsyn/A 19580-2026 tillsynsbegäran.docx", "A 19580-2026")</f>
        <v/>
      </c>
      <c r="AD167">
        <f>HYPERLINK("https://klasma.github.io/Logging_2582/tillsynsmail/A 19580-2026 tillsynsbegäran mail.docx", "A 19580-2026")</f>
        <v/>
      </c>
    </row>
    <row r="168" ht="15" customHeight="1">
      <c r="A168" t="inlineStr">
        <is>
          <t>A 19396-2022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44692</v>
      </c>
      <c r="E168" s="1" t="n">
        <v>46302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13.1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HYPERLINK("https://klasma.github.io/Logging_2582/artfynd/A 19396-2022 artfynd.xlsx", "A 19396-2022")</f>
        <v/>
      </c>
      <c r="X168">
        <f>HYPERLINK("https://klasma.github.io/Logging_2582/kartor/A 19396-2022 karta.png", "A 19396-2022")</f>
        <v/>
      </c>
      <c r="Y168">
        <f>HYPERLINK("https://klasma.github.io/Logging_2582/kartor_geotiff/A 19396-2022 georefererad karta.tif", "A 19396-2022")</f>
        <v/>
      </c>
      <c r="AA168">
        <f>HYPERLINK("https://klasma.github.io/Logging_2582/klagomål/A 19396-2022 FSC-klagomål.docx", "A 19396-2022")</f>
        <v/>
      </c>
      <c r="AB168">
        <f>HYPERLINK("https://klasma.github.io/Logging_2582/klagomålsmail/A 19396-2022 FSC-klagomål mail.docx", "A 19396-2022")</f>
        <v/>
      </c>
      <c r="AC168">
        <f>HYPERLINK("https://klasma.github.io/Logging_2582/tillsyn/A 19396-2022 tillsynsbegäran.docx", "A 19396-2022")</f>
        <v/>
      </c>
      <c r="AD168">
        <f>HYPERLINK("https://klasma.github.io/Logging_2582/tillsynsmail/A 19396-2022 tillsynsbegäran mail.docx", "A 19396-2022")</f>
        <v/>
      </c>
    </row>
    <row r="169" ht="15" customHeight="1">
      <c r="A169" t="inlineStr">
        <is>
          <t>A 33756-2026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46251</v>
      </c>
      <c r="E169" s="1" t="n">
        <v>46302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5.5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Bollvitmossa</t>
        </is>
      </c>
      <c r="W169">
        <f>HYPERLINK("https://klasma.github.io/Logging_2582/artfynd/A 33756-2026 artfynd.xlsx", "A 33756-2026")</f>
        <v/>
      </c>
      <c r="X169">
        <f>HYPERLINK("https://klasma.github.io/Logging_2582/kartor/A 33756-2026 karta.png", "A 33756-2026")</f>
        <v/>
      </c>
      <c r="Y169">
        <f>HYPERLINK("https://klasma.github.io/Logging_2582/kartor_geotiff/A 33756-2026 georefererad karta.tif", "A 33756-2026")</f>
        <v/>
      </c>
      <c r="AA169">
        <f>HYPERLINK("https://klasma.github.io/Logging_2582/klagomål/A 33756-2026 FSC-klagomål.docx", "A 33756-2026")</f>
        <v/>
      </c>
      <c r="AB169">
        <f>HYPERLINK("https://klasma.github.io/Logging_2582/klagomålsmail/A 33756-2026 FSC-klagomål mail.docx", "A 33756-2026")</f>
        <v/>
      </c>
      <c r="AC169">
        <f>HYPERLINK("https://klasma.github.io/Logging_2582/tillsyn/A 33756-2026 tillsynsbegäran.docx", "A 33756-2026")</f>
        <v/>
      </c>
      <c r="AD169">
        <f>HYPERLINK("https://klasma.github.io/Logging_2582/tillsynsmail/A 33756-2026 tillsynsbegäran mail.docx", "A 33756-2026")</f>
        <v/>
      </c>
    </row>
    <row r="170" ht="15" customHeight="1">
      <c r="A170" t="inlineStr">
        <is>
          <t>A 2565-2026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46302</v>
      </c>
      <c r="F170" t="inlineStr">
        <is>
          <t>NORRBOTTENS LÄN</t>
        </is>
      </c>
      <c r="G170" t="inlineStr">
        <is>
          <t>BODEN</t>
        </is>
      </c>
      <c r="H170" t="inlineStr">
        <is>
          <t>Naturvårdsverket</t>
        </is>
      </c>
      <c r="I170" t="n">
        <v>4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2</v>
      </c>
      <c r="U170" t="n">
        <v>2</v>
      </c>
      <c r="V170" s="2" t="inlineStr">
        <is>
          <t>Garnlav</t>
        </is>
      </c>
      <c r="W170">
        <f>HYPERLINK("https://klasma.github.io/Logging_2582/artfynd/A 2565-2026 artfynd.xlsx", "A 2565-2026")</f>
        <v/>
      </c>
      <c r="X170">
        <f>HYPERLINK("https://klasma.github.io/Logging_2582/kartor/A 2565-2026 karta.png", "A 2565-2026")</f>
        <v/>
      </c>
      <c r="Y170">
        <f>HYPERLINK("https://klasma.github.io/Logging_2582/kartor_geotiff/A 2565-2026 georefererad karta.tif", "A 2565-2026")</f>
        <v/>
      </c>
      <c r="AA170">
        <f>HYPERLINK("https://klasma.github.io/Logging_2582/klagomål/A 2565-2026 FSC-klagomål.docx", "A 2565-2026")</f>
        <v/>
      </c>
      <c r="AB170">
        <f>HYPERLINK("https://klasma.github.io/Logging_2582/klagomålsmail/A 2565-2026 FSC-klagomål mail.docx", "A 2565-2026")</f>
        <v/>
      </c>
      <c r="AC170">
        <f>HYPERLINK("https://klasma.github.io/Logging_2582/tillsyn/A 2565-2026 tillsynsbegäran.docx", "A 2565-2026")</f>
        <v/>
      </c>
      <c r="AD170">
        <f>HYPERLINK("https://klasma.github.io/Logging_2582/tillsynsmail/A 2565-2026 tillsynsbegäran mail.docx", "A 2565-2026")</f>
        <v/>
      </c>
    </row>
    <row r="171" ht="15" customHeight="1">
      <c r="A171" t="inlineStr">
        <is>
          <t>A 34512-2026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46302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Skarp dropptaggsvamp</t>
        </is>
      </c>
      <c r="W171">
        <f>HYPERLINK("https://klasma.github.io/Logging_2582/artfynd/A 34512-2026 artfynd.xlsx", "A 34512-2026")</f>
        <v/>
      </c>
      <c r="X171">
        <f>HYPERLINK("https://klasma.github.io/Logging_2582/kartor/A 34512-2026 karta.png", "A 34512-2026")</f>
        <v/>
      </c>
      <c r="Y171">
        <f>HYPERLINK("https://klasma.github.io/Logging_2582/kartor_geotiff/A 34512-2026 georefererad karta.tif", "A 34512-2026")</f>
        <v/>
      </c>
      <c r="AA171">
        <f>HYPERLINK("https://klasma.github.io/Logging_2582/klagomål/A 34512-2026 FSC-klagomål.docx", "A 34512-2026")</f>
        <v/>
      </c>
      <c r="AB171">
        <f>HYPERLINK("https://klasma.github.io/Logging_2582/klagomålsmail/A 34512-2026 FSC-klagomål mail.docx", "A 34512-2026")</f>
        <v/>
      </c>
      <c r="AC171">
        <f>HYPERLINK("https://klasma.github.io/Logging_2582/tillsyn/A 34512-2026 tillsynsbegäran.docx", "A 34512-2026")</f>
        <v/>
      </c>
      <c r="AD171">
        <f>HYPERLINK("https://klasma.github.io/Logging_2582/tillsynsmail/A 34512-2026 tillsynsbegäran mail.docx", "A 34512-2026")</f>
        <v/>
      </c>
    </row>
    <row r="172" ht="15" customHeight="1">
      <c r="A172" t="inlineStr">
        <is>
          <t>A 16217-2024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46302</v>
      </c>
      <c r="F172" t="inlineStr">
        <is>
          <t>NORRBOTTENS LÄN</t>
        </is>
      </c>
      <c r="G172" t="inlineStr">
        <is>
          <t>BODEN</t>
        </is>
      </c>
      <c r="I172" t="n">
        <v>7.2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Videsparv</t>
        </is>
      </c>
      <c r="W172">
        <f>HYPERLINK("https://klasma.github.io/Logging_2582/artfynd/A 16217-2024 artfynd.xlsx", "A 16217-2024")</f>
        <v/>
      </c>
      <c r="X172">
        <f>HYPERLINK("https://klasma.github.io/Logging_2582/kartor/A 16217-2024 karta.png", "A 16217-2024")</f>
        <v/>
      </c>
      <c r="Y172">
        <f>HYPERLINK("https://klasma.github.io/Logging_2582/kartor_geotiff/A 16217-2024 georefererad karta.tif", "A 16217-2024")</f>
        <v/>
      </c>
      <c r="AA172">
        <f>HYPERLINK("https://klasma.github.io/Logging_2582/klagomål/A 16217-2024 FSC-klagomål.docx", "A 16217-2024")</f>
        <v/>
      </c>
      <c r="AB172">
        <f>HYPERLINK("https://klasma.github.io/Logging_2582/klagomålsmail/A 16217-2024 FSC-klagomål mail.docx", "A 16217-2024")</f>
        <v/>
      </c>
      <c r="AC172">
        <f>HYPERLINK("https://klasma.github.io/Logging_2582/tillsyn/A 16217-2024 tillsynsbegäran.docx", "A 16217-2024")</f>
        <v/>
      </c>
      <c r="AD172">
        <f>HYPERLINK("https://klasma.github.io/Logging_2582/tillsynsmail/A 16217-2024 tillsynsbegäran mail.docx", "A 16217-2024")</f>
        <v/>
      </c>
      <c r="AE172">
        <f>HYPERLINK("https://klasma.github.io/Logging_2582/fåglar/A 16217-2024 prioriterade fågelarter.docx", "A 16217-2024")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46302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46302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46302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46302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46302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46302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46302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46302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46302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46302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46302</v>
      </c>
      <c r="F183" t="inlineStr">
        <is>
          <t>NORRBOTTENS LÄN</t>
        </is>
      </c>
      <c r="G183" t="inlineStr">
        <is>
          <t>BODEN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46302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46302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46302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44815</v>
      </c>
      <c r="E187" s="1" t="n">
        <v>46302</v>
      </c>
      <c r="F187" t="inlineStr">
        <is>
          <t>NORRBOTTENS LÄN</t>
        </is>
      </c>
      <c r="G187" t="inlineStr">
        <is>
          <t>BODEN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46302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44617</v>
      </c>
      <c r="E189" s="1" t="n">
        <v>46302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46302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46302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46302</v>
      </c>
      <c r="F192" t="inlineStr">
        <is>
          <t>NORRBOTTENS LÄN</t>
        </is>
      </c>
      <c r="G192" t="inlineStr">
        <is>
          <t>BODEN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46302</v>
      </c>
      <c r="F193" t="inlineStr">
        <is>
          <t>NORRBOTTENS LÄN</t>
        </is>
      </c>
      <c r="G193" t="inlineStr">
        <is>
          <t>BODEN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46302</v>
      </c>
      <c r="F194" t="inlineStr">
        <is>
          <t>NORRBOTTENS LÄN</t>
        </is>
      </c>
      <c r="G194" t="inlineStr">
        <is>
          <t>BODEN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44721</v>
      </c>
      <c r="E195" s="1" t="n">
        <v>46302</v>
      </c>
      <c r="F195" t="inlineStr">
        <is>
          <t>NORRBOTTENS LÄN</t>
        </is>
      </c>
      <c r="G195" t="inlineStr">
        <is>
          <t>BODEN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46302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46302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68914-2021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46302</v>
      </c>
      <c r="F198" t="inlineStr">
        <is>
          <t>NORRBOTTENS LÄN</t>
        </is>
      </c>
      <c r="G198" t="inlineStr">
        <is>
          <t>BODEN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46302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26013-2022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44734</v>
      </c>
      <c r="E200" s="1" t="n">
        <v>46302</v>
      </c>
      <c r="F200" t="inlineStr">
        <is>
          <t>NORRBOTTENS LÄN</t>
        </is>
      </c>
      <c r="G200" t="inlineStr">
        <is>
          <t>BODEN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710-2022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46302</v>
      </c>
      <c r="F201" t="inlineStr">
        <is>
          <t>NORRBOTTENS LÄN</t>
        </is>
      </c>
      <c r="G201" t="inlineStr">
        <is>
          <t>BODEN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714-2022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46302</v>
      </c>
      <c r="F202" t="inlineStr">
        <is>
          <t>NORRBOTTENS LÄN</t>
        </is>
      </c>
      <c r="G202" t="inlineStr">
        <is>
          <t>BODEN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6181-2022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44600</v>
      </c>
      <c r="E203" s="1" t="n">
        <v>46302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46302</v>
      </c>
      <c r="F204" t="inlineStr">
        <is>
          <t>NORRBOTTENS LÄN</t>
        </is>
      </c>
      <c r="G204" t="inlineStr">
        <is>
          <t>BODEN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46302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46302</v>
      </c>
      <c r="F206" t="inlineStr">
        <is>
          <t>NORRBOTTENS LÄN</t>
        </is>
      </c>
      <c r="G206" t="inlineStr">
        <is>
          <t>BODEN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69124-2021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44530</v>
      </c>
      <c r="E207" s="1" t="n">
        <v>46302</v>
      </c>
      <c r="F207" t="inlineStr">
        <is>
          <t>NORRBOTTENS LÄN</t>
        </is>
      </c>
      <c r="G207" t="inlineStr">
        <is>
          <t>BODEN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44565</v>
      </c>
      <c r="E208" s="1" t="n">
        <v>46302</v>
      </c>
      <c r="F208" t="inlineStr">
        <is>
          <t>NORRBOTTENS LÄN</t>
        </is>
      </c>
      <c r="G208" t="inlineStr">
        <is>
          <t>BODEN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44573</v>
      </c>
      <c r="E209" s="1" t="n">
        <v>46302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711-2022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44566</v>
      </c>
      <c r="E210" s="1" t="n">
        <v>46302</v>
      </c>
      <c r="F210" t="inlineStr">
        <is>
          <t>NORRBOTTENS LÄN</t>
        </is>
      </c>
      <c r="G210" t="inlineStr">
        <is>
          <t>BODEN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44617</v>
      </c>
      <c r="E211" s="1" t="n">
        <v>46302</v>
      </c>
      <c r="F211" t="inlineStr">
        <is>
          <t>NORRBOTTENS LÄN</t>
        </is>
      </c>
      <c r="G211" t="inlineStr">
        <is>
          <t>BODEN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46302</v>
      </c>
      <c r="F212" t="inlineStr">
        <is>
          <t>NORRBOTTENS LÄN</t>
        </is>
      </c>
      <c r="G212" t="inlineStr">
        <is>
          <t>BODEN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44625</v>
      </c>
      <c r="E213" s="1" t="n">
        <v>46302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46302</v>
      </c>
      <c r="F214" t="inlineStr">
        <is>
          <t>NORRBOTTENS LÄN</t>
        </is>
      </c>
      <c r="G214" t="inlineStr">
        <is>
          <t>BODEN</t>
        </is>
      </c>
      <c r="H214" t="inlineStr">
        <is>
          <t>Övriga statliga verk och myndigheter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44831</v>
      </c>
      <c r="E215" s="1" t="n">
        <v>46302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46302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46302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44743</v>
      </c>
      <c r="E218" s="1" t="n">
        <v>46302</v>
      </c>
      <c r="F218" t="inlineStr">
        <is>
          <t>NORRBOTTENS LÄN</t>
        </is>
      </c>
      <c r="G218" t="inlineStr">
        <is>
          <t>BODEN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56485-2021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46302</v>
      </c>
      <c r="F219" t="inlineStr">
        <is>
          <t>NORRBOTTENS LÄN</t>
        </is>
      </c>
      <c r="G219" t="inlineStr">
        <is>
          <t>BODEN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68569-2021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44529</v>
      </c>
      <c r="E220" s="1" t="n">
        <v>46302</v>
      </c>
      <c r="F220" t="inlineStr">
        <is>
          <t>NORRBOTTENS LÄN</t>
        </is>
      </c>
      <c r="G220" t="inlineStr">
        <is>
          <t>BODEN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44565</v>
      </c>
      <c r="E221" s="1" t="n">
        <v>46302</v>
      </c>
      <c r="F221" t="inlineStr">
        <is>
          <t>NORRBOTTENS LÄN</t>
        </is>
      </c>
      <c r="G221" t="inlineStr">
        <is>
          <t>BODEN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44635</v>
      </c>
      <c r="E222" s="1" t="n">
        <v>46302</v>
      </c>
      <c r="F222" t="inlineStr">
        <is>
          <t>NORRBOTTENS LÄN</t>
        </is>
      </c>
      <c r="G222" t="inlineStr">
        <is>
          <t>BODEN</t>
        </is>
      </c>
      <c r="H222" t="inlineStr">
        <is>
          <t>Kyrkan</t>
        </is>
      </c>
      <c r="I222" t="n">
        <v>16.5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44797</v>
      </c>
      <c r="E223" s="1" t="n">
        <v>46302</v>
      </c>
      <c r="F223" t="inlineStr">
        <is>
          <t>NORRBOTTENS LÄN</t>
        </is>
      </c>
      <c r="G223" t="inlineStr">
        <is>
          <t>BODEN</t>
        </is>
      </c>
      <c r="I223" t="n">
        <v>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46302</v>
      </c>
      <c r="F224" t="inlineStr">
        <is>
          <t>NORRBOTTENS LÄN</t>
        </is>
      </c>
      <c r="G224" t="inlineStr">
        <is>
          <t>BODEN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46302</v>
      </c>
      <c r="F225" t="inlineStr">
        <is>
          <t>NORRBOTTENS LÄN</t>
        </is>
      </c>
      <c r="G225" t="inlineStr">
        <is>
          <t>BODEN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57583-2021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44484</v>
      </c>
      <c r="E226" s="1" t="n">
        <v>46302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46302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46302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46302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16531-2022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44671</v>
      </c>
      <c r="E230" s="1" t="n">
        <v>46302</v>
      </c>
      <c r="F230" t="inlineStr">
        <is>
          <t>NORRBOTTENS LÄN</t>
        </is>
      </c>
      <c r="G230" t="inlineStr">
        <is>
          <t>BODEN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2426-2024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45310</v>
      </c>
      <c r="E231" s="1" t="n">
        <v>46302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73910-2021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46302</v>
      </c>
      <c r="F232" t="inlineStr">
        <is>
          <t>NORRBOTTENS LÄN</t>
        </is>
      </c>
      <c r="G232" t="inlineStr">
        <is>
          <t>BODEN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46302</v>
      </c>
      <c r="F233" t="inlineStr">
        <is>
          <t>NORRBOTTENS LÄN</t>
        </is>
      </c>
      <c r="G233" t="inlineStr">
        <is>
          <t>BODEN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45022</v>
      </c>
      <c r="E234" s="1" t="n">
        <v>46302</v>
      </c>
      <c r="F234" t="inlineStr">
        <is>
          <t>NORRBOTTENS LÄN</t>
        </is>
      </c>
      <c r="G234" t="inlineStr">
        <is>
          <t>BODEN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46302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46302</v>
      </c>
      <c r="F236" t="inlineStr">
        <is>
          <t>NORRBOTTENS LÄN</t>
        </is>
      </c>
      <c r="G236" t="inlineStr">
        <is>
          <t>BODEN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45762</v>
      </c>
      <c r="E237" s="1" t="n">
        <v>46302</v>
      </c>
      <c r="F237" t="inlineStr">
        <is>
          <t>NORRBOTTENS LÄN</t>
        </is>
      </c>
      <c r="G237" t="inlineStr">
        <is>
          <t>BODEN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53840-2022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44880</v>
      </c>
      <c r="E238" s="1" t="n">
        <v>46302</v>
      </c>
      <c r="F238" t="inlineStr">
        <is>
          <t>NORRBOTTENS LÄN</t>
        </is>
      </c>
      <c r="G238" t="inlineStr">
        <is>
          <t>BODEN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46302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46302</v>
      </c>
      <c r="F240" t="inlineStr">
        <is>
          <t>NORRBOTTENS LÄN</t>
        </is>
      </c>
      <c r="G240" t="inlineStr">
        <is>
          <t>BODEN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44783</v>
      </c>
      <c r="E241" s="1" t="n">
        <v>46302</v>
      </c>
      <c r="F241" t="inlineStr">
        <is>
          <t>NORRBOTTENS LÄN</t>
        </is>
      </c>
      <c r="G241" t="inlineStr">
        <is>
          <t>BODEN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45125</v>
      </c>
      <c r="E242" s="1" t="n">
        <v>46302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46302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46302</v>
      </c>
      <c r="F244" t="inlineStr">
        <is>
          <t>NORRBOTTENS LÄN</t>
        </is>
      </c>
      <c r="G244" t="inlineStr">
        <is>
          <t>BODEN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46302</v>
      </c>
      <c r="F245" t="inlineStr">
        <is>
          <t>NORRBOTTENS LÄN</t>
        </is>
      </c>
      <c r="G245" t="inlineStr">
        <is>
          <t>BODEN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46302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58877-2021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44489</v>
      </c>
      <c r="E247" s="1" t="n">
        <v>46302</v>
      </c>
      <c r="F247" t="inlineStr">
        <is>
          <t>NORRBOTTENS LÄN</t>
        </is>
      </c>
      <c r="G247" t="inlineStr">
        <is>
          <t>BODEN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46302</v>
      </c>
      <c r="F248" t="inlineStr">
        <is>
          <t>NORRBOTTENS LÄN</t>
        </is>
      </c>
      <c r="G248" t="inlineStr">
        <is>
          <t>BODEN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46302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45419</v>
      </c>
      <c r="E250" s="1" t="n">
        <v>46302</v>
      </c>
      <c r="F250" t="inlineStr">
        <is>
          <t>NORRBOTTENS LÄN</t>
        </is>
      </c>
      <c r="G250" t="inlineStr">
        <is>
          <t>BODEN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46302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45537</v>
      </c>
      <c r="E252" s="1" t="n">
        <v>46302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44881</v>
      </c>
      <c r="E253" s="1" t="n">
        <v>46302</v>
      </c>
      <c r="F253" t="inlineStr">
        <is>
          <t>NORRBOTTENS LÄN</t>
        </is>
      </c>
      <c r="G253" t="inlineStr">
        <is>
          <t>BODEN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46302</v>
      </c>
      <c r="F254" t="inlineStr">
        <is>
          <t>NORRBOTTENS LÄN</t>
        </is>
      </c>
      <c r="G254" t="inlineStr">
        <is>
          <t>BODEN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7442-2024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45345</v>
      </c>
      <c r="E255" s="1" t="n">
        <v>46302</v>
      </c>
      <c r="F255" t="inlineStr">
        <is>
          <t>NORRBOTTENS LÄN</t>
        </is>
      </c>
      <c r="G255" t="inlineStr">
        <is>
          <t>BODEN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46302</v>
      </c>
      <c r="F256" t="inlineStr">
        <is>
          <t>NORRBOTTENS LÄN</t>
        </is>
      </c>
      <c r="G256" t="inlineStr">
        <is>
          <t>BODEN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74264-2021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44558</v>
      </c>
      <c r="E257" s="1" t="n">
        <v>46302</v>
      </c>
      <c r="F257" t="inlineStr">
        <is>
          <t>NORRBOTTENS LÄN</t>
        </is>
      </c>
      <c r="G257" t="inlineStr">
        <is>
          <t>BODEN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45766</v>
      </c>
      <c r="E258" s="1" t="n">
        <v>46302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45539</v>
      </c>
      <c r="E259" s="1" t="n">
        <v>46302</v>
      </c>
      <c r="F259" t="inlineStr">
        <is>
          <t>NORRBOTTENS LÄN</t>
        </is>
      </c>
      <c r="G259" t="inlineStr">
        <is>
          <t>BODEN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46302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46302</v>
      </c>
      <c r="F261" t="inlineStr">
        <is>
          <t>NORRBOTTENS LÄN</t>
        </is>
      </c>
      <c r="G261" t="inlineStr">
        <is>
          <t>BODEN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46302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46302</v>
      </c>
      <c r="F263" t="inlineStr">
        <is>
          <t>NORRBOTTENS LÄN</t>
        </is>
      </c>
      <c r="G263" t="inlineStr">
        <is>
          <t>BODEN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45764</v>
      </c>
      <c r="E264" s="1" t="n">
        <v>46302</v>
      </c>
      <c r="F264" t="inlineStr">
        <is>
          <t>NORRBOTTENS LÄN</t>
        </is>
      </c>
      <c r="G264" t="inlineStr">
        <is>
          <t>BODEN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44983</v>
      </c>
      <c r="E265" s="1" t="n">
        <v>46302</v>
      </c>
      <c r="F265" t="inlineStr">
        <is>
          <t>NORRBOTTENS LÄN</t>
        </is>
      </c>
      <c r="G265" t="inlineStr">
        <is>
          <t>BODEN</t>
        </is>
      </c>
      <c r="I265" t="n">
        <v>37.1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46302</v>
      </c>
      <c r="F266" t="inlineStr">
        <is>
          <t>NORRBOTTENS LÄN</t>
        </is>
      </c>
      <c r="G266" t="inlineStr">
        <is>
          <t>BODEN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46302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15.8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45397</v>
      </c>
      <c r="E268" s="1" t="n">
        <v>46302</v>
      </c>
      <c r="F268" t="inlineStr">
        <is>
          <t>NORRBOTTENS LÄN</t>
        </is>
      </c>
      <c r="G268" t="inlineStr">
        <is>
          <t>BODEN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45397</v>
      </c>
      <c r="E269" s="1" t="n">
        <v>46302</v>
      </c>
      <c r="F269" t="inlineStr">
        <is>
          <t>NORRBOTTENS LÄN</t>
        </is>
      </c>
      <c r="G269" t="inlineStr">
        <is>
          <t>BODEN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46302</v>
      </c>
      <c r="F270" t="inlineStr">
        <is>
          <t>NORRBOTTENS LÄN</t>
        </is>
      </c>
      <c r="G270" t="inlineStr">
        <is>
          <t>BODEN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46302</v>
      </c>
      <c r="F271" t="inlineStr">
        <is>
          <t>NORRBOTTENS LÄN</t>
        </is>
      </c>
      <c r="G271" t="inlineStr">
        <is>
          <t>BODEN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46302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46302</v>
      </c>
      <c r="F273" t="inlineStr">
        <is>
          <t>NORRBOTTENS LÄN</t>
        </is>
      </c>
      <c r="G273" t="inlineStr">
        <is>
          <t>BODEN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46302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31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46302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10.3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45803</v>
      </c>
      <c r="E276" s="1" t="n">
        <v>46302</v>
      </c>
      <c r="F276" t="inlineStr">
        <is>
          <t>NORRBOTTENS LÄN</t>
        </is>
      </c>
      <c r="G276" t="inlineStr">
        <is>
          <t>BODEN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46302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45260</v>
      </c>
      <c r="E278" s="1" t="n">
        <v>46302</v>
      </c>
      <c r="F278" t="inlineStr">
        <is>
          <t>NORRBOTTENS LÄN</t>
        </is>
      </c>
      <c r="G278" t="inlineStr">
        <is>
          <t>BODEN</t>
        </is>
      </c>
      <c r="I278" t="n">
        <v>33.9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34969-2024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45527</v>
      </c>
      <c r="E279" s="1" t="n">
        <v>46302</v>
      </c>
      <c r="F279" t="inlineStr">
        <is>
          <t>NORRBOTTENS LÄN</t>
        </is>
      </c>
      <c r="G279" t="inlineStr">
        <is>
          <t>BODEN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57873-2021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44484</v>
      </c>
      <c r="E280" s="1" t="n">
        <v>46302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60466-2024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45643</v>
      </c>
      <c r="E281" s="1" t="n">
        <v>46302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46302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46302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46302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63841-2025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46020</v>
      </c>
      <c r="E285" s="1" t="n">
        <v>46302</v>
      </c>
      <c r="F285" t="inlineStr">
        <is>
          <t>NORRBOTTENS LÄN</t>
        </is>
      </c>
      <c r="G285" t="inlineStr">
        <is>
          <t>BODEN</t>
        </is>
      </c>
      <c r="I285" t="n">
        <v>10.9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45608</v>
      </c>
      <c r="E286" s="1" t="n">
        <v>46302</v>
      </c>
      <c r="F286" t="inlineStr">
        <is>
          <t>NORRBOTTENS LÄN</t>
        </is>
      </c>
      <c r="G286" t="inlineStr">
        <is>
          <t>BODEN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45608</v>
      </c>
      <c r="E287" s="1" t="n">
        <v>46302</v>
      </c>
      <c r="F287" t="inlineStr">
        <is>
          <t>NORRBOTTENS LÄN</t>
        </is>
      </c>
      <c r="G287" t="inlineStr">
        <is>
          <t>BODEN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32906-2024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45516</v>
      </c>
      <c r="E288" s="1" t="n">
        <v>46302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32913-2024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45516</v>
      </c>
      <c r="E289" s="1" t="n">
        <v>46302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45590</v>
      </c>
      <c r="E290" s="1" t="n">
        <v>46302</v>
      </c>
      <c r="F290" t="inlineStr">
        <is>
          <t>NORRBOTTENS LÄN</t>
        </is>
      </c>
      <c r="G290" t="inlineStr">
        <is>
          <t>BODEN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44935</v>
      </c>
      <c r="E291" s="1" t="n">
        <v>46302</v>
      </c>
      <c r="F291" t="inlineStr">
        <is>
          <t>NORRBOTTENS LÄN</t>
        </is>
      </c>
      <c r="G291" t="inlineStr">
        <is>
          <t>BODEN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46302</v>
      </c>
      <c r="F292" t="inlineStr">
        <is>
          <t>NORRBOTTENS LÄN</t>
        </is>
      </c>
      <c r="G292" t="inlineStr">
        <is>
          <t>BODEN</t>
        </is>
      </c>
      <c r="H292" t="inlineStr">
        <is>
          <t>Naturvårdsverket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45429</v>
      </c>
      <c r="E293" s="1" t="n">
        <v>46302</v>
      </c>
      <c r="F293" t="inlineStr">
        <is>
          <t>NORRBOTTENS LÄN</t>
        </is>
      </c>
      <c r="G293" t="inlineStr">
        <is>
          <t>BODEN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45464</v>
      </c>
      <c r="E294" s="1" t="n">
        <v>46302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46302</v>
      </c>
      <c r="F295" t="inlineStr">
        <is>
          <t>NORRBOTTENS LÄN</t>
        </is>
      </c>
      <c r="G295" t="inlineStr">
        <is>
          <t>BODEN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46302</v>
      </c>
      <c r="F296" t="inlineStr">
        <is>
          <t>NORRBOTTENS LÄN</t>
        </is>
      </c>
      <c r="G296" t="inlineStr">
        <is>
          <t>BODEN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46302</v>
      </c>
      <c r="F297" t="inlineStr">
        <is>
          <t>NORRBOTTENS LÄN</t>
        </is>
      </c>
      <c r="G297" t="inlineStr">
        <is>
          <t>BODEN</t>
        </is>
      </c>
      <c r="I297" t="n">
        <v>7.8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46302</v>
      </c>
      <c r="F298" t="inlineStr">
        <is>
          <t>NORRBOTTENS LÄN</t>
        </is>
      </c>
      <c r="G298" t="inlineStr">
        <is>
          <t>BODEN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38652-2024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46302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46302</v>
      </c>
      <c r="F300" t="inlineStr">
        <is>
          <t>NORRBOTTENS LÄN</t>
        </is>
      </c>
      <c r="G300" t="inlineStr">
        <is>
          <t>BODEN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45649</v>
      </c>
      <c r="E301" s="1" t="n">
        <v>46302</v>
      </c>
      <c r="F301" t="inlineStr">
        <is>
          <t>NORRBOTTENS LÄN</t>
        </is>
      </c>
      <c r="G301" t="inlineStr">
        <is>
          <t>BODEN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45543</v>
      </c>
      <c r="E302" s="1" t="n">
        <v>46302</v>
      </c>
      <c r="F302" t="inlineStr">
        <is>
          <t>NORRBOTTENS LÄN</t>
        </is>
      </c>
      <c r="G302" t="inlineStr">
        <is>
          <t>BODEN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45709</v>
      </c>
      <c r="E303" s="1" t="n">
        <v>46302</v>
      </c>
      <c r="F303" t="inlineStr">
        <is>
          <t>NORRBOTTENS LÄN</t>
        </is>
      </c>
      <c r="G303" t="inlineStr">
        <is>
          <t>BODEN</t>
        </is>
      </c>
      <c r="H303" t="inlineStr">
        <is>
          <t>Övriga Aktiebolag</t>
        </is>
      </c>
      <c r="I303" t="n">
        <v>14.3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46302</v>
      </c>
      <c r="F304" t="inlineStr">
        <is>
          <t>NORRBOTTENS LÄN</t>
        </is>
      </c>
      <c r="G304" t="inlineStr">
        <is>
          <t>BODEN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46302</v>
      </c>
      <c r="F305" t="inlineStr">
        <is>
          <t>NORRBOTTENS LÄN</t>
        </is>
      </c>
      <c r="G305" t="inlineStr">
        <is>
          <t>BODEN</t>
        </is>
      </c>
      <c r="I305" t="n">
        <v>13.9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45813</v>
      </c>
      <c r="E306" s="1" t="n">
        <v>46302</v>
      </c>
      <c r="F306" t="inlineStr">
        <is>
          <t>NORRBOTTENS LÄN</t>
        </is>
      </c>
      <c r="G306" t="inlineStr">
        <is>
          <t>BODEN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46302</v>
      </c>
      <c r="F307" t="inlineStr">
        <is>
          <t>NORRBOTTENS LÄN</t>
        </is>
      </c>
      <c r="G307" t="inlineStr">
        <is>
          <t>BODEN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41487-2024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45560</v>
      </c>
      <c r="E308" s="1" t="n">
        <v>46302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57563-2023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46302</v>
      </c>
      <c r="F309" t="inlineStr">
        <is>
          <t>NORRBOTTENS LÄN</t>
        </is>
      </c>
      <c r="G309" t="inlineStr">
        <is>
          <t>BODEN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46302</v>
      </c>
      <c r="F310" t="inlineStr">
        <is>
          <t>NORRBOTTENS LÄN</t>
        </is>
      </c>
      <c r="G310" t="inlineStr">
        <is>
          <t>BODEN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46302</v>
      </c>
      <c r="F311" t="inlineStr">
        <is>
          <t>NORRBOTTENS LÄN</t>
        </is>
      </c>
      <c r="G311" t="inlineStr">
        <is>
          <t>BODEN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46052</v>
      </c>
      <c r="E312" s="1" t="n">
        <v>46302</v>
      </c>
      <c r="F312" t="inlineStr">
        <is>
          <t>NORRBOTTENS LÄN</t>
        </is>
      </c>
      <c r="G312" t="inlineStr">
        <is>
          <t>BODEN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40816-2025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45897</v>
      </c>
      <c r="E313" s="1" t="n">
        <v>46302</v>
      </c>
      <c r="F313" t="inlineStr">
        <is>
          <t>NORRBOTTENS LÄN</t>
        </is>
      </c>
      <c r="G313" t="inlineStr">
        <is>
          <t>BODEN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46302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46302</v>
      </c>
      <c r="F315" t="inlineStr">
        <is>
          <t>NORRBOTTENS LÄN</t>
        </is>
      </c>
      <c r="G315" t="inlineStr">
        <is>
          <t>BODEN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46302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46302</v>
      </c>
      <c r="F317" t="inlineStr">
        <is>
          <t>NORRBOTTENS LÄN</t>
        </is>
      </c>
      <c r="G317" t="inlineStr">
        <is>
          <t>BODEN</t>
        </is>
      </c>
      <c r="I317" t="n">
        <v>9.800000000000001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46302</v>
      </c>
      <c r="F318" t="inlineStr">
        <is>
          <t>NORRBOTTENS LÄN</t>
        </is>
      </c>
      <c r="G318" t="inlineStr">
        <is>
          <t>BODEN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46302</v>
      </c>
      <c r="F319" t="inlineStr">
        <is>
          <t>NORRBOTTENS LÄN</t>
        </is>
      </c>
      <c r="G319" t="inlineStr">
        <is>
          <t>BODEN</t>
        </is>
      </c>
      <c r="H319" t="inlineStr">
        <is>
          <t>Övriga statliga verk och myndigheter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46302</v>
      </c>
      <c r="F320" t="inlineStr">
        <is>
          <t>NORRBOTTENS LÄN</t>
        </is>
      </c>
      <c r="G320" t="inlineStr">
        <is>
          <t>BODEN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46057</v>
      </c>
      <c r="E321" s="1" t="n">
        <v>46302</v>
      </c>
      <c r="F321" t="inlineStr">
        <is>
          <t>NORRBOTTENS LÄN</t>
        </is>
      </c>
      <c r="G321" t="inlineStr">
        <is>
          <t>BODEN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29109-2024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45481</v>
      </c>
      <c r="E322" s="1" t="n">
        <v>46302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16020-2025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45748</v>
      </c>
      <c r="E323" s="1" t="n">
        <v>46302</v>
      </c>
      <c r="F323" t="inlineStr">
        <is>
          <t>NORRBOTTENS LÄN</t>
        </is>
      </c>
      <c r="G323" t="inlineStr">
        <is>
          <t>BODEN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46302</v>
      </c>
      <c r="F324" t="inlineStr">
        <is>
          <t>NORRBOTTENS LÄN</t>
        </is>
      </c>
      <c r="G324" t="inlineStr">
        <is>
          <t>BODEN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46302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45766</v>
      </c>
      <c r="E326" s="1" t="n">
        <v>46302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41691-2025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45902</v>
      </c>
      <c r="E327" s="1" t="n">
        <v>46302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28297-2025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45818</v>
      </c>
      <c r="E328" s="1" t="n">
        <v>46302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46058</v>
      </c>
      <c r="E329" s="1" t="n">
        <v>46302</v>
      </c>
      <c r="F329" t="inlineStr">
        <is>
          <t>NORRBOTTENS LÄN</t>
        </is>
      </c>
      <c r="G329" t="inlineStr">
        <is>
          <t>BODEN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45427</v>
      </c>
      <c r="E330" s="1" t="n">
        <v>46302</v>
      </c>
      <c r="F330" t="inlineStr">
        <is>
          <t>NORRBOTTENS LÄN</t>
        </is>
      </c>
      <c r="G330" t="inlineStr">
        <is>
          <t>BODEN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7669-2026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46062</v>
      </c>
      <c r="E331" s="1" t="n">
        <v>46302</v>
      </c>
      <c r="F331" t="inlineStr">
        <is>
          <t>NORRBOTTENS LÄN</t>
        </is>
      </c>
      <c r="G331" t="inlineStr">
        <is>
          <t>BODEN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46302</v>
      </c>
      <c r="F332" t="inlineStr">
        <is>
          <t>NORRBOTTENS LÄN</t>
        </is>
      </c>
      <c r="G332" t="inlineStr">
        <is>
          <t>BODEN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7923-2026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46063</v>
      </c>
      <c r="E333" s="1" t="n">
        <v>46302</v>
      </c>
      <c r="F333" t="inlineStr">
        <is>
          <t>NORRBOTTENS LÄN</t>
        </is>
      </c>
      <c r="G333" t="inlineStr">
        <is>
          <t>BODEN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45110</v>
      </c>
      <c r="E334" s="1" t="n">
        <v>46302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46302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42656-2025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45907</v>
      </c>
      <c r="E336" s="1" t="n">
        <v>46302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9.6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45911</v>
      </c>
      <c r="E337" s="1" t="n">
        <v>46302</v>
      </c>
      <c r="F337" t="inlineStr">
        <is>
          <t>NORRBOTTENS LÄN</t>
        </is>
      </c>
      <c r="G337" t="inlineStr">
        <is>
          <t>BODEN</t>
        </is>
      </c>
      <c r="I337" t="n">
        <v>9.699999999999999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46302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45910</v>
      </c>
      <c r="E339" s="1" t="n">
        <v>46302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45574</v>
      </c>
      <c r="E340" s="1" t="n">
        <v>46302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28270-2025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45818</v>
      </c>
      <c r="E341" s="1" t="n">
        <v>46302</v>
      </c>
      <c r="F341" t="inlineStr">
        <is>
          <t>NORRBOTTENS LÄN</t>
        </is>
      </c>
      <c r="G341" t="inlineStr">
        <is>
          <t>BODEN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46302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46302</v>
      </c>
      <c r="F343" t="inlineStr">
        <is>
          <t>NORRBOTTENS LÄN</t>
        </is>
      </c>
      <c r="G343" t="inlineStr">
        <is>
          <t>BODEN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43838-2025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46302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46302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43993-2025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46302</v>
      </c>
      <c r="F346" t="inlineStr">
        <is>
          <t>NORRBOTTENS LÄN</t>
        </is>
      </c>
      <c r="G346" t="inlineStr">
        <is>
          <t>BODEN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46302</v>
      </c>
      <c r="F347" t="inlineStr">
        <is>
          <t>NORRBOTTENS LÄN</t>
        </is>
      </c>
      <c r="G347" t="inlineStr">
        <is>
          <t>BODEN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46302</v>
      </c>
      <c r="F348" t="inlineStr">
        <is>
          <t>NORRBOTTENS LÄN</t>
        </is>
      </c>
      <c r="G348" t="inlineStr">
        <is>
          <t>BODEN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46302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45070</v>
      </c>
      <c r="E350" s="1" t="n">
        <v>46302</v>
      </c>
      <c r="F350" t="inlineStr">
        <is>
          <t>NORRBOTTENS LÄN</t>
        </is>
      </c>
      <c r="G350" t="inlineStr">
        <is>
          <t>BODEN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46302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46302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10694-2026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46078</v>
      </c>
      <c r="E353" s="1" t="n">
        <v>46302</v>
      </c>
      <c r="F353" t="inlineStr">
        <is>
          <t>NORRBOTTENS LÄN</t>
        </is>
      </c>
      <c r="G353" t="inlineStr">
        <is>
          <t>BODEN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46076</v>
      </c>
      <c r="E354" s="1" t="n">
        <v>46302</v>
      </c>
      <c r="F354" t="inlineStr">
        <is>
          <t>NORRBOTTENS LÄN</t>
        </is>
      </c>
      <c r="G354" t="inlineStr">
        <is>
          <t>BODEN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46302</v>
      </c>
      <c r="F355" t="inlineStr">
        <is>
          <t>NORRBOTTENS LÄN</t>
        </is>
      </c>
      <c r="G355" t="inlineStr">
        <is>
          <t>BODEN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45544-2025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46302</v>
      </c>
      <c r="F356" t="inlineStr">
        <is>
          <t>NORRBOTTENS LÄN</t>
        </is>
      </c>
      <c r="G356" t="inlineStr">
        <is>
          <t>BODEN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46302</v>
      </c>
      <c r="F357" t="inlineStr">
        <is>
          <t>NORRBOTTENS LÄN</t>
        </is>
      </c>
      <c r="G357" t="inlineStr">
        <is>
          <t>BODEN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45616-2025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46302</v>
      </c>
      <c r="F358" t="inlineStr">
        <is>
          <t>NORRBOTTENS LÄN</t>
        </is>
      </c>
      <c r="G358" t="inlineStr">
        <is>
          <t>BODEN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45617-2025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46302</v>
      </c>
      <c r="F359" t="inlineStr">
        <is>
          <t>NORRBOTTENS LÄN</t>
        </is>
      </c>
      <c r="G359" t="inlineStr">
        <is>
          <t>BODEN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46302</v>
      </c>
      <c r="F360" t="inlineStr">
        <is>
          <t>NORRBOTTENS LÄN</t>
        </is>
      </c>
      <c r="G360" t="inlineStr">
        <is>
          <t>BODEN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46302</v>
      </c>
      <c r="F361" t="inlineStr">
        <is>
          <t>NORRBOTTENS LÄN</t>
        </is>
      </c>
      <c r="G361" t="inlineStr">
        <is>
          <t>BODEN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45672</v>
      </c>
      <c r="E362" s="1" t="n">
        <v>46302</v>
      </c>
      <c r="F362" t="inlineStr">
        <is>
          <t>NORRBOTTENS LÄN</t>
        </is>
      </c>
      <c r="G362" t="inlineStr">
        <is>
          <t>BODEN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11632-2026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46302</v>
      </c>
      <c r="F363" t="inlineStr">
        <is>
          <t>NORRBOTTENS LÄN</t>
        </is>
      </c>
      <c r="G363" t="inlineStr">
        <is>
          <t>BODEN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46302</v>
      </c>
      <c r="F364" t="inlineStr">
        <is>
          <t>NORRBOTTENS LÄN</t>
        </is>
      </c>
      <c r="G364" t="inlineStr">
        <is>
          <t>BODEN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46302</v>
      </c>
      <c r="F365" t="inlineStr">
        <is>
          <t>NORRBOTTENS LÄN</t>
        </is>
      </c>
      <c r="G365" t="inlineStr">
        <is>
          <t>BODEN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46302</v>
      </c>
      <c r="F366" t="inlineStr">
        <is>
          <t>NORRBOTTENS LÄN</t>
        </is>
      </c>
      <c r="G366" t="inlineStr">
        <is>
          <t>BODEN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11636-2026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46084</v>
      </c>
      <c r="E367" s="1" t="n">
        <v>46302</v>
      </c>
      <c r="F367" t="inlineStr">
        <is>
          <t>NORRBOTTENS LÄN</t>
        </is>
      </c>
      <c r="G367" t="inlineStr">
        <is>
          <t>BODEN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46302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46084</v>
      </c>
      <c r="E369" s="1" t="n">
        <v>46302</v>
      </c>
      <c r="F369" t="inlineStr">
        <is>
          <t>NORRBOTTENS LÄN</t>
        </is>
      </c>
      <c r="G369" t="inlineStr">
        <is>
          <t>BODEN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59890-2023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45254</v>
      </c>
      <c r="E370" s="1" t="n">
        <v>46302</v>
      </c>
      <c r="F370" t="inlineStr">
        <is>
          <t>NORRBOTTENS LÄN</t>
        </is>
      </c>
      <c r="G370" t="inlineStr">
        <is>
          <t>BODEN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46086</v>
      </c>
      <c r="E371" s="1" t="n">
        <v>46302</v>
      </c>
      <c r="F371" t="inlineStr">
        <is>
          <t>NORRBOTTENS LÄN</t>
        </is>
      </c>
      <c r="G371" t="inlineStr">
        <is>
          <t>BODEN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45969-2025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45924</v>
      </c>
      <c r="E372" s="1" t="n">
        <v>46302</v>
      </c>
      <c r="F372" t="inlineStr">
        <is>
          <t>NORRBOTTENS LÄN</t>
        </is>
      </c>
      <c r="G372" t="inlineStr">
        <is>
          <t>BODEN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12338-2026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46087</v>
      </c>
      <c r="E373" s="1" t="n">
        <v>46302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45926</v>
      </c>
      <c r="E374" s="1" t="n">
        <v>46302</v>
      </c>
      <c r="F374" t="inlineStr">
        <is>
          <t>NORRBOTTENS LÄN</t>
        </is>
      </c>
      <c r="G374" t="inlineStr">
        <is>
          <t>BODEN</t>
        </is>
      </c>
      <c r="H374" t="inlineStr">
        <is>
          <t>Övriga Aktiebolag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45926</v>
      </c>
      <c r="E375" s="1" t="n">
        <v>46302</v>
      </c>
      <c r="F375" t="inlineStr">
        <is>
          <t>NORRBOTTENS LÄN</t>
        </is>
      </c>
      <c r="G375" t="inlineStr">
        <is>
          <t>BODEN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46302</v>
      </c>
      <c r="F376" t="inlineStr">
        <is>
          <t>NORRBOTTENS LÄN</t>
        </is>
      </c>
      <c r="G376" t="inlineStr">
        <is>
          <t>BODEN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25575-2024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45463</v>
      </c>
      <c r="E377" s="1" t="n">
        <v>46302</v>
      </c>
      <c r="F377" t="inlineStr">
        <is>
          <t>NORRBOTTENS LÄN</t>
        </is>
      </c>
      <c r="G377" t="inlineStr">
        <is>
          <t>BODEN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45931</v>
      </c>
      <c r="E378" s="1" t="n">
        <v>46302</v>
      </c>
      <c r="F378" t="inlineStr">
        <is>
          <t>NORRBOTTENS LÄN</t>
        </is>
      </c>
      <c r="G378" t="inlineStr">
        <is>
          <t>BODEN</t>
        </is>
      </c>
      <c r="H378" t="inlineStr">
        <is>
          <t>Övriga Aktiebolag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46302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47483-2025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46302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46302</v>
      </c>
      <c r="F381" t="inlineStr">
        <is>
          <t>NORRBOTTENS LÄN</t>
        </is>
      </c>
      <c r="G381" t="inlineStr">
        <is>
          <t>BODEN</t>
        </is>
      </c>
      <c r="H381" t="inlineStr">
        <is>
          <t>Övriga Aktiebolag</t>
        </is>
      </c>
      <c r="I381" t="n">
        <v>9.800000000000001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48091-2025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45933</v>
      </c>
      <c r="E382" s="1" t="n">
        <v>46302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42653-2025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45906</v>
      </c>
      <c r="E383" s="1" t="n">
        <v>46302</v>
      </c>
      <c r="F383" t="inlineStr">
        <is>
          <t>NORRBOTTENS LÄN</t>
        </is>
      </c>
      <c r="G383" t="inlineStr">
        <is>
          <t>BODEN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46302</v>
      </c>
      <c r="F384" t="inlineStr">
        <is>
          <t>NORRBOTTENS LÄN</t>
        </is>
      </c>
      <c r="G384" t="inlineStr">
        <is>
          <t>BODEN</t>
        </is>
      </c>
      <c r="H384" t="inlineStr">
        <is>
          <t>Övriga Aktiebolag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45667</v>
      </c>
      <c r="E385" s="1" t="n">
        <v>46302</v>
      </c>
      <c r="F385" t="inlineStr">
        <is>
          <t>NORRBOTTENS LÄN</t>
        </is>
      </c>
      <c r="G385" t="inlineStr">
        <is>
          <t>BODEN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45933</v>
      </c>
      <c r="E386" s="1" t="n">
        <v>46302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48173-2025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45933</v>
      </c>
      <c r="E387" s="1" t="n">
        <v>46302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32052-2025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46302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13717-2026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46097</v>
      </c>
      <c r="E389" s="1" t="n">
        <v>46302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46302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46302</v>
      </c>
      <c r="F391" t="inlineStr">
        <is>
          <t>NORRBOTTENS LÄN</t>
        </is>
      </c>
      <c r="G391" t="inlineStr">
        <is>
          <t>BODEN</t>
        </is>
      </c>
      <c r="I391" t="n">
        <v>10.2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45803</v>
      </c>
      <c r="E392" s="1" t="n">
        <v>46302</v>
      </c>
      <c r="F392" t="inlineStr">
        <is>
          <t>NORRBOTTENS LÄN</t>
        </is>
      </c>
      <c r="G392" t="inlineStr">
        <is>
          <t>BODEN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45376-2025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45922</v>
      </c>
      <c r="E393" s="1" t="n">
        <v>46302</v>
      </c>
      <c r="F393" t="inlineStr">
        <is>
          <t>NORRBOTTENS LÄN</t>
        </is>
      </c>
      <c r="G393" t="inlineStr">
        <is>
          <t>BODEN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46302</v>
      </c>
      <c r="F394" t="inlineStr">
        <is>
          <t>NORRBOTTENS LÄN</t>
        </is>
      </c>
      <c r="G394" t="inlineStr">
        <is>
          <t>BODEN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18002-2025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45761</v>
      </c>
      <c r="E395" s="1" t="n">
        <v>46302</v>
      </c>
      <c r="F395" t="inlineStr">
        <is>
          <t>NORRBOTTENS LÄN</t>
        </is>
      </c>
      <c r="G395" t="inlineStr">
        <is>
          <t>BODEN</t>
        </is>
      </c>
      <c r="H395" t="inlineStr">
        <is>
          <t>Övriga statliga verk och myndigheter</t>
        </is>
      </c>
      <c r="I395" t="n">
        <v>11.5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14245-2026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46099</v>
      </c>
      <c r="E396" s="1" t="n">
        <v>46302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46302</v>
      </c>
      <c r="F397" t="inlineStr">
        <is>
          <t>NORRBOTTENS LÄN</t>
        </is>
      </c>
      <c r="G397" t="inlineStr">
        <is>
          <t>BODEN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11092-2022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44628</v>
      </c>
      <c r="E398" s="1" t="n">
        <v>46302</v>
      </c>
      <c r="F398" t="inlineStr">
        <is>
          <t>NORRBOTTENS LÄN</t>
        </is>
      </c>
      <c r="G398" t="inlineStr">
        <is>
          <t>BODEN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49379-2025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46302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46302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38371-2023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46302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46302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45718</v>
      </c>
      <c r="E403" s="1" t="n">
        <v>46302</v>
      </c>
      <c r="F403" t="inlineStr">
        <is>
          <t>NORRBOTTENS LÄN</t>
        </is>
      </c>
      <c r="G403" t="inlineStr">
        <is>
          <t>BODEN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57579-2023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45246</v>
      </c>
      <c r="E404" s="1" t="n">
        <v>46302</v>
      </c>
      <c r="F404" t="inlineStr">
        <is>
          <t>NORRBOTTENS LÄN</t>
        </is>
      </c>
      <c r="G404" t="inlineStr">
        <is>
          <t>BODEN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33130-2025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45840</v>
      </c>
      <c r="E405" s="1" t="n">
        <v>46302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33276-2025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45840</v>
      </c>
      <c r="E406" s="1" t="n">
        <v>46302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50147-2025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45943</v>
      </c>
      <c r="E407" s="1" t="n">
        <v>46302</v>
      </c>
      <c r="F407" t="inlineStr">
        <is>
          <t>NORRBOTTENS LÄN</t>
        </is>
      </c>
      <c r="G407" t="inlineStr">
        <is>
          <t>BODEN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46302</v>
      </c>
      <c r="F408" t="inlineStr">
        <is>
          <t>NORRBOTTENS LÄN</t>
        </is>
      </c>
      <c r="G408" t="inlineStr">
        <is>
          <t>BODEN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45843</v>
      </c>
      <c r="E409" s="1" t="n">
        <v>46302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8782-2024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45356</v>
      </c>
      <c r="E410" s="1" t="n">
        <v>46302</v>
      </c>
      <c r="F410" t="inlineStr">
        <is>
          <t>NORRBOTTENS LÄN</t>
        </is>
      </c>
      <c r="G410" t="inlineStr">
        <is>
          <t>BODEN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46302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46302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50387-2025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45944</v>
      </c>
      <c r="E413" s="1" t="n">
        <v>46302</v>
      </c>
      <c r="F413" t="inlineStr">
        <is>
          <t>NORRBOTTENS LÄN</t>
        </is>
      </c>
      <c r="G413" t="inlineStr">
        <is>
          <t>BODEN</t>
        </is>
      </c>
      <c r="H413" t="inlineStr">
        <is>
          <t>Sveaskog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50419-2025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46302</v>
      </c>
      <c r="F414" t="inlineStr">
        <is>
          <t>NORRBOTTENS LÄN</t>
        </is>
      </c>
      <c r="G414" t="inlineStr">
        <is>
          <t>BODEN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9322-2024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45358</v>
      </c>
      <c r="E415" s="1" t="n">
        <v>46302</v>
      </c>
      <c r="F415" t="inlineStr">
        <is>
          <t>NORRBOTTENS LÄN</t>
        </is>
      </c>
      <c r="G415" t="inlineStr">
        <is>
          <t>BODEN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28444-2023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45102</v>
      </c>
      <c r="E416" s="1" t="n">
        <v>46302</v>
      </c>
      <c r="F416" t="inlineStr">
        <is>
          <t>NORRBOTTENS LÄN</t>
        </is>
      </c>
      <c r="G416" t="inlineStr">
        <is>
          <t>BODEN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45316</v>
      </c>
      <c r="E417" s="1" t="n">
        <v>46302</v>
      </c>
      <c r="F417" t="inlineStr">
        <is>
          <t>NORRBOTTENS LÄN</t>
        </is>
      </c>
      <c r="G417" t="inlineStr">
        <is>
          <t>BODEN</t>
        </is>
      </c>
      <c r="I417" t="n">
        <v>8.800000000000001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46302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46302</v>
      </c>
      <c r="F419" t="inlineStr">
        <is>
          <t>NORRBOTTENS LÄN</t>
        </is>
      </c>
      <c r="G419" t="inlineStr">
        <is>
          <t>BODEN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50471-2025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46302</v>
      </c>
      <c r="F420" t="inlineStr">
        <is>
          <t>NORRBOTTENS LÄN</t>
        </is>
      </c>
      <c r="G420" t="inlineStr">
        <is>
          <t>BODEN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46302</v>
      </c>
      <c r="F421" t="inlineStr">
        <is>
          <t>NORRBOTTENS LÄN</t>
        </is>
      </c>
      <c r="G421" t="inlineStr">
        <is>
          <t>BODEN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15342-2026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46302</v>
      </c>
      <c r="F422" t="inlineStr">
        <is>
          <t>NORRBOTTENS LÄN</t>
        </is>
      </c>
      <c r="G422" t="inlineStr">
        <is>
          <t>BODEN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45944</v>
      </c>
      <c r="E423" s="1" t="n">
        <v>46302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68611-2021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44529</v>
      </c>
      <c r="E424" s="1" t="n">
        <v>46302</v>
      </c>
      <c r="F424" t="inlineStr">
        <is>
          <t>NORRBOTTENS LÄN</t>
        </is>
      </c>
      <c r="G424" t="inlineStr">
        <is>
          <t>BODEN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13556-2022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44648</v>
      </c>
      <c r="E425" s="1" t="n">
        <v>46302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45947</v>
      </c>
      <c r="E426" s="1" t="n">
        <v>46302</v>
      </c>
      <c r="F426" t="inlineStr">
        <is>
          <t>NORRBOTTENS LÄN</t>
        </is>
      </c>
      <c r="G426" t="inlineStr">
        <is>
          <t>BODEN</t>
        </is>
      </c>
      <c r="H426" t="inlineStr">
        <is>
          <t>Sveaskog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45212</v>
      </c>
      <c r="E427" s="1" t="n">
        <v>46302</v>
      </c>
      <c r="F427" t="inlineStr">
        <is>
          <t>NORRBOTTENS LÄN</t>
        </is>
      </c>
      <c r="G427" t="inlineStr">
        <is>
          <t>BODEN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46302</v>
      </c>
      <c r="F428" t="inlineStr">
        <is>
          <t>NORRBOTTENS LÄN</t>
        </is>
      </c>
      <c r="G428" t="inlineStr">
        <is>
          <t>BODEN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51460-2025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45950</v>
      </c>
      <c r="E429" s="1" t="n">
        <v>46302</v>
      </c>
      <c r="F429" t="inlineStr">
        <is>
          <t>NORRBOTTENS LÄN</t>
        </is>
      </c>
      <c r="G429" t="inlineStr">
        <is>
          <t>BODEN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59331-2021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44490</v>
      </c>
      <c r="E430" s="1" t="n">
        <v>46302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45953</v>
      </c>
      <c r="E431" s="1" t="n">
        <v>46302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45953</v>
      </c>
      <c r="E432" s="1" t="n">
        <v>46302</v>
      </c>
      <c r="F432" t="inlineStr">
        <is>
          <t>NORRBOTTENS LÄN</t>
        </is>
      </c>
      <c r="G432" t="inlineStr">
        <is>
          <t>BODEN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45953</v>
      </c>
      <c r="E433" s="1" t="n">
        <v>46302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24058-2025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45796</v>
      </c>
      <c r="E434" s="1" t="n">
        <v>46302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2601-2025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45674</v>
      </c>
      <c r="E435" s="1" t="n">
        <v>46302</v>
      </c>
      <c r="F435" t="inlineStr">
        <is>
          <t>NORRBOTTENS LÄN</t>
        </is>
      </c>
      <c r="G435" t="inlineStr">
        <is>
          <t>BODEN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28079-2024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45476</v>
      </c>
      <c r="E436" s="1" t="n">
        <v>46302</v>
      </c>
      <c r="F436" t="inlineStr">
        <is>
          <t>NORRBOTTENS LÄN</t>
        </is>
      </c>
      <c r="G436" t="inlineStr">
        <is>
          <t>BODEN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45596</v>
      </c>
      <c r="E437" s="1" t="n">
        <v>46302</v>
      </c>
      <c r="F437" t="inlineStr">
        <is>
          <t>NORRBOTTENS LÄN</t>
        </is>
      </c>
      <c r="G437" t="inlineStr">
        <is>
          <t>BODEN</t>
        </is>
      </c>
      <c r="I437" t="n">
        <v>22.7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36019-2025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45863</v>
      </c>
      <c r="E438" s="1" t="n">
        <v>46302</v>
      </c>
      <c r="F438" t="inlineStr">
        <is>
          <t>NORRBOTTENS LÄN</t>
        </is>
      </c>
      <c r="G438" t="inlineStr">
        <is>
          <t>BODEN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51525-2025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45950</v>
      </c>
      <c r="E439" s="1" t="n">
        <v>46302</v>
      </c>
      <c r="F439" t="inlineStr">
        <is>
          <t>NORRBOTTENS LÄN</t>
        </is>
      </c>
      <c r="G439" t="inlineStr">
        <is>
          <t>BODEN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52645-2025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45955</v>
      </c>
      <c r="E440" s="1" t="n">
        <v>46302</v>
      </c>
      <c r="F440" t="inlineStr">
        <is>
          <t>NORRBOTTENS LÄN</t>
        </is>
      </c>
      <c r="G440" t="inlineStr">
        <is>
          <t>BODEN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52646-2025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45955</v>
      </c>
      <c r="E441" s="1" t="n">
        <v>46302</v>
      </c>
      <c r="F441" t="inlineStr">
        <is>
          <t>NORRBOTTENS LÄN</t>
        </is>
      </c>
      <c r="G441" t="inlineStr">
        <is>
          <t>BODEN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57575-2025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45980</v>
      </c>
      <c r="E442" s="1" t="n">
        <v>46302</v>
      </c>
      <c r="F442" t="inlineStr">
        <is>
          <t>NORRBOTTENS LÄN</t>
        </is>
      </c>
      <c r="G442" t="inlineStr">
        <is>
          <t>BODEN</t>
        </is>
      </c>
      <c r="I442" t="n">
        <v>19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24193-2024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45456</v>
      </c>
      <c r="E443" s="1" t="n">
        <v>46302</v>
      </c>
      <c r="F443" t="inlineStr">
        <is>
          <t>NORRBOTTENS LÄN</t>
        </is>
      </c>
      <c r="G443" t="inlineStr">
        <is>
          <t>BODEN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53623-2025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45960</v>
      </c>
      <c r="E444" s="1" t="n">
        <v>46302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11.7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45369</v>
      </c>
      <c r="E445" s="1" t="n">
        <v>46302</v>
      </c>
      <c r="F445" t="inlineStr">
        <is>
          <t>NORRBOTTENS LÄN</t>
        </is>
      </c>
      <c r="G445" t="inlineStr">
        <is>
          <t>BODEN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46302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46302</v>
      </c>
      <c r="F447" t="inlineStr">
        <is>
          <t>NORRBOTTENS LÄN</t>
        </is>
      </c>
      <c r="G447" t="inlineStr">
        <is>
          <t>BODEN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708-2022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44566</v>
      </c>
      <c r="E448" s="1" t="n">
        <v>46302</v>
      </c>
      <c r="F448" t="inlineStr">
        <is>
          <t>NORRBOTTENS LÄN</t>
        </is>
      </c>
      <c r="G448" t="inlineStr">
        <is>
          <t>BODEN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39272-2024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45551</v>
      </c>
      <c r="E449" s="1" t="n">
        <v>46302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46302</v>
      </c>
      <c r="F450" t="inlineStr">
        <is>
          <t>NORRBOTTENS LÄN</t>
        </is>
      </c>
      <c r="G450" t="inlineStr">
        <is>
          <t>BODEN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45838</v>
      </c>
      <c r="E451" s="1" t="n">
        <v>46302</v>
      </c>
      <c r="F451" t="inlineStr">
        <is>
          <t>NORRBOTTENS LÄN</t>
        </is>
      </c>
      <c r="G451" t="inlineStr">
        <is>
          <t>BODEN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46302</v>
      </c>
      <c r="F452" t="inlineStr">
        <is>
          <t>NORRBOTTENS LÄN</t>
        </is>
      </c>
      <c r="G452" t="inlineStr">
        <is>
          <t>BODEN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53893-2025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45961</v>
      </c>
      <c r="E453" s="1" t="n">
        <v>46302</v>
      </c>
      <c r="F453" t="inlineStr">
        <is>
          <t>NORRBOTTENS LÄN</t>
        </is>
      </c>
      <c r="G453" t="inlineStr">
        <is>
          <t>BODEN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46302</v>
      </c>
      <c r="F454" t="inlineStr">
        <is>
          <t>NORRBOTTENS LÄN</t>
        </is>
      </c>
      <c r="G454" t="inlineStr">
        <is>
          <t>BODEN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45868</v>
      </c>
      <c r="E455" s="1" t="n">
        <v>46302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46302</v>
      </c>
      <c r="F456" t="inlineStr">
        <is>
          <t>NORRBOTTENS LÄN</t>
        </is>
      </c>
      <c r="G456" t="inlineStr">
        <is>
          <t>BODEN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54417-2025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46302</v>
      </c>
      <c r="F457" t="inlineStr">
        <is>
          <t>NORRBOTTENS LÄN</t>
        </is>
      </c>
      <c r="G457" t="inlineStr">
        <is>
          <t>BODEN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37404-2025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45877</v>
      </c>
      <c r="E458" s="1" t="n">
        <v>46302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54578-2025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46302</v>
      </c>
      <c r="F459" t="inlineStr">
        <is>
          <t>NORRBOTTENS LÄN</t>
        </is>
      </c>
      <c r="G459" t="inlineStr">
        <is>
          <t>BODEN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46302</v>
      </c>
      <c r="F460" t="inlineStr">
        <is>
          <t>NORRBOTTENS LÄN</t>
        </is>
      </c>
      <c r="G460" t="inlineStr">
        <is>
          <t>BODEN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37653-2025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45880</v>
      </c>
      <c r="E461" s="1" t="n">
        <v>46302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45881</v>
      </c>
      <c r="E462" s="1" t="n">
        <v>46302</v>
      </c>
      <c r="F462" t="inlineStr">
        <is>
          <t>NORRBOTTENS LÄN</t>
        </is>
      </c>
      <c r="G462" t="inlineStr">
        <is>
          <t>BODEN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56111-2021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44477</v>
      </c>
      <c r="E463" s="1" t="n">
        <v>46302</v>
      </c>
      <c r="F463" t="inlineStr">
        <is>
          <t>NORRBOTTENS LÄN</t>
        </is>
      </c>
      <c r="G463" t="inlineStr">
        <is>
          <t>BODEN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45964</v>
      </c>
      <c r="E464" s="1" t="n">
        <v>46302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45966</v>
      </c>
      <c r="E465" s="1" t="n">
        <v>46302</v>
      </c>
      <c r="F465" t="inlineStr">
        <is>
          <t>NORRBOTTENS LÄN</t>
        </is>
      </c>
      <c r="G465" t="inlineStr">
        <is>
          <t>BODEN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38286-2025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45882</v>
      </c>
      <c r="E466" s="1" t="n">
        <v>46302</v>
      </c>
      <c r="F466" t="inlineStr">
        <is>
          <t>NORRBOTTENS LÄN</t>
        </is>
      </c>
      <c r="G466" t="inlineStr">
        <is>
          <t>BODEN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45882</v>
      </c>
      <c r="E467" s="1" t="n">
        <v>46302</v>
      </c>
      <c r="F467" t="inlineStr">
        <is>
          <t>NORRBOTTENS LÄN</t>
        </is>
      </c>
      <c r="G467" t="inlineStr">
        <is>
          <t>BODEN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46302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46302</v>
      </c>
      <c r="F469" t="inlineStr">
        <is>
          <t>NORRBOTTENS LÄN</t>
        </is>
      </c>
      <c r="G469" t="inlineStr">
        <is>
          <t>BODEN</t>
        </is>
      </c>
      <c r="I469" t="n">
        <v>11.7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46132</v>
      </c>
      <c r="E470" s="1" t="n">
        <v>46302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19049-2026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46132</v>
      </c>
      <c r="E471" s="1" t="n">
        <v>46302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45132</v>
      </c>
      <c r="E472" s="1" t="n">
        <v>46302</v>
      </c>
      <c r="F472" t="inlineStr">
        <is>
          <t>NORRBOTTENS LÄN</t>
        </is>
      </c>
      <c r="G472" t="inlineStr">
        <is>
          <t>BODEN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18900-2025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45764</v>
      </c>
      <c r="E473" s="1" t="n">
        <v>46302</v>
      </c>
      <c r="F473" t="inlineStr">
        <is>
          <t>NORRBOTTENS LÄN</t>
        </is>
      </c>
      <c r="G473" t="inlineStr">
        <is>
          <t>BODEN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55562-2025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45971</v>
      </c>
      <c r="E474" s="1" t="n">
        <v>46302</v>
      </c>
      <c r="F474" t="inlineStr">
        <is>
          <t>NORRBOTTENS LÄN</t>
        </is>
      </c>
      <c r="G474" t="inlineStr">
        <is>
          <t>BODEN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46302</v>
      </c>
      <c r="F475" t="inlineStr">
        <is>
          <t>NORRBOTTENS LÄN</t>
        </is>
      </c>
      <c r="G475" t="inlineStr">
        <is>
          <t>BODEN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45884</v>
      </c>
      <c r="E476" s="1" t="n">
        <v>46302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61748-2024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45649</v>
      </c>
      <c r="E477" s="1" t="n">
        <v>46302</v>
      </c>
      <c r="F477" t="inlineStr">
        <is>
          <t>NORRBOTTENS LÄN</t>
        </is>
      </c>
      <c r="G477" t="inlineStr">
        <is>
          <t>BODEN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61757-2024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45649</v>
      </c>
      <c r="E478" s="1" t="n">
        <v>46302</v>
      </c>
      <c r="F478" t="inlineStr">
        <is>
          <t>NORRBOTTENS LÄN</t>
        </is>
      </c>
      <c r="G478" t="inlineStr">
        <is>
          <t>BODEN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45446</v>
      </c>
      <c r="E479" s="1" t="n">
        <v>46302</v>
      </c>
      <c r="F479" t="inlineStr">
        <is>
          <t>NORRBOTTENS LÄN</t>
        </is>
      </c>
      <c r="G479" t="inlineStr">
        <is>
          <t>BODEN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55676-2025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45972</v>
      </c>
      <c r="E480" s="1" t="n">
        <v>46302</v>
      </c>
      <c r="F480" t="inlineStr">
        <is>
          <t>NORRBOTTENS LÄN</t>
        </is>
      </c>
      <c r="G480" t="inlineStr">
        <is>
          <t>BODEN</t>
        </is>
      </c>
      <c r="I480" t="n">
        <v>11.9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61771-2024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45649</v>
      </c>
      <c r="E481" s="1" t="n">
        <v>46302</v>
      </c>
      <c r="F481" t="inlineStr">
        <is>
          <t>NORRBOTTENS LÄN</t>
        </is>
      </c>
      <c r="G481" t="inlineStr">
        <is>
          <t>BODEN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45105</v>
      </c>
      <c r="E482" s="1" t="n">
        <v>46302</v>
      </c>
      <c r="F482" t="inlineStr">
        <is>
          <t>NORRBOTTENS LÄN</t>
        </is>
      </c>
      <c r="G482" t="inlineStr">
        <is>
          <t>BODEN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20069-2026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46302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45975</v>
      </c>
      <c r="E484" s="1" t="n">
        <v>46302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46302</v>
      </c>
      <c r="F485" t="inlineStr">
        <is>
          <t>NORRBOTTENS LÄN</t>
        </is>
      </c>
      <c r="G485" t="inlineStr">
        <is>
          <t>BODEN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47097-2023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46302</v>
      </c>
      <c r="F486" t="inlineStr">
        <is>
          <t>NORRBOTTENS LÄN</t>
        </is>
      </c>
      <c r="G486" t="inlineStr">
        <is>
          <t>BODEN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45099</v>
      </c>
      <c r="E487" s="1" t="n">
        <v>46302</v>
      </c>
      <c r="F487" t="inlineStr">
        <is>
          <t>NORRBOTTENS LÄN</t>
        </is>
      </c>
      <c r="G487" t="inlineStr">
        <is>
          <t>BODEN</t>
        </is>
      </c>
      <c r="I487" t="n">
        <v>7.6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56560-2025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45975</v>
      </c>
      <c r="E488" s="1" t="n">
        <v>46302</v>
      </c>
      <c r="F488" t="inlineStr">
        <is>
          <t>NORRBOTTENS LÄN</t>
        </is>
      </c>
      <c r="G488" t="inlineStr">
        <is>
          <t>BODEN</t>
        </is>
      </c>
      <c r="H488" t="inlineStr">
        <is>
          <t>Naturvårdsverket</t>
        </is>
      </c>
      <c r="I488" t="n">
        <v>9.800000000000001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11647-2023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44994</v>
      </c>
      <c r="E489" s="1" t="n">
        <v>46302</v>
      </c>
      <c r="F489" t="inlineStr">
        <is>
          <t>NORRBOTTENS LÄN</t>
        </is>
      </c>
      <c r="G489" t="inlineStr">
        <is>
          <t>BODEN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56440-2025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45975</v>
      </c>
      <c r="E490" s="1" t="n">
        <v>46302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57895-2021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44486</v>
      </c>
      <c r="E491" s="1" t="n">
        <v>46302</v>
      </c>
      <c r="F491" t="inlineStr">
        <is>
          <t>NORRBOTTENS LÄN</t>
        </is>
      </c>
      <c r="G491" t="inlineStr">
        <is>
          <t>BODEN</t>
        </is>
      </c>
      <c r="I491" t="n">
        <v>9.199999999999999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45728</v>
      </c>
      <c r="E492" s="1" t="n">
        <v>46302</v>
      </c>
      <c r="F492" t="inlineStr">
        <is>
          <t>NORRBOTTENS LÄN</t>
        </is>
      </c>
      <c r="G492" t="inlineStr">
        <is>
          <t>BODEN</t>
        </is>
      </c>
      <c r="H492" t="inlineStr">
        <is>
          <t>Övriga Aktiebolag</t>
        </is>
      </c>
      <c r="I492" t="n">
        <v>10.6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62017-2025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46302</v>
      </c>
      <c r="F493" t="inlineStr">
        <is>
          <t>NORRBOTTENS LÄN</t>
        </is>
      </c>
      <c r="G493" t="inlineStr">
        <is>
          <t>BODEN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57600-2021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44484</v>
      </c>
      <c r="E494" s="1" t="n">
        <v>46302</v>
      </c>
      <c r="F494" t="inlineStr">
        <is>
          <t>NORRBOTTENS LÄN</t>
        </is>
      </c>
      <c r="G494" t="inlineStr">
        <is>
          <t>BODEN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46302</v>
      </c>
      <c r="F495" t="inlineStr">
        <is>
          <t>NORRBOTTENS LÄN</t>
        </is>
      </c>
      <c r="G495" t="inlineStr">
        <is>
          <t>BODEN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56867-2025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46302</v>
      </c>
      <c r="F496" t="inlineStr">
        <is>
          <t>NORRBOTTENS LÄN</t>
        </is>
      </c>
      <c r="G496" t="inlineStr">
        <is>
          <t>BODEN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56947-2025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45978</v>
      </c>
      <c r="E497" s="1" t="n">
        <v>46302</v>
      </c>
      <c r="F497" t="inlineStr">
        <is>
          <t>NORRBOTTENS LÄN</t>
        </is>
      </c>
      <c r="G497" t="inlineStr">
        <is>
          <t>BODEN</t>
        </is>
      </c>
      <c r="H497" t="inlineStr">
        <is>
          <t>Naturvårdsverket</t>
        </is>
      </c>
      <c r="I497" t="n">
        <v>10.4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46901-2024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45583</v>
      </c>
      <c r="E498" s="1" t="n">
        <v>46302</v>
      </c>
      <c r="F498" t="inlineStr">
        <is>
          <t>NORRBOTTENS LÄN</t>
        </is>
      </c>
      <c r="G498" t="inlineStr">
        <is>
          <t>BODEN</t>
        </is>
      </c>
      <c r="H498" t="inlineStr">
        <is>
          <t>SCA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45341</v>
      </c>
      <c r="E499" s="1" t="n">
        <v>46302</v>
      </c>
      <c r="F499" t="inlineStr">
        <is>
          <t>NORRBOTTENS LÄN</t>
        </is>
      </c>
      <c r="G499" t="inlineStr">
        <is>
          <t>BODEN</t>
        </is>
      </c>
      <c r="H499" t="inlineStr">
        <is>
          <t>Övriga statliga verk och myndigheter</t>
        </is>
      </c>
      <c r="I499" t="n">
        <v>12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46302</v>
      </c>
      <c r="F500" t="inlineStr">
        <is>
          <t>NORRBOTTENS LÄN</t>
        </is>
      </c>
      <c r="G500" t="inlineStr">
        <is>
          <t>BODEN</t>
        </is>
      </c>
      <c r="I500" t="n">
        <v>9.6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57777-2025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46302</v>
      </c>
      <c r="F501" t="inlineStr">
        <is>
          <t>NORRBOTTENS LÄN</t>
        </is>
      </c>
      <c r="G501" t="inlineStr">
        <is>
          <t>BODEN</t>
        </is>
      </c>
      <c r="H501" t="inlineStr">
        <is>
          <t>Sveaskog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57778-2025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45981</v>
      </c>
      <c r="E502" s="1" t="n">
        <v>46302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58203-2025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45984</v>
      </c>
      <c r="E503" s="1" t="n">
        <v>46302</v>
      </c>
      <c r="F503" t="inlineStr">
        <is>
          <t>NORRBOTTENS LÄN</t>
        </is>
      </c>
      <c r="G503" t="inlineStr">
        <is>
          <t>BODEN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58490-2025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45985</v>
      </c>
      <c r="E504" s="1" t="n">
        <v>46302</v>
      </c>
      <c r="F504" t="inlineStr">
        <is>
          <t>NORRBOTTENS LÄN</t>
        </is>
      </c>
      <c r="G504" t="inlineStr">
        <is>
          <t>BODEN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61988-2025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46003</v>
      </c>
      <c r="E505" s="1" t="n">
        <v>46302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41957-2024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45561</v>
      </c>
      <c r="E506" s="1" t="n">
        <v>46302</v>
      </c>
      <c r="F506" t="inlineStr">
        <is>
          <t>NORRBOTTENS LÄN</t>
        </is>
      </c>
      <c r="G506" t="inlineStr">
        <is>
          <t>BODEN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46302</v>
      </c>
      <c r="F507" t="inlineStr">
        <is>
          <t>NORRBOTTENS LÄN</t>
        </is>
      </c>
      <c r="G507" t="inlineStr">
        <is>
          <t>BODEN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58662-2025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45986</v>
      </c>
      <c r="E508" s="1" t="n">
        <v>46302</v>
      </c>
      <c r="F508" t="inlineStr">
        <is>
          <t>NORRBOTTENS LÄN</t>
        </is>
      </c>
      <c r="G508" t="inlineStr">
        <is>
          <t>BODEN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59263-2025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46302</v>
      </c>
      <c r="F509" t="inlineStr">
        <is>
          <t>NORRBOTTENS LÄN</t>
        </is>
      </c>
      <c r="G509" t="inlineStr">
        <is>
          <t>BODEN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45944</v>
      </c>
      <c r="E510" s="1" t="n">
        <v>46302</v>
      </c>
      <c r="F510" t="inlineStr">
        <is>
          <t>NORRBOTTENS LÄN</t>
        </is>
      </c>
      <c r="G510" t="inlineStr">
        <is>
          <t>BODEN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46302</v>
      </c>
      <c r="F511" t="inlineStr">
        <is>
          <t>NORRBOTTENS LÄN</t>
        </is>
      </c>
      <c r="G511" t="inlineStr">
        <is>
          <t>BODEN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35755-2025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45860</v>
      </c>
      <c r="E512" s="1" t="n">
        <v>46302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48459-2025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45935</v>
      </c>
      <c r="E513" s="1" t="n">
        <v>46302</v>
      </c>
      <c r="F513" t="inlineStr">
        <is>
          <t>NORRBOTTENS LÄN</t>
        </is>
      </c>
      <c r="G513" t="inlineStr">
        <is>
          <t>BODEN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60429-2025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46302</v>
      </c>
      <c r="F514" t="inlineStr">
        <is>
          <t>NORRBOTTENS LÄN</t>
        </is>
      </c>
      <c r="G514" t="inlineStr">
        <is>
          <t>BODEN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60397-2025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46302</v>
      </c>
      <c r="F515" t="inlineStr">
        <is>
          <t>NORRBOTTENS LÄN</t>
        </is>
      </c>
      <c r="G515" t="inlineStr">
        <is>
          <t>BODEN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46302</v>
      </c>
      <c r="F516" t="inlineStr">
        <is>
          <t>NORRBOTTENS LÄN</t>
        </is>
      </c>
      <c r="G516" t="inlineStr">
        <is>
          <t>BODEN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46302</v>
      </c>
      <c r="F517" t="inlineStr">
        <is>
          <t>NORRBOTTENS LÄN</t>
        </is>
      </c>
      <c r="G517" t="inlineStr">
        <is>
          <t>BODEN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60395-2025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46302</v>
      </c>
      <c r="F518" t="inlineStr">
        <is>
          <t>NORRBOTTENS LÄN</t>
        </is>
      </c>
      <c r="G518" t="inlineStr">
        <is>
          <t>BODEN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46302</v>
      </c>
      <c r="F519" t="inlineStr">
        <is>
          <t>NORRBOTTENS LÄN</t>
        </is>
      </c>
      <c r="G519" t="inlineStr">
        <is>
          <t>BODEN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46302</v>
      </c>
      <c r="F520" t="inlineStr">
        <is>
          <t>NORRBOTTENS LÄN</t>
        </is>
      </c>
      <c r="G520" t="inlineStr">
        <is>
          <t>BODEN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45994</v>
      </c>
      <c r="E521" s="1" t="n">
        <v>46302</v>
      </c>
      <c r="F521" t="inlineStr">
        <is>
          <t>NORRBOTTENS LÄN</t>
        </is>
      </c>
      <c r="G521" t="inlineStr">
        <is>
          <t>BODEN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60225-2025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45994</v>
      </c>
      <c r="E522" s="1" t="n">
        <v>46302</v>
      </c>
      <c r="F522" t="inlineStr">
        <is>
          <t>NORRBOTTENS LÄN</t>
        </is>
      </c>
      <c r="G522" t="inlineStr">
        <is>
          <t>BODEN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46302</v>
      </c>
      <c r="F523" t="inlineStr">
        <is>
          <t>NORRBOTTENS LÄN</t>
        </is>
      </c>
      <c r="G523" t="inlineStr">
        <is>
          <t>BODEN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45996</v>
      </c>
      <c r="E524" s="1" t="n">
        <v>46302</v>
      </c>
      <c r="F524" t="inlineStr">
        <is>
          <t>NORRBOTTENS LÄN</t>
        </is>
      </c>
      <c r="G524" t="inlineStr">
        <is>
          <t>BODEN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32775-2025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46302</v>
      </c>
      <c r="F525" t="inlineStr">
        <is>
          <t>NORRBOTTENS LÄN</t>
        </is>
      </c>
      <c r="G525" t="inlineStr">
        <is>
          <t>BODEN</t>
        </is>
      </c>
      <c r="I525" t="n">
        <v>13.6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45257</v>
      </c>
      <c r="E526" s="1" t="n">
        <v>46302</v>
      </c>
      <c r="F526" t="inlineStr">
        <is>
          <t>NORRBOTTENS LÄN</t>
        </is>
      </c>
      <c r="G526" t="inlineStr">
        <is>
          <t>BODEN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45999</v>
      </c>
      <c r="E527" s="1" t="n">
        <v>46302</v>
      </c>
      <c r="F527" t="inlineStr">
        <is>
          <t>NORRBOTTENS LÄN</t>
        </is>
      </c>
      <c r="G527" t="inlineStr">
        <is>
          <t>BODEN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45906</v>
      </c>
      <c r="E528" s="1" t="n">
        <v>46302</v>
      </c>
      <c r="F528" t="inlineStr">
        <is>
          <t>NORRBOTTENS LÄN</t>
        </is>
      </c>
      <c r="G528" t="inlineStr">
        <is>
          <t>BODEN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61227-2025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46000</v>
      </c>
      <c r="E529" s="1" t="n">
        <v>46302</v>
      </c>
      <c r="F529" t="inlineStr">
        <is>
          <t>NORRBOTTENS LÄN</t>
        </is>
      </c>
      <c r="G529" t="inlineStr">
        <is>
          <t>BODEN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61384-2025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46001</v>
      </c>
      <c r="E530" s="1" t="n">
        <v>46302</v>
      </c>
      <c r="F530" t="inlineStr">
        <is>
          <t>NORRBOTTENS LÄN</t>
        </is>
      </c>
      <c r="G530" t="inlineStr">
        <is>
          <t>BODEN</t>
        </is>
      </c>
      <c r="I530" t="n">
        <v>17.1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61560-2025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46302</v>
      </c>
      <c r="F531" t="inlineStr">
        <is>
          <t>NORRBOTTENS LÄN</t>
        </is>
      </c>
      <c r="G531" t="inlineStr">
        <is>
          <t>BODEN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61959-2025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46003</v>
      </c>
      <c r="E532" s="1" t="n">
        <v>46302</v>
      </c>
      <c r="F532" t="inlineStr">
        <is>
          <t>NORRBOTTENS LÄN</t>
        </is>
      </c>
      <c r="G532" t="inlineStr">
        <is>
          <t>BODEN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61949-2025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46003</v>
      </c>
      <c r="E533" s="1" t="n">
        <v>46302</v>
      </c>
      <c r="F533" t="inlineStr">
        <is>
          <t>NORRBOTTENS LÄN</t>
        </is>
      </c>
      <c r="G533" t="inlineStr">
        <is>
          <t>BODEN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61559-2025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46001</v>
      </c>
      <c r="E534" s="1" t="n">
        <v>46302</v>
      </c>
      <c r="F534" t="inlineStr">
        <is>
          <t>NORRBOTTENS LÄN</t>
        </is>
      </c>
      <c r="G534" t="inlineStr">
        <is>
          <t>BODEN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46302</v>
      </c>
      <c r="F535" t="inlineStr">
        <is>
          <t>NORRBOTTENS LÄN</t>
        </is>
      </c>
      <c r="G535" t="inlineStr">
        <is>
          <t>BODEN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63329-2025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46009</v>
      </c>
      <c r="E536" s="1" t="n">
        <v>46302</v>
      </c>
      <c r="F536" t="inlineStr">
        <is>
          <t>NORRBOTTENS LÄN</t>
        </is>
      </c>
      <c r="G536" t="inlineStr">
        <is>
          <t>BODEN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63333-2025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46302</v>
      </c>
      <c r="F537" t="inlineStr">
        <is>
          <t>NORRBOTTENS LÄN</t>
        </is>
      </c>
      <c r="G537" t="inlineStr">
        <is>
          <t>BODEN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62687-2025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46302</v>
      </c>
      <c r="F538" t="inlineStr">
        <is>
          <t>NORRBOTTENS LÄN</t>
        </is>
      </c>
      <c r="G538" t="inlineStr">
        <is>
          <t>BODEN</t>
        </is>
      </c>
      <c r="I538" t="n">
        <v>10.1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60237-2025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45994</v>
      </c>
      <c r="E539" s="1" t="n">
        <v>46302</v>
      </c>
      <c r="F539" t="inlineStr">
        <is>
          <t>NORRBOTTENS LÄN</t>
        </is>
      </c>
      <c r="G539" t="inlineStr">
        <is>
          <t>BODEN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47024-2024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46302</v>
      </c>
      <c r="F540" t="inlineStr">
        <is>
          <t>NORRBOTTENS LÄN</t>
        </is>
      </c>
      <c r="G540" t="inlineStr">
        <is>
          <t>BODEN</t>
        </is>
      </c>
      <c r="H540" t="inlineStr">
        <is>
          <t>Sveaskog</t>
        </is>
      </c>
      <c r="I540" t="n">
        <v>12.8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62992-2025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46302</v>
      </c>
      <c r="F541" t="inlineStr">
        <is>
          <t>NORRBOTTENS LÄN</t>
        </is>
      </c>
      <c r="G541" t="inlineStr">
        <is>
          <t>BODEN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42173-2025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45902</v>
      </c>
      <c r="E542" s="1" t="n">
        <v>46302</v>
      </c>
      <c r="F542" t="inlineStr">
        <is>
          <t>NORRBOTTENS LÄN</t>
        </is>
      </c>
      <c r="G542" t="inlineStr">
        <is>
          <t>BODEN</t>
        </is>
      </c>
      <c r="H542" t="inlineStr">
        <is>
          <t>Övriga statliga verk och myndigheter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63399-2025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46012</v>
      </c>
      <c r="E543" s="1" t="n">
        <v>46302</v>
      </c>
      <c r="F543" t="inlineStr">
        <is>
          <t>NORRBOTTENS LÄN</t>
        </is>
      </c>
      <c r="G543" t="inlineStr">
        <is>
          <t>BODEN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63400-2025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46012</v>
      </c>
      <c r="E544" s="1" t="n">
        <v>46302</v>
      </c>
      <c r="F544" t="inlineStr">
        <is>
          <t>NORRBOTTENS LÄN</t>
        </is>
      </c>
      <c r="G544" t="inlineStr">
        <is>
          <t>BODEN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67068-2021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44522</v>
      </c>
      <c r="E545" s="1" t="n">
        <v>46302</v>
      </c>
      <c r="F545" t="inlineStr">
        <is>
          <t>NORRBOTTENS LÄN</t>
        </is>
      </c>
      <c r="G545" t="inlineStr">
        <is>
          <t>BODEN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46302</v>
      </c>
      <c r="F546" t="inlineStr">
        <is>
          <t>NORRBOTTENS LÄN</t>
        </is>
      </c>
      <c r="G546" t="inlineStr">
        <is>
          <t>BODEN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63891-2025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46020</v>
      </c>
      <c r="E547" s="1" t="n">
        <v>46302</v>
      </c>
      <c r="F547" t="inlineStr">
        <is>
          <t>NORRBOTTENS LÄN</t>
        </is>
      </c>
      <c r="G547" t="inlineStr">
        <is>
          <t>BODEN</t>
        </is>
      </c>
      <c r="I547" t="n">
        <v>12.5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46302</v>
      </c>
      <c r="F548" t="inlineStr">
        <is>
          <t>NORRBOTTENS LÄN</t>
        </is>
      </c>
      <c r="G548" t="inlineStr">
        <is>
          <t>BODEN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45832</v>
      </c>
      <c r="E549" s="1" t="n">
        <v>46302</v>
      </c>
      <c r="F549" t="inlineStr">
        <is>
          <t>NORRBOTTENS LÄN</t>
        </is>
      </c>
      <c r="G549" t="inlineStr">
        <is>
          <t>BODEN</t>
        </is>
      </c>
      <c r="I549" t="n">
        <v>8.9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28248-2025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46302</v>
      </c>
      <c r="F550" t="inlineStr">
        <is>
          <t>NORRBOTTENS LÄN</t>
        </is>
      </c>
      <c r="G550" t="inlineStr">
        <is>
          <t>BODEN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8701-2026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46066</v>
      </c>
      <c r="E551" s="1" t="n">
        <v>46302</v>
      </c>
      <c r="F551" t="inlineStr">
        <is>
          <t>NORRBOTTENS LÄN</t>
        </is>
      </c>
      <c r="G551" t="inlineStr">
        <is>
          <t>BODEN</t>
        </is>
      </c>
      <c r="I551" t="n">
        <v>9.6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61214-2024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45645</v>
      </c>
      <c r="E552" s="1" t="n">
        <v>46302</v>
      </c>
      <c r="F552" t="inlineStr">
        <is>
          <t>NORRBOTTENS LÄN</t>
        </is>
      </c>
      <c r="G552" t="inlineStr">
        <is>
          <t>BODEN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46302</v>
      </c>
      <c r="F553" t="inlineStr">
        <is>
          <t>NORRBOTTENS LÄN</t>
        </is>
      </c>
      <c r="G553" t="inlineStr">
        <is>
          <t>BODEN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40115-2025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45893</v>
      </c>
      <c r="E554" s="1" t="n">
        <v>46302</v>
      </c>
      <c r="F554" t="inlineStr">
        <is>
          <t>NORRBOTTENS LÄN</t>
        </is>
      </c>
      <c r="G554" t="inlineStr">
        <is>
          <t>BODEN</t>
        </is>
      </c>
      <c r="H554" t="inlineStr">
        <is>
          <t>Övriga statliga verk och myndigheter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33511-2025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45841</v>
      </c>
      <c r="E555" s="1" t="n">
        <v>46302</v>
      </c>
      <c r="F555" t="inlineStr">
        <is>
          <t>NORRBOTTENS LÄN</t>
        </is>
      </c>
      <c r="G555" t="inlineStr">
        <is>
          <t>BODEN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46302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21688-2026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46149</v>
      </c>
      <c r="E557" s="1" t="n">
        <v>46302</v>
      </c>
      <c r="F557" t="inlineStr">
        <is>
          <t>NORRBOTTENS LÄN</t>
        </is>
      </c>
      <c r="G557" t="inlineStr">
        <is>
          <t>BODEN</t>
        </is>
      </c>
      <c r="I557" t="n">
        <v>11.6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46149</v>
      </c>
      <c r="E558" s="1" t="n">
        <v>46302</v>
      </c>
      <c r="F558" t="inlineStr">
        <is>
          <t>NORRBOTTENS LÄN</t>
        </is>
      </c>
      <c r="G558" t="inlineStr">
        <is>
          <t>BODEN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46150</v>
      </c>
      <c r="E559" s="1" t="n">
        <v>46302</v>
      </c>
      <c r="F559" t="inlineStr">
        <is>
          <t>NORRBOTTENS LÄN</t>
        </is>
      </c>
      <c r="G559" t="inlineStr">
        <is>
          <t>BODEN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22259-2026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46150</v>
      </c>
      <c r="E560" s="1" t="n">
        <v>46302</v>
      </c>
      <c r="F560" t="inlineStr">
        <is>
          <t>NORRBOTTENS LÄN</t>
        </is>
      </c>
      <c r="G560" t="inlineStr">
        <is>
          <t>BODEN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21784-2026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46302</v>
      </c>
      <c r="F561" t="inlineStr">
        <is>
          <t>NORRBOTTENS LÄN</t>
        </is>
      </c>
      <c r="G561" t="inlineStr">
        <is>
          <t>BODEN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16699-2024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45408</v>
      </c>
      <c r="E562" s="1" t="n">
        <v>46302</v>
      </c>
      <c r="F562" t="inlineStr">
        <is>
          <t>NORRBOTTENS LÄN</t>
        </is>
      </c>
      <c r="G562" t="inlineStr">
        <is>
          <t>BODEN</t>
        </is>
      </c>
      <c r="I562" t="n">
        <v>14.9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49730-2024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45596</v>
      </c>
      <c r="E563" s="1" t="n">
        <v>46302</v>
      </c>
      <c r="F563" t="inlineStr">
        <is>
          <t>NORRBOTTENS LÄN</t>
        </is>
      </c>
      <c r="G563" t="inlineStr">
        <is>
          <t>BODEN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22373-2026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46154</v>
      </c>
      <c r="E564" s="1" t="n">
        <v>46302</v>
      </c>
      <c r="F564" t="inlineStr">
        <is>
          <t>NORRBOTTENS LÄN</t>
        </is>
      </c>
      <c r="G564" t="inlineStr">
        <is>
          <t>BODEN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61587-2024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45646</v>
      </c>
      <c r="E565" s="1" t="n">
        <v>46302</v>
      </c>
      <c r="F565" t="inlineStr">
        <is>
          <t>NORRBOTTENS LÄN</t>
        </is>
      </c>
      <c r="G565" t="inlineStr">
        <is>
          <t>BODEN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46302</v>
      </c>
      <c r="F566" t="inlineStr">
        <is>
          <t>NORRBOTTENS LÄN</t>
        </is>
      </c>
      <c r="G566" t="inlineStr">
        <is>
          <t>BODEN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60085-2024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45639</v>
      </c>
      <c r="E567" s="1" t="n">
        <v>46302</v>
      </c>
      <c r="F567" t="inlineStr">
        <is>
          <t>NORRBOTTENS LÄN</t>
        </is>
      </c>
      <c r="G567" t="inlineStr">
        <is>
          <t>BODEN</t>
        </is>
      </c>
      <c r="I567" t="n">
        <v>9.5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46154</v>
      </c>
      <c r="E568" s="1" t="n">
        <v>46302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59035-2025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45988</v>
      </c>
      <c r="E569" s="1" t="n">
        <v>46302</v>
      </c>
      <c r="F569" t="inlineStr">
        <is>
          <t>NORRBOTTENS LÄN</t>
        </is>
      </c>
      <c r="G569" t="inlineStr">
        <is>
          <t>BODEN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19068-2024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45427</v>
      </c>
      <c r="E570" s="1" t="n">
        <v>46302</v>
      </c>
      <c r="F570" t="inlineStr">
        <is>
          <t>NORRBOTTENS LÄN</t>
        </is>
      </c>
      <c r="G570" t="inlineStr">
        <is>
          <t>BODEN</t>
        </is>
      </c>
      <c r="I570" t="n">
        <v>22.1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21329-2024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45440</v>
      </c>
      <c r="E571" s="1" t="n">
        <v>46302</v>
      </c>
      <c r="F571" t="inlineStr">
        <is>
          <t>NORRBOTTENS LÄN</t>
        </is>
      </c>
      <c r="G571" t="inlineStr">
        <is>
          <t>BODEN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45818</v>
      </c>
      <c r="E572" s="1" t="n">
        <v>46302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15157-2025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45744</v>
      </c>
      <c r="E573" s="1" t="n">
        <v>46302</v>
      </c>
      <c r="F573" t="inlineStr">
        <is>
          <t>NORRBOTTENS LÄN</t>
        </is>
      </c>
      <c r="G573" t="inlineStr">
        <is>
          <t>BODEN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45691</v>
      </c>
      <c r="E574" s="1" t="n">
        <v>46302</v>
      </c>
      <c r="F574" t="inlineStr">
        <is>
          <t>NORRBOTTENS LÄN</t>
        </is>
      </c>
      <c r="G574" t="inlineStr">
        <is>
          <t>BODEN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37212-2025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45875</v>
      </c>
      <c r="E575" s="1" t="n">
        <v>46302</v>
      </c>
      <c r="F575" t="inlineStr">
        <is>
          <t>NORRBOTTENS LÄN</t>
        </is>
      </c>
      <c r="G575" t="inlineStr">
        <is>
          <t>BODEN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47424-2024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45587</v>
      </c>
      <c r="E576" s="1" t="n">
        <v>46302</v>
      </c>
      <c r="F576" t="inlineStr">
        <is>
          <t>NORRBOTTENS LÄN</t>
        </is>
      </c>
      <c r="G576" t="inlineStr">
        <is>
          <t>BODEN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45674</v>
      </c>
      <c r="E577" s="1" t="n">
        <v>46302</v>
      </c>
      <c r="F577" t="inlineStr">
        <is>
          <t>NORRBOTTENS LÄN</t>
        </is>
      </c>
      <c r="G577" t="inlineStr">
        <is>
          <t>BODEN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40157-2025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45894</v>
      </c>
      <c r="E578" s="1" t="n">
        <v>46302</v>
      </c>
      <c r="F578" t="inlineStr">
        <is>
          <t>NORRBOTTENS LÄN</t>
        </is>
      </c>
      <c r="G578" t="inlineStr">
        <is>
          <t>BODEN</t>
        </is>
      </c>
      <c r="H578" t="inlineStr">
        <is>
          <t>Övriga statliga verk och myndigheter</t>
        </is>
      </c>
      <c r="I578" t="n">
        <v>17.6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23790-2026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46164</v>
      </c>
      <c r="E579" s="1" t="n">
        <v>46302</v>
      </c>
      <c r="F579" t="inlineStr">
        <is>
          <t>NORRBOTTENS LÄN</t>
        </is>
      </c>
      <c r="G579" t="inlineStr">
        <is>
          <t>BODEN</t>
        </is>
      </c>
      <c r="H579" t="inlineStr">
        <is>
          <t>Sveaskog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23792-2026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46302</v>
      </c>
      <c r="F580" t="inlineStr">
        <is>
          <t>NORRBOTTENS LÄN</t>
        </is>
      </c>
      <c r="G580" t="inlineStr">
        <is>
          <t>BODEN</t>
        </is>
      </c>
      <c r="H580" t="inlineStr">
        <is>
          <t>Sveaskog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46164</v>
      </c>
      <c r="E581" s="1" t="n">
        <v>46302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46164</v>
      </c>
      <c r="E582" s="1" t="n">
        <v>46302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46302</v>
      </c>
      <c r="F583" t="inlineStr">
        <is>
          <t>NORRBOTTENS LÄN</t>
        </is>
      </c>
      <c r="G583" t="inlineStr">
        <is>
          <t>BODEN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24235-2026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46302</v>
      </c>
      <c r="F584" t="inlineStr">
        <is>
          <t>NORRBOTTENS LÄN</t>
        </is>
      </c>
      <c r="G584" t="inlineStr">
        <is>
          <t>BODEN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24430-2026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46302</v>
      </c>
      <c r="F585" t="inlineStr">
        <is>
          <t>NORRBOTTENS LÄN</t>
        </is>
      </c>
      <c r="G585" t="inlineStr">
        <is>
          <t>BODEN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46302</v>
      </c>
      <c r="F586" t="inlineStr">
        <is>
          <t>NORRBOTTENS LÄN</t>
        </is>
      </c>
      <c r="G586" t="inlineStr">
        <is>
          <t>BODEN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24221-2026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46168</v>
      </c>
      <c r="E587" s="1" t="n">
        <v>46302</v>
      </c>
      <c r="F587" t="inlineStr">
        <is>
          <t>NORRBOTTENS LÄN</t>
        </is>
      </c>
      <c r="G587" t="inlineStr">
        <is>
          <t>BODEN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24805-2026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46172</v>
      </c>
      <c r="E588" s="1" t="n">
        <v>46302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24717-2026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46171</v>
      </c>
      <c r="E589" s="1" t="n">
        <v>46302</v>
      </c>
      <c r="F589" t="inlineStr">
        <is>
          <t>NORRBOTTENS LÄN</t>
        </is>
      </c>
      <c r="G589" t="inlineStr">
        <is>
          <t>BODEN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46174</v>
      </c>
      <c r="E590" s="1" t="n">
        <v>46302</v>
      </c>
      <c r="F590" t="inlineStr">
        <is>
          <t>NORRBOTTENS LÄN</t>
        </is>
      </c>
      <c r="G590" t="inlineStr">
        <is>
          <t>BODEN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45685</v>
      </c>
      <c r="E591" s="1" t="n">
        <v>46302</v>
      </c>
      <c r="F591" t="inlineStr">
        <is>
          <t>NORRBOTTENS LÄN</t>
        </is>
      </c>
      <c r="G591" t="inlineStr">
        <is>
          <t>BODEN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25240-2026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46175</v>
      </c>
      <c r="E592" s="1" t="n">
        <v>46302</v>
      </c>
      <c r="F592" t="inlineStr">
        <is>
          <t>NORRBOTTENS LÄN</t>
        </is>
      </c>
      <c r="G592" t="inlineStr">
        <is>
          <t>BODEN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46302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7.5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45356</v>
      </c>
      <c r="E594" s="1" t="n">
        <v>46302</v>
      </c>
      <c r="F594" t="inlineStr">
        <is>
          <t>NORRBOTTENS LÄN</t>
        </is>
      </c>
      <c r="G594" t="inlineStr">
        <is>
          <t>BODEN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46302</v>
      </c>
      <c r="F595" t="inlineStr">
        <is>
          <t>NORRBOTTENS LÄN</t>
        </is>
      </c>
      <c r="G595" t="inlineStr">
        <is>
          <t>BODEN</t>
        </is>
      </c>
      <c r="H595" t="inlineStr">
        <is>
          <t>Sveaskog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25571-2026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46302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24498-2026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46302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26122-2026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46302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26182-2026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46302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8.5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11930-2023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44994</v>
      </c>
      <c r="E600" s="1" t="n">
        <v>46302</v>
      </c>
      <c r="F600" t="inlineStr">
        <is>
          <t>NORRBOTTENS LÄN</t>
        </is>
      </c>
      <c r="G600" t="inlineStr">
        <is>
          <t>BODEN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26448-2026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46183</v>
      </c>
      <c r="E601" s="1" t="n">
        <v>46302</v>
      </c>
      <c r="F601" t="inlineStr">
        <is>
          <t>NORRBOTTENS LÄN</t>
        </is>
      </c>
      <c r="G601" t="inlineStr">
        <is>
          <t>BODEN</t>
        </is>
      </c>
      <c r="I601" t="n">
        <v>7.7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26714-2026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46302</v>
      </c>
      <c r="F602" t="inlineStr">
        <is>
          <t>NORRBOTTENS LÄN</t>
        </is>
      </c>
      <c r="G602" t="inlineStr">
        <is>
          <t>BODEN</t>
        </is>
      </c>
      <c r="H602" t="inlineStr">
        <is>
          <t>Sveaskog</t>
        </is>
      </c>
      <c r="I602" t="n">
        <v>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26776-2026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46302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  <c r="Z603">
        <f>HYPERLINK("https://klasma.github.io/Logging_2582/knärot/A 26776-2026 karta knärot.png", "A 26776-2026")</f>
        <v/>
      </c>
      <c r="AA603">
        <f>HYPERLINK("https://klasma.github.io/Logging_2582/klagomål/A 26776-2026 FSC-klagomål.docx", "A 26776-2026")</f>
        <v/>
      </c>
      <c r="AB603">
        <f>HYPERLINK("https://klasma.github.io/Logging_2582/klagomålsmail/A 26776-2026 FSC-klagomål mail.docx", "A 26776-2026")</f>
        <v/>
      </c>
      <c r="AC603">
        <f>HYPERLINK("https://klasma.github.io/Logging_2582/tillsyn/A 26776-2026 tillsynsbegäran.docx", "A 26776-2026")</f>
        <v/>
      </c>
      <c r="AD603">
        <f>HYPERLINK("https://klasma.github.io/Logging_2582/tillsynsmail/A 26776-2026 tillsynsbegäran mail.docx", "A 26776-2026")</f>
        <v/>
      </c>
    </row>
    <row r="604" ht="15" customHeight="1">
      <c r="A604" t="inlineStr">
        <is>
          <t>A 26386-2026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46183</v>
      </c>
      <c r="E604" s="1" t="n">
        <v>46302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26662-2026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46302</v>
      </c>
      <c r="F605" t="inlineStr">
        <is>
          <t>NORRBOTTENS LÄN</t>
        </is>
      </c>
      <c r="G605" t="inlineStr">
        <is>
          <t>BODEN</t>
        </is>
      </c>
      <c r="H605" t="inlineStr">
        <is>
          <t>Sveaskog</t>
        </is>
      </c>
      <c r="I605" t="n">
        <v>42.2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45512</v>
      </c>
      <c r="E606" s="1" t="n">
        <v>46302</v>
      </c>
      <c r="F606" t="inlineStr">
        <is>
          <t>NORRBOTTENS LÄN</t>
        </is>
      </c>
      <c r="G606" t="inlineStr">
        <is>
          <t>BODEN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56163-2022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44889</v>
      </c>
      <c r="E607" s="1" t="n">
        <v>46302</v>
      </c>
      <c r="F607" t="inlineStr">
        <is>
          <t>NORRBOTTENS LÄN</t>
        </is>
      </c>
      <c r="G607" t="inlineStr">
        <is>
          <t>BODEN</t>
        </is>
      </c>
      <c r="I607" t="n">
        <v>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26996-2026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46302</v>
      </c>
      <c r="F608" t="inlineStr">
        <is>
          <t>NORRBOTTENS LÄN</t>
        </is>
      </c>
      <c r="G608" t="inlineStr">
        <is>
          <t>BODEN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16222-2024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45406</v>
      </c>
      <c r="E609" s="1" t="n">
        <v>46302</v>
      </c>
      <c r="F609" t="inlineStr">
        <is>
          <t>NORRBOTTENS LÄN</t>
        </is>
      </c>
      <c r="G609" t="inlineStr">
        <is>
          <t>BODEN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19968-2025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45771</v>
      </c>
      <c r="E610" s="1" t="n">
        <v>46302</v>
      </c>
      <c r="F610" t="inlineStr">
        <is>
          <t>NORRBOTTENS LÄN</t>
        </is>
      </c>
      <c r="G610" t="inlineStr">
        <is>
          <t>BODEN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54104-2022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44881</v>
      </c>
      <c r="E611" s="1" t="n">
        <v>46302</v>
      </c>
      <c r="F611" t="inlineStr">
        <is>
          <t>NORRBOTTENS LÄN</t>
        </is>
      </c>
      <c r="G611" t="inlineStr">
        <is>
          <t>BODEN</t>
        </is>
      </c>
      <c r="H611" t="inlineStr">
        <is>
          <t>Sveaskog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47423-2024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45587</v>
      </c>
      <c r="E612" s="1" t="n">
        <v>46302</v>
      </c>
      <c r="F612" t="inlineStr">
        <is>
          <t>NORRBOTTENS LÄN</t>
        </is>
      </c>
      <c r="G612" t="inlineStr">
        <is>
          <t>BODEN</t>
        </is>
      </c>
      <c r="I612" t="n">
        <v>17.2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45248</v>
      </c>
      <c r="E613" s="1" t="n">
        <v>46302</v>
      </c>
      <c r="F613" t="inlineStr">
        <is>
          <t>NORRBOTTENS LÄN</t>
        </is>
      </c>
      <c r="G613" t="inlineStr">
        <is>
          <t>BODEN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5071-2025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45691</v>
      </c>
      <c r="E614" s="1" t="n">
        <v>46302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13714-2022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44648</v>
      </c>
      <c r="E615" s="1" t="n">
        <v>46302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467-2022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44565</v>
      </c>
      <c r="E616" s="1" t="n">
        <v>46302</v>
      </c>
      <c r="F616" t="inlineStr">
        <is>
          <t>NORRBOTTENS LÄN</t>
        </is>
      </c>
      <c r="G616" t="inlineStr">
        <is>
          <t>BODEN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61743-2024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45649</v>
      </c>
      <c r="E617" s="1" t="n">
        <v>46302</v>
      </c>
      <c r="F617" t="inlineStr">
        <is>
          <t>NORRBOTTENS LÄN</t>
        </is>
      </c>
      <c r="G617" t="inlineStr">
        <is>
          <t>BODEN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27749-2026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46191</v>
      </c>
      <c r="E618" s="1" t="n">
        <v>46302</v>
      </c>
      <c r="F618" t="inlineStr">
        <is>
          <t>NORRBOTTENS LÄN</t>
        </is>
      </c>
      <c r="G618" t="inlineStr">
        <is>
          <t>BODEN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44553-2024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45574</v>
      </c>
      <c r="E619" s="1" t="n">
        <v>46302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28241-2026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46196</v>
      </c>
      <c r="E620" s="1" t="n">
        <v>46302</v>
      </c>
      <c r="F620" t="inlineStr">
        <is>
          <t>NORRBOTTENS LÄN</t>
        </is>
      </c>
      <c r="G620" t="inlineStr">
        <is>
          <t>BODEN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1081-2024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46302</v>
      </c>
      <c r="F621" t="inlineStr">
        <is>
          <t>NORRBOTTENS LÄN</t>
        </is>
      </c>
      <c r="G621" t="inlineStr">
        <is>
          <t>BODEN</t>
        </is>
      </c>
      <c r="H621" t="inlineStr">
        <is>
          <t>Övriga statliga verk och myndigheter</t>
        </is>
      </c>
      <c r="I621" t="n">
        <v>10.4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18173-2025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45761</v>
      </c>
      <c r="E622" s="1" t="n">
        <v>46302</v>
      </c>
      <c r="F622" t="inlineStr">
        <is>
          <t>NORRBOTTENS LÄN</t>
        </is>
      </c>
      <c r="G622" t="inlineStr">
        <is>
          <t>BODEN</t>
        </is>
      </c>
      <c r="I622" t="n">
        <v>7.2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16180-2025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45750</v>
      </c>
      <c r="E623" s="1" t="n">
        <v>46302</v>
      </c>
      <c r="F623" t="inlineStr">
        <is>
          <t>NORRBOTTENS LÄN</t>
        </is>
      </c>
      <c r="G623" t="inlineStr">
        <is>
          <t>BODEN</t>
        </is>
      </c>
      <c r="H623" t="inlineStr">
        <is>
          <t>Övriga Aktiebolag</t>
        </is>
      </c>
      <c r="I623" t="n">
        <v>7.1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60337-2024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45643</v>
      </c>
      <c r="E624" s="1" t="n">
        <v>46302</v>
      </c>
      <c r="F624" t="inlineStr">
        <is>
          <t>NORRBOTTENS LÄN</t>
        </is>
      </c>
      <c r="G624" t="inlineStr">
        <is>
          <t>BODEN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28566-2026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46197</v>
      </c>
      <c r="E625" s="1" t="n">
        <v>46302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61260-2023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46302</v>
      </c>
      <c r="F626" t="inlineStr">
        <is>
          <t>NORRBOTTENS LÄN</t>
        </is>
      </c>
      <c r="G626" t="inlineStr">
        <is>
          <t>BODEN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46302</v>
      </c>
      <c r="F627" t="inlineStr">
        <is>
          <t>NORRBOTTENS LÄN</t>
        </is>
      </c>
      <c r="G627" t="inlineStr">
        <is>
          <t>BODEN</t>
        </is>
      </c>
      <c r="I627" t="n">
        <v>14.5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28509-2026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46302</v>
      </c>
      <c r="F628" t="inlineStr">
        <is>
          <t>NORRBOTTENS LÄN</t>
        </is>
      </c>
      <c r="G628" t="inlineStr">
        <is>
          <t>BODEN</t>
        </is>
      </c>
      <c r="I628" t="n">
        <v>8.9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28512-2026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46197</v>
      </c>
      <c r="E629" s="1" t="n">
        <v>46302</v>
      </c>
      <c r="F629" t="inlineStr">
        <is>
          <t>NORRBOTTENS LÄN</t>
        </is>
      </c>
      <c r="G629" t="inlineStr">
        <is>
          <t>BODEN</t>
        </is>
      </c>
      <c r="I629" t="n">
        <v>10.8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45692</v>
      </c>
      <c r="E630" s="1" t="n">
        <v>46302</v>
      </c>
      <c r="F630" t="inlineStr">
        <is>
          <t>NORRBOTTENS LÄN</t>
        </is>
      </c>
      <c r="G630" t="inlineStr">
        <is>
          <t>BODEN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46197</v>
      </c>
      <c r="E631" s="1" t="n">
        <v>46302</v>
      </c>
      <c r="F631" t="inlineStr">
        <is>
          <t>NORRBOTTENS LÄN</t>
        </is>
      </c>
      <c r="G631" t="inlineStr">
        <is>
          <t>BODEN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46202</v>
      </c>
      <c r="E632" s="1" t="n">
        <v>46302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46202</v>
      </c>
      <c r="E633" s="1" t="n">
        <v>46302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59029-2022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44903</v>
      </c>
      <c r="E634" s="1" t="n">
        <v>46302</v>
      </c>
      <c r="F634" t="inlineStr">
        <is>
          <t>NORRBOTTENS LÄN</t>
        </is>
      </c>
      <c r="G634" t="inlineStr">
        <is>
          <t>BODEN</t>
        </is>
      </c>
      <c r="I634" t="n">
        <v>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46202</v>
      </c>
      <c r="E635" s="1" t="n">
        <v>46302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19757-2025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45770</v>
      </c>
      <c r="E636" s="1" t="n">
        <v>46302</v>
      </c>
      <c r="F636" t="inlineStr">
        <is>
          <t>NORRBOTTENS LÄN</t>
        </is>
      </c>
      <c r="G636" t="inlineStr">
        <is>
          <t>BODEN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1962-2025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45672</v>
      </c>
      <c r="E637" s="1" t="n">
        <v>46302</v>
      </c>
      <c r="F637" t="inlineStr">
        <is>
          <t>NORRBOTTENS LÄN</t>
        </is>
      </c>
      <c r="G637" t="inlineStr">
        <is>
          <t>BODEN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46302</v>
      </c>
      <c r="F638" t="inlineStr">
        <is>
          <t>NORRBOTTENS LÄN</t>
        </is>
      </c>
      <c r="G638" t="inlineStr">
        <is>
          <t>BODEN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29568-2026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46204</v>
      </c>
      <c r="E639" s="1" t="n">
        <v>46302</v>
      </c>
      <c r="F639" t="inlineStr">
        <is>
          <t>NORRBOTTENS LÄN</t>
        </is>
      </c>
      <c r="G639" t="inlineStr">
        <is>
          <t>BODEN</t>
        </is>
      </c>
      <c r="I639" t="n">
        <v>12.2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48415-2024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45590</v>
      </c>
      <c r="E640" s="1" t="n">
        <v>46302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48471-2024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45591</v>
      </c>
      <c r="E641" s="1" t="n">
        <v>46302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48472-2024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45591</v>
      </c>
      <c r="E642" s="1" t="n">
        <v>46302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7.7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29759-2026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46302</v>
      </c>
      <c r="F643" t="inlineStr">
        <is>
          <t>NORRBOTTENS LÄN</t>
        </is>
      </c>
      <c r="G643" t="inlineStr">
        <is>
          <t>BODEN</t>
        </is>
      </c>
      <c r="I643" t="n">
        <v>38.7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29555-2026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46302</v>
      </c>
      <c r="F644" t="inlineStr">
        <is>
          <t>NORRBOTTENS LÄN</t>
        </is>
      </c>
      <c r="G644" t="inlineStr">
        <is>
          <t>BODEN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18569-2024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45425</v>
      </c>
      <c r="E645" s="1" t="n">
        <v>46302</v>
      </c>
      <c r="F645" t="inlineStr">
        <is>
          <t>NORRBOTTENS LÄN</t>
        </is>
      </c>
      <c r="G645" t="inlineStr">
        <is>
          <t>BODEN</t>
        </is>
      </c>
      <c r="I645" t="n">
        <v>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15017-2022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44657</v>
      </c>
      <c r="E646" s="1" t="n">
        <v>46302</v>
      </c>
      <c r="F646" t="inlineStr">
        <is>
          <t>NORRBOTTENS LÄN</t>
        </is>
      </c>
      <c r="G646" t="inlineStr">
        <is>
          <t>BODEN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30077-2026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46206</v>
      </c>
      <c r="E647" s="1" t="n">
        <v>46302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30025-2026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46302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30332-2026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46208</v>
      </c>
      <c r="E649" s="1" t="n">
        <v>46302</v>
      </c>
      <c r="F649" t="inlineStr">
        <is>
          <t>NORRBOTTENS LÄN</t>
        </is>
      </c>
      <c r="G649" t="inlineStr">
        <is>
          <t>BODEN</t>
        </is>
      </c>
      <c r="I649" t="n">
        <v>9.800000000000001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30023-2026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46206</v>
      </c>
      <c r="E650" s="1" t="n">
        <v>46302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15.2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30745-2026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46211</v>
      </c>
      <c r="E651" s="1" t="n">
        <v>46302</v>
      </c>
      <c r="F651" t="inlineStr">
        <is>
          <t>NORRBOTTENS LÄN</t>
        </is>
      </c>
      <c r="G651" t="inlineStr">
        <is>
          <t>BODEN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30426-2026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46209</v>
      </c>
      <c r="E652" s="1" t="n">
        <v>46302</v>
      </c>
      <c r="F652" t="inlineStr">
        <is>
          <t>NORRBOTTENS LÄN</t>
        </is>
      </c>
      <c r="G652" t="inlineStr">
        <is>
          <t>BODEN</t>
        </is>
      </c>
      <c r="H652" t="inlineStr">
        <is>
          <t>Kommuner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30430-2026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46302</v>
      </c>
      <c r="F653" t="inlineStr">
        <is>
          <t>NORRBOTTENS LÄN</t>
        </is>
      </c>
      <c r="G653" t="inlineStr">
        <is>
          <t>BODEN</t>
        </is>
      </c>
      <c r="H653" t="inlineStr">
        <is>
          <t>Kommuner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46564-2022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44847</v>
      </c>
      <c r="E654" s="1" t="n">
        <v>46302</v>
      </c>
      <c r="F654" t="inlineStr">
        <is>
          <t>NORRBOTTENS LÄN</t>
        </is>
      </c>
      <c r="G654" t="inlineStr">
        <is>
          <t>BODEN</t>
        </is>
      </c>
      <c r="I654" t="n">
        <v>28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49162-2023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45210</v>
      </c>
      <c r="E655" s="1" t="n">
        <v>46302</v>
      </c>
      <c r="F655" t="inlineStr">
        <is>
          <t>NORRBOTTENS LÄN</t>
        </is>
      </c>
      <c r="G655" t="inlineStr">
        <is>
          <t>BODEN</t>
        </is>
      </c>
      <c r="H655" t="inlineStr">
        <is>
          <t>Sveaskog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44573</v>
      </c>
      <c r="E656" s="1" t="n">
        <v>46302</v>
      </c>
      <c r="F656" t="inlineStr">
        <is>
          <t>NORRBOTTENS LÄN</t>
        </is>
      </c>
      <c r="G656" t="inlineStr">
        <is>
          <t>BODEN</t>
        </is>
      </c>
      <c r="H656" t="inlineStr">
        <is>
          <t>Övriga statliga verk och myndigheter</t>
        </is>
      </c>
      <c r="I656" t="n">
        <v>9.9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48950-2022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44859</v>
      </c>
      <c r="E657" s="1" t="n">
        <v>46302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37984-2024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45544</v>
      </c>
      <c r="E658" s="1" t="n">
        <v>46302</v>
      </c>
      <c r="F658" t="inlineStr">
        <is>
          <t>NORRBOTTENS LÄN</t>
        </is>
      </c>
      <c r="G658" t="inlineStr">
        <is>
          <t>BODEN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45314</v>
      </c>
      <c r="E659" s="1" t="n">
        <v>46302</v>
      </c>
      <c r="F659" t="inlineStr">
        <is>
          <t>NORRBOTTENS LÄN</t>
        </is>
      </c>
      <c r="G659" t="inlineStr">
        <is>
          <t>BODEN</t>
        </is>
      </c>
      <c r="I659" t="n">
        <v>17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19563-2024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45429</v>
      </c>
      <c r="E660" s="1" t="n">
        <v>46302</v>
      </c>
      <c r="F660" t="inlineStr">
        <is>
          <t>NORRBOTTENS LÄN</t>
        </is>
      </c>
      <c r="G660" t="inlineStr">
        <is>
          <t>BODEN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46302</v>
      </c>
      <c r="F661" t="inlineStr">
        <is>
          <t>NORRBOTTENS LÄN</t>
        </is>
      </c>
      <c r="G661" t="inlineStr">
        <is>
          <t>BODEN</t>
        </is>
      </c>
      <c r="H661" t="inlineStr">
        <is>
          <t>Kommuner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6693-2023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44963</v>
      </c>
      <c r="E662" s="1" t="n">
        <v>46302</v>
      </c>
      <c r="F662" t="inlineStr">
        <is>
          <t>NORRBOTTENS LÄN</t>
        </is>
      </c>
      <c r="G662" t="inlineStr">
        <is>
          <t>BODEN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31456-2024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45505</v>
      </c>
      <c r="E663" s="1" t="n">
        <v>46302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9969-2023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44979</v>
      </c>
      <c r="E664" s="1" t="n">
        <v>46302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statliga verk och myndigheter</t>
        </is>
      </c>
      <c r="I664" t="n">
        <v>18.8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35407-2026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46302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46052-2025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45924</v>
      </c>
      <c r="E666" s="1" t="n">
        <v>46302</v>
      </c>
      <c r="F666" t="inlineStr">
        <is>
          <t>NORRBOTTENS LÄN</t>
        </is>
      </c>
      <c r="G666" t="inlineStr">
        <is>
          <t>BODEN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35381-2026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46261</v>
      </c>
      <c r="E667" s="1" t="n">
        <v>46302</v>
      </c>
      <c r="F667" t="inlineStr">
        <is>
          <t>NORRBOTTENS LÄN</t>
        </is>
      </c>
      <c r="G667" t="inlineStr">
        <is>
          <t>BODEN</t>
        </is>
      </c>
      <c r="I667" t="n">
        <v>10.9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26806-2024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45470</v>
      </c>
      <c r="E668" s="1" t="n">
        <v>46302</v>
      </c>
      <c r="F668" t="inlineStr">
        <is>
          <t>NORRBOTTENS LÄN</t>
        </is>
      </c>
      <c r="G668" t="inlineStr">
        <is>
          <t>BODEN</t>
        </is>
      </c>
      <c r="H668" t="inlineStr">
        <is>
          <t>Övriga Aktiebolag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35372-2026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46261</v>
      </c>
      <c r="E669" s="1" t="n">
        <v>46302</v>
      </c>
      <c r="F669" t="inlineStr">
        <is>
          <t>NORRBOTTENS LÄN</t>
        </is>
      </c>
      <c r="G669" t="inlineStr">
        <is>
          <t>BODEN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35373-2026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46261</v>
      </c>
      <c r="E670" s="1" t="n">
        <v>46302</v>
      </c>
      <c r="F670" t="inlineStr">
        <is>
          <t>NORRBOTTENS LÄN</t>
        </is>
      </c>
      <c r="G670" t="inlineStr">
        <is>
          <t>BODEN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46217</v>
      </c>
      <c r="E671" s="1" t="n">
        <v>46302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40117-2025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45894</v>
      </c>
      <c r="E672" s="1" t="n">
        <v>46302</v>
      </c>
      <c r="F672" t="inlineStr">
        <is>
          <t>NORRBOTTENS LÄN</t>
        </is>
      </c>
      <c r="G672" t="inlineStr">
        <is>
          <t>BODEN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35295-2026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46261</v>
      </c>
      <c r="E673" s="1" t="n">
        <v>46302</v>
      </c>
      <c r="F673" t="inlineStr">
        <is>
          <t>NORRBOTTENS LÄN</t>
        </is>
      </c>
      <c r="G673" t="inlineStr">
        <is>
          <t>BODEN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  <c r="Z673">
        <f>HYPERLINK("https://klasma.github.io/Logging_2582/knärot/A 35295-2026 karta knärot.png", "A 35295-2026")</f>
        <v/>
      </c>
      <c r="AA673">
        <f>HYPERLINK("https://klasma.github.io/Logging_2582/klagomål/A 35295-2026 FSC-klagomål.docx", "A 35295-2026")</f>
        <v/>
      </c>
      <c r="AB673">
        <f>HYPERLINK("https://klasma.github.io/Logging_2582/klagomålsmail/A 35295-2026 FSC-klagomål mail.docx", "A 35295-2026")</f>
        <v/>
      </c>
      <c r="AC673">
        <f>HYPERLINK("https://klasma.github.io/Logging_2582/tillsyn/A 35295-2026 tillsynsbegäran.docx", "A 35295-2026")</f>
        <v/>
      </c>
      <c r="AD673">
        <f>HYPERLINK("https://klasma.github.io/Logging_2582/tillsynsmail/A 35295-2026 tillsynsbegäran mail.docx", "A 35295-2026")</f>
        <v/>
      </c>
    </row>
    <row r="674" ht="15" customHeight="1">
      <c r="A674" t="inlineStr">
        <is>
          <t>A 31209-2026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46217</v>
      </c>
      <c r="E674" s="1" t="n">
        <v>46302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8.800000000000001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46217</v>
      </c>
      <c r="E675" s="1" t="n">
        <v>46302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46302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68591-2021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44529</v>
      </c>
      <c r="E677" s="1" t="n">
        <v>46302</v>
      </c>
      <c r="F677" t="inlineStr">
        <is>
          <t>NORRBOTTENS LÄN</t>
        </is>
      </c>
      <c r="G677" t="inlineStr">
        <is>
          <t>BODEN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44567-2024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45574</v>
      </c>
      <c r="E678" s="1" t="n">
        <v>46302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24225-2026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46302</v>
      </c>
      <c r="F679" t="inlineStr">
        <is>
          <t>NORRBOTTENS LÄN</t>
        </is>
      </c>
      <c r="G679" t="inlineStr">
        <is>
          <t>BODEN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19051-2025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45764</v>
      </c>
      <c r="E680" s="1" t="n">
        <v>46302</v>
      </c>
      <c r="F680" t="inlineStr">
        <is>
          <t>NORRBOTTENS LÄN</t>
        </is>
      </c>
      <c r="G680" t="inlineStr">
        <is>
          <t>BODEN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35902-2026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46266</v>
      </c>
      <c r="E681" s="1" t="n">
        <v>46302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12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36187-2026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46267</v>
      </c>
      <c r="E682" s="1" t="n">
        <v>46302</v>
      </c>
      <c r="F682" t="inlineStr">
        <is>
          <t>NORRBOTTENS LÄN</t>
        </is>
      </c>
      <c r="G682" t="inlineStr">
        <is>
          <t>BODEN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14757-2023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45014</v>
      </c>
      <c r="E683" s="1" t="n">
        <v>46302</v>
      </c>
      <c r="F683" t="inlineStr">
        <is>
          <t>NORRBOTTENS LÄN</t>
        </is>
      </c>
      <c r="G683" t="inlineStr">
        <is>
          <t>BODEN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6244-2023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44964</v>
      </c>
      <c r="E684" s="1" t="n">
        <v>46302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19624-2025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45770</v>
      </c>
      <c r="E685" s="1" t="n">
        <v>46302</v>
      </c>
      <c r="F685" t="inlineStr">
        <is>
          <t>NORRBOTTENS LÄN</t>
        </is>
      </c>
      <c r="G685" t="inlineStr">
        <is>
          <t>BODEN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59893-2023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45254</v>
      </c>
      <c r="E686" s="1" t="n">
        <v>46302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35040-2022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44796</v>
      </c>
      <c r="E687" s="1" t="n">
        <v>46302</v>
      </c>
      <c r="F687" t="inlineStr">
        <is>
          <t>NORRBOTTENS LÄN</t>
        </is>
      </c>
      <c r="G687" t="inlineStr">
        <is>
          <t>BODEN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5792-2025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45694</v>
      </c>
      <c r="E688" s="1" t="n">
        <v>46302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36430-2026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46269</v>
      </c>
      <c r="E689" s="1" t="n">
        <v>46302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36406-2026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46268</v>
      </c>
      <c r="E690" s="1" t="n">
        <v>46302</v>
      </c>
      <c r="F690" t="inlineStr">
        <is>
          <t>NORRBOTTENS LÄN</t>
        </is>
      </c>
      <c r="G690" t="inlineStr">
        <is>
          <t>BODEN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46225</v>
      </c>
      <c r="E691" s="1" t="n">
        <v>46302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33915-2024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45523</v>
      </c>
      <c r="E692" s="1" t="n">
        <v>46302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36398-2026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46268</v>
      </c>
      <c r="E693" s="1" t="n">
        <v>46302</v>
      </c>
      <c r="F693" t="inlineStr">
        <is>
          <t>NORRBOTTENS LÄN</t>
        </is>
      </c>
      <c r="G693" t="inlineStr">
        <is>
          <t>BODEN</t>
        </is>
      </c>
      <c r="H693" t="inlineStr">
        <is>
          <t>Kommuner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36112-2023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45149</v>
      </c>
      <c r="E694" s="1" t="n">
        <v>46302</v>
      </c>
      <c r="F694" t="inlineStr">
        <is>
          <t>NORRBOTTENS LÄN</t>
        </is>
      </c>
      <c r="G694" t="inlineStr">
        <is>
          <t>BODEN</t>
        </is>
      </c>
      <c r="I694" t="n">
        <v>16.1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46029</v>
      </c>
      <c r="E695" s="1" t="n">
        <v>46302</v>
      </c>
      <c r="F695" t="inlineStr">
        <is>
          <t>NORRBOTTENS LÄN</t>
        </is>
      </c>
      <c r="G695" t="inlineStr">
        <is>
          <t>BODEN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20505-2023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45054</v>
      </c>
      <c r="E696" s="1" t="n">
        <v>46302</v>
      </c>
      <c r="F696" t="inlineStr">
        <is>
          <t>NORRBOTTENS LÄN</t>
        </is>
      </c>
      <c r="G696" t="inlineStr">
        <is>
          <t>BODEN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21335-2024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45429</v>
      </c>
      <c r="E697" s="1" t="n">
        <v>46302</v>
      </c>
      <c r="F697" t="inlineStr">
        <is>
          <t>NORRBOTTENS LÄN</t>
        </is>
      </c>
      <c r="G697" t="inlineStr">
        <is>
          <t>BODEN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25916-2023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45085</v>
      </c>
      <c r="E698" s="1" t="n">
        <v>46302</v>
      </c>
      <c r="F698" t="inlineStr">
        <is>
          <t>NORRBOTTENS LÄN</t>
        </is>
      </c>
      <c r="G698" t="inlineStr">
        <is>
          <t>BODEN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64649-2023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45281</v>
      </c>
      <c r="E699" s="1" t="n">
        <v>46302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59028-2022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44903</v>
      </c>
      <c r="E700" s="1" t="n">
        <v>46302</v>
      </c>
      <c r="F700" t="inlineStr">
        <is>
          <t>NORRBOTTENS LÄN</t>
        </is>
      </c>
      <c r="G700" t="inlineStr">
        <is>
          <t>BODEN</t>
        </is>
      </c>
      <c r="I700" t="n">
        <v>16.1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36792-2026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46272</v>
      </c>
      <c r="E701" s="1" t="n">
        <v>46302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37029-2026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46273</v>
      </c>
      <c r="E702" s="1" t="n">
        <v>46302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11.8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36241-2026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46268</v>
      </c>
      <c r="E703" s="1" t="n">
        <v>46302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49127-2023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45210</v>
      </c>
      <c r="E704" s="1" t="n">
        <v>46302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46270</v>
      </c>
      <c r="E705" s="1" t="n">
        <v>46302</v>
      </c>
      <c r="F705" t="inlineStr">
        <is>
          <t>NORRBOTTENS LÄN</t>
        </is>
      </c>
      <c r="G705" t="inlineStr">
        <is>
          <t>BODEN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67438-2021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44524</v>
      </c>
      <c r="E706" s="1" t="n">
        <v>46302</v>
      </c>
      <c r="F706" t="inlineStr">
        <is>
          <t>NORRBOTTENS LÄN</t>
        </is>
      </c>
      <c r="G706" t="inlineStr">
        <is>
          <t>BODEN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37101-2026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46274</v>
      </c>
      <c r="E707" s="1" t="n">
        <v>46302</v>
      </c>
      <c r="F707" t="inlineStr">
        <is>
          <t>NORRBOTTENS LÄN</t>
        </is>
      </c>
      <c r="G707" t="inlineStr">
        <is>
          <t>BODEN</t>
        </is>
      </c>
      <c r="I707" t="n">
        <v>9.800000000000001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37119-2026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46274</v>
      </c>
      <c r="E708" s="1" t="n">
        <v>46302</v>
      </c>
      <c r="F708" t="inlineStr">
        <is>
          <t>NORRBOTTENS LÄN</t>
        </is>
      </c>
      <c r="G708" t="inlineStr">
        <is>
          <t>BODEN</t>
        </is>
      </c>
      <c r="I708" t="n">
        <v>12.3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37436-2026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46275</v>
      </c>
      <c r="E709" s="1" t="n">
        <v>46302</v>
      </c>
      <c r="F709" t="inlineStr">
        <is>
          <t>NORRBOTTENS LÄN</t>
        </is>
      </c>
      <c r="G709" t="inlineStr">
        <is>
          <t>BODEN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37472-2026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46275</v>
      </c>
      <c r="E710" s="1" t="n">
        <v>46302</v>
      </c>
      <c r="F710" t="inlineStr">
        <is>
          <t>NORRBOTTENS LÄN</t>
        </is>
      </c>
      <c r="G710" t="inlineStr">
        <is>
          <t>BODEN</t>
        </is>
      </c>
      <c r="I710" t="n">
        <v>6.5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37103-2026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46274</v>
      </c>
      <c r="E711" s="1" t="n">
        <v>46302</v>
      </c>
      <c r="F711" t="inlineStr">
        <is>
          <t>NORRBOTTENS LÄN</t>
        </is>
      </c>
      <c r="G711" t="inlineStr">
        <is>
          <t>BODEN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37162-2026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46274</v>
      </c>
      <c r="E712" s="1" t="n">
        <v>46302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49859-2023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45212</v>
      </c>
      <c r="E713" s="1" t="n">
        <v>46302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37478-2026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46275</v>
      </c>
      <c r="E714" s="1" t="n">
        <v>46302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37459-2026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46275</v>
      </c>
      <c r="E715" s="1" t="n">
        <v>46302</v>
      </c>
      <c r="F715" t="inlineStr">
        <is>
          <t>NORRBOTTENS LÄN</t>
        </is>
      </c>
      <c r="G715" t="inlineStr">
        <is>
          <t>BODEN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46275</v>
      </c>
      <c r="E716" s="1" t="n">
        <v>46302</v>
      </c>
      <c r="F716" t="inlineStr">
        <is>
          <t>NORRBOTTENS LÄN</t>
        </is>
      </c>
      <c r="G716" t="inlineStr">
        <is>
          <t>BODEN</t>
        </is>
      </c>
      <c r="I716" t="n">
        <v>23.1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46234</v>
      </c>
      <c r="E717" s="1" t="n">
        <v>46302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21421-2022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44706</v>
      </c>
      <c r="E718" s="1" t="n">
        <v>46302</v>
      </c>
      <c r="F718" t="inlineStr">
        <is>
          <t>NORRBOTTENS LÄN</t>
        </is>
      </c>
      <c r="G718" t="inlineStr">
        <is>
          <t>BODEN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37588-2026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46276</v>
      </c>
      <c r="E719" s="1" t="n">
        <v>46302</v>
      </c>
      <c r="F719" t="inlineStr">
        <is>
          <t>NORRBOTTENS LÄN</t>
        </is>
      </c>
      <c r="G719" t="inlineStr">
        <is>
          <t>BODEN</t>
        </is>
      </c>
      <c r="I719" t="n">
        <v>8.300000000000001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37589-2026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46276</v>
      </c>
      <c r="E720" s="1" t="n">
        <v>46302</v>
      </c>
      <c r="F720" t="inlineStr">
        <is>
          <t>NORRBOTTENS LÄN</t>
        </is>
      </c>
      <c r="G720" t="inlineStr">
        <is>
          <t>BODEN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32088-2026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46234</v>
      </c>
      <c r="E721" s="1" t="n">
        <v>46302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28432-2022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44747</v>
      </c>
      <c r="E722" s="1" t="n">
        <v>46302</v>
      </c>
      <c r="F722" t="inlineStr">
        <is>
          <t>NORRBOTTENS LÄN</t>
        </is>
      </c>
      <c r="G722" t="inlineStr">
        <is>
          <t>BODEN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16741-2022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44673</v>
      </c>
      <c r="E723" s="1" t="n">
        <v>46302</v>
      </c>
      <c r="F723" t="inlineStr">
        <is>
          <t>NORRBOTTENS LÄN</t>
        </is>
      </c>
      <c r="G723" t="inlineStr">
        <is>
          <t>BODEN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46234</v>
      </c>
      <c r="E724" s="1" t="n">
        <v>46302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38994-2024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45548</v>
      </c>
      <c r="E725" s="1" t="n">
        <v>46302</v>
      </c>
      <c r="F725" t="inlineStr">
        <is>
          <t>NORRBOTTENS LÄN</t>
        </is>
      </c>
      <c r="G725" t="inlineStr">
        <is>
          <t>BODEN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14995-2022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44657</v>
      </c>
      <c r="E726" s="1" t="n">
        <v>46302</v>
      </c>
      <c r="F726" t="inlineStr">
        <is>
          <t>NORRBOTTENS LÄN</t>
        </is>
      </c>
      <c r="G726" t="inlineStr">
        <is>
          <t>BODEN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15000-2022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44657</v>
      </c>
      <c r="E727" s="1" t="n">
        <v>46302</v>
      </c>
      <c r="F727" t="inlineStr">
        <is>
          <t>NORRBOTTENS LÄN</t>
        </is>
      </c>
      <c r="G727" t="inlineStr">
        <is>
          <t>BODEN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38259-2026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46281</v>
      </c>
      <c r="E728" s="1" t="n">
        <v>46302</v>
      </c>
      <c r="F728" t="inlineStr">
        <is>
          <t>NORRBOTTENS LÄN</t>
        </is>
      </c>
      <c r="G728" t="inlineStr">
        <is>
          <t>BODEN</t>
        </is>
      </c>
      <c r="H728" t="inlineStr">
        <is>
          <t>Övriga Aktiebolag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38212-2026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46281</v>
      </c>
      <c r="E729" s="1" t="n">
        <v>46302</v>
      </c>
      <c r="F729" t="inlineStr">
        <is>
          <t>NORRBOTTENS LÄN</t>
        </is>
      </c>
      <c r="G729" t="inlineStr">
        <is>
          <t>BODEN</t>
        </is>
      </c>
      <c r="H729" t="inlineStr">
        <is>
          <t>Övriga Aktiebolag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32426-2026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46238</v>
      </c>
      <c r="E730" s="1" t="n">
        <v>46302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6776-2023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44966</v>
      </c>
      <c r="E731" s="1" t="n">
        <v>46302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38280-2026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46281</v>
      </c>
      <c r="E732" s="1" t="n">
        <v>46302</v>
      </c>
      <c r="F732" t="inlineStr">
        <is>
          <t>NORRBOTTENS LÄN</t>
        </is>
      </c>
      <c r="G732" t="inlineStr">
        <is>
          <t>BODEN</t>
        </is>
      </c>
      <c r="I732" t="n">
        <v>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32427-2026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46238</v>
      </c>
      <c r="E733" s="1" t="n">
        <v>46302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38272-2026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46281</v>
      </c>
      <c r="E734" s="1" t="n">
        <v>46302</v>
      </c>
      <c r="F734" t="inlineStr">
        <is>
          <t>NORRBOTTENS LÄN</t>
        </is>
      </c>
      <c r="G734" t="inlineStr">
        <is>
          <t>BODEN</t>
        </is>
      </c>
      <c r="H734" t="inlineStr">
        <is>
          <t>Övriga Aktiebolag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38576-2026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46283</v>
      </c>
      <c r="E735" s="1" t="n">
        <v>46302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32562-2026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46239</v>
      </c>
      <c r="E736" s="1" t="n">
        <v>46302</v>
      </c>
      <c r="F736" t="inlineStr">
        <is>
          <t>NORRBOTTENS LÄN</t>
        </is>
      </c>
      <c r="G736" t="inlineStr">
        <is>
          <t>BODEN</t>
        </is>
      </c>
      <c r="H736" t="inlineStr">
        <is>
          <t>Sveaskog</t>
        </is>
      </c>
      <c r="I736" t="n">
        <v>26.6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32674-2026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46240</v>
      </c>
      <c r="E737" s="1" t="n">
        <v>46302</v>
      </c>
      <c r="F737" t="inlineStr">
        <is>
          <t>NORRBOTTENS LÄN</t>
        </is>
      </c>
      <c r="G737" t="inlineStr">
        <is>
          <t>BODEN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46240</v>
      </c>
      <c r="E738" s="1" t="n">
        <v>46302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38574-2026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46283</v>
      </c>
      <c r="E739" s="1" t="n">
        <v>46302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31203-2025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45832</v>
      </c>
      <c r="E740" s="1" t="n">
        <v>46302</v>
      </c>
      <c r="F740" t="inlineStr">
        <is>
          <t>NORRBOTTENS LÄN</t>
        </is>
      </c>
      <c r="G740" t="inlineStr">
        <is>
          <t>BODEN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48592-2024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45593</v>
      </c>
      <c r="E741" s="1" t="n">
        <v>46302</v>
      </c>
      <c r="F741" t="inlineStr">
        <is>
          <t>NORRBOTTENS LÄN</t>
        </is>
      </c>
      <c r="G741" t="inlineStr">
        <is>
          <t>BODEN</t>
        </is>
      </c>
      <c r="H741" t="inlineStr">
        <is>
          <t>Sveaskog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39220-2026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46302</v>
      </c>
      <c r="F742" t="inlineStr">
        <is>
          <t>NORRBOTTENS LÄN</t>
        </is>
      </c>
      <c r="G742" t="inlineStr">
        <is>
          <t>BODEN</t>
        </is>
      </c>
      <c r="H742" t="inlineStr">
        <is>
          <t>Övriga Aktiebolag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29183-2026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46202</v>
      </c>
      <c r="E743" s="1" t="n">
        <v>46302</v>
      </c>
      <c r="F743" t="inlineStr">
        <is>
          <t>NORRBOTTENS LÄN</t>
        </is>
      </c>
      <c r="G743" t="inlineStr">
        <is>
          <t>BODEN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35561-2025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45856</v>
      </c>
      <c r="E744" s="1" t="n">
        <v>46302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10.8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19528-2024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45429</v>
      </c>
      <c r="E745" s="1" t="n">
        <v>46302</v>
      </c>
      <c r="F745" t="inlineStr">
        <is>
          <t>NORRBOTTENS LÄN</t>
        </is>
      </c>
      <c r="G745" t="inlineStr">
        <is>
          <t>BODEN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19533-2024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45429</v>
      </c>
      <c r="E746" s="1" t="n">
        <v>46302</v>
      </c>
      <c r="F746" t="inlineStr">
        <is>
          <t>NORRBOTTENS LÄN</t>
        </is>
      </c>
      <c r="G746" t="inlineStr">
        <is>
          <t>BODEN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25920-2023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45085</v>
      </c>
      <c r="E747" s="1" t="n">
        <v>46302</v>
      </c>
      <c r="F747" t="inlineStr">
        <is>
          <t>NORRBOTTENS LÄN</t>
        </is>
      </c>
      <c r="G747" t="inlineStr">
        <is>
          <t>BODEN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28496-2026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46197</v>
      </c>
      <c r="E748" s="1" t="n">
        <v>46302</v>
      </c>
      <c r="F748" t="inlineStr">
        <is>
          <t>NORRBOTTENS LÄN</t>
        </is>
      </c>
      <c r="G748" t="inlineStr">
        <is>
          <t>BODEN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39007-2026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46287</v>
      </c>
      <c r="E749" s="1" t="n">
        <v>46302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29377-2024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45483</v>
      </c>
      <c r="E750" s="1" t="n">
        <v>46302</v>
      </c>
      <c r="F750" t="inlineStr">
        <is>
          <t>NORRBOTTENS LÄN</t>
        </is>
      </c>
      <c r="G750" t="inlineStr">
        <is>
          <t>BODEN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36915-2023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45153</v>
      </c>
      <c r="E751" s="1" t="n">
        <v>46302</v>
      </c>
      <c r="F751" t="inlineStr">
        <is>
          <t>NORRBOTTENS LÄN</t>
        </is>
      </c>
      <c r="G751" t="inlineStr">
        <is>
          <t>BODEN</t>
        </is>
      </c>
      <c r="I751" t="n">
        <v>7.5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31754-2024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45509</v>
      </c>
      <c r="E752" s="1" t="n">
        <v>46302</v>
      </c>
      <c r="F752" t="inlineStr">
        <is>
          <t>NORRBOTTENS LÄN</t>
        </is>
      </c>
      <c r="G752" t="inlineStr">
        <is>
          <t>BODEN</t>
        </is>
      </c>
      <c r="I752" t="n">
        <v>11.1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46302</v>
      </c>
      <c r="F753" t="inlineStr">
        <is>
          <t>NORRBOTTENS LÄN</t>
        </is>
      </c>
      <c r="G753" t="inlineStr">
        <is>
          <t>BODEN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45256</v>
      </c>
      <c r="E754" s="1" t="n">
        <v>46302</v>
      </c>
      <c r="F754" t="inlineStr">
        <is>
          <t>NORRBOTTENS LÄN</t>
        </is>
      </c>
      <c r="G754" t="inlineStr">
        <is>
          <t>BODEN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42196-2024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45562</v>
      </c>
      <c r="E755" s="1" t="n">
        <v>46302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61932-2024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45653</v>
      </c>
      <c r="E756" s="1" t="n">
        <v>46302</v>
      </c>
      <c r="F756" t="inlineStr">
        <is>
          <t>NORRBOTTENS LÄN</t>
        </is>
      </c>
      <c r="G756" t="inlineStr">
        <is>
          <t>BODEN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57968-2023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45247</v>
      </c>
      <c r="E757" s="1" t="n">
        <v>46302</v>
      </c>
      <c r="F757" t="inlineStr">
        <is>
          <t>NORRBOTTENS LÄN</t>
        </is>
      </c>
      <c r="G757" t="inlineStr">
        <is>
          <t>BODEN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39521-2026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46289</v>
      </c>
      <c r="E758" s="1" t="n">
        <v>46302</v>
      </c>
      <c r="F758" t="inlineStr">
        <is>
          <t>NORRBOTTENS LÄN</t>
        </is>
      </c>
      <c r="G758" t="inlineStr">
        <is>
          <t>BODEN</t>
        </is>
      </c>
      <c r="I758" t="n">
        <v>24.6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40028-2026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46293</v>
      </c>
      <c r="E759" s="1" t="n">
        <v>46302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31007-2024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45499</v>
      </c>
      <c r="E760" s="1" t="n">
        <v>46302</v>
      </c>
      <c r="F760" t="inlineStr">
        <is>
          <t>NORRBOTTENS LÄN</t>
        </is>
      </c>
      <c r="G760" t="inlineStr">
        <is>
          <t>BODEN</t>
        </is>
      </c>
      <c r="I760" t="n">
        <v>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37384-2023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45156</v>
      </c>
      <c r="E761" s="1" t="n">
        <v>46302</v>
      </c>
      <c r="F761" t="inlineStr">
        <is>
          <t>NORRBOTTENS LÄN</t>
        </is>
      </c>
      <c r="G761" t="inlineStr">
        <is>
          <t>BODEN</t>
        </is>
      </c>
      <c r="I761" t="n">
        <v>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39943-2026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46290</v>
      </c>
      <c r="E762" s="1" t="n">
        <v>46302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40100-2026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46293</v>
      </c>
      <c r="E763" s="1" t="n">
        <v>46302</v>
      </c>
      <c r="F763" t="inlineStr">
        <is>
          <t>NORRBOTTENS LÄN</t>
        </is>
      </c>
      <c r="G763" t="inlineStr">
        <is>
          <t>BODEN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12893-2022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44642</v>
      </c>
      <c r="E764" s="1" t="n">
        <v>46302</v>
      </c>
      <c r="F764" t="inlineStr">
        <is>
          <t>NORRBOTTENS LÄN</t>
        </is>
      </c>
      <c r="G764" t="inlineStr">
        <is>
          <t>BODEN</t>
        </is>
      </c>
      <c r="H764" t="inlineStr">
        <is>
          <t>Övriga statliga verk och myndigheter</t>
        </is>
      </c>
      <c r="I764" t="n">
        <v>15.8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22458-2023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45070</v>
      </c>
      <c r="E765" s="1" t="n">
        <v>46302</v>
      </c>
      <c r="F765" t="inlineStr">
        <is>
          <t>NORRBOTTENS LÄN</t>
        </is>
      </c>
      <c r="G765" t="inlineStr">
        <is>
          <t>BODEN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58373-2022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44901</v>
      </c>
      <c r="E766" s="1" t="n">
        <v>46302</v>
      </c>
      <c r="F766" t="inlineStr">
        <is>
          <t>NORRBOTTENS LÄN</t>
        </is>
      </c>
      <c r="G766" t="inlineStr">
        <is>
          <t>BODEN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40026-2026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46293</v>
      </c>
      <c r="E767" s="1" t="n">
        <v>46302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8.300000000000001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45929-2023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45195</v>
      </c>
      <c r="E768" s="1" t="n">
        <v>46302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33671-2026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46248</v>
      </c>
      <c r="E769" s="1" t="n">
        <v>46302</v>
      </c>
      <c r="F769" t="inlineStr">
        <is>
          <t>NORRBOTTENS LÄN</t>
        </is>
      </c>
      <c r="G769" t="inlineStr">
        <is>
          <t>BODEN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61750-2024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45649</v>
      </c>
      <c r="E770" s="1" t="n">
        <v>46302</v>
      </c>
      <c r="F770" t="inlineStr">
        <is>
          <t>NORRBOTTENS LÄN</t>
        </is>
      </c>
      <c r="G770" t="inlineStr">
        <is>
          <t>BODEN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40151-2026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46293</v>
      </c>
      <c r="E771" s="1" t="n">
        <v>46302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47922-2024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45589</v>
      </c>
      <c r="E772" s="1" t="n">
        <v>46302</v>
      </c>
      <c r="F772" t="inlineStr">
        <is>
          <t>NORRBOTTENS LÄN</t>
        </is>
      </c>
      <c r="G772" t="inlineStr">
        <is>
          <t>BODEN</t>
        </is>
      </c>
      <c r="H772" t="inlineStr">
        <is>
          <t>Naturvårdsverket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47924-2024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45589</v>
      </c>
      <c r="E773" s="1" t="n">
        <v>46302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24744-2024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45460</v>
      </c>
      <c r="E774" s="1" t="n">
        <v>46302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Aktiebolag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8028-2024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45350</v>
      </c>
      <c r="E775" s="1" t="n">
        <v>46302</v>
      </c>
      <c r="F775" t="inlineStr">
        <is>
          <t>NORRBOTTENS LÄN</t>
        </is>
      </c>
      <c r="G775" t="inlineStr">
        <is>
          <t>BODEN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34022-2026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46252</v>
      </c>
      <c r="E776" s="1" t="n">
        <v>46302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19.5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25627-2022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44732</v>
      </c>
      <c r="E777" s="1" t="n">
        <v>46302</v>
      </c>
      <c r="F777" t="inlineStr">
        <is>
          <t>NORRBOTTENS LÄN</t>
        </is>
      </c>
      <c r="G777" t="inlineStr">
        <is>
          <t>BODEN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2732-2025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45677</v>
      </c>
      <c r="E778" s="1" t="n">
        <v>46302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61107-2022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44908</v>
      </c>
      <c r="E779" s="1" t="n">
        <v>46302</v>
      </c>
      <c r="F779" t="inlineStr">
        <is>
          <t>NORRBOTTENS LÄN</t>
        </is>
      </c>
      <c r="G779" t="inlineStr">
        <is>
          <t>BODEN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33790-2026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46251</v>
      </c>
      <c r="E780" s="1" t="n">
        <v>46302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50327-2023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45216</v>
      </c>
      <c r="E781" s="1" t="n">
        <v>46302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24400-2022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44726</v>
      </c>
      <c r="E782" s="1" t="n">
        <v>46302</v>
      </c>
      <c r="F782" t="inlineStr">
        <is>
          <t>NORRBOTTENS LÄN</t>
        </is>
      </c>
      <c r="G782" t="inlineStr">
        <is>
          <t>BODEN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706-2022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44566</v>
      </c>
      <c r="E783" s="1" t="n">
        <v>46302</v>
      </c>
      <c r="F783" t="inlineStr">
        <is>
          <t>NORRBOTTENS LÄN</t>
        </is>
      </c>
      <c r="G783" t="inlineStr">
        <is>
          <t>BODEN</t>
        </is>
      </c>
      <c r="I783" t="n">
        <v>12.4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45035-2022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44841</v>
      </c>
      <c r="E784" s="1" t="n">
        <v>46302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46294</v>
      </c>
      <c r="E785" s="1" t="n">
        <v>46302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8873-2024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45356</v>
      </c>
      <c r="E786" s="1" t="n">
        <v>46302</v>
      </c>
      <c r="F786" t="inlineStr">
        <is>
          <t>NORRBOTTENS LÄN</t>
        </is>
      </c>
      <c r="G786" t="inlineStr">
        <is>
          <t>BODEN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34158-2026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46253</v>
      </c>
      <c r="E787" s="1" t="n">
        <v>46302</v>
      </c>
      <c r="F787" t="inlineStr">
        <is>
          <t>NORRBOTTENS LÄN</t>
        </is>
      </c>
      <c r="G787" t="inlineStr">
        <is>
          <t>BODEN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33864-2026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46251</v>
      </c>
      <c r="E788" s="1" t="n">
        <v>46302</v>
      </c>
      <c r="F788" t="inlineStr">
        <is>
          <t>NORRBOTTENS LÄN</t>
        </is>
      </c>
      <c r="G788" t="inlineStr">
        <is>
          <t>BODEN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26022-2022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44734</v>
      </c>
      <c r="E789" s="1" t="n">
        <v>46302</v>
      </c>
      <c r="F789" t="inlineStr">
        <is>
          <t>NORRBOTTENS LÄN</t>
        </is>
      </c>
      <c r="G789" t="inlineStr">
        <is>
          <t>BODEN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61969-2024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45653</v>
      </c>
      <c r="E790" s="1" t="n">
        <v>46302</v>
      </c>
      <c r="F790" t="inlineStr">
        <is>
          <t>NORRBOTTENS LÄN</t>
        </is>
      </c>
      <c r="G790" t="inlineStr">
        <is>
          <t>BODEN</t>
        </is>
      </c>
      <c r="I790" t="n">
        <v>9.699999999999999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19584-2025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46302</v>
      </c>
      <c r="F791" t="inlineStr">
        <is>
          <t>NORRBOTTENS LÄN</t>
        </is>
      </c>
      <c r="G791" t="inlineStr">
        <is>
          <t>BODEN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34462-2026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46254</v>
      </c>
      <c r="E792" s="1" t="n">
        <v>46302</v>
      </c>
      <c r="F792" t="inlineStr">
        <is>
          <t>NORRBOTTENS LÄN</t>
        </is>
      </c>
      <c r="G792" t="inlineStr">
        <is>
          <t>BODEN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34463-2026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46302</v>
      </c>
      <c r="F793" t="inlineStr">
        <is>
          <t>NORRBOTTENS LÄN</t>
        </is>
      </c>
      <c r="G793" t="inlineStr">
        <is>
          <t>BODEN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37866-2024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45544</v>
      </c>
      <c r="E794" s="1" t="n">
        <v>46302</v>
      </c>
      <c r="F794" t="inlineStr">
        <is>
          <t>NORRBOTTENS LÄN</t>
        </is>
      </c>
      <c r="G794" t="inlineStr">
        <is>
          <t>BODEN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34760-2022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44795</v>
      </c>
      <c r="E795" s="1" t="n">
        <v>46302</v>
      </c>
      <c r="F795" t="inlineStr">
        <is>
          <t>NORRBOTTENS LÄN</t>
        </is>
      </c>
      <c r="G795" t="inlineStr">
        <is>
          <t>BODEN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27543-2025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45813</v>
      </c>
      <c r="E796" s="1" t="n">
        <v>46302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38874-2023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45161</v>
      </c>
      <c r="E797" s="1" t="n">
        <v>46302</v>
      </c>
      <c r="F797" t="inlineStr">
        <is>
          <t>NORRBOTTENS LÄN</t>
        </is>
      </c>
      <c r="G797" t="inlineStr">
        <is>
          <t>BODEN</t>
        </is>
      </c>
      <c r="I797" t="n">
        <v>15.5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40873-2026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46297</v>
      </c>
      <c r="E798" s="1" t="n">
        <v>46302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34333-2026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46254</v>
      </c>
      <c r="E799" s="1" t="n">
        <v>46302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18.5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40708-2026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46296</v>
      </c>
      <c r="E800" s="1" t="n">
        <v>46302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40701-2026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46296</v>
      </c>
      <c r="E801" s="1" t="n">
        <v>46302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14.5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46029</v>
      </c>
      <c r="E802" s="1" t="n">
        <v>46302</v>
      </c>
      <c r="F802" t="inlineStr">
        <is>
          <t>NORRBOTTENS LÄN</t>
        </is>
      </c>
      <c r="G802" t="inlineStr">
        <is>
          <t>BODEN</t>
        </is>
      </c>
      <c r="H802" t="inlineStr">
        <is>
          <t>Naturvårdsverket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41039-2026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46299</v>
      </c>
      <c r="E803" s="1" t="n">
        <v>46302</v>
      </c>
      <c r="F803" t="inlineStr">
        <is>
          <t>NORRBOTTENS LÄN</t>
        </is>
      </c>
      <c r="G803" t="inlineStr">
        <is>
          <t>BODEN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45448-2023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45194</v>
      </c>
      <c r="E804" s="1" t="n">
        <v>46302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61103-2022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44908</v>
      </c>
      <c r="E805" s="1" t="n">
        <v>46302</v>
      </c>
      <c r="F805" t="inlineStr">
        <is>
          <t>NORRBOTTENS LÄN</t>
        </is>
      </c>
      <c r="G805" t="inlineStr">
        <is>
          <t>BODEN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34897-2026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46259</v>
      </c>
      <c r="E806" s="1" t="n">
        <v>46302</v>
      </c>
      <c r="F806" t="inlineStr">
        <is>
          <t>NORRBOTTENS LÄN</t>
        </is>
      </c>
      <c r="G806" t="inlineStr">
        <is>
          <t>BODEN</t>
        </is>
      </c>
      <c r="H806" t="inlineStr">
        <is>
          <t>Naturvårdsverket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9319-2024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45358</v>
      </c>
      <c r="E807" s="1" t="n">
        <v>46302</v>
      </c>
      <c r="F807" t="inlineStr">
        <is>
          <t>NORRBOTTENS LÄN</t>
        </is>
      </c>
      <c r="G807" t="inlineStr">
        <is>
          <t>BODEN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34898-2026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46259</v>
      </c>
      <c r="E808" s="1" t="n">
        <v>46302</v>
      </c>
      <c r="F808" t="inlineStr">
        <is>
          <t>NORRBOTTENS LÄN</t>
        </is>
      </c>
      <c r="G808" t="inlineStr">
        <is>
          <t>BODEN</t>
        </is>
      </c>
      <c r="H808" t="inlineStr">
        <is>
          <t>Naturvårdsverket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3459-2025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45680</v>
      </c>
      <c r="E809" s="1" t="n">
        <v>46302</v>
      </c>
      <c r="F809" t="inlineStr">
        <is>
          <t>NORRBOTTENS LÄN</t>
        </is>
      </c>
      <c r="G809" t="inlineStr">
        <is>
          <t>BODEN</t>
        </is>
      </c>
      <c r="H809" t="inlineStr">
        <is>
          <t>Naturvårdsverket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41099-2026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46302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41568-2026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46301</v>
      </c>
      <c r="E811" s="1" t="n">
        <v>46302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41302-2026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46300</v>
      </c>
      <c r="E812" s="1" t="n">
        <v>46302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35060-2026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46259</v>
      </c>
      <c r="E813" s="1" t="n">
        <v>46302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44.8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43648-2023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45187</v>
      </c>
      <c r="E814" s="1" t="n">
        <v>46302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55540-2022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44887</v>
      </c>
      <c r="E815" s="1" t="n">
        <v>46302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39463-2023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45166</v>
      </c>
      <c r="E816" s="1" t="n">
        <v>46302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41140-2026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46300</v>
      </c>
      <c r="E817" s="1" t="n">
        <v>46302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41096-2026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46300</v>
      </c>
      <c r="E818" s="1" t="n">
        <v>46302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11.6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34517-2026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46255</v>
      </c>
      <c r="E819" s="1" t="n">
        <v>46302</v>
      </c>
      <c r="F819" t="inlineStr">
        <is>
          <t>NORRBOTTENS LÄN</t>
        </is>
      </c>
      <c r="G819" t="inlineStr">
        <is>
          <t>BODEN</t>
        </is>
      </c>
      <c r="H819" t="inlineStr">
        <is>
          <t>Sveaskog</t>
        </is>
      </c>
      <c r="I819" t="n">
        <v>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61921-2024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45653</v>
      </c>
      <c r="E820" s="1" t="n">
        <v>46302</v>
      </c>
      <c r="F820" t="inlineStr">
        <is>
          <t>NORRBOTTENS LÄN</t>
        </is>
      </c>
      <c r="G820" t="inlineStr">
        <is>
          <t>BODEN</t>
        </is>
      </c>
      <c r="I820" t="n">
        <v>47.3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41212-2023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45174</v>
      </c>
      <c r="E821" s="1" t="n">
        <v>46302</v>
      </c>
      <c r="F821" t="inlineStr">
        <is>
          <t>NORRBOTTENS LÄN</t>
        </is>
      </c>
      <c r="G821" t="inlineStr">
        <is>
          <t>BODEN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4055-2024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45323</v>
      </c>
      <c r="E822" s="1" t="n">
        <v>46302</v>
      </c>
      <c r="F822" t="inlineStr">
        <is>
          <t>NORRBOTTENS LÄN</t>
        </is>
      </c>
      <c r="G822" t="inlineStr">
        <is>
          <t>BODEN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877-2023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44931</v>
      </c>
      <c r="E823" s="1" t="n">
        <v>46302</v>
      </c>
      <c r="F823" t="inlineStr">
        <is>
          <t>NORRBOTTENS LÄN</t>
        </is>
      </c>
      <c r="G823" t="inlineStr">
        <is>
          <t>BODEN</t>
        </is>
      </c>
      <c r="I823" t="n">
        <v>8.699999999999999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12801-2023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45001</v>
      </c>
      <c r="E824" s="1" t="n">
        <v>46302</v>
      </c>
      <c r="F824" t="inlineStr">
        <is>
          <t>NORRBOTTENS LÄN</t>
        </is>
      </c>
      <c r="G824" t="inlineStr">
        <is>
          <t>BODEN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20041-2025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45772</v>
      </c>
      <c r="E825" s="1" t="n">
        <v>46302</v>
      </c>
      <c r="F825" t="inlineStr">
        <is>
          <t>NORRBOTTENS LÄN</t>
        </is>
      </c>
      <c r="G825" t="inlineStr">
        <is>
          <t>BODEN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19582-2025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45770</v>
      </c>
      <c r="E826" s="1" t="n">
        <v>46302</v>
      </c>
      <c r="F826" t="inlineStr">
        <is>
          <t>NORRBOTTENS LÄN</t>
        </is>
      </c>
      <c r="G826" t="inlineStr">
        <is>
          <t>BODEN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6242-2023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44964</v>
      </c>
      <c r="E827" s="1" t="n">
        <v>46302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17417-2023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45035</v>
      </c>
      <c r="E828" s="1" t="n">
        <v>46302</v>
      </c>
      <c r="F828" t="inlineStr">
        <is>
          <t>NORRBOTTENS LÄN</t>
        </is>
      </c>
      <c r="G828" t="inlineStr">
        <is>
          <t>BODEN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28074-2024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45476</v>
      </c>
      <c r="E829" s="1" t="n">
        <v>46302</v>
      </c>
      <c r="F829" t="inlineStr">
        <is>
          <t>NORRBOTTENS LÄN</t>
        </is>
      </c>
      <c r="G829" t="inlineStr">
        <is>
          <t>BODEN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26964-2023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45093</v>
      </c>
      <c r="E830" s="1" t="n">
        <v>46302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54590-2022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44883</v>
      </c>
      <c r="E831" s="1" t="n">
        <v>46302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35115-2024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45529</v>
      </c>
      <c r="E832" s="1" t="n">
        <v>46302</v>
      </c>
      <c r="F832" t="inlineStr">
        <is>
          <t>NORRBOTTENS LÄN</t>
        </is>
      </c>
      <c r="G832" t="inlineStr">
        <is>
          <t>BODEN</t>
        </is>
      </c>
      <c r="I832" t="n">
        <v>6.3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30105-2023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45099</v>
      </c>
      <c r="E833" s="1" t="n">
        <v>46302</v>
      </c>
      <c r="F833" t="inlineStr">
        <is>
          <t>NORRBOTTENS LÄN</t>
        </is>
      </c>
      <c r="G833" t="inlineStr">
        <is>
          <t>BODEN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57604-2021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44484</v>
      </c>
      <c r="E834" s="1" t="n">
        <v>46302</v>
      </c>
      <c r="F834" t="inlineStr">
        <is>
          <t>NORRBOTTENS LÄN</t>
        </is>
      </c>
      <c r="G834" t="inlineStr">
        <is>
          <t>BODEN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23706-2024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45454</v>
      </c>
      <c r="E835" s="1" t="n">
        <v>46302</v>
      </c>
      <c r="F835" t="inlineStr">
        <is>
          <t>NORRBOTTENS LÄN</t>
        </is>
      </c>
      <c r="G835" t="inlineStr">
        <is>
          <t>BODEN</t>
        </is>
      </c>
      <c r="I835" t="n">
        <v>10.9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8776-2022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44614</v>
      </c>
      <c r="E836" s="1" t="n">
        <v>46302</v>
      </c>
      <c r="F836" t="inlineStr">
        <is>
          <t>NORRBOTTENS LÄN</t>
        </is>
      </c>
      <c r="G836" t="inlineStr">
        <is>
          <t>BODEN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25387-2023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45079</v>
      </c>
      <c r="E837" s="1" t="n">
        <v>46302</v>
      </c>
      <c r="F837" t="inlineStr">
        <is>
          <t>NORRBOTTENS LÄN</t>
        </is>
      </c>
      <c r="G837" t="inlineStr">
        <is>
          <t>BODEN</t>
        </is>
      </c>
      <c r="I837" t="n">
        <v>6.7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18428-2025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45762</v>
      </c>
      <c r="E838" s="1" t="n">
        <v>46302</v>
      </c>
      <c r="F838" t="inlineStr">
        <is>
          <t>NORRBOTTENS LÄN</t>
        </is>
      </c>
      <c r="G838" t="inlineStr">
        <is>
          <t>BODEN</t>
        </is>
      </c>
      <c r="I838" t="n">
        <v>5.8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62140-2024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45646</v>
      </c>
      <c r="E839" s="1" t="n">
        <v>46302</v>
      </c>
      <c r="F839" t="inlineStr">
        <is>
          <t>NORRBOTTENS LÄN</t>
        </is>
      </c>
      <c r="G839" t="inlineStr">
        <is>
          <t>BODEN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48129-2023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45205</v>
      </c>
      <c r="E840" s="1" t="n">
        <v>46302</v>
      </c>
      <c r="F840" t="inlineStr">
        <is>
          <t>NORRBOTTENS LÄN</t>
        </is>
      </c>
      <c r="G840" t="inlineStr">
        <is>
          <t>BODEN</t>
        </is>
      </c>
      <c r="I840" t="n">
        <v>7.1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54616-2023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45233</v>
      </c>
      <c r="E841" s="1" t="n">
        <v>46302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12562-2024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45379</v>
      </c>
      <c r="E842" s="1" t="n">
        <v>46302</v>
      </c>
      <c r="F842" t="inlineStr">
        <is>
          <t>NORRBOTTENS LÄN</t>
        </is>
      </c>
      <c r="G842" t="inlineStr">
        <is>
          <t>BODEN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20260-2025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45773</v>
      </c>
      <c r="E843" s="1" t="n">
        <v>46302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11651-2023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44994</v>
      </c>
      <c r="E844" s="1" t="n">
        <v>46302</v>
      </c>
      <c r="F844" t="inlineStr">
        <is>
          <t>NORRBOTTENS LÄN</t>
        </is>
      </c>
      <c r="G844" t="inlineStr">
        <is>
          <t>BODEN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718-2022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44568</v>
      </c>
      <c r="E845" s="1" t="n">
        <v>46302</v>
      </c>
      <c r="F845" t="inlineStr">
        <is>
          <t>NORRBOTTENS LÄN</t>
        </is>
      </c>
      <c r="G845" t="inlineStr">
        <is>
          <t>BODEN</t>
        </is>
      </c>
      <c r="I845" t="n">
        <v>5.5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43969-2024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45572</v>
      </c>
      <c r="E846" s="1" t="n">
        <v>46302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19048-2025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45764</v>
      </c>
      <c r="E847" s="1" t="n">
        <v>46302</v>
      </c>
      <c r="F847" t="inlineStr">
        <is>
          <t>NORRBOTTENS LÄN</t>
        </is>
      </c>
      <c r="G847" t="inlineStr">
        <is>
          <t>BODEN</t>
        </is>
      </c>
      <c r="I847" t="n">
        <v>5.7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19050-2025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45764</v>
      </c>
      <c r="E848" s="1" t="n">
        <v>46302</v>
      </c>
      <c r="F848" t="inlineStr">
        <is>
          <t>NORRBOTTENS LÄN</t>
        </is>
      </c>
      <c r="G848" t="inlineStr">
        <is>
          <t>BODEN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54718-2024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45618</v>
      </c>
      <c r="E849" s="1" t="n">
        <v>46302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28357-2023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45099</v>
      </c>
      <c r="E850" s="1" t="n">
        <v>46302</v>
      </c>
      <c r="F850" t="inlineStr">
        <is>
          <t>NORRBOTTENS LÄN</t>
        </is>
      </c>
      <c r="G850" t="inlineStr">
        <is>
          <t>BODEN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38219-2022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44812</v>
      </c>
      <c r="E851" s="1" t="n">
        <v>46302</v>
      </c>
      <c r="F851" t="inlineStr">
        <is>
          <t>NORRBOTTENS LÄN</t>
        </is>
      </c>
      <c r="G851" t="inlineStr">
        <is>
          <t>BODEN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40624-2022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44823</v>
      </c>
      <c r="E852" s="1" t="n">
        <v>46302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56457-2024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45625</v>
      </c>
      <c r="E853" s="1" t="n">
        <v>46302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48107-2022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44856</v>
      </c>
      <c r="E854" s="1" t="n">
        <v>46302</v>
      </c>
      <c r="F854" t="inlineStr">
        <is>
          <t>NORRBOTTENS LÄN</t>
        </is>
      </c>
      <c r="G854" t="inlineStr">
        <is>
          <t>BODEN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14743-2023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45013</v>
      </c>
      <c r="E855" s="1" t="n">
        <v>46302</v>
      </c>
      <c r="F855" t="inlineStr">
        <is>
          <t>NORRBOTTENS LÄN</t>
        </is>
      </c>
      <c r="G855" t="inlineStr">
        <is>
          <t>BODEN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3462-2022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44585</v>
      </c>
      <c r="E856" s="1" t="n">
        <v>46302</v>
      </c>
      <c r="F856" t="inlineStr">
        <is>
          <t>NORRBOTTENS LÄN</t>
        </is>
      </c>
      <c r="G856" t="inlineStr">
        <is>
          <t>BODEN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49113-2023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45204</v>
      </c>
      <c r="E857" s="1" t="n">
        <v>46302</v>
      </c>
      <c r="F857" t="inlineStr">
        <is>
          <t>NORRBOTTENS LÄN</t>
        </is>
      </c>
      <c r="G857" t="inlineStr">
        <is>
          <t>BODEN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4630-2025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45687</v>
      </c>
      <c r="E858" s="1" t="n">
        <v>46302</v>
      </c>
      <c r="F858" t="inlineStr">
        <is>
          <t>NORRBOTTENS LÄN</t>
        </is>
      </c>
      <c r="G858" t="inlineStr">
        <is>
          <t>BODEN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1023-2023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44935</v>
      </c>
      <c r="E859" s="1" t="n">
        <v>46302</v>
      </c>
      <c r="F859" t="inlineStr">
        <is>
          <t>NORRBOTTENS LÄN</t>
        </is>
      </c>
      <c r="G859" t="inlineStr">
        <is>
          <t>BODEN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23232-2024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45453</v>
      </c>
      <c r="E860" s="1" t="n">
        <v>46302</v>
      </c>
      <c r="F860" t="inlineStr">
        <is>
          <t>NORRBOTTENS LÄN</t>
        </is>
      </c>
      <c r="G860" t="inlineStr">
        <is>
          <t>BODEN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61588-2024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45646</v>
      </c>
      <c r="E861" s="1" t="n">
        <v>46302</v>
      </c>
      <c r="F861" t="inlineStr">
        <is>
          <t>NORRBOTTENS LÄN</t>
        </is>
      </c>
      <c r="G861" t="inlineStr">
        <is>
          <t>BODEN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28758-2024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45478</v>
      </c>
      <c r="E862" s="1" t="n">
        <v>46302</v>
      </c>
      <c r="F862" t="inlineStr">
        <is>
          <t>NORRBOTTENS LÄN</t>
        </is>
      </c>
      <c r="G862" t="inlineStr">
        <is>
          <t>BODEN</t>
        </is>
      </c>
      <c r="I862" t="n">
        <v>7.5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13925-2024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45391</v>
      </c>
      <c r="E863" s="1" t="n">
        <v>46302</v>
      </c>
      <c r="F863" t="inlineStr">
        <is>
          <t>NORRBOTTENS LÄN</t>
        </is>
      </c>
      <c r="G863" t="inlineStr">
        <is>
          <t>BODEN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21128-2025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45778</v>
      </c>
      <c r="E864" s="1" t="n">
        <v>46302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21349-2025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45782</v>
      </c>
      <c r="E865" s="1" t="n">
        <v>46302</v>
      </c>
      <c r="F865" t="inlineStr">
        <is>
          <t>NORRBOTTENS LÄN</t>
        </is>
      </c>
      <c r="G865" t="inlineStr">
        <is>
          <t>BODEN</t>
        </is>
      </c>
      <c r="I865" t="n">
        <v>5.2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36115-2023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45149</v>
      </c>
      <c r="E866" s="1" t="n">
        <v>46302</v>
      </c>
      <c r="F866" t="inlineStr">
        <is>
          <t>NORRBOTTENS LÄN</t>
        </is>
      </c>
      <c r="G866" t="inlineStr">
        <is>
          <t>BODEN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22372-2025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45786</v>
      </c>
      <c r="E867" s="1" t="n">
        <v>46302</v>
      </c>
      <c r="F867" t="inlineStr">
        <is>
          <t>NORRBOTTENS LÄN</t>
        </is>
      </c>
      <c r="G867" t="inlineStr">
        <is>
          <t>BODEN</t>
        </is>
      </c>
      <c r="H867" t="inlineStr">
        <is>
          <t>Kommuner</t>
        </is>
      </c>
      <c r="I867" t="n">
        <v>16.3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23321-2025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45791</v>
      </c>
      <c r="E868" s="1" t="n">
        <v>46302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10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12558-2024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45379</v>
      </c>
      <c r="E869" s="1" t="n">
        <v>46302</v>
      </c>
      <c r="F869" t="inlineStr">
        <is>
          <t>NORRBOTTENS LÄN</t>
        </is>
      </c>
      <c r="G869" t="inlineStr">
        <is>
          <t>BODEN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23724-2025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45793</v>
      </c>
      <c r="E870" s="1" t="n">
        <v>46302</v>
      </c>
      <c r="F870" t="inlineStr">
        <is>
          <t>NORRBOTTENS LÄN</t>
        </is>
      </c>
      <c r="G870" t="inlineStr">
        <is>
          <t>BODEN</t>
        </is>
      </c>
      <c r="H870" t="inlineStr">
        <is>
          <t>SCA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48420-2024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45590</v>
      </c>
      <c r="E871" s="1" t="n">
        <v>46302</v>
      </c>
      <c r="F871" t="inlineStr">
        <is>
          <t>NORRBOTTENS LÄN</t>
        </is>
      </c>
      <c r="G871" t="inlineStr">
        <is>
          <t>BODEN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48427-2024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45590</v>
      </c>
      <c r="E872" s="1" t="n">
        <v>46302</v>
      </c>
      <c r="F872" t="inlineStr">
        <is>
          <t>NORRBOTTENS LÄN</t>
        </is>
      </c>
      <c r="G872" t="inlineStr">
        <is>
          <t>BODEN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24358-2025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45797</v>
      </c>
      <c r="E873" s="1" t="n">
        <v>46302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24733-2025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45799</v>
      </c>
      <c r="E874" s="1" t="n">
        <v>46302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24545-2025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45798</v>
      </c>
      <c r="E875" s="1" t="n">
        <v>46302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885-2024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45376</v>
      </c>
      <c r="E876" s="1" t="n">
        <v>46302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5.7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1063-2023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45013</v>
      </c>
      <c r="E877" s="1" t="n">
        <v>46302</v>
      </c>
      <c r="F877" t="inlineStr">
        <is>
          <t>NORRBOTTENS LÄN</t>
        </is>
      </c>
      <c r="G877" t="inlineStr">
        <is>
          <t>BODEN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883-2024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46302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52-2025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45667</v>
      </c>
      <c r="E879" s="1" t="n">
        <v>46302</v>
      </c>
      <c r="F879" t="inlineStr">
        <is>
          <t>NORRBOTTENS LÄN</t>
        </is>
      </c>
      <c r="G879" t="inlineStr">
        <is>
          <t>BODEN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190-2023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44945</v>
      </c>
      <c r="E880" s="1" t="n">
        <v>46302</v>
      </c>
      <c r="F880" t="inlineStr">
        <is>
          <t>NORRBOTTENS LÄN</t>
        </is>
      </c>
      <c r="G880" t="inlineStr">
        <is>
          <t>BODEN</t>
        </is>
      </c>
      <c r="H880" t="inlineStr">
        <is>
          <t>SCA</t>
        </is>
      </c>
      <c r="I880" t="n">
        <v>6.8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977-2025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45743</v>
      </c>
      <c r="E881" s="1" t="n">
        <v>46302</v>
      </c>
      <c r="F881" t="inlineStr">
        <is>
          <t>NORRBOTTENS LÄN</t>
        </is>
      </c>
      <c r="G881" t="inlineStr">
        <is>
          <t>BODEN</t>
        </is>
      </c>
      <c r="I881" t="n">
        <v>11.1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978-2025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45743</v>
      </c>
      <c r="E882" s="1" t="n">
        <v>46302</v>
      </c>
      <c r="F882" t="inlineStr">
        <is>
          <t>NORRBOTTENS LÄN</t>
        </is>
      </c>
      <c r="G882" t="inlineStr">
        <is>
          <t>BODEN</t>
        </is>
      </c>
      <c r="I882" t="n">
        <v>19.5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1498-2025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45789</v>
      </c>
      <c r="E883" s="1" t="n">
        <v>46302</v>
      </c>
      <c r="F883" t="inlineStr">
        <is>
          <t>NORRBOTTENS LÄN</t>
        </is>
      </c>
      <c r="G883" t="inlineStr">
        <is>
          <t>BODEN</t>
        </is>
      </c>
      <c r="H883" t="inlineStr">
        <is>
          <t>Övriga Aktiebolag</t>
        </is>
      </c>
      <c r="I883" t="n">
        <v>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1572-2025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45792</v>
      </c>
      <c r="E884" s="1" t="n">
        <v>46302</v>
      </c>
      <c r="F884" t="inlineStr">
        <is>
          <t>NORRBOTTENS LÄN</t>
        </is>
      </c>
      <c r="G884" t="inlineStr">
        <is>
          <t>BODEN</t>
        </is>
      </c>
      <c r="I884" t="n">
        <v>8.6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1631-2025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46302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1633-2025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46302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0.2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1632-2025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46302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1734-2025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45810</v>
      </c>
      <c r="E888" s="1" t="n">
        <v>46302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1811-2025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45818</v>
      </c>
      <c r="E889" s="1" t="n">
        <v>46302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2072-2025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45840</v>
      </c>
      <c r="E890" s="1" t="n">
        <v>46302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3580-2025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46018</v>
      </c>
      <c r="E891" s="1" t="n">
        <v>46302</v>
      </c>
      <c r="F891" t="inlineStr">
        <is>
          <t>NORRBOTTENS LÄN</t>
        </is>
      </c>
      <c r="G891" t="inlineStr">
        <is>
          <t>BODEN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1267-2026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46302</v>
      </c>
      <c r="F892" t="inlineStr">
        <is>
          <t>NORRBOTTENS LÄN</t>
        </is>
      </c>
      <c r="G892" t="inlineStr">
        <is>
          <t>BODEN</t>
        </is>
      </c>
      <c r="I892" t="n">
        <v>57.4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1261-2026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46302</v>
      </c>
      <c r="F893" t="inlineStr">
        <is>
          <t>NORRBOTTENS LÄN</t>
        </is>
      </c>
      <c r="G893" t="inlineStr">
        <is>
          <t>BODEN</t>
        </is>
      </c>
      <c r="I893" t="n">
        <v>16.9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1262-2026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46302</v>
      </c>
      <c r="F894" t="inlineStr">
        <is>
          <t>NORRBOTTENS LÄN</t>
        </is>
      </c>
      <c r="G894" t="inlineStr">
        <is>
          <t>BODEN</t>
        </is>
      </c>
      <c r="H894" t="inlineStr">
        <is>
          <t>Kommuner</t>
        </is>
      </c>
      <c r="I894" t="n">
        <v>16.2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1356-2026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46152</v>
      </c>
      <c r="E895" s="1" t="n">
        <v>46302</v>
      </c>
      <c r="F895" t="inlineStr">
        <is>
          <t>NORRBOTTENS LÄN</t>
        </is>
      </c>
      <c r="G895" t="inlineStr">
        <is>
          <t>BODEN</t>
        </is>
      </c>
      <c r="I895" t="n">
        <v>124.7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1357-2026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46152</v>
      </c>
      <c r="E896" s="1" t="n">
        <v>46302</v>
      </c>
      <c r="F896" t="inlineStr">
        <is>
          <t>NORRBOTTENS LÄN</t>
        </is>
      </c>
      <c r="G896" t="inlineStr">
        <is>
          <t>BODEN</t>
        </is>
      </c>
      <c r="I896" t="n">
        <v>38.2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>
      <c r="A897" t="inlineStr">
        <is>
          <t>S 1297-2026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46148</v>
      </c>
      <c r="E897" s="1" t="n">
        <v>46302</v>
      </c>
      <c r="F897" t="inlineStr">
        <is>
          <t>NORRBOTTENS LÄN</t>
        </is>
      </c>
      <c r="G897" t="inlineStr">
        <is>
          <t>BODEN</t>
        </is>
      </c>
      <c r="I897" t="n">
        <v>20.5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2026-10-07T02:05:49Z</dcterms:created>
  <dcterms:modified xmlns:dcterms="http://purl.org/dc/terms/" xmlns:xsi="http://www.w3.org/2001/XMLSchema-instance" xsi:type="dcterms:W3CDTF">2026-10-07T02:05:50Z</dcterms:modified>
</cp:coreProperties>
</file>