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46311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46311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46311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46311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46311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46311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46311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46311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46311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46311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46311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46311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46311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46311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46311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46311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46311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46311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Stare
Rosenfink
Rävticka
Sångsvan
Trana</t>
        </is>
      </c>
      <c r="W33">
        <f>HYPERLINK("https://klasma.github.io/Logging_2582/artfynd/A 59358-2022 artfynd.xlsx", "A 59358-2022")</f>
        <v/>
      </c>
      <c r="X33">
        <f>HYPERLINK("https://klasma.github.io/Logging_2582/kartor/A 59358-2022 karta.png", "A 59358-2022")</f>
        <v/>
      </c>
      <c r="Y33">
        <f>HYPERLINK("https://klasma.github.io/Logging_2582/kartor_geotiff/A 59358-2022 georefererad karta.tif", "A 59358-2022")</f>
        <v/>
      </c>
      <c r="AA33">
        <f>HYPERLINK("https://klasma.github.io/Logging_2582/klagomål/A 59358-2022 FSC-klagomål.docx", "A 59358-2022")</f>
        <v/>
      </c>
      <c r="AB33">
        <f>HYPERLINK("https://klasma.github.io/Logging_2582/klagomålsmail/A 59358-2022 FSC-klagomål mail.docx", "A 59358-2022")</f>
        <v/>
      </c>
      <c r="AC33">
        <f>HYPERLINK("https://klasma.github.io/Logging_2582/tillsyn/A 59358-2022 tillsynsbegäran.docx", "A 59358-2022")</f>
        <v/>
      </c>
      <c r="AD33">
        <f>HYPERLINK("https://klasma.github.io/Logging_2582/tillsynsmail/A 59358-2022 tillsynsbegäran mail.docx", "A 59358-2022")</f>
        <v/>
      </c>
      <c r="AE33">
        <f>HYPERLINK("https://klasma.github.io/Logging_2582/fåglar/A 59358-2022 prioriterade fågelarter.docx", "A 59358-2022")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46311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54167-2025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46311</v>
      </c>
      <c r="F35" t="inlineStr">
        <is>
          <t>NORRBOTTENS LÄN</t>
        </is>
      </c>
      <c r="G35" t="inlineStr">
        <is>
          <t>BODEN</t>
        </is>
      </c>
      <c r="I35" t="n">
        <v>1.1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Lunglav
Stiftgelélav
Järpe
Spillkråka
Vanlig padda</t>
        </is>
      </c>
      <c r="W35">
        <f>HYPERLINK("https://klasma.github.io/Logging_2582/artfynd/A 54167-2025 artfynd.xlsx", "A 54167-2025")</f>
        <v/>
      </c>
      <c r="X35">
        <f>HYPERLINK("https://klasma.github.io/Logging_2582/kartor/A 54167-2025 karta.png", "A 54167-2025")</f>
        <v/>
      </c>
      <c r="Y35">
        <f>HYPERLINK("https://klasma.github.io/Logging_2582/kartor_geotiff/A 54167-2025 georefererad karta.tif", "A 54167-2025")</f>
        <v/>
      </c>
      <c r="AA35">
        <f>HYPERLINK("https://klasma.github.io/Logging_2582/klagomål/A 54167-2025 FSC-klagomål.docx", "A 54167-2025")</f>
        <v/>
      </c>
      <c r="AB35">
        <f>HYPERLINK("https://klasma.github.io/Logging_2582/klagomålsmail/A 54167-2025 FSC-klagomål mail.docx", "A 54167-2025")</f>
        <v/>
      </c>
      <c r="AC35">
        <f>HYPERLINK("https://klasma.github.io/Logging_2582/tillsyn/A 54167-2025 tillsynsbegäran.docx", "A 54167-2025")</f>
        <v/>
      </c>
      <c r="AD35">
        <f>HYPERLINK("https://klasma.github.io/Logging_2582/tillsynsmail/A 54167-2025 tillsynsbegäran mail.docx", "A 54167-2025")</f>
        <v/>
      </c>
      <c r="AE35">
        <f>HYPERLINK("https://klasma.github.io/Logging_2582/fåglar/A 54167-2025 prioriterade fågelarter.docx", "A 54167-2025")</f>
        <v/>
      </c>
    </row>
    <row r="36" ht="15" customHeight="1">
      <c r="A36" t="inlineStr">
        <is>
          <t>A 43709-2025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46311</v>
      </c>
      <c r="F36" t="inlineStr">
        <is>
          <t>NORRBOTTENS LÄN</t>
        </is>
      </c>
      <c r="G36" t="inlineStr">
        <is>
          <t>BODEN</t>
        </is>
      </c>
      <c r="I36" t="n">
        <v>7.7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Vitryggig hackspett
Talltita
Tretåig hackspett
Björksplintborre
Spillkråka</t>
        </is>
      </c>
      <c r="W36">
        <f>HYPERLINK("https://klasma.github.io/Logging_2582/artfynd/A 43709-2025 artfynd.xlsx", "A 43709-2025")</f>
        <v/>
      </c>
      <c r="X36">
        <f>HYPERLINK("https://klasma.github.io/Logging_2582/kartor/A 43709-2025 karta.png", "A 43709-2025")</f>
        <v/>
      </c>
      <c r="Y36">
        <f>HYPERLINK("https://klasma.github.io/Logging_2582/kartor_geotiff/A 43709-2025 georefererad karta.tif", "A 43709-2025")</f>
        <v/>
      </c>
      <c r="AA36">
        <f>HYPERLINK("https://klasma.github.io/Logging_2582/klagomål/A 43709-2025 FSC-klagomål.docx", "A 43709-2025")</f>
        <v/>
      </c>
      <c r="AB36">
        <f>HYPERLINK("https://klasma.github.io/Logging_2582/klagomålsmail/A 43709-2025 FSC-klagomål mail.docx", "A 43709-2025")</f>
        <v/>
      </c>
      <c r="AC36">
        <f>HYPERLINK("https://klasma.github.io/Logging_2582/tillsyn/A 43709-2025 tillsynsbegäran.docx", "A 43709-2025")</f>
        <v/>
      </c>
      <c r="AD36">
        <f>HYPERLINK("https://klasma.github.io/Logging_2582/tillsynsmail/A 43709-2025 tillsynsbegäran mail.docx", "A 43709-2025")</f>
        <v/>
      </c>
      <c r="AE36">
        <f>HYPERLINK("https://klasma.github.io/Logging_2582/fåglar/A 43709-2025 prioriterade fågelarter.docx", "A 43709-2025")</f>
        <v/>
      </c>
    </row>
    <row r="37" ht="15" customHeight="1">
      <c r="A37" t="inlineStr">
        <is>
          <t>A 43719-2025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45912</v>
      </c>
      <c r="E37" s="1" t="n">
        <v>46311</v>
      </c>
      <c r="F37" t="inlineStr">
        <is>
          <t>NORRBOTTENS LÄN</t>
        </is>
      </c>
      <c r="G37" t="inlineStr">
        <is>
          <t>BODEN</t>
        </is>
      </c>
      <c r="H37" t="inlineStr">
        <is>
          <t>SCA</t>
        </is>
      </c>
      <c r="I37" t="n">
        <v>1.1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7</v>
      </c>
      <c r="U37" t="n">
        <v>4</v>
      </c>
      <c r="V37" s="2" t="inlineStr">
        <is>
          <t>Garnlav
Liten hornflikmossa
Tretåig hackspett
Vedtrappmossa
Stuplav</t>
        </is>
      </c>
      <c r="W37">
        <f>HYPERLINK("https://klasma.github.io/Logging_2582/artfynd/A 43719-2025 artfynd.xlsx", "A 43719-2025")</f>
        <v/>
      </c>
      <c r="X37">
        <f>HYPERLINK("https://klasma.github.io/Logging_2582/kartor/A 43719-2025 karta.png", "A 43719-2025")</f>
        <v/>
      </c>
      <c r="Y37">
        <f>HYPERLINK("https://klasma.github.io/Logging_2582/kartor_geotiff/A 43719-2025 georefererad karta.tif", "A 43719-2025")</f>
        <v/>
      </c>
      <c r="AA37">
        <f>HYPERLINK("https://klasma.github.io/Logging_2582/klagomål/A 43719-2025 FSC-klagomål.docx", "A 43719-2025")</f>
        <v/>
      </c>
      <c r="AB37">
        <f>HYPERLINK("https://klasma.github.io/Logging_2582/klagomålsmail/A 43719-2025 FSC-klagomål mail.docx", "A 43719-2025")</f>
        <v/>
      </c>
      <c r="AC37">
        <f>HYPERLINK("https://klasma.github.io/Logging_2582/tillsyn/A 43719-2025 tillsynsbegäran.docx", "A 43719-2025")</f>
        <v/>
      </c>
      <c r="AD37">
        <f>HYPERLINK("https://klasma.github.io/Logging_2582/tillsynsmail/A 43719-2025 tillsynsbegäran mail.docx", "A 43719-2025")</f>
        <v/>
      </c>
      <c r="AE37">
        <f>HYPERLINK("https://klasma.github.io/Logging_2582/fåglar/A 43719-2025 prioriterade fågelarter.docx", "A 43719-2025")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46311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46311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46311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39868-2025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45893</v>
      </c>
      <c r="E41" s="1" t="n">
        <v>46311</v>
      </c>
      <c r="F41" t="inlineStr">
        <is>
          <t>NORRBOTTENS LÄN</t>
        </is>
      </c>
      <c r="G41" t="inlineStr">
        <is>
          <t>BODEN</t>
        </is>
      </c>
      <c r="H41" t="inlineStr">
        <is>
          <t>Övriga statliga verk och myndigheter</t>
        </is>
      </c>
      <c r="I41" t="n">
        <v>3.1</v>
      </c>
      <c r="J41" t="n">
        <v>5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5</v>
      </c>
      <c r="U41" t="n">
        <v>0</v>
      </c>
      <c r="V41" s="2" t="inlineStr">
        <is>
          <t>Nötkråka
Talltita
Gråspett
Järpe
Spillkråka</t>
        </is>
      </c>
      <c r="W41">
        <f>HYPERLINK("https://klasma.github.io/Logging_2582/artfynd/A 39868-2025 artfynd.xlsx", "A 39868-2025")</f>
        <v/>
      </c>
      <c r="X41">
        <f>HYPERLINK("https://klasma.github.io/Logging_2582/kartor/A 39868-2025 karta.png", "A 39868-2025")</f>
        <v/>
      </c>
      <c r="Y41">
        <f>HYPERLINK("https://klasma.github.io/Logging_2582/kartor_geotiff/A 39868-2025 georefererad karta.tif", "A 39868-2025")</f>
        <v/>
      </c>
      <c r="AA41">
        <f>HYPERLINK("https://klasma.github.io/Logging_2582/klagomål/A 39868-2025 FSC-klagomål.docx", "A 39868-2025")</f>
        <v/>
      </c>
      <c r="AB41">
        <f>HYPERLINK("https://klasma.github.io/Logging_2582/klagomålsmail/A 39868-2025 FSC-klagomål mail.docx", "A 39868-2025")</f>
        <v/>
      </c>
      <c r="AC41">
        <f>HYPERLINK("https://klasma.github.io/Logging_2582/tillsyn/A 39868-2025 tillsynsbegäran.docx", "A 39868-2025")</f>
        <v/>
      </c>
      <c r="AD41">
        <f>HYPERLINK("https://klasma.github.io/Logging_2582/tillsynsmail/A 39868-2025 tillsynsbegäran mail.docx", "A 39868-2025")</f>
        <v/>
      </c>
      <c r="AE41">
        <f>HYPERLINK("https://klasma.github.io/Logging_2582/fåglar/A 39868-2025 prioriterade fågelarter.docx", "A 39868-2025")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46311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46311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46311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46311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59028-2025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46311</v>
      </c>
      <c r="F47" t="inlineStr">
        <is>
          <t>NORRBOTTENS LÄN</t>
        </is>
      </c>
      <c r="G47" t="inlineStr">
        <is>
          <t>BODEN</t>
        </is>
      </c>
      <c r="I47" t="n">
        <v>4.3</v>
      </c>
      <c r="J47" t="n">
        <v>0</v>
      </c>
      <c r="K47" t="n">
        <v>0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4</v>
      </c>
      <c r="T47" t="n">
        <v>4</v>
      </c>
      <c r="U47" t="n">
        <v>0</v>
      </c>
      <c r="V47" s="2" t="inlineStr">
        <is>
          <t>Goliatmusseron
Skrovlig taggsvamp
Dvärgbägarlav
Skarp dropptaggsvamp</t>
        </is>
      </c>
      <c r="W47">
        <f>HYPERLINK("https://klasma.github.io/Logging_2582/artfynd/A 59028-2025 artfynd.xlsx", "A 59028-2025")</f>
        <v/>
      </c>
      <c r="X47">
        <f>HYPERLINK("https://klasma.github.io/Logging_2582/kartor/A 59028-2025 karta.png", "A 59028-2025")</f>
        <v/>
      </c>
      <c r="Y47">
        <f>HYPERLINK("https://klasma.github.io/Logging_2582/kartor_geotiff/A 59028-2025 georefererad karta.tif", "A 59028-2025")</f>
        <v/>
      </c>
      <c r="AA47">
        <f>HYPERLINK("https://klasma.github.io/Logging_2582/klagomål/A 59028-2025 FSC-klagomål.docx", "A 59028-2025")</f>
        <v/>
      </c>
      <c r="AB47">
        <f>HYPERLINK("https://klasma.github.io/Logging_2582/klagomålsmail/A 59028-2025 FSC-klagomål mail.docx", "A 59028-2025")</f>
        <v/>
      </c>
      <c r="AC47">
        <f>HYPERLINK("https://klasma.github.io/Logging_2582/tillsyn/A 59028-2025 tillsynsbegäran.docx", "A 59028-2025")</f>
        <v/>
      </c>
      <c r="AD47">
        <f>HYPERLINK("https://klasma.github.io/Logging_2582/tillsynsmail/A 59028-2025 tillsynsbegäran mail.docx", "A 59028-2025")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46311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46311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46311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46311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46311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46311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Grönpyrola
Fläcknycklar
Nattviol</t>
        </is>
      </c>
      <c r="W54">
        <f>HYPERLINK("https://klasma.github.io/Logging_2582/artfynd/A 23323-2025 artfynd.xlsx", "A 23323-2025")</f>
        <v/>
      </c>
      <c r="X54">
        <f>HYPERLINK("https://klasma.github.io/Logging_2582/kartor/A 23323-2025 karta.png", "A 23323-2025")</f>
        <v/>
      </c>
      <c r="Y54">
        <f>HYPERLINK("https://klasma.github.io/Logging_2582/kartor_geotiff/A 23323-2025 georefererad karta.tif", "A 23323-2025")</f>
        <v/>
      </c>
      <c r="AA54">
        <f>HYPERLINK("https://klasma.github.io/Logging_2582/klagomål/A 23323-2025 FSC-klagomål.docx", "A 23323-2025")</f>
        <v/>
      </c>
      <c r="AB54">
        <f>HYPERLINK("https://klasma.github.io/Logging_2582/klagomålsmail/A 23323-2025 FSC-klagomål mail.docx", "A 23323-2025")</f>
        <v/>
      </c>
      <c r="AC54">
        <f>HYPERLINK("https://klasma.github.io/Logging_2582/tillsyn/A 23323-2025 tillsynsbegäran.docx", "A 23323-2025")</f>
        <v/>
      </c>
      <c r="AD54">
        <f>HYPERLINK("https://klasma.github.io/Logging_2582/tillsynsmail/A 23323-2025 tillsynsbegäran mail.docx", "A 23323-2025")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46311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Vanlig groda
Vanlig padda
Revlummer</t>
        </is>
      </c>
      <c r="W55">
        <f>HYPERLINK("https://klasma.github.io/Logging_2582/artfynd/A 29797-2022 artfynd.xlsx", "A 29797-2022")</f>
        <v/>
      </c>
      <c r="X55">
        <f>HYPERLINK("https://klasma.github.io/Logging_2582/kartor/A 29797-2022 karta.png", "A 29797-2022")</f>
        <v/>
      </c>
      <c r="Y55">
        <f>HYPERLINK("https://klasma.github.io/Logging_2582/kartor_geotiff/A 29797-2022 georefererad karta.tif", "A 29797-2022")</f>
        <v/>
      </c>
      <c r="AA55">
        <f>HYPERLINK("https://klasma.github.io/Logging_2582/klagomål/A 29797-2022 FSC-klagomål.docx", "A 29797-2022")</f>
        <v/>
      </c>
      <c r="AB55">
        <f>HYPERLINK("https://klasma.github.io/Logging_2582/klagomålsmail/A 29797-2022 FSC-klagomål mail.docx", "A 29797-2022")</f>
        <v/>
      </c>
      <c r="AC55">
        <f>HYPERLINK("https://klasma.github.io/Logging_2582/tillsyn/A 29797-2022 tillsynsbegäran.docx", "A 29797-2022")</f>
        <v/>
      </c>
      <c r="AD55">
        <f>HYPERLINK("https://klasma.github.io/Logging_2582/tillsynsmail/A 29797-2022 tillsynsbegäran mail.docx", "A 29797-2022")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48220-2025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46311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Gammelgransskål
Spillkråka</t>
        </is>
      </c>
      <c r="W57">
        <f>HYPERLINK("https://klasma.github.io/Logging_2582/artfynd/A 48220-2025 artfynd.xlsx", "A 48220-2025")</f>
        <v/>
      </c>
      <c r="X57">
        <f>HYPERLINK("https://klasma.github.io/Logging_2582/kartor/A 48220-2025 karta.png", "A 48220-2025")</f>
        <v/>
      </c>
      <c r="Y57">
        <f>HYPERLINK("https://klasma.github.io/Logging_2582/kartor_geotiff/A 48220-2025 georefererad karta.tif", "A 48220-2025")</f>
        <v/>
      </c>
      <c r="AA57">
        <f>HYPERLINK("https://klasma.github.io/Logging_2582/klagomål/A 48220-2025 FSC-klagomål.docx", "A 48220-2025")</f>
        <v/>
      </c>
      <c r="AB57">
        <f>HYPERLINK("https://klasma.github.io/Logging_2582/klagomålsmail/A 48220-2025 FSC-klagomål mail.docx", "A 48220-2025")</f>
        <v/>
      </c>
      <c r="AC57">
        <f>HYPERLINK("https://klasma.github.io/Logging_2582/tillsyn/A 48220-2025 tillsynsbegäran.docx", "A 48220-2025")</f>
        <v/>
      </c>
      <c r="AD57">
        <f>HYPERLINK("https://klasma.github.io/Logging_2582/tillsynsmail/A 48220-2025 tillsynsbegäran mail.docx", "A 48220-2025")</f>
        <v/>
      </c>
      <c r="AE57">
        <f>HYPERLINK("https://klasma.github.io/Logging_2582/fåglar/A 48220-2025 prioriterade fågelarter.docx", "A 48220-2025")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29868-2026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5.3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t="n">
        <v>2</v>
      </c>
      <c r="V59" s="2" t="inlineStr">
        <is>
          <t>Garnlav
Lunglav
Spindelblomster</t>
        </is>
      </c>
      <c r="W59">
        <f>HYPERLINK("https://klasma.github.io/Logging_2582/artfynd/A 29868-2026 artfynd.xlsx", "A 29868-2026")</f>
        <v/>
      </c>
      <c r="X59">
        <f>HYPERLINK("https://klasma.github.io/Logging_2582/kartor/A 29868-2026 karta.png", "A 29868-2026")</f>
        <v/>
      </c>
      <c r="Y59">
        <f>HYPERLINK("https://klasma.github.io/Logging_2582/kartor_geotiff/A 29868-2026 georefererad karta.tif", "A 29868-2026")</f>
        <v/>
      </c>
      <c r="AA59">
        <f>HYPERLINK("https://klasma.github.io/Logging_2582/klagomål/A 29868-2026 FSC-klagomål.docx", "A 29868-2026")</f>
        <v/>
      </c>
      <c r="AB59">
        <f>HYPERLINK("https://klasma.github.io/Logging_2582/klagomålsmail/A 29868-2026 FSC-klagomål mail.docx", "A 29868-2026")</f>
        <v/>
      </c>
      <c r="AC59">
        <f>HYPERLINK("https://klasma.github.io/Logging_2582/tillsyn/A 29868-2026 tillsynsbegäran.docx", "A 29868-2026")</f>
        <v/>
      </c>
      <c r="AD59">
        <f>HYPERLINK("https://klasma.github.io/Logging_2582/tillsynsmail/A 29868-2026 tillsynsbegäran mail.docx", "A 29868-2026")</f>
        <v/>
      </c>
    </row>
    <row r="60" ht="15" customHeight="1">
      <c r="A60" t="inlineStr">
        <is>
          <t>A 51957-2025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45952</v>
      </c>
      <c r="E60" s="1" t="n">
        <v>46311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8</v>
      </c>
      <c r="J60" t="n">
        <v>0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7</v>
      </c>
      <c r="U60" t="n">
        <v>1</v>
      </c>
      <c r="V60" s="2" t="inlineStr">
        <is>
          <t>Brunfläckig pärlemorfjäril
Garnlav
Harticka</t>
        </is>
      </c>
      <c r="W60">
        <f>HYPERLINK("https://klasma.github.io/Logging_2582/artfynd/A 51957-2025 artfynd.xlsx", "A 51957-2025")</f>
        <v/>
      </c>
      <c r="X60">
        <f>HYPERLINK("https://klasma.github.io/Logging_2582/kartor/A 51957-2025 karta.png", "A 51957-2025")</f>
        <v/>
      </c>
      <c r="Y60">
        <f>HYPERLINK("https://klasma.github.io/Logging_2582/kartor_geotiff/A 51957-2025 georefererad karta.tif", "A 51957-2025")</f>
        <v/>
      </c>
      <c r="AA60">
        <f>HYPERLINK("https://klasma.github.io/Logging_2582/klagomål/A 51957-2025 FSC-klagomål.docx", "A 51957-2025")</f>
        <v/>
      </c>
      <c r="AB60">
        <f>HYPERLINK("https://klasma.github.io/Logging_2582/klagomålsmail/A 51957-2025 FSC-klagomål mail.docx", "A 51957-2025")</f>
        <v/>
      </c>
      <c r="AC60">
        <f>HYPERLINK("https://klasma.github.io/Logging_2582/tillsyn/A 51957-2025 tillsynsbegäran.docx", "A 51957-2025")</f>
        <v/>
      </c>
      <c r="AD60">
        <f>HYPERLINK("https://klasma.github.io/Logging_2582/tillsynsmail/A 51957-2025 tillsynsbegäran mail.docx", "A 51957-2025")</f>
        <v/>
      </c>
    </row>
    <row r="61" ht="15" customHeight="1">
      <c r="A61" t="inlineStr">
        <is>
          <t>A 31230-2026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46217</v>
      </c>
      <c r="E61" s="1" t="n">
        <v>46311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7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Fläcknycklar
Fläcknycklar × sumpnycklar</t>
        </is>
      </c>
      <c r="W61">
        <f>HYPERLINK("https://klasma.github.io/Logging_2582/artfynd/A 31230-2026 artfynd.xlsx", "A 31230-2026")</f>
        <v/>
      </c>
      <c r="X61">
        <f>HYPERLINK("https://klasma.github.io/Logging_2582/kartor/A 31230-2026 karta.png", "A 31230-2026")</f>
        <v/>
      </c>
      <c r="Y61">
        <f>HYPERLINK("https://klasma.github.io/Logging_2582/kartor_geotiff/A 31230-2026 georefererad karta.tif", "A 31230-2026")</f>
        <v/>
      </c>
      <c r="AA61">
        <f>HYPERLINK("https://klasma.github.io/Logging_2582/klagomål/A 31230-2026 FSC-klagomål.docx", "A 31230-2026")</f>
        <v/>
      </c>
      <c r="AB61">
        <f>HYPERLINK("https://klasma.github.io/Logging_2582/klagomålsmail/A 31230-2026 FSC-klagomål mail.docx", "A 31230-2026")</f>
        <v/>
      </c>
      <c r="AC61">
        <f>HYPERLINK("https://klasma.github.io/Logging_2582/tillsyn/A 31230-2026 tillsynsbegäran.docx", "A 31230-2026")</f>
        <v/>
      </c>
      <c r="AD61">
        <f>HYPERLINK("https://klasma.github.io/Logging_2582/tillsynsmail/A 31230-2026 tillsynsbegäran mail.docx", "A 31230-2026")</f>
        <v/>
      </c>
    </row>
    <row r="62" ht="15" customHeight="1">
      <c r="A62" t="inlineStr">
        <is>
          <t>A 38808-2026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46311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12.7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Lunglav
Vedflamlav
Stuplav</t>
        </is>
      </c>
      <c r="W62">
        <f>HYPERLINK("https://klasma.github.io/Logging_2582/artfynd/A 38808-2026 artfynd.xlsx", "A 38808-2026")</f>
        <v/>
      </c>
      <c r="X62">
        <f>HYPERLINK("https://klasma.github.io/Logging_2582/kartor/A 38808-2026 karta.png", "A 38808-2026")</f>
        <v/>
      </c>
      <c r="Y62">
        <f>HYPERLINK("https://klasma.github.io/Logging_2582/kartor_geotiff/A 38808-2026 georefererad karta.tif", "A 38808-2026")</f>
        <v/>
      </c>
      <c r="AA62">
        <f>HYPERLINK("https://klasma.github.io/Logging_2582/klagomål/A 38808-2026 FSC-klagomål.docx", "A 38808-2026")</f>
        <v/>
      </c>
      <c r="AB62">
        <f>HYPERLINK("https://klasma.github.io/Logging_2582/klagomålsmail/A 38808-2026 FSC-klagomål mail.docx", "A 38808-2026")</f>
        <v/>
      </c>
      <c r="AC62">
        <f>HYPERLINK("https://klasma.github.io/Logging_2582/tillsyn/A 38808-2026 tillsynsbegäran.docx", "A 38808-2026")</f>
        <v/>
      </c>
      <c r="AD62">
        <f>HYPERLINK("https://klasma.github.io/Logging_2582/tillsynsmail/A 38808-2026 tillsynsbegäran mail.docx", "A 38808-2026")</f>
        <v/>
      </c>
    </row>
    <row r="63" ht="15" customHeight="1">
      <c r="A63" t="inlineStr">
        <is>
          <t>A 57806-2025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45981</v>
      </c>
      <c r="E63" s="1" t="n">
        <v>46311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10.4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Dvärgbägarlav
Lunglav</t>
        </is>
      </c>
      <c r="W63">
        <f>HYPERLINK("https://klasma.github.io/Logging_2582/artfynd/A 57806-2025 artfynd.xlsx", "A 57806-2025")</f>
        <v/>
      </c>
      <c r="X63">
        <f>HYPERLINK("https://klasma.github.io/Logging_2582/kartor/A 57806-2025 karta.png", "A 57806-2025")</f>
        <v/>
      </c>
      <c r="Y63">
        <f>HYPERLINK("https://klasma.github.io/Logging_2582/kartor_geotiff/A 57806-2025 georefererad karta.tif", "A 57806-2025")</f>
        <v/>
      </c>
      <c r="AA63">
        <f>HYPERLINK("https://klasma.github.io/Logging_2582/klagomål/A 57806-2025 FSC-klagomål.docx", "A 57806-2025")</f>
        <v/>
      </c>
      <c r="AB63">
        <f>HYPERLINK("https://klasma.github.io/Logging_2582/klagomålsmail/A 57806-2025 FSC-klagomål mail.docx", "A 57806-2025")</f>
        <v/>
      </c>
      <c r="AC63">
        <f>HYPERLINK("https://klasma.github.io/Logging_2582/tillsyn/A 57806-2025 tillsynsbegäran.docx", "A 57806-2025")</f>
        <v/>
      </c>
      <c r="AD63">
        <f>HYPERLINK("https://klasma.github.io/Logging_2582/tillsynsmail/A 57806-2025 tillsynsbegäran mail.docx", "A 57806-2025")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46311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6118-2025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45698</v>
      </c>
      <c r="E65" s="1" t="n">
        <v>46311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3.7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14</v>
      </c>
      <c r="U65" t="n">
        <v>14</v>
      </c>
      <c r="V65" s="2" t="inlineStr">
        <is>
          <t>Garnlav
Tretåig hackspett
Spillkråka</t>
        </is>
      </c>
      <c r="W65">
        <f>HYPERLINK("https://klasma.github.io/Logging_2582/artfynd/A 6118-2025 artfynd.xlsx", "A 6118-2025")</f>
        <v/>
      </c>
      <c r="X65">
        <f>HYPERLINK("https://klasma.github.io/Logging_2582/kartor/A 6118-2025 karta.png", "A 6118-2025")</f>
        <v/>
      </c>
      <c r="Y65">
        <f>HYPERLINK("https://klasma.github.io/Logging_2582/kartor_geotiff/A 6118-2025 georefererad karta.tif", "A 6118-2025")</f>
        <v/>
      </c>
      <c r="AA65">
        <f>HYPERLINK("https://klasma.github.io/Logging_2582/klagomål/A 6118-2025 FSC-klagomål.docx", "A 6118-2025")</f>
        <v/>
      </c>
      <c r="AB65">
        <f>HYPERLINK("https://klasma.github.io/Logging_2582/klagomålsmail/A 6118-2025 FSC-klagomål mail.docx", "A 6118-2025")</f>
        <v/>
      </c>
      <c r="AC65">
        <f>HYPERLINK("https://klasma.github.io/Logging_2582/tillsyn/A 6118-2025 tillsynsbegäran.docx", "A 6118-2025")</f>
        <v/>
      </c>
      <c r="AD65">
        <f>HYPERLINK("https://klasma.github.io/Logging_2582/tillsynsmail/A 6118-2025 tillsynsbegäran mail.docx", "A 6118-2025")</f>
        <v/>
      </c>
      <c r="AE65">
        <f>HYPERLINK("https://klasma.github.io/Logging_2582/fåglar/A 6118-2025 prioriterade fågelarter.docx", "A 6118-2025")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46311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36162-2026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46267</v>
      </c>
      <c r="E67" s="1" t="n">
        <v>46311</v>
      </c>
      <c r="F67" t="inlineStr">
        <is>
          <t>NORRBOTTENS LÄN</t>
        </is>
      </c>
      <c r="G67" t="inlineStr">
        <is>
          <t>BODEN</t>
        </is>
      </c>
      <c r="I67" t="n">
        <v>2.3</v>
      </c>
      <c r="J67" t="n">
        <v>3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Björktrast
Rödvingetrast
Skrattmås</t>
        </is>
      </c>
      <c r="W67">
        <f>HYPERLINK("https://klasma.github.io/Logging_2582/artfynd/A 36162-2026 artfynd.xlsx", "A 36162-2026")</f>
        <v/>
      </c>
      <c r="X67">
        <f>HYPERLINK("https://klasma.github.io/Logging_2582/kartor/A 36162-2026 karta.png", "A 36162-2026")</f>
        <v/>
      </c>
      <c r="Y67">
        <f>HYPERLINK("https://klasma.github.io/Logging_2582/kartor_geotiff/A 36162-2026 georefererad karta.tif", "A 36162-2026")</f>
        <v/>
      </c>
      <c r="AA67">
        <f>HYPERLINK("https://klasma.github.io/Logging_2582/klagomål/A 36162-2026 FSC-klagomål.docx", "A 36162-2026")</f>
        <v/>
      </c>
      <c r="AB67">
        <f>HYPERLINK("https://klasma.github.io/Logging_2582/klagomålsmail/A 36162-2026 FSC-klagomål mail.docx", "A 36162-2026")</f>
        <v/>
      </c>
      <c r="AC67">
        <f>HYPERLINK("https://klasma.github.io/Logging_2582/tillsyn/A 36162-2026 tillsynsbegäran.docx", "A 36162-2026")</f>
        <v/>
      </c>
      <c r="AD67">
        <f>HYPERLINK("https://klasma.github.io/Logging_2582/tillsynsmail/A 36162-2026 tillsynsbegäran mail.docx", "A 36162-2026")</f>
        <v/>
      </c>
      <c r="AE67">
        <f>HYPERLINK("https://klasma.github.io/Logging_2582/fåglar/A 36162-2026 prioriterade fågelarter.docx", "A 36162-2026")</f>
        <v/>
      </c>
    </row>
    <row r="68" ht="15" customHeight="1">
      <c r="A68" t="inlineStr">
        <is>
          <t>A 10087-2026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46073</v>
      </c>
      <c r="E68" s="1" t="n">
        <v>46311</v>
      </c>
      <c r="F68" t="inlineStr">
        <is>
          <t>NORRBOTTENS LÄN</t>
        </is>
      </c>
      <c r="G68" t="inlineStr">
        <is>
          <t>BODEN</t>
        </is>
      </c>
      <c r="I68" t="n">
        <v>5.9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Korthornad vedstekel
Skogsödla
Vanlig padda</t>
        </is>
      </c>
      <c r="W68">
        <f>HYPERLINK("https://klasma.github.io/Logging_2582/artfynd/A 10087-2026 artfynd.xlsx", "A 10087-2026")</f>
        <v/>
      </c>
      <c r="X68">
        <f>HYPERLINK("https://klasma.github.io/Logging_2582/kartor/A 10087-2026 karta.png", "A 10087-2026")</f>
        <v/>
      </c>
      <c r="Y68">
        <f>HYPERLINK("https://klasma.github.io/Logging_2582/kartor_geotiff/A 10087-2026 georefererad karta.tif", "A 10087-2026")</f>
        <v/>
      </c>
      <c r="AA68">
        <f>HYPERLINK("https://klasma.github.io/Logging_2582/klagomål/A 10087-2026 FSC-klagomål.docx", "A 10087-2026")</f>
        <v/>
      </c>
      <c r="AB68">
        <f>HYPERLINK("https://klasma.github.io/Logging_2582/klagomålsmail/A 10087-2026 FSC-klagomål mail.docx", "A 10087-2026")</f>
        <v/>
      </c>
      <c r="AC68">
        <f>HYPERLINK("https://klasma.github.io/Logging_2582/tillsyn/A 10087-2026 tillsynsbegäran.docx", "A 10087-2026")</f>
        <v/>
      </c>
      <c r="AD68">
        <f>HYPERLINK("https://klasma.github.io/Logging_2582/tillsynsmail/A 10087-2026 tillsynsbegäran mail.docx", "A 10087-2026")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46311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46311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46311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46311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28867-2025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46311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8.199999999999999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12</v>
      </c>
      <c r="U74" t="n">
        <v>12</v>
      </c>
      <c r="V74" s="2" t="inlineStr">
        <is>
          <t>Knärot
Fläcknycklar</t>
        </is>
      </c>
      <c r="W74">
        <f>HYPERLINK("https://klasma.github.io/Logging_2582/artfynd/A 28867-2025 artfynd.xlsx", "A 28867-2025")</f>
        <v/>
      </c>
      <c r="X74">
        <f>HYPERLINK("https://klasma.github.io/Logging_2582/kartor/A 28867-2025 karta.png", "A 28867-2025")</f>
        <v/>
      </c>
      <c r="Y74">
        <f>HYPERLINK("https://klasma.github.io/Logging_2582/kartor_geotiff/A 28867-2025 georefererad karta.tif", "A 28867-2025")</f>
        <v/>
      </c>
      <c r="Z74">
        <f>HYPERLINK("https://klasma.github.io/Logging_2582/knärot/A 28867-2025 karta knärot.png", "A 28867-2025")</f>
        <v/>
      </c>
      <c r="AA74">
        <f>HYPERLINK("https://klasma.github.io/Logging_2582/klagomål/A 28867-2025 FSC-klagomål.docx", "A 28867-2025")</f>
        <v/>
      </c>
      <c r="AB74">
        <f>HYPERLINK("https://klasma.github.io/Logging_2582/klagomålsmail/A 28867-2025 FSC-klagomål mail.docx", "A 28867-2025")</f>
        <v/>
      </c>
      <c r="AC74">
        <f>HYPERLINK("https://klasma.github.io/Logging_2582/tillsyn/A 28867-2025 tillsynsbegäran.docx", "A 28867-2025")</f>
        <v/>
      </c>
      <c r="AD74">
        <f>HYPERLINK("https://klasma.github.io/Logging_2582/tillsynsmail/A 28867-2025 tillsynsbegäran mail.docx", "A 28867-2025")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46311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17292-2022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44678</v>
      </c>
      <c r="E76" s="1" t="n">
        <v>46311</v>
      </c>
      <c r="F76" t="inlineStr">
        <is>
          <t>NORRBOTTENS LÄN</t>
        </is>
      </c>
      <c r="G76" t="inlineStr">
        <is>
          <t>BODEN</t>
        </is>
      </c>
      <c r="H76" t="inlineStr">
        <is>
          <t>Kyrkan</t>
        </is>
      </c>
      <c r="I76" t="n">
        <v>0.8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Revlummer</t>
        </is>
      </c>
      <c r="W76">
        <f>HYPERLINK("https://klasma.github.io/Logging_2582/artfynd/A 17292-2022 artfynd.xlsx", "A 17292-2022")</f>
        <v/>
      </c>
      <c r="X76">
        <f>HYPERLINK("https://klasma.github.io/Logging_2582/kartor/A 17292-2022 karta.png", "A 17292-2022")</f>
        <v/>
      </c>
      <c r="Y76">
        <f>HYPERLINK("https://klasma.github.io/Logging_2582/kartor_geotiff/A 17292-2022 georefererad karta.tif", "A 17292-2022")</f>
        <v/>
      </c>
      <c r="AA76">
        <f>HYPERLINK("https://klasma.github.io/Logging_2582/klagomål/A 17292-2022 FSC-klagomål.docx", "A 17292-2022")</f>
        <v/>
      </c>
      <c r="AB76">
        <f>HYPERLINK("https://klasma.github.io/Logging_2582/klagomålsmail/A 17292-2022 FSC-klagomål mail.docx", "A 17292-2022")</f>
        <v/>
      </c>
      <c r="AC76">
        <f>HYPERLINK("https://klasma.github.io/Logging_2582/tillsyn/A 17292-2022 tillsynsbegäran.docx", "A 17292-2022")</f>
        <v/>
      </c>
      <c r="AD76">
        <f>HYPERLINK("https://klasma.github.io/Logging_2582/tillsynsmail/A 17292-2022 tillsynsbegäran mail.docx", "A 17292-2022")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46311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37086-2025 artfynd.xlsx", "A 37086-2025")</f>
        <v/>
      </c>
      <c r="X77">
        <f>HYPERLINK("https://klasma.github.io/Logging_2582/kartor/A 37086-2025 karta.png", "A 37086-2025")</f>
        <v/>
      </c>
      <c r="Y77">
        <f>HYPERLINK("https://klasma.github.io/Logging_2582/kartor_geotiff/A 37086-2025 georefererad karta.tif", "A 37086-2025")</f>
        <v/>
      </c>
      <c r="AA77">
        <f>HYPERLINK("https://klasma.github.io/Logging_2582/klagomål/A 37086-2025 FSC-klagomål.docx", "A 37086-2025")</f>
        <v/>
      </c>
      <c r="AB77">
        <f>HYPERLINK("https://klasma.github.io/Logging_2582/klagomålsmail/A 37086-2025 FSC-klagomål mail.docx", "A 37086-2025")</f>
        <v/>
      </c>
      <c r="AC77">
        <f>HYPERLINK("https://klasma.github.io/Logging_2582/tillsyn/A 37086-2025 tillsynsbegäran.docx", "A 37086-2025")</f>
        <v/>
      </c>
      <c r="AD77">
        <f>HYPERLINK("https://klasma.github.io/Logging_2582/tillsynsmail/A 37086-2025 tillsynsbegäran mail.docx", "A 37086-2025")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46311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61210-2024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46311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4</v>
      </c>
      <c r="U79" t="n">
        <v>0</v>
      </c>
      <c r="V79" s="2" t="inlineStr">
        <is>
          <t>Skrovlig taggsvamp
Blå taggsvamp</t>
        </is>
      </c>
      <c r="W79">
        <f>HYPERLINK("https://klasma.github.io/Logging_2582/artfynd/A 61210-2024 artfynd.xlsx", "A 61210-2024")</f>
        <v/>
      </c>
      <c r="X79">
        <f>HYPERLINK("https://klasma.github.io/Logging_2582/kartor/A 61210-2024 karta.png", "A 61210-2024")</f>
        <v/>
      </c>
      <c r="Y79">
        <f>HYPERLINK("https://klasma.github.io/Logging_2582/kartor_geotiff/A 61210-2024 georefererad karta.tif", "A 61210-2024")</f>
        <v/>
      </c>
      <c r="AA79">
        <f>HYPERLINK("https://klasma.github.io/Logging_2582/klagomål/A 61210-2024 FSC-klagomål.docx", "A 61210-2024")</f>
        <v/>
      </c>
      <c r="AB79">
        <f>HYPERLINK("https://klasma.github.io/Logging_2582/klagomålsmail/A 61210-2024 FSC-klagomål mail.docx", "A 61210-2024")</f>
        <v/>
      </c>
      <c r="AC79">
        <f>HYPERLINK("https://klasma.github.io/Logging_2582/tillsyn/A 61210-2024 tillsynsbegäran.docx", "A 61210-2024")</f>
        <v/>
      </c>
      <c r="AD79">
        <f>HYPERLINK("https://klasma.github.io/Logging_2582/tillsynsmail/A 61210-2024 tillsynsbegäran mail.docx", "A 61210-2024")</f>
        <v/>
      </c>
    </row>
    <row r="80" ht="15" customHeight="1">
      <c r="A80" t="inlineStr">
        <is>
          <t>A 1507-2022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46311</v>
      </c>
      <c r="F80" t="inlineStr">
        <is>
          <t>NORRBOTTENS LÄN</t>
        </is>
      </c>
      <c r="G80" t="inlineStr">
        <is>
          <t>BODEN</t>
        </is>
      </c>
      <c r="H80" t="inlineStr">
        <is>
          <t>Övriga statliga verk och myndigheter</t>
        </is>
      </c>
      <c r="I80" t="n">
        <v>15.4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Talltita
Gråspett</t>
        </is>
      </c>
      <c r="W80">
        <f>HYPERLINK("https://klasma.github.io/Logging_2582/artfynd/A 1507-2022 artfynd.xlsx", "A 1507-2022")</f>
        <v/>
      </c>
      <c r="X80">
        <f>HYPERLINK("https://klasma.github.io/Logging_2582/kartor/A 1507-2022 karta.png", "A 1507-2022")</f>
        <v/>
      </c>
      <c r="Y80">
        <f>HYPERLINK("https://klasma.github.io/Logging_2582/kartor_geotiff/A 1507-2022 georefererad karta.tif", "A 1507-2022")</f>
        <v/>
      </c>
      <c r="AA80">
        <f>HYPERLINK("https://klasma.github.io/Logging_2582/klagomål/A 1507-2022 FSC-klagomål.docx", "A 1507-2022")</f>
        <v/>
      </c>
      <c r="AB80">
        <f>HYPERLINK("https://klasma.github.io/Logging_2582/klagomålsmail/A 1507-2022 FSC-klagomål mail.docx", "A 1507-2022")</f>
        <v/>
      </c>
      <c r="AC80">
        <f>HYPERLINK("https://klasma.github.io/Logging_2582/tillsyn/A 1507-2022 tillsynsbegäran.docx", "A 1507-2022")</f>
        <v/>
      </c>
      <c r="AD80">
        <f>HYPERLINK("https://klasma.github.io/Logging_2582/tillsynsmail/A 1507-2022 tillsynsbegäran mail.docx", "A 1507-2022")</f>
        <v/>
      </c>
      <c r="AE80">
        <f>HYPERLINK("https://klasma.github.io/Logging_2582/fåglar/A 1507-2022 prioriterade fågelarter.docx", "A 1507-2022")</f>
        <v/>
      </c>
    </row>
    <row r="81" ht="15" customHeight="1">
      <c r="A81" t="inlineStr">
        <is>
          <t>A 6895-2025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45701</v>
      </c>
      <c r="E81" s="1" t="n">
        <v>46311</v>
      </c>
      <c r="F81" t="inlineStr">
        <is>
          <t>NORRBOTTENS LÄN</t>
        </is>
      </c>
      <c r="G81" t="inlineStr">
        <is>
          <t>BODEN</t>
        </is>
      </c>
      <c r="I81" t="n">
        <v>1.5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Kolflarnlav
Plattlummer</t>
        </is>
      </c>
      <c r="W81">
        <f>HYPERLINK("https://klasma.github.io/Logging_2582/artfynd/A 6895-2025 artfynd.xlsx", "A 6895-2025")</f>
        <v/>
      </c>
      <c r="X81">
        <f>HYPERLINK("https://klasma.github.io/Logging_2582/kartor/A 6895-2025 karta.png", "A 6895-2025")</f>
        <v/>
      </c>
      <c r="Y81">
        <f>HYPERLINK("https://klasma.github.io/Logging_2582/kartor_geotiff/A 6895-2025 georefererad karta.tif", "A 6895-2025")</f>
        <v/>
      </c>
      <c r="AA81">
        <f>HYPERLINK("https://klasma.github.io/Logging_2582/klagomål/A 6895-2025 FSC-klagomål.docx", "A 6895-2025")</f>
        <v/>
      </c>
      <c r="AB81">
        <f>HYPERLINK("https://klasma.github.io/Logging_2582/klagomålsmail/A 6895-2025 FSC-klagomål mail.docx", "A 6895-2025")</f>
        <v/>
      </c>
      <c r="AC81">
        <f>HYPERLINK("https://klasma.github.io/Logging_2582/tillsyn/A 6895-2025 tillsynsbegäran.docx", "A 6895-2025")</f>
        <v/>
      </c>
      <c r="AD81">
        <f>HYPERLINK("https://klasma.github.io/Logging_2582/tillsynsmail/A 6895-2025 tillsynsbegäran mail.docx", "A 6895-2025")</f>
        <v/>
      </c>
    </row>
    <row r="82" ht="15" customHeight="1">
      <c r="A82" t="inlineStr">
        <is>
          <t>A 32971-2024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45517</v>
      </c>
      <c r="E82" s="1" t="n">
        <v>46311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10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5</v>
      </c>
      <c r="U82" t="n">
        <v>4</v>
      </c>
      <c r="V82" s="2" t="inlineStr">
        <is>
          <t>Lunglav
Fläcknycklar</t>
        </is>
      </c>
      <c r="W82">
        <f>HYPERLINK("https://klasma.github.io/Logging_2582/artfynd/A 32971-2024 artfynd.xlsx", "A 32971-2024")</f>
        <v/>
      </c>
      <c r="X82">
        <f>HYPERLINK("https://klasma.github.io/Logging_2582/kartor/A 32971-2024 karta.png", "A 32971-2024")</f>
        <v/>
      </c>
      <c r="Y82">
        <f>HYPERLINK("https://klasma.github.io/Logging_2582/kartor_geotiff/A 32971-2024 georefererad karta.tif", "A 32971-2024")</f>
        <v/>
      </c>
      <c r="AA82">
        <f>HYPERLINK("https://klasma.github.io/Logging_2582/klagomål/A 32971-2024 FSC-klagomål.docx", "A 32971-2024")</f>
        <v/>
      </c>
      <c r="AB82">
        <f>HYPERLINK("https://klasma.github.io/Logging_2582/klagomålsmail/A 32971-2024 FSC-klagomål mail.docx", "A 32971-2024")</f>
        <v/>
      </c>
      <c r="AC82">
        <f>HYPERLINK("https://klasma.github.io/Logging_2582/tillsyn/A 32971-2024 tillsynsbegäran.docx", "A 32971-2024")</f>
        <v/>
      </c>
      <c r="AD82">
        <f>HYPERLINK("https://klasma.github.io/Logging_2582/tillsynsmail/A 32971-2024 tillsynsbegäran mail.docx", "A 32971-2024")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46311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48899-2024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46311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Hässlebrodd
Fläcknycklar</t>
        </is>
      </c>
      <c r="W84">
        <f>HYPERLINK("https://klasma.github.io/Logging_2582/artfynd/A 48899-2024 artfynd.xlsx", "A 48899-2024")</f>
        <v/>
      </c>
      <c r="X84">
        <f>HYPERLINK("https://klasma.github.io/Logging_2582/kartor/A 48899-2024 karta.png", "A 48899-2024")</f>
        <v/>
      </c>
      <c r="Y84">
        <f>HYPERLINK("https://klasma.github.io/Logging_2582/kartor_geotiff/A 48899-2024 georefererad karta.tif", "A 48899-2024")</f>
        <v/>
      </c>
      <c r="AA84">
        <f>HYPERLINK("https://klasma.github.io/Logging_2582/klagomål/A 48899-2024 FSC-klagomål.docx", "A 48899-2024")</f>
        <v/>
      </c>
      <c r="AB84">
        <f>HYPERLINK("https://klasma.github.io/Logging_2582/klagomålsmail/A 48899-2024 FSC-klagomål mail.docx", "A 48899-2024")</f>
        <v/>
      </c>
      <c r="AC84">
        <f>HYPERLINK("https://klasma.github.io/Logging_2582/tillsyn/A 48899-2024 tillsynsbegäran.docx", "A 48899-2024")</f>
        <v/>
      </c>
      <c r="AD84">
        <f>HYPERLINK("https://klasma.github.io/Logging_2582/tillsynsmail/A 48899-2024 tillsynsbegäran mail.docx", "A 48899-2024")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46311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43315-2025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46311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Stuplav</t>
        </is>
      </c>
      <c r="W86">
        <f>HYPERLINK("https://klasma.github.io/Logging_2582/artfynd/A 43315-2025 artfynd.xlsx", "A 43315-2025")</f>
        <v/>
      </c>
      <c r="X86">
        <f>HYPERLINK("https://klasma.github.io/Logging_2582/kartor/A 43315-2025 karta.png", "A 43315-2025")</f>
        <v/>
      </c>
      <c r="Y86">
        <f>HYPERLINK("https://klasma.github.io/Logging_2582/kartor_geotiff/A 43315-2025 georefererad karta.tif", "A 43315-2025")</f>
        <v/>
      </c>
      <c r="AA86">
        <f>HYPERLINK("https://klasma.github.io/Logging_2582/klagomål/A 43315-2025 FSC-klagomål.docx", "A 43315-2025")</f>
        <v/>
      </c>
      <c r="AB86">
        <f>HYPERLINK("https://klasma.github.io/Logging_2582/klagomålsmail/A 43315-2025 FSC-klagomål mail.docx", "A 43315-2025")</f>
        <v/>
      </c>
      <c r="AC86">
        <f>HYPERLINK("https://klasma.github.io/Logging_2582/tillsyn/A 43315-2025 tillsynsbegäran.docx", "A 43315-2025")</f>
        <v/>
      </c>
      <c r="AD86">
        <f>HYPERLINK("https://klasma.github.io/Logging_2582/tillsynsmail/A 43315-2025 tillsynsbegäran mail.docx", "A 43315-2025")</f>
        <v/>
      </c>
    </row>
    <row r="87" ht="15" customHeight="1">
      <c r="A87" t="inlineStr">
        <is>
          <t>A 31758-2025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46311</v>
      </c>
      <c r="F87" t="inlineStr">
        <is>
          <t>NORRBOTTENS LÄN</t>
        </is>
      </c>
      <c r="G87" t="inlineStr">
        <is>
          <t>BODEN</t>
        </is>
      </c>
      <c r="I87" t="n">
        <v>19.9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Garnlav
Tretåig hackspett</t>
        </is>
      </c>
      <c r="W87">
        <f>HYPERLINK("https://klasma.github.io/Logging_2582/artfynd/A 31758-2025 artfynd.xlsx", "A 31758-2025")</f>
        <v/>
      </c>
      <c r="X87">
        <f>HYPERLINK("https://klasma.github.io/Logging_2582/kartor/A 31758-2025 karta.png", "A 31758-2025")</f>
        <v/>
      </c>
      <c r="Y87">
        <f>HYPERLINK("https://klasma.github.io/Logging_2582/kartor_geotiff/A 31758-2025 georefererad karta.tif", "A 31758-2025")</f>
        <v/>
      </c>
      <c r="AA87">
        <f>HYPERLINK("https://klasma.github.io/Logging_2582/klagomål/A 31758-2025 FSC-klagomål.docx", "A 31758-2025")</f>
        <v/>
      </c>
      <c r="AB87">
        <f>HYPERLINK("https://klasma.github.io/Logging_2582/klagomålsmail/A 31758-2025 FSC-klagomål mail.docx", "A 31758-2025")</f>
        <v/>
      </c>
      <c r="AC87">
        <f>HYPERLINK("https://klasma.github.io/Logging_2582/tillsyn/A 31758-2025 tillsynsbegäran.docx", "A 31758-2025")</f>
        <v/>
      </c>
      <c r="AD87">
        <f>HYPERLINK("https://klasma.github.io/Logging_2582/tillsynsmail/A 31758-2025 tillsynsbegäran mail.docx", "A 31758-2025")</f>
        <v/>
      </c>
      <c r="AE87">
        <f>HYPERLINK("https://klasma.github.io/Logging_2582/fåglar/A 31758-2025 prioriterade fågelarter.docx", "A 31758-2025")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46311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46311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45477-2025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46311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9.1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Doftticka
Lunglav</t>
        </is>
      </c>
      <c r="W90">
        <f>HYPERLINK("https://klasma.github.io/Logging_2582/artfynd/A 45477-2025 artfynd.xlsx", "A 45477-2025")</f>
        <v/>
      </c>
      <c r="X90">
        <f>HYPERLINK("https://klasma.github.io/Logging_2582/kartor/A 45477-2025 karta.png", "A 45477-2025")</f>
        <v/>
      </c>
      <c r="Y90">
        <f>HYPERLINK("https://klasma.github.io/Logging_2582/kartor_geotiff/A 45477-2025 georefererad karta.tif", "A 45477-2025")</f>
        <v/>
      </c>
      <c r="AA90">
        <f>HYPERLINK("https://klasma.github.io/Logging_2582/klagomål/A 45477-2025 FSC-klagomål.docx", "A 45477-2025")</f>
        <v/>
      </c>
      <c r="AB90">
        <f>HYPERLINK("https://klasma.github.io/Logging_2582/klagomålsmail/A 45477-2025 FSC-klagomål mail.docx", "A 45477-2025")</f>
        <v/>
      </c>
      <c r="AC90">
        <f>HYPERLINK("https://klasma.github.io/Logging_2582/tillsyn/A 45477-2025 tillsynsbegäran.docx", "A 45477-2025")</f>
        <v/>
      </c>
      <c r="AD90">
        <f>HYPERLINK("https://klasma.github.io/Logging_2582/tillsynsmail/A 45477-2025 tillsynsbegäran mail.docx", "A 45477-2025")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46311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46311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46311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46311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Mörk kolflarnlav</t>
        </is>
      </c>
      <c r="W94">
        <f>HYPERLINK("https://klasma.github.io/Logging_2582/artfynd/A 29807-2026 artfynd.xlsx", "A 29807-2026")</f>
        <v/>
      </c>
      <c r="X94">
        <f>HYPERLINK("https://klasma.github.io/Logging_2582/kartor/A 29807-2026 karta.png", "A 29807-2026")</f>
        <v/>
      </c>
      <c r="Y94">
        <f>HYPERLINK("https://klasma.github.io/Logging_2582/kartor_geotiff/A 29807-2026 georefererad karta.tif", "A 29807-2026")</f>
        <v/>
      </c>
      <c r="AA94">
        <f>HYPERLINK("https://klasma.github.io/Logging_2582/klagomål/A 29807-2026 FSC-klagomål.docx", "A 29807-2026")</f>
        <v/>
      </c>
      <c r="AB94">
        <f>HYPERLINK("https://klasma.github.io/Logging_2582/klagomålsmail/A 29807-2026 FSC-klagomål mail.docx", "A 29807-2026")</f>
        <v/>
      </c>
      <c r="AC94">
        <f>HYPERLINK("https://klasma.github.io/Logging_2582/tillsyn/A 29807-2026 tillsynsbegäran.docx", "A 29807-2026")</f>
        <v/>
      </c>
      <c r="AD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46311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Knottrig blåslav
Lunglav</t>
        </is>
      </c>
      <c r="W95">
        <f>HYPERLINK("https://klasma.github.io/Logging_2582/artfynd/A 29860-2026 artfynd.xlsx", "A 29860-2026")</f>
        <v/>
      </c>
      <c r="X95">
        <f>HYPERLINK("https://klasma.github.io/Logging_2582/kartor/A 29860-2026 karta.png", "A 29860-2026")</f>
        <v/>
      </c>
      <c r="Y95">
        <f>HYPERLINK("https://klasma.github.io/Logging_2582/kartor_geotiff/A 29860-2026 georefererad karta.tif", "A 29860-2026")</f>
        <v/>
      </c>
      <c r="AA95">
        <f>HYPERLINK("https://klasma.github.io/Logging_2582/klagomål/A 29860-2026 FSC-klagomål.docx", "A 29860-2026")</f>
        <v/>
      </c>
      <c r="AB95">
        <f>HYPERLINK("https://klasma.github.io/Logging_2582/klagomålsmail/A 29860-2026 FSC-klagomål mail.docx", "A 29860-2026")</f>
        <v/>
      </c>
      <c r="AC95">
        <f>HYPERLINK("https://klasma.github.io/Logging_2582/tillsyn/A 29860-2026 tillsynsbegäran.docx", "A 29860-2026")</f>
        <v/>
      </c>
      <c r="AD95">
        <f>HYPERLINK("https://klasma.github.io/Logging_2582/tillsynsmail/A 29860-2026 tillsynsbegäran mail.docx", "A 29860-2026")</f>
        <v/>
      </c>
    </row>
    <row r="96" ht="15" customHeight="1">
      <c r="A96" t="inlineStr">
        <is>
          <t>A 42233-2022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44830</v>
      </c>
      <c r="E96" s="1" t="n">
        <v>46311</v>
      </c>
      <c r="F96" t="inlineStr">
        <is>
          <t>NORRBOTTENS LÄN</t>
        </is>
      </c>
      <c r="G96" t="inlineStr">
        <is>
          <t>BODEN</t>
        </is>
      </c>
      <c r="I96" t="n">
        <v>3.6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Enkelbeckasin
Svartvit flugsnappare</t>
        </is>
      </c>
      <c r="W96">
        <f>HYPERLINK("https://klasma.github.io/Logging_2582/artfynd/A 42233-2022 artfynd.xlsx", "A 42233-2022")</f>
        <v/>
      </c>
      <c r="X96">
        <f>HYPERLINK("https://klasma.github.io/Logging_2582/kartor/A 42233-2022 karta.png", "A 42233-2022")</f>
        <v/>
      </c>
      <c r="Y96">
        <f>HYPERLINK("https://klasma.github.io/Logging_2582/kartor_geotiff/A 42233-2022 georefererad karta.tif", "A 42233-2022")</f>
        <v/>
      </c>
      <c r="AA96">
        <f>HYPERLINK("https://klasma.github.io/Logging_2582/klagomål/A 42233-2022 FSC-klagomål.docx", "A 42233-2022")</f>
        <v/>
      </c>
      <c r="AB96">
        <f>HYPERLINK("https://klasma.github.io/Logging_2582/klagomålsmail/A 42233-2022 FSC-klagomål mail.docx", "A 42233-2022")</f>
        <v/>
      </c>
      <c r="AC96">
        <f>HYPERLINK("https://klasma.github.io/Logging_2582/tillsyn/A 42233-2022 tillsynsbegäran.docx", "A 42233-2022")</f>
        <v/>
      </c>
      <c r="AD96">
        <f>HYPERLINK("https://klasma.github.io/Logging_2582/tillsynsmail/A 42233-2022 tillsynsbegäran mail.docx", "A 42233-2022")</f>
        <v/>
      </c>
      <c r="AE96">
        <f>HYPERLINK("https://klasma.github.io/Logging_2582/fåglar/A 42233-2022 prioriterade fågelarter.docx", "A 42233-2022")</f>
        <v/>
      </c>
    </row>
    <row r="97" ht="15" customHeight="1">
      <c r="A97" t="inlineStr">
        <is>
          <t>A 9306-2025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45714</v>
      </c>
      <c r="E97" s="1" t="n">
        <v>46311</v>
      </c>
      <c r="F97" t="inlineStr">
        <is>
          <t>NORRBOTTENS LÄN</t>
        </is>
      </c>
      <c r="G97" t="inlineStr">
        <is>
          <t>BODEN</t>
        </is>
      </c>
      <c r="H97" t="inlineStr">
        <is>
          <t>SCA</t>
        </is>
      </c>
      <c r="I97" t="n">
        <v>11.7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Rynkskinn</t>
        </is>
      </c>
      <c r="W97">
        <f>HYPERLINK("https://klasma.github.io/Logging_2582/artfynd/A 9306-2025 artfynd.xlsx", "A 9306-2025")</f>
        <v/>
      </c>
      <c r="X97">
        <f>HYPERLINK("https://klasma.github.io/Logging_2582/kartor/A 9306-2025 karta.png", "A 9306-2025")</f>
        <v/>
      </c>
      <c r="Y97">
        <f>HYPERLINK("https://klasma.github.io/Logging_2582/kartor_geotiff/A 9306-2025 georefererad karta.tif", "A 9306-2025")</f>
        <v/>
      </c>
      <c r="AA97">
        <f>HYPERLINK("https://klasma.github.io/Logging_2582/klagomål/A 9306-2025 FSC-klagomål.docx", "A 9306-2025")</f>
        <v/>
      </c>
      <c r="AB97">
        <f>HYPERLINK("https://klasma.github.io/Logging_2582/klagomålsmail/A 9306-2025 FSC-klagomål mail.docx", "A 9306-2025")</f>
        <v/>
      </c>
      <c r="AC97">
        <f>HYPERLINK("https://klasma.github.io/Logging_2582/tillsyn/A 9306-2025 tillsynsbegäran.docx", "A 9306-2025")</f>
        <v/>
      </c>
      <c r="AD97">
        <f>HYPERLINK("https://klasma.github.io/Logging_2582/tillsynsmail/A 9306-2025 tillsynsbegäran mail.docx", "A 9306-2025")</f>
        <v/>
      </c>
    </row>
    <row r="98" ht="15" customHeight="1">
      <c r="A98" t="inlineStr">
        <is>
          <t>A 31233-2026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46311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18.5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Lunglav
Fläcknycklar</t>
        </is>
      </c>
      <c r="W98">
        <f>HYPERLINK("https://klasma.github.io/Logging_2582/artfynd/A 31233-2026 artfynd.xlsx", "A 31233-2026")</f>
        <v/>
      </c>
      <c r="X98">
        <f>HYPERLINK("https://klasma.github.io/Logging_2582/kartor/A 31233-2026 karta.png", "A 31233-2026")</f>
        <v/>
      </c>
      <c r="Y98">
        <f>HYPERLINK("https://klasma.github.io/Logging_2582/kartor_geotiff/A 31233-2026 georefererad karta.tif", "A 31233-2026")</f>
        <v/>
      </c>
      <c r="AA98">
        <f>HYPERLINK("https://klasma.github.io/Logging_2582/klagomål/A 31233-2026 FSC-klagomål.docx", "A 31233-2026")</f>
        <v/>
      </c>
      <c r="AB98">
        <f>HYPERLINK("https://klasma.github.io/Logging_2582/klagomålsmail/A 31233-2026 FSC-klagomål mail.docx", "A 31233-2026")</f>
        <v/>
      </c>
      <c r="AC98">
        <f>HYPERLINK("https://klasma.github.io/Logging_2582/tillsyn/A 31233-2026 tillsynsbegäran.docx", "A 31233-2026")</f>
        <v/>
      </c>
      <c r="AD98">
        <f>HYPERLINK("https://klasma.github.io/Logging_2582/tillsynsmail/A 31233-2026 tillsynsbegäran mail.docx", "A 31233-2026")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46311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36622-2026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46270</v>
      </c>
      <c r="E100" s="1" t="n">
        <v>46311</v>
      </c>
      <c r="F100" t="inlineStr">
        <is>
          <t>NORRBOTTENS LÄN</t>
        </is>
      </c>
      <c r="G100" t="inlineStr">
        <is>
          <t>BODEN</t>
        </is>
      </c>
      <c r="I100" t="n">
        <v>11.7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Dropptaggsvamp
Revlummer</t>
        </is>
      </c>
      <c r="W100">
        <f>HYPERLINK("https://klasma.github.io/Logging_2582/artfynd/A 36622-2026 artfynd.xlsx", "A 36622-2026")</f>
        <v/>
      </c>
      <c r="X100">
        <f>HYPERLINK("https://klasma.github.io/Logging_2582/kartor/A 36622-2026 karta.png", "A 36622-2026")</f>
        <v/>
      </c>
      <c r="Y100">
        <f>HYPERLINK("https://klasma.github.io/Logging_2582/kartor_geotiff/A 36622-2026 georefererad karta.tif", "A 36622-2026")</f>
        <v/>
      </c>
      <c r="AA100">
        <f>HYPERLINK("https://klasma.github.io/Logging_2582/klagomål/A 36622-2026 FSC-klagomål.docx", "A 36622-2026")</f>
        <v/>
      </c>
      <c r="AB100">
        <f>HYPERLINK("https://klasma.github.io/Logging_2582/klagomålsmail/A 36622-2026 FSC-klagomål mail.docx", "A 36622-2026")</f>
        <v/>
      </c>
      <c r="AC100">
        <f>HYPERLINK("https://klasma.github.io/Logging_2582/tillsyn/A 36622-2026 tillsynsbegäran.docx", "A 36622-2026")</f>
        <v/>
      </c>
      <c r="AD100">
        <f>HYPERLINK("https://klasma.github.io/Logging_2582/tillsynsmail/A 36622-2026 tillsynsbegäran mail.docx", "A 36622-2026")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46311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A 38870-2026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46286</v>
      </c>
      <c r="E102" s="1" t="n">
        <v>46311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4.8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Fläcknycklar
Revlummer</t>
        </is>
      </c>
      <c r="W102">
        <f>HYPERLINK("https://klasma.github.io/Logging_2582/artfynd/A 38870-2026 artfynd.xlsx", "A 38870-2026")</f>
        <v/>
      </c>
      <c r="X102">
        <f>HYPERLINK("https://klasma.github.io/Logging_2582/kartor/A 38870-2026 karta.png", "A 38870-2026")</f>
        <v/>
      </c>
      <c r="Y102">
        <f>HYPERLINK("https://klasma.github.io/Logging_2582/kartor_geotiff/A 38870-2026 georefererad karta.tif", "A 38870-2026")</f>
        <v/>
      </c>
      <c r="AA102">
        <f>HYPERLINK("https://klasma.github.io/Logging_2582/klagomål/A 38870-2026 FSC-klagomål.docx", "A 38870-2026")</f>
        <v/>
      </c>
      <c r="AB102">
        <f>HYPERLINK("https://klasma.github.io/Logging_2582/klagomålsmail/A 38870-2026 FSC-klagomål mail.docx", "A 38870-2026")</f>
        <v/>
      </c>
      <c r="AC102">
        <f>HYPERLINK("https://klasma.github.io/Logging_2582/tillsyn/A 38870-2026 tillsynsbegäran.docx", "A 38870-2026")</f>
        <v/>
      </c>
      <c r="AD102">
        <f>HYPERLINK("https://klasma.github.io/Logging_2582/tillsynsmail/A 38870-2026 tillsynsbegäran mail.docx", "A 38870-2026")</f>
        <v/>
      </c>
    </row>
    <row r="103" ht="15" customHeight="1">
      <c r="A103" t="inlineStr">
        <is>
          <t>A 33096-2026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46311</v>
      </c>
      <c r="F103" t="inlineStr">
        <is>
          <t>NORRBOTTENS LÄN</t>
        </is>
      </c>
      <c r="G103" t="inlineStr">
        <is>
          <t>BODEN</t>
        </is>
      </c>
      <c r="I103" t="n">
        <v>36.6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HYPERLINK("https://klasma.github.io/Logging_2582/artfynd/A 33096-2026 artfynd.xlsx", "A 33096-2026")</f>
        <v/>
      </c>
      <c r="X103">
        <f>HYPERLINK("https://klasma.github.io/Logging_2582/kartor/A 33096-2026 karta.png", "A 33096-2026")</f>
        <v/>
      </c>
      <c r="Y103">
        <f>HYPERLINK("https://klasma.github.io/Logging_2582/kartor_geotiff/A 33096-2026 georefererad karta.tif", "A 33096-2026")</f>
        <v/>
      </c>
      <c r="AA103">
        <f>HYPERLINK("https://klasma.github.io/Logging_2582/klagomål/A 33096-2026 FSC-klagomål.docx", "A 33096-2026")</f>
        <v/>
      </c>
      <c r="AB103">
        <f>HYPERLINK("https://klasma.github.io/Logging_2582/klagomålsmail/A 33096-2026 FSC-klagomål mail.docx", "A 33096-2026")</f>
        <v/>
      </c>
      <c r="AC103">
        <f>HYPERLINK("https://klasma.github.io/Logging_2582/tillsyn/A 33096-2026 tillsynsbegäran.docx", "A 33096-2026")</f>
        <v/>
      </c>
      <c r="AD103">
        <f>HYPERLINK("https://klasma.github.io/Logging_2582/tillsynsmail/A 33096-2026 tillsynsbegäran mail.docx", "A 33096-2026")</f>
        <v/>
      </c>
    </row>
    <row r="104" ht="15" customHeight="1">
      <c r="A104" t="inlineStr">
        <is>
          <t>A 6639-2024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45341</v>
      </c>
      <c r="E104" s="1" t="n">
        <v>46311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statliga verk och myndigheter</t>
        </is>
      </c>
      <c r="I104" t="n">
        <v>23.8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Kungsfågel</t>
        </is>
      </c>
      <c r="W104">
        <f>HYPERLINK("https://klasma.github.io/Logging_2582/artfynd/A 6639-2024 artfynd.xlsx", "A 6639-2024")</f>
        <v/>
      </c>
      <c r="X104">
        <f>HYPERLINK("https://klasma.github.io/Logging_2582/kartor/A 6639-2024 karta.png", "A 6639-2024")</f>
        <v/>
      </c>
      <c r="Y104">
        <f>HYPERLINK("https://klasma.github.io/Logging_2582/kartor_geotiff/A 6639-2024 georefererad karta.tif", "A 6639-2024")</f>
        <v/>
      </c>
      <c r="AA104">
        <f>HYPERLINK("https://klasma.github.io/Logging_2582/klagomål/A 6639-2024 FSC-klagomål.docx", "A 6639-2024")</f>
        <v/>
      </c>
      <c r="AB104">
        <f>HYPERLINK("https://klasma.github.io/Logging_2582/klagomålsmail/A 6639-2024 FSC-klagomål mail.docx", "A 6639-2024")</f>
        <v/>
      </c>
      <c r="AC104">
        <f>HYPERLINK("https://klasma.github.io/Logging_2582/tillsyn/A 6639-2024 tillsynsbegäran.docx", "A 6639-2024")</f>
        <v/>
      </c>
      <c r="AD104">
        <f>HYPERLINK("https://klasma.github.io/Logging_2582/tillsynsmail/A 6639-2024 tillsynsbegäran mail.docx", "A 6639-2024")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46311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46311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59435-2024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46311</v>
      </c>
      <c r="F107" t="inlineStr">
        <is>
          <t>NORRBOTTENS LÄN</t>
        </is>
      </c>
      <c r="G107" t="inlineStr">
        <is>
          <t>BODEN</t>
        </is>
      </c>
      <c r="I107" t="n">
        <v>2.1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Lappranunkel
Ögonpyrola</t>
        </is>
      </c>
      <c r="W107">
        <f>HYPERLINK("https://klasma.github.io/Logging_2582/artfynd/A 59435-2024 artfynd.xlsx", "A 59435-2024")</f>
        <v/>
      </c>
      <c r="X107">
        <f>HYPERLINK("https://klasma.github.io/Logging_2582/kartor/A 59435-2024 karta.png", "A 59435-2024")</f>
        <v/>
      </c>
      <c r="Y107">
        <f>HYPERLINK("https://klasma.github.io/Logging_2582/kartor_geotiff/A 59435-2024 georefererad karta.tif", "A 59435-2024")</f>
        <v/>
      </c>
      <c r="AA107">
        <f>HYPERLINK("https://klasma.github.io/Logging_2582/klagomål/A 59435-2024 FSC-klagomål.docx", "A 59435-2024")</f>
        <v/>
      </c>
      <c r="AB107">
        <f>HYPERLINK("https://klasma.github.io/Logging_2582/klagomålsmail/A 59435-2024 FSC-klagomål mail.docx", "A 59435-2024")</f>
        <v/>
      </c>
      <c r="AC107">
        <f>HYPERLINK("https://klasma.github.io/Logging_2582/tillsyn/A 59435-2024 tillsynsbegäran.docx", "A 59435-2024")</f>
        <v/>
      </c>
      <c r="AD107">
        <f>HYPERLINK("https://klasma.github.io/Logging_2582/tillsynsmail/A 59435-2024 tillsynsbegäran mail.docx", "A 59435-2024")</f>
        <v/>
      </c>
    </row>
    <row r="108" ht="15" customHeight="1">
      <c r="A108" t="inlineStr">
        <is>
          <t>A 8703-2026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46066</v>
      </c>
      <c r="E108" s="1" t="n">
        <v>46311</v>
      </c>
      <c r="F108" t="inlineStr">
        <is>
          <t>NORRBOTTENS LÄN</t>
        </is>
      </c>
      <c r="G108" t="inlineStr">
        <is>
          <t>BODEN</t>
        </is>
      </c>
      <c r="I108" t="n">
        <v>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Ullticka
Skinnlav</t>
        </is>
      </c>
      <c r="W108">
        <f>HYPERLINK("https://klasma.github.io/Logging_2582/artfynd/A 8703-2026 artfynd.xlsx", "A 8703-2026")</f>
        <v/>
      </c>
      <c r="X108">
        <f>HYPERLINK("https://klasma.github.io/Logging_2582/kartor/A 8703-2026 karta.png", "A 8703-2026")</f>
        <v/>
      </c>
      <c r="Y108">
        <f>HYPERLINK("https://klasma.github.io/Logging_2582/kartor_geotiff/A 8703-2026 georefererad karta.tif", "A 8703-2026")</f>
        <v/>
      </c>
      <c r="AA108">
        <f>HYPERLINK("https://klasma.github.io/Logging_2582/klagomål/A 8703-2026 FSC-klagomål.docx", "A 8703-2026")</f>
        <v/>
      </c>
      <c r="AB108">
        <f>HYPERLINK("https://klasma.github.io/Logging_2582/klagomålsmail/A 8703-2026 FSC-klagomål mail.docx", "A 8703-2026")</f>
        <v/>
      </c>
      <c r="AC108">
        <f>HYPERLINK("https://klasma.github.io/Logging_2582/tillsyn/A 8703-2026 tillsynsbegäran.docx", "A 8703-2026")</f>
        <v/>
      </c>
      <c r="AD108">
        <f>HYPERLINK("https://klasma.github.io/Logging_2582/tillsynsmail/A 8703-2026 tillsynsbegäran mail.docx", "A 8703-2026")</f>
        <v/>
      </c>
    </row>
    <row r="109" ht="15" customHeight="1">
      <c r="A109" t="inlineStr">
        <is>
          <t>A 34874-2026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46311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6</v>
      </c>
      <c r="J109" t="n">
        <v>1</v>
      </c>
      <c r="K109" t="n">
        <v>0</v>
      </c>
      <c r="L109" t="n">
        <v>0</v>
      </c>
      <c r="M109" t="n">
        <v>2</v>
      </c>
      <c r="N109" t="n">
        <v>0</v>
      </c>
      <c r="O109" t="n">
        <v>0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Garnlav
Knärot</t>
        </is>
      </c>
      <c r="W109">
        <f>HYPERLINK("https://klasma.github.io/Logging_2582/artfynd/A 34874-2026 artfynd.xlsx", "A 34874-2026")</f>
        <v/>
      </c>
      <c r="X109">
        <f>HYPERLINK("https://klasma.github.io/Logging_2582/kartor/A 34874-2026 karta.png", "A 34874-2026")</f>
        <v/>
      </c>
      <c r="Y109">
        <f>HYPERLINK("https://klasma.github.io/Logging_2582/kartor_geotiff/A 34874-2026 georefererad karta.tif", "A 34874-2026")</f>
        <v/>
      </c>
      <c r="Z109">
        <f>HYPERLINK("https://klasma.github.io/Logging_2582/knärot/A 34874-2026 karta knärot.png", "A 34874-2026")</f>
        <v/>
      </c>
      <c r="AA109">
        <f>HYPERLINK("https://klasma.github.io/Logging_2582/klagomål/A 34874-2026 FSC-klagomål.docx", "A 34874-2026")</f>
        <v/>
      </c>
      <c r="AB109">
        <f>HYPERLINK("https://klasma.github.io/Logging_2582/klagomålsmail/A 34874-2026 FSC-klagomål mail.docx", "A 34874-2026")</f>
        <v/>
      </c>
      <c r="AC109">
        <f>HYPERLINK("https://klasma.github.io/Logging_2582/tillsyn/A 34874-2026 tillsynsbegäran.docx", "A 34874-2026")</f>
        <v/>
      </c>
      <c r="AD109">
        <f>HYPERLINK("https://klasma.github.io/Logging_2582/tillsynsmail/A 34874-2026 tillsynsbegäran mail.docx", "A 34874-2026")</f>
        <v/>
      </c>
    </row>
    <row r="110" ht="15" customHeight="1">
      <c r="A110" t="inlineStr">
        <is>
          <t>A 8754-2026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46311</v>
      </c>
      <c r="F110" t="inlineStr">
        <is>
          <t>NORRBOTTENS LÄN</t>
        </is>
      </c>
      <c r="G110" t="inlineStr">
        <is>
          <t>BODEN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Ullticka</t>
        </is>
      </c>
      <c r="W110">
        <f>HYPERLINK("https://klasma.github.io/Logging_2582/artfynd/A 8754-2026 artfynd.xlsx", "A 8754-2026")</f>
        <v/>
      </c>
      <c r="X110">
        <f>HYPERLINK("https://klasma.github.io/Logging_2582/kartor/A 8754-2026 karta.png", "A 8754-2026")</f>
        <v/>
      </c>
      <c r="Y110">
        <f>HYPERLINK("https://klasma.github.io/Logging_2582/kartor_geotiff/A 8754-2026 georefererad karta.tif", "A 8754-2026")</f>
        <v/>
      </c>
      <c r="AA110">
        <f>HYPERLINK("https://klasma.github.io/Logging_2582/klagomål/A 8754-2026 FSC-klagomål.docx", "A 8754-2026")</f>
        <v/>
      </c>
      <c r="AB110">
        <f>HYPERLINK("https://klasma.github.io/Logging_2582/klagomålsmail/A 8754-2026 FSC-klagomål mail.docx", "A 8754-2026")</f>
        <v/>
      </c>
      <c r="AC110">
        <f>HYPERLINK("https://klasma.github.io/Logging_2582/tillsyn/A 8754-2026 tillsynsbegäran.docx", "A 8754-2026")</f>
        <v/>
      </c>
      <c r="AD110">
        <f>HYPERLINK("https://klasma.github.io/Logging_2582/tillsynsmail/A 8754-2026 tillsynsbegäran mail.docx", "A 8754-2026")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46311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46311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35418-2026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46311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8</v>
      </c>
      <c r="U113" t="n">
        <v>8</v>
      </c>
      <c r="V113" s="2" t="inlineStr">
        <is>
          <t>Knärot
Dropptaggsvamp</t>
        </is>
      </c>
      <c r="W113">
        <f>HYPERLINK("https://klasma.github.io/Logging_2582/artfynd/A 35418-2026 artfynd.xlsx", "A 35418-2026")</f>
        <v/>
      </c>
      <c r="X113">
        <f>HYPERLINK("https://klasma.github.io/Logging_2582/kartor/A 35418-2026 karta.png", "A 35418-2026")</f>
        <v/>
      </c>
      <c r="Y113">
        <f>HYPERLINK("https://klasma.github.io/Logging_2582/kartor_geotiff/A 35418-2026 georefererad karta.tif", "A 35418-2026")</f>
        <v/>
      </c>
      <c r="Z113">
        <f>HYPERLINK("https://klasma.github.io/Logging_2582/knärot/A 35418-2026 karta knärot.png", "A 35418-2026")</f>
        <v/>
      </c>
      <c r="AA113">
        <f>HYPERLINK("https://klasma.github.io/Logging_2582/klagomål/A 35418-2026 FSC-klagomål.docx", "A 35418-2026")</f>
        <v/>
      </c>
      <c r="AB113">
        <f>HYPERLINK("https://klasma.github.io/Logging_2582/klagomålsmail/A 35418-2026 FSC-klagomål mail.docx", "A 35418-2026")</f>
        <v/>
      </c>
      <c r="AC113">
        <f>HYPERLINK("https://klasma.github.io/Logging_2582/tillsyn/A 35418-2026 tillsynsbegäran.docx", "A 35418-2026")</f>
        <v/>
      </c>
      <c r="AD113">
        <f>HYPERLINK("https://klasma.github.io/Logging_2582/tillsynsmail/A 35418-2026 tillsynsbegäran mail.docx", "A 35418-2026")</f>
        <v/>
      </c>
    </row>
    <row r="114" ht="15" customHeight="1">
      <c r="A114" t="inlineStr">
        <is>
          <t>A 26721-2026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46184</v>
      </c>
      <c r="E114" s="1" t="n">
        <v>46311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7.8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Plattlummer
Tibast</t>
        </is>
      </c>
      <c r="W114">
        <f>HYPERLINK("https://klasma.github.io/Logging_2582/artfynd/A 26721-2026 artfynd.xlsx", "A 26721-2026")</f>
        <v/>
      </c>
      <c r="X114">
        <f>HYPERLINK("https://klasma.github.io/Logging_2582/kartor/A 26721-2026 karta.png", "A 26721-2026")</f>
        <v/>
      </c>
      <c r="Y114">
        <f>HYPERLINK("https://klasma.github.io/Logging_2582/kartor_geotiff/A 26721-2026 georefererad karta.tif", "A 26721-2026")</f>
        <v/>
      </c>
      <c r="AA114">
        <f>HYPERLINK("https://klasma.github.io/Logging_2582/klagomål/A 26721-2026 FSC-klagomål.docx", "A 26721-2026")</f>
        <v/>
      </c>
      <c r="AB114">
        <f>HYPERLINK("https://klasma.github.io/Logging_2582/klagomålsmail/A 26721-2026 FSC-klagomål mail.docx", "A 26721-2026")</f>
        <v/>
      </c>
      <c r="AC114">
        <f>HYPERLINK("https://klasma.github.io/Logging_2582/tillsyn/A 26721-2026 tillsynsbegäran.docx", "A 26721-2026")</f>
        <v/>
      </c>
      <c r="AD114">
        <f>HYPERLINK("https://klasma.github.io/Logging_2582/tillsynsmail/A 26721-2026 tillsynsbegäran mail.docx", "A 26721-2026")</f>
        <v/>
      </c>
    </row>
    <row r="115" ht="15" customHeight="1">
      <c r="A115" t="inlineStr">
        <is>
          <t>A 36163-2026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46267</v>
      </c>
      <c r="E115" s="1" t="n">
        <v>46311</v>
      </c>
      <c r="F115" t="inlineStr">
        <is>
          <t>NORRBOTTENS LÄN</t>
        </is>
      </c>
      <c r="G115" t="inlineStr">
        <is>
          <t>BODEN</t>
        </is>
      </c>
      <c r="I115" t="n">
        <v>7.2</v>
      </c>
      <c r="J115" t="n">
        <v>2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3</v>
      </c>
      <c r="V115" s="2" t="inlineStr">
        <is>
          <t>Björktrast
Rödvingetrast</t>
        </is>
      </c>
      <c r="W115">
        <f>HYPERLINK("https://klasma.github.io/Logging_2582/artfynd/A 36163-2026 artfynd.xlsx", "A 36163-2026")</f>
        <v/>
      </c>
      <c r="X115">
        <f>HYPERLINK("https://klasma.github.io/Logging_2582/kartor/A 36163-2026 karta.png", "A 36163-2026")</f>
        <v/>
      </c>
      <c r="Y115">
        <f>HYPERLINK("https://klasma.github.io/Logging_2582/kartor_geotiff/A 36163-2026 georefererad karta.tif", "A 36163-2026")</f>
        <v/>
      </c>
      <c r="AA115">
        <f>HYPERLINK("https://klasma.github.io/Logging_2582/klagomål/A 36163-2026 FSC-klagomål.docx", "A 36163-2026")</f>
        <v/>
      </c>
      <c r="AB115">
        <f>HYPERLINK("https://klasma.github.io/Logging_2582/klagomålsmail/A 36163-2026 FSC-klagomål mail.docx", "A 36163-2026")</f>
        <v/>
      </c>
      <c r="AC115">
        <f>HYPERLINK("https://klasma.github.io/Logging_2582/tillsyn/A 36163-2026 tillsynsbegäran.docx", "A 36163-2026")</f>
        <v/>
      </c>
      <c r="AD115">
        <f>HYPERLINK("https://klasma.github.io/Logging_2582/tillsynsmail/A 36163-2026 tillsynsbegäran mail.docx", "A 36163-2026")</f>
        <v/>
      </c>
      <c r="AE115">
        <f>HYPERLINK("https://klasma.github.io/Logging_2582/fåglar/A 36163-2026 prioriterade fågelarter.docx", "A 36163-2026")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46311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46311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46311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12832-2022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44642</v>
      </c>
      <c r="E119" s="1" t="n">
        <v>46311</v>
      </c>
      <c r="F119" t="inlineStr">
        <is>
          <t>NORRBOTTENS LÄN</t>
        </is>
      </c>
      <c r="G119" t="inlineStr">
        <is>
          <t>BODEN</t>
        </is>
      </c>
      <c r="I119" t="n">
        <v>6.6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Doftticka</t>
        </is>
      </c>
      <c r="W119">
        <f>HYPERLINK("https://klasma.github.io/Logging_2582/artfynd/A 12832-2022 artfynd.xlsx", "A 12832-2022")</f>
        <v/>
      </c>
      <c r="X119">
        <f>HYPERLINK("https://klasma.github.io/Logging_2582/kartor/A 12832-2022 karta.png", "A 12832-2022")</f>
        <v/>
      </c>
      <c r="Y119">
        <f>HYPERLINK("https://klasma.github.io/Logging_2582/kartor_geotiff/A 12832-2022 georefererad karta.tif", "A 12832-2022")</f>
        <v/>
      </c>
      <c r="AA119">
        <f>HYPERLINK("https://klasma.github.io/Logging_2582/klagomål/A 12832-2022 FSC-klagomål.docx", "A 12832-2022")</f>
        <v/>
      </c>
      <c r="AB119">
        <f>HYPERLINK("https://klasma.github.io/Logging_2582/klagomålsmail/A 12832-2022 FSC-klagomål mail.docx", "A 12832-2022")</f>
        <v/>
      </c>
      <c r="AC119">
        <f>HYPERLINK("https://klasma.github.io/Logging_2582/tillsyn/A 12832-2022 tillsynsbegäran.docx", "A 12832-2022")</f>
        <v/>
      </c>
      <c r="AD119">
        <f>HYPERLINK("https://klasma.github.io/Logging_2582/tillsynsmail/A 12832-2022 tillsynsbegäran mail.docx", "A 12832-2022")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46311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18678-2025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46311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Garnlav</t>
        </is>
      </c>
      <c r="W121">
        <f>HYPERLINK("https://klasma.github.io/Logging_2582/artfynd/A 18678-2025 artfynd.xlsx", "A 18678-2025")</f>
        <v/>
      </c>
      <c r="X121">
        <f>HYPERLINK("https://klasma.github.io/Logging_2582/kartor/A 18678-2025 karta.png", "A 18678-2025")</f>
        <v/>
      </c>
      <c r="Y121">
        <f>HYPERLINK("https://klasma.github.io/Logging_2582/kartor_geotiff/A 18678-2025 georefererad karta.tif", "A 18678-2025")</f>
        <v/>
      </c>
      <c r="AA121">
        <f>HYPERLINK("https://klasma.github.io/Logging_2582/klagomål/A 18678-2025 FSC-klagomål.docx", "A 18678-2025")</f>
        <v/>
      </c>
      <c r="AB121">
        <f>HYPERLINK("https://klasma.github.io/Logging_2582/klagomålsmail/A 18678-2025 FSC-klagomål mail.docx", "A 18678-2025")</f>
        <v/>
      </c>
      <c r="AC121">
        <f>HYPERLINK("https://klasma.github.io/Logging_2582/tillsyn/A 18678-2025 tillsynsbegäran.docx", "A 18678-2025")</f>
        <v/>
      </c>
      <c r="AD121">
        <f>HYPERLINK("https://klasma.github.io/Logging_2582/tillsynsmail/A 18678-2025 tillsynsbegäran mail.docx", "A 18678-2025")</f>
        <v/>
      </c>
    </row>
    <row r="122" ht="15" customHeight="1">
      <c r="A122" t="inlineStr">
        <is>
          <t>A 22892-2024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46311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22892-2024 artfynd.xlsx", "A 22892-2024")</f>
        <v/>
      </c>
      <c r="X122">
        <f>HYPERLINK("https://klasma.github.io/Logging_2582/kartor/A 22892-2024 karta.png", "A 22892-2024")</f>
        <v/>
      </c>
      <c r="Y122">
        <f>HYPERLINK("https://klasma.github.io/Logging_2582/kartor_geotiff/A 22892-2024 georefererad karta.tif", "A 22892-2024")</f>
        <v/>
      </c>
      <c r="AA122">
        <f>HYPERLINK("https://klasma.github.io/Logging_2582/klagomål/A 22892-2024 FSC-klagomål.docx", "A 22892-2024")</f>
        <v/>
      </c>
      <c r="AB122">
        <f>HYPERLINK("https://klasma.github.io/Logging_2582/klagomålsmail/A 22892-2024 FSC-klagomål mail.docx", "A 22892-2024")</f>
        <v/>
      </c>
      <c r="AC122">
        <f>HYPERLINK("https://klasma.github.io/Logging_2582/tillsyn/A 22892-2024 tillsynsbegäran.docx", "A 22892-2024")</f>
        <v/>
      </c>
      <c r="AD122">
        <f>HYPERLINK("https://klasma.github.io/Logging_2582/tillsynsmail/A 22892-2024 tillsynsbegäran mail.docx", "A 22892-2024")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46311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68560-2021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46311</v>
      </c>
      <c r="F124" t="inlineStr">
        <is>
          <t>NORRBOTTENS LÄN</t>
        </is>
      </c>
      <c r="G124" t="inlineStr">
        <is>
          <t>BODEN</t>
        </is>
      </c>
      <c r="I124" t="n">
        <v>3.5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Småflikig brosklav</t>
        </is>
      </c>
      <c r="W124">
        <f>HYPERLINK("https://klasma.github.io/Logging_2582/artfynd/A 68560-2021 artfynd.xlsx", "A 68560-2021")</f>
        <v/>
      </c>
      <c r="X124">
        <f>HYPERLINK("https://klasma.github.io/Logging_2582/kartor/A 68560-2021 karta.png", "A 68560-2021")</f>
        <v/>
      </c>
      <c r="Y124">
        <f>HYPERLINK("https://klasma.github.io/Logging_2582/kartor_geotiff/A 68560-2021 georefererad karta.tif", "A 68560-2021")</f>
        <v/>
      </c>
      <c r="AA124">
        <f>HYPERLINK("https://klasma.github.io/Logging_2582/klagomål/A 68560-2021 FSC-klagomål.docx", "A 68560-2021")</f>
        <v/>
      </c>
      <c r="AB124">
        <f>HYPERLINK("https://klasma.github.io/Logging_2582/klagomålsmail/A 68560-2021 FSC-klagomål mail.docx", "A 68560-2021")</f>
        <v/>
      </c>
      <c r="AC124">
        <f>HYPERLINK("https://klasma.github.io/Logging_2582/tillsyn/A 68560-2021 tillsynsbegäran.docx", "A 68560-2021")</f>
        <v/>
      </c>
      <c r="AD124">
        <f>HYPERLINK("https://klasma.github.io/Logging_2582/tillsynsmail/A 68560-2021 tillsynsbegäran mail.docx", "A 68560-2021")</f>
        <v/>
      </c>
    </row>
    <row r="125" ht="15" customHeight="1">
      <c r="A125" t="inlineStr">
        <is>
          <t>A 14329-2026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46311</v>
      </c>
      <c r="F125" t="inlineStr">
        <is>
          <t>NORRBOTTENS LÄN</t>
        </is>
      </c>
      <c r="G125" t="inlineStr">
        <is>
          <t>BODEN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HYPERLINK("https://klasma.github.io/Logging_2582/artfynd/A 14329-2026 artfynd.xlsx", "A 14329-2026")</f>
        <v/>
      </c>
      <c r="X125">
        <f>HYPERLINK("https://klasma.github.io/Logging_2582/kartor/A 14329-2026 karta.png", "A 14329-2026")</f>
        <v/>
      </c>
      <c r="Y125">
        <f>HYPERLINK("https://klasma.github.io/Logging_2582/kartor_geotiff/A 14329-2026 georefererad karta.tif", "A 14329-2026")</f>
        <v/>
      </c>
      <c r="AA125">
        <f>HYPERLINK("https://klasma.github.io/Logging_2582/klagomål/A 14329-2026 FSC-klagomål.docx", "A 14329-2026")</f>
        <v/>
      </c>
      <c r="AB125">
        <f>HYPERLINK("https://klasma.github.io/Logging_2582/klagomålsmail/A 14329-2026 FSC-klagomål mail.docx", "A 14329-2026")</f>
        <v/>
      </c>
      <c r="AC125">
        <f>HYPERLINK("https://klasma.github.io/Logging_2582/tillsyn/A 14329-2026 tillsynsbegäran.docx", "A 14329-2026")</f>
        <v/>
      </c>
      <c r="AD125">
        <f>HYPERLINK("https://klasma.github.io/Logging_2582/tillsynsmail/A 14329-2026 tillsynsbegäran mail.docx", "A 14329-2026")</f>
        <v/>
      </c>
      <c r="AE125">
        <f>HYPERLINK("https://klasma.github.io/Logging_2582/fåglar/A 14329-2026 prioriterade fågelarter.docx", "A 14329-2026")</f>
        <v/>
      </c>
    </row>
    <row r="126" ht="15" customHeight="1">
      <c r="A126" t="inlineStr">
        <is>
          <t>A 41443-2025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45901</v>
      </c>
      <c r="E126" s="1" t="n">
        <v>46311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HYPERLINK("https://klasma.github.io/Logging_2582/artfynd/A 41443-2025 artfynd.xlsx", "A 41443-2025")</f>
        <v/>
      </c>
      <c r="X126">
        <f>HYPERLINK("https://klasma.github.io/Logging_2582/kartor/A 41443-2025 karta.png", "A 41443-2025")</f>
        <v/>
      </c>
      <c r="Y126">
        <f>HYPERLINK("https://klasma.github.io/Logging_2582/kartor_geotiff/A 41443-2025 georefererad karta.tif", "A 41443-2025")</f>
        <v/>
      </c>
      <c r="AA126">
        <f>HYPERLINK("https://klasma.github.io/Logging_2582/klagomål/A 41443-2025 FSC-klagomål.docx", "A 41443-2025")</f>
        <v/>
      </c>
      <c r="AB126">
        <f>HYPERLINK("https://klasma.github.io/Logging_2582/klagomålsmail/A 41443-2025 FSC-klagomål mail.docx", "A 41443-2025")</f>
        <v/>
      </c>
      <c r="AC126">
        <f>HYPERLINK("https://klasma.github.io/Logging_2582/tillsyn/A 41443-2025 tillsynsbegäran.docx", "A 41443-2025")</f>
        <v/>
      </c>
      <c r="AD126">
        <f>HYPERLINK("https://klasma.github.io/Logging_2582/tillsynsmail/A 41443-2025 tillsynsbegäran mail.docx", "A 41443-2025")</f>
        <v/>
      </c>
    </row>
    <row r="127" ht="15" customHeight="1">
      <c r="A127" t="inlineStr">
        <is>
          <t>A 41087-2024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45559</v>
      </c>
      <c r="E127" s="1" t="n">
        <v>46311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HYPERLINK("https://klasma.github.io/Logging_2582/artfynd/A 41087-2024 artfynd.xlsx", "A 41087-2024")</f>
        <v/>
      </c>
      <c r="X127">
        <f>HYPERLINK("https://klasma.github.io/Logging_2582/kartor/A 41087-2024 karta.png", "A 41087-2024")</f>
        <v/>
      </c>
      <c r="Y127">
        <f>HYPERLINK("https://klasma.github.io/Logging_2582/kartor_geotiff/A 41087-2024 georefererad karta.tif", "A 41087-2024")</f>
        <v/>
      </c>
      <c r="AA127">
        <f>HYPERLINK("https://klasma.github.io/Logging_2582/klagomål/A 41087-2024 FSC-klagomål.docx", "A 41087-2024")</f>
        <v/>
      </c>
      <c r="AB127">
        <f>HYPERLINK("https://klasma.github.io/Logging_2582/klagomålsmail/A 41087-2024 FSC-klagomål mail.docx", "A 41087-2024")</f>
        <v/>
      </c>
      <c r="AC127">
        <f>HYPERLINK("https://klasma.github.io/Logging_2582/tillsyn/A 41087-2024 tillsynsbegäran.docx", "A 41087-2024")</f>
        <v/>
      </c>
      <c r="AD127">
        <f>HYPERLINK("https://klasma.github.io/Logging_2582/tillsynsmail/A 41087-2024 tillsynsbegäran mail.docx", "A 41087-2024")</f>
        <v/>
      </c>
    </row>
    <row r="128" ht="15" customHeight="1">
      <c r="A128" t="inlineStr">
        <is>
          <t>A 32600-2024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46311</v>
      </c>
      <c r="F128" t="inlineStr">
        <is>
          <t>NORRBOTTENS LÄN</t>
        </is>
      </c>
      <c r="G128" t="inlineStr">
        <is>
          <t>BODEN</t>
        </is>
      </c>
      <c r="I128" t="n">
        <v>2.5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32600-2024 artfynd.xlsx", "A 32600-2024")</f>
        <v/>
      </c>
      <c r="X128">
        <f>HYPERLINK("https://klasma.github.io/Logging_2582/kartor/A 32600-2024 karta.png", "A 32600-2024")</f>
        <v/>
      </c>
      <c r="Y128">
        <f>HYPERLINK("https://klasma.github.io/Logging_2582/kartor_geotiff/A 32600-2024 georefererad karta.tif", "A 32600-2024")</f>
        <v/>
      </c>
      <c r="AA128">
        <f>HYPERLINK("https://klasma.github.io/Logging_2582/klagomål/A 32600-2024 FSC-klagomål.docx", "A 32600-2024")</f>
        <v/>
      </c>
      <c r="AB128">
        <f>HYPERLINK("https://klasma.github.io/Logging_2582/klagomålsmail/A 32600-2024 FSC-klagomål mail.docx", "A 32600-2024")</f>
        <v/>
      </c>
      <c r="AC128">
        <f>HYPERLINK("https://klasma.github.io/Logging_2582/tillsyn/A 32600-2024 tillsynsbegäran.docx", "A 32600-2024")</f>
        <v/>
      </c>
      <c r="AD128">
        <f>HYPERLINK("https://klasma.github.io/Logging_2582/tillsynsmail/A 32600-2024 tillsynsbegäran mail.docx", "A 32600-2024")</f>
        <v/>
      </c>
    </row>
    <row r="129" ht="15" customHeight="1">
      <c r="A129" t="inlineStr">
        <is>
          <t>A 42436-2025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46311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4.1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Skinnlav</t>
        </is>
      </c>
      <c r="W129">
        <f>HYPERLINK("https://klasma.github.io/Logging_2582/artfynd/A 42436-2025 artfynd.xlsx", "A 42436-2025")</f>
        <v/>
      </c>
      <c r="X129">
        <f>HYPERLINK("https://klasma.github.io/Logging_2582/kartor/A 42436-2025 karta.png", "A 42436-2025")</f>
        <v/>
      </c>
      <c r="Y129">
        <f>HYPERLINK("https://klasma.github.io/Logging_2582/kartor_geotiff/A 42436-2025 georefererad karta.tif", "A 42436-2025")</f>
        <v/>
      </c>
      <c r="AA129">
        <f>HYPERLINK("https://klasma.github.io/Logging_2582/klagomål/A 42436-2025 FSC-klagomål.docx", "A 42436-2025")</f>
        <v/>
      </c>
      <c r="AB129">
        <f>HYPERLINK("https://klasma.github.io/Logging_2582/klagomålsmail/A 42436-2025 FSC-klagomål mail.docx", "A 42436-2025")</f>
        <v/>
      </c>
      <c r="AC129">
        <f>HYPERLINK("https://klasma.github.io/Logging_2582/tillsyn/A 42436-2025 tillsynsbegäran.docx", "A 42436-2025")</f>
        <v/>
      </c>
      <c r="AD129">
        <f>HYPERLINK("https://klasma.github.io/Logging_2582/tillsynsmail/A 42436-2025 tillsynsbegäran mail.docx", "A 42436-2025")</f>
        <v/>
      </c>
    </row>
    <row r="130" ht="15" customHeight="1">
      <c r="A130" t="inlineStr">
        <is>
          <t>A 21310-2026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46311</v>
      </c>
      <c r="F130" t="inlineStr">
        <is>
          <t>NORRBOTTENS LÄN</t>
        </is>
      </c>
      <c r="G130" t="inlineStr">
        <is>
          <t>BODEN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21310-2026 artfynd.xlsx", "A 21310-2026")</f>
        <v/>
      </c>
      <c r="X130">
        <f>HYPERLINK("https://klasma.github.io/Logging_2582/kartor/A 21310-2026 karta.png", "A 21310-2026")</f>
        <v/>
      </c>
      <c r="Y130">
        <f>HYPERLINK("https://klasma.github.io/Logging_2582/kartor_geotiff/A 21310-2026 georefererad karta.tif", "A 21310-2026")</f>
        <v/>
      </c>
      <c r="AA130">
        <f>HYPERLINK("https://klasma.github.io/Logging_2582/klagomål/A 21310-2026 FSC-klagomål.docx", "A 21310-2026")</f>
        <v/>
      </c>
      <c r="AB130">
        <f>HYPERLINK("https://klasma.github.io/Logging_2582/klagomålsmail/A 21310-2026 FSC-klagomål mail.docx", "A 21310-2026")</f>
        <v/>
      </c>
      <c r="AC130">
        <f>HYPERLINK("https://klasma.github.io/Logging_2582/tillsyn/A 21310-2026 tillsynsbegäran.docx", "A 21310-2026")</f>
        <v/>
      </c>
      <c r="AD130">
        <f>HYPERLINK("https://klasma.github.io/Logging_2582/tillsynsmail/A 21310-2026 tillsynsbegäran mail.docx", "A 21310-2026")</f>
        <v/>
      </c>
    </row>
    <row r="131" ht="15" customHeight="1">
      <c r="A131" t="inlineStr">
        <is>
          <t>A 19396-2022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44692</v>
      </c>
      <c r="E131" s="1" t="n">
        <v>46311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13.1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HYPERLINK("https://klasma.github.io/Logging_2582/artfynd/A 19396-2022 artfynd.xlsx", "A 19396-2022")</f>
        <v/>
      </c>
      <c r="X131">
        <f>HYPERLINK("https://klasma.github.io/Logging_2582/kartor/A 19396-2022 karta.png", "A 19396-2022")</f>
        <v/>
      </c>
      <c r="Y131">
        <f>HYPERLINK("https://klasma.github.io/Logging_2582/kartor_geotiff/A 19396-2022 georefererad karta.tif", "A 19396-2022")</f>
        <v/>
      </c>
      <c r="AA131">
        <f>HYPERLINK("https://klasma.github.io/Logging_2582/klagomål/A 19396-2022 FSC-klagomål.docx", "A 19396-2022")</f>
        <v/>
      </c>
      <c r="AB131">
        <f>HYPERLINK("https://klasma.github.io/Logging_2582/klagomålsmail/A 19396-2022 FSC-klagomål mail.docx", "A 19396-2022")</f>
        <v/>
      </c>
      <c r="AC131">
        <f>HYPERLINK("https://klasma.github.io/Logging_2582/tillsyn/A 19396-2022 tillsynsbegäran.docx", "A 19396-2022")</f>
        <v/>
      </c>
      <c r="AD131">
        <f>HYPERLINK("https://klasma.github.io/Logging_2582/tillsynsmail/A 19396-2022 tillsynsbegäran mail.docx", "A 19396-2022")</f>
        <v/>
      </c>
    </row>
    <row r="132" ht="15" customHeight="1">
      <c r="A132" t="inlineStr">
        <is>
          <t>A 24429-2026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46311</v>
      </c>
      <c r="F132" t="inlineStr">
        <is>
          <t>NORRBOTTENS LÄN</t>
        </is>
      </c>
      <c r="G132" t="inlineStr">
        <is>
          <t>BODEN</t>
        </is>
      </c>
      <c r="I132" t="n">
        <v>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HYPERLINK("https://klasma.github.io/Logging_2582/artfynd/A 24429-2026 artfynd.xlsx", "A 24429-2026")</f>
        <v/>
      </c>
      <c r="X132">
        <f>HYPERLINK("https://klasma.github.io/Logging_2582/kartor/A 24429-2026 karta.png", "A 24429-2026")</f>
        <v/>
      </c>
      <c r="Y132">
        <f>HYPERLINK("https://klasma.github.io/Logging_2582/kartor_geotiff/A 24429-2026 georefererad karta.tif", "A 24429-2026")</f>
        <v/>
      </c>
      <c r="AA132">
        <f>HYPERLINK("https://klasma.github.io/Logging_2582/klagomål/A 24429-2026 FSC-klagomål.docx", "A 24429-2026")</f>
        <v/>
      </c>
      <c r="AB132">
        <f>HYPERLINK("https://klasma.github.io/Logging_2582/klagomålsmail/A 24429-2026 FSC-klagomål mail.docx", "A 24429-2026")</f>
        <v/>
      </c>
      <c r="AC132">
        <f>HYPERLINK("https://klasma.github.io/Logging_2582/tillsyn/A 24429-2026 tillsynsbegäran.docx", "A 24429-2026")</f>
        <v/>
      </c>
      <c r="AD132">
        <f>HYPERLINK("https://klasma.github.io/Logging_2582/tillsynsmail/A 24429-2026 tillsynsbegäran mail.docx", "A 24429-2026")</f>
        <v/>
      </c>
    </row>
    <row r="133" ht="15" customHeight="1">
      <c r="A133" t="inlineStr">
        <is>
          <t>A 48549-2025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46311</v>
      </c>
      <c r="F133" t="inlineStr">
        <is>
          <t>NORRBOTTENS LÄN</t>
        </is>
      </c>
      <c r="G133" t="inlineStr">
        <is>
          <t>BODEN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Gråspett</t>
        </is>
      </c>
      <c r="W133">
        <f>HYPERLINK("https://klasma.github.io/Logging_2582/artfynd/A 48549-2025 artfynd.xlsx", "A 48549-2025")</f>
        <v/>
      </c>
      <c r="X133">
        <f>HYPERLINK("https://klasma.github.io/Logging_2582/kartor/A 48549-2025 karta.png", "A 48549-2025")</f>
        <v/>
      </c>
      <c r="Y133">
        <f>HYPERLINK("https://klasma.github.io/Logging_2582/kartor_geotiff/A 48549-2025 georefererad karta.tif", "A 48549-2025")</f>
        <v/>
      </c>
      <c r="AA133">
        <f>HYPERLINK("https://klasma.github.io/Logging_2582/klagomål/A 48549-2025 FSC-klagomål.docx", "A 48549-2025")</f>
        <v/>
      </c>
      <c r="AB133">
        <f>HYPERLINK("https://klasma.github.io/Logging_2582/klagomålsmail/A 48549-2025 FSC-klagomål mail.docx", "A 48549-2025")</f>
        <v/>
      </c>
      <c r="AC133">
        <f>HYPERLINK("https://klasma.github.io/Logging_2582/tillsyn/A 48549-2025 tillsynsbegäran.docx", "A 48549-2025")</f>
        <v/>
      </c>
      <c r="AD133">
        <f>HYPERLINK("https://klasma.github.io/Logging_2582/tillsynsmail/A 48549-2025 tillsynsbegäran mail.docx", "A 48549-2025")</f>
        <v/>
      </c>
      <c r="AE133">
        <f>HYPERLINK("https://klasma.github.io/Logging_2582/fåglar/A 48549-2025 prioriterade fågelarter.docx", "A 48549-2025")</f>
        <v/>
      </c>
    </row>
    <row r="134" ht="15" customHeight="1">
      <c r="A134" t="inlineStr">
        <is>
          <t>A 25805-2026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46311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3.6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HYPERLINK("https://klasma.github.io/Logging_2582/artfynd/A 25805-2026 artfynd.xlsx", "A 25805-2026")</f>
        <v/>
      </c>
      <c r="X134">
        <f>HYPERLINK("https://klasma.github.io/Logging_2582/kartor/A 25805-2026 karta.png", "A 25805-2026")</f>
        <v/>
      </c>
      <c r="Y134">
        <f>HYPERLINK("https://klasma.github.io/Logging_2582/kartor_geotiff/A 25805-2026 georefererad karta.tif", "A 25805-2026")</f>
        <v/>
      </c>
      <c r="AA134">
        <f>HYPERLINK("https://klasma.github.io/Logging_2582/klagomål/A 25805-2026 FSC-klagomål.docx", "A 25805-2026")</f>
        <v/>
      </c>
      <c r="AB134">
        <f>HYPERLINK("https://klasma.github.io/Logging_2582/klagomålsmail/A 25805-2026 FSC-klagomål mail.docx", "A 25805-2026")</f>
        <v/>
      </c>
      <c r="AC134">
        <f>HYPERLINK("https://klasma.github.io/Logging_2582/tillsyn/A 25805-2026 tillsynsbegäran.docx", "A 25805-2026")</f>
        <v/>
      </c>
      <c r="AD134">
        <f>HYPERLINK("https://klasma.github.io/Logging_2582/tillsynsmail/A 25805-2026 tillsynsbegäran mail.docx", "A 25805-2026")</f>
        <v/>
      </c>
    </row>
    <row r="135" ht="15" customHeight="1">
      <c r="A135" t="inlineStr">
        <is>
          <t>A 25801-2026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46311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Knärot</t>
        </is>
      </c>
      <c r="W135">
        <f>HYPERLINK("https://klasma.github.io/Logging_2582/artfynd/A 25801-2026 artfynd.xlsx", "A 25801-2026")</f>
        <v/>
      </c>
      <c r="X135">
        <f>HYPERLINK("https://klasma.github.io/Logging_2582/kartor/A 25801-2026 karta.png", "A 25801-2026")</f>
        <v/>
      </c>
      <c r="Y135">
        <f>HYPERLINK("https://klasma.github.io/Logging_2582/kartor_geotiff/A 25801-2026 georefererad karta.tif", "A 25801-2026")</f>
        <v/>
      </c>
      <c r="Z135">
        <f>HYPERLINK("https://klasma.github.io/Logging_2582/knärot/A 25801-2026 karta knärot.png", "A 25801-2026")</f>
        <v/>
      </c>
      <c r="AA135">
        <f>HYPERLINK("https://klasma.github.io/Logging_2582/klagomål/A 25801-2026 FSC-klagomål.docx", "A 25801-2026")</f>
        <v/>
      </c>
      <c r="AB135">
        <f>HYPERLINK("https://klasma.github.io/Logging_2582/klagomålsmail/A 25801-2026 FSC-klagomål mail.docx", "A 25801-2026")</f>
        <v/>
      </c>
      <c r="AC135">
        <f>HYPERLINK("https://klasma.github.io/Logging_2582/tillsyn/A 25801-2026 tillsynsbegäran.docx", "A 25801-2026")</f>
        <v/>
      </c>
      <c r="AD135">
        <f>HYPERLINK("https://klasma.github.io/Logging_2582/tillsynsmail/A 25801-2026 tillsynsbegäran mail.docx", "A 25801-2026")</f>
        <v/>
      </c>
    </row>
    <row r="136" ht="15" customHeight="1">
      <c r="A136" t="inlineStr">
        <is>
          <t>A 25803-2026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46311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9.9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Spindelblomster</t>
        </is>
      </c>
      <c r="W136">
        <f>HYPERLINK("https://klasma.github.io/Logging_2582/artfynd/A 25803-2026 artfynd.xlsx", "A 25803-2026")</f>
        <v/>
      </c>
      <c r="X136">
        <f>HYPERLINK("https://klasma.github.io/Logging_2582/kartor/A 25803-2026 karta.png", "A 25803-2026")</f>
        <v/>
      </c>
      <c r="Y136">
        <f>HYPERLINK("https://klasma.github.io/Logging_2582/kartor_geotiff/A 25803-2026 georefererad karta.tif", "A 25803-2026")</f>
        <v/>
      </c>
      <c r="AA136">
        <f>HYPERLINK("https://klasma.github.io/Logging_2582/klagomål/A 25803-2026 FSC-klagomål.docx", "A 25803-2026")</f>
        <v/>
      </c>
      <c r="AB136">
        <f>HYPERLINK("https://klasma.github.io/Logging_2582/klagomålsmail/A 25803-2026 FSC-klagomål mail.docx", "A 25803-2026")</f>
        <v/>
      </c>
      <c r="AC136">
        <f>HYPERLINK("https://klasma.github.io/Logging_2582/tillsyn/A 25803-2026 tillsynsbegäran.docx", "A 25803-2026")</f>
        <v/>
      </c>
      <c r="AD136">
        <f>HYPERLINK("https://klasma.github.io/Logging_2582/tillsynsmail/A 25803-2026 tillsynsbegäran mail.docx", "A 25803-2026")</f>
        <v/>
      </c>
    </row>
    <row r="137" ht="15" customHeight="1">
      <c r="A137" t="inlineStr">
        <is>
          <t>A 26438-2026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46183</v>
      </c>
      <c r="E137" s="1" t="n">
        <v>46311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15.9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Kolflarnlav</t>
        </is>
      </c>
      <c r="W137">
        <f>HYPERLINK("https://klasma.github.io/Logging_2582/artfynd/A 26438-2026 artfynd.xlsx", "A 26438-2026")</f>
        <v/>
      </c>
      <c r="X137">
        <f>HYPERLINK("https://klasma.github.io/Logging_2582/kartor/A 26438-2026 karta.png", "A 26438-2026")</f>
        <v/>
      </c>
      <c r="Y137">
        <f>HYPERLINK("https://klasma.github.io/Logging_2582/kartor_geotiff/A 26438-2026 georefererad karta.tif", "A 26438-2026")</f>
        <v/>
      </c>
      <c r="AA137">
        <f>HYPERLINK("https://klasma.github.io/Logging_2582/klagomål/A 26438-2026 FSC-klagomål.docx", "A 26438-2026")</f>
        <v/>
      </c>
      <c r="AB137">
        <f>HYPERLINK("https://klasma.github.io/Logging_2582/klagomålsmail/A 26438-2026 FSC-klagomål mail.docx", "A 26438-2026")</f>
        <v/>
      </c>
      <c r="AC137">
        <f>HYPERLINK("https://klasma.github.io/Logging_2582/tillsyn/A 26438-2026 tillsynsbegäran.docx", "A 26438-2026")</f>
        <v/>
      </c>
      <c r="AD137">
        <f>HYPERLINK("https://klasma.github.io/Logging_2582/tillsynsmail/A 26438-2026 tillsynsbegäran mail.docx", "A 26438-2026")</f>
        <v/>
      </c>
    </row>
    <row r="138" ht="15" customHeight="1">
      <c r="A138" t="inlineStr">
        <is>
          <t>A 26690-2026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46184</v>
      </c>
      <c r="E138" s="1" t="n">
        <v>46311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11.9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HYPERLINK("https://klasma.github.io/Logging_2582/artfynd/A 26690-2026 artfynd.xlsx", "A 26690-2026")</f>
        <v/>
      </c>
      <c r="X138">
        <f>HYPERLINK("https://klasma.github.io/Logging_2582/kartor/A 26690-2026 karta.png", "A 26690-2026")</f>
        <v/>
      </c>
      <c r="Y138">
        <f>HYPERLINK("https://klasma.github.io/Logging_2582/kartor_geotiff/A 26690-2026 georefererad karta.tif", "A 26690-2026")</f>
        <v/>
      </c>
      <c r="Z138">
        <f>HYPERLINK("https://klasma.github.io/Logging_2582/knärot/A 26690-2026 karta knärot.png", "A 26690-2026")</f>
        <v/>
      </c>
      <c r="AA138">
        <f>HYPERLINK("https://klasma.github.io/Logging_2582/klagomål/A 26690-2026 FSC-klagomål.docx", "A 26690-2026")</f>
        <v/>
      </c>
      <c r="AB138">
        <f>HYPERLINK("https://klasma.github.io/Logging_2582/klagomålsmail/A 26690-2026 FSC-klagomål mail.docx", "A 26690-2026")</f>
        <v/>
      </c>
      <c r="AC138">
        <f>HYPERLINK("https://klasma.github.io/Logging_2582/tillsyn/A 26690-2026 tillsynsbegäran.docx", "A 26690-2026")</f>
        <v/>
      </c>
      <c r="AD138">
        <f>HYPERLINK("https://klasma.github.io/Logging_2582/tillsynsmail/A 26690-2026 tillsynsbegäran mail.docx", "A 26690-2026")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46311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Duvhök</t>
        </is>
      </c>
      <c r="W139">
        <f>HYPERLINK("https://klasma.github.io/Logging_2582/artfynd/A 665-2023 artfynd.xlsx", "A 665-2023")</f>
        <v/>
      </c>
      <c r="X139">
        <f>HYPERLINK("https://klasma.github.io/Logging_2582/kartor/A 665-2023 karta.png", "A 665-2023")</f>
        <v/>
      </c>
      <c r="Y139">
        <f>HYPERLINK("https://klasma.github.io/Logging_2582/kartor_geotiff/A 665-2023 georefererad karta.tif", "A 665-2023")</f>
        <v/>
      </c>
      <c r="AA139">
        <f>HYPERLINK("https://klasma.github.io/Logging_2582/klagomål/A 665-2023 FSC-klagomål.docx", "A 665-2023")</f>
        <v/>
      </c>
      <c r="AB139">
        <f>HYPERLINK("https://klasma.github.io/Logging_2582/klagomålsmail/A 665-2023 FSC-klagomål mail.docx", "A 665-2023")</f>
        <v/>
      </c>
      <c r="AC139">
        <f>HYPERLINK("https://klasma.github.io/Logging_2582/tillsyn/A 665-2023 tillsynsbegäran.docx", "A 665-2023")</f>
        <v/>
      </c>
      <c r="AD139">
        <f>HYPERLINK("https://klasma.github.io/Logging_2582/tillsynsmail/A 665-2023 tillsynsbegäran mail.docx", "A 665-2023")</f>
        <v/>
      </c>
      <c r="AE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46311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 taggsvamp</t>
        </is>
      </c>
      <c r="W140">
        <f>HYPERLINK("https://klasma.github.io/Logging_2582/artfynd/A 2568-2024 artfynd.xlsx", "A 2568-2024")</f>
        <v/>
      </c>
      <c r="X140">
        <f>HYPERLINK("https://klasma.github.io/Logging_2582/kartor/A 2568-2024 karta.png", "A 2568-2024")</f>
        <v/>
      </c>
      <c r="Y140">
        <f>HYPERLINK("https://klasma.github.io/Logging_2582/kartor_geotiff/A 2568-2024 georefererad karta.tif", "A 2568-2024")</f>
        <v/>
      </c>
      <c r="AA140">
        <f>HYPERLINK("https://klasma.github.io/Logging_2582/klagomål/A 2568-2024 FSC-klagomål.docx", "A 2568-2024")</f>
        <v/>
      </c>
      <c r="AB140">
        <f>HYPERLINK("https://klasma.github.io/Logging_2582/klagomålsmail/A 2568-2024 FSC-klagomål mail.docx", "A 2568-2024")</f>
        <v/>
      </c>
      <c r="AC140">
        <f>HYPERLINK("https://klasma.github.io/Logging_2582/tillsyn/A 2568-2024 tillsynsbegäran.docx", "A 2568-2024")</f>
        <v/>
      </c>
      <c r="AD140">
        <f>HYPERLINK("https://klasma.github.io/Logging_2582/tillsynsmail/A 2568-2024 tillsynsbegäran mail.docx", "A 2568-2024")</f>
        <v/>
      </c>
    </row>
    <row r="141" ht="15" customHeight="1">
      <c r="A141" t="inlineStr">
        <is>
          <t>A 50394-2025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45944</v>
      </c>
      <c r="E141" s="1" t="n">
        <v>46311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2.2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Utter</t>
        </is>
      </c>
      <c r="W141">
        <f>HYPERLINK("https://klasma.github.io/Logging_2582/artfynd/A 50394-2025 artfynd.xlsx", "A 50394-2025")</f>
        <v/>
      </c>
      <c r="X141">
        <f>HYPERLINK("https://klasma.github.io/Logging_2582/kartor/A 50394-2025 karta.png", "A 50394-2025")</f>
        <v/>
      </c>
      <c r="Y141">
        <f>HYPERLINK("https://klasma.github.io/Logging_2582/kartor_geotiff/A 50394-2025 georefererad karta.tif", "A 50394-2025")</f>
        <v/>
      </c>
      <c r="AA141">
        <f>HYPERLINK("https://klasma.github.io/Logging_2582/klagomål/A 50394-2025 FSC-klagomål.docx", "A 50394-2025")</f>
        <v/>
      </c>
      <c r="AB141">
        <f>HYPERLINK("https://klasma.github.io/Logging_2582/klagomålsmail/A 50394-2025 FSC-klagomål mail.docx", "A 50394-2025")</f>
        <v/>
      </c>
      <c r="AC141">
        <f>HYPERLINK("https://klasma.github.io/Logging_2582/tillsyn/A 50394-2025 tillsynsbegäran.docx", "A 50394-2025")</f>
        <v/>
      </c>
      <c r="AD141">
        <f>HYPERLINK("https://klasma.github.io/Logging_2582/tillsynsmail/A 50394-2025 tillsynsbegäran mail.docx", "A 50394-2025")</f>
        <v/>
      </c>
    </row>
    <row r="142" ht="15" customHeight="1">
      <c r="A142" t="inlineStr">
        <is>
          <t>A 51184-2025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46311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HYPERLINK("https://klasma.github.io/Logging_2582/artfynd/A 51184-2025 artfynd.xlsx", "A 51184-2025")</f>
        <v/>
      </c>
      <c r="X142">
        <f>HYPERLINK("https://klasma.github.io/Logging_2582/kartor/A 51184-2025 karta.png", "A 51184-2025")</f>
        <v/>
      </c>
      <c r="Y142">
        <f>HYPERLINK("https://klasma.github.io/Logging_2582/kartor_geotiff/A 51184-2025 georefererad karta.tif", "A 51184-2025")</f>
        <v/>
      </c>
      <c r="AA142">
        <f>HYPERLINK("https://klasma.github.io/Logging_2582/klagomål/A 51184-2025 FSC-klagomål.docx", "A 51184-2025")</f>
        <v/>
      </c>
      <c r="AB142">
        <f>HYPERLINK("https://klasma.github.io/Logging_2582/klagomålsmail/A 51184-2025 FSC-klagomål mail.docx", "A 51184-2025")</f>
        <v/>
      </c>
      <c r="AC142">
        <f>HYPERLINK("https://klasma.github.io/Logging_2582/tillsyn/A 51184-2025 tillsynsbegäran.docx", "A 51184-2025")</f>
        <v/>
      </c>
      <c r="AD142">
        <f>HYPERLINK("https://klasma.github.io/Logging_2582/tillsynsmail/A 51184-2025 tillsynsbegäran mail.docx", "A 51184-2025")</f>
        <v/>
      </c>
    </row>
    <row r="143" ht="15" customHeight="1">
      <c r="A143" t="inlineStr">
        <is>
          <t>A 29875-2026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46311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Tallticka</t>
        </is>
      </c>
      <c r="W143">
        <f>HYPERLINK("https://klasma.github.io/Logging_2582/artfynd/A 29875-2026 artfynd.xlsx", "A 29875-2026")</f>
        <v/>
      </c>
      <c r="X143">
        <f>HYPERLINK("https://klasma.github.io/Logging_2582/kartor/A 29875-2026 karta.png", "A 29875-2026")</f>
        <v/>
      </c>
      <c r="Y143">
        <f>HYPERLINK("https://klasma.github.io/Logging_2582/kartor_geotiff/A 29875-2026 georefererad karta.tif", "A 29875-2026")</f>
        <v/>
      </c>
      <c r="AA143">
        <f>HYPERLINK("https://klasma.github.io/Logging_2582/klagomål/A 29875-2026 FSC-klagomål.docx", "A 29875-2026")</f>
        <v/>
      </c>
      <c r="AB143">
        <f>HYPERLINK("https://klasma.github.io/Logging_2582/klagomålsmail/A 29875-2026 FSC-klagomål mail.docx", "A 29875-2026")</f>
        <v/>
      </c>
      <c r="AC143">
        <f>HYPERLINK("https://klasma.github.io/Logging_2582/tillsyn/A 29875-2026 tillsynsbegäran.docx", "A 29875-2026")</f>
        <v/>
      </c>
      <c r="AD143">
        <f>HYPERLINK("https://klasma.github.io/Logging_2582/tillsynsmail/A 29875-2026 tillsynsbegäran mail.docx", "A 29875-2026")</f>
        <v/>
      </c>
    </row>
    <row r="144" ht="15" customHeight="1">
      <c r="A144" t="inlineStr">
        <is>
          <t>A 51258-2025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46311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Sångsvan</t>
        </is>
      </c>
      <c r="W144">
        <f>HYPERLINK("https://klasma.github.io/Logging_2582/artfynd/A 51258-2025 artfynd.xlsx", "A 51258-2025")</f>
        <v/>
      </c>
      <c r="X144">
        <f>HYPERLINK("https://klasma.github.io/Logging_2582/kartor/A 51258-2025 karta.png", "A 51258-2025")</f>
        <v/>
      </c>
      <c r="Y144">
        <f>HYPERLINK("https://klasma.github.io/Logging_2582/kartor_geotiff/A 51258-2025 georefererad karta.tif", "A 51258-2025")</f>
        <v/>
      </c>
      <c r="AA144">
        <f>HYPERLINK("https://klasma.github.io/Logging_2582/klagomål/A 51258-2025 FSC-klagomål.docx", "A 51258-2025")</f>
        <v/>
      </c>
      <c r="AB144">
        <f>HYPERLINK("https://klasma.github.io/Logging_2582/klagomålsmail/A 51258-2025 FSC-klagomål mail.docx", "A 51258-2025")</f>
        <v/>
      </c>
      <c r="AC144">
        <f>HYPERLINK("https://klasma.github.io/Logging_2582/tillsyn/A 51258-2025 tillsynsbegäran.docx", "A 51258-2025")</f>
        <v/>
      </c>
      <c r="AD144">
        <f>HYPERLINK("https://klasma.github.io/Logging_2582/tillsynsmail/A 51258-2025 tillsynsbegäran mail.docx", "A 51258-2025")</f>
        <v/>
      </c>
      <c r="AE144">
        <f>HYPERLINK("https://klasma.github.io/Logging_2582/fåglar/A 51258-2025 prioriterade fågelarter.docx", "A 51258-2025")</f>
        <v/>
      </c>
    </row>
    <row r="145" ht="15" customHeight="1">
      <c r="A145" t="inlineStr">
        <is>
          <t>A 51304-2025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46311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Bollvitmossa</t>
        </is>
      </c>
      <c r="W145">
        <f>HYPERLINK("https://klasma.github.io/Logging_2582/artfynd/A 51304-2025 artfynd.xlsx", "A 51304-2025")</f>
        <v/>
      </c>
      <c r="X145">
        <f>HYPERLINK("https://klasma.github.io/Logging_2582/kartor/A 51304-2025 karta.png", "A 51304-2025")</f>
        <v/>
      </c>
      <c r="Y145">
        <f>HYPERLINK("https://klasma.github.io/Logging_2582/kartor_geotiff/A 51304-2025 georefererad karta.tif", "A 51304-2025")</f>
        <v/>
      </c>
      <c r="AA145">
        <f>HYPERLINK("https://klasma.github.io/Logging_2582/klagomål/A 51304-2025 FSC-klagomål.docx", "A 51304-2025")</f>
        <v/>
      </c>
      <c r="AB145">
        <f>HYPERLINK("https://klasma.github.io/Logging_2582/klagomålsmail/A 51304-2025 FSC-klagomål mail.docx", "A 51304-2025")</f>
        <v/>
      </c>
      <c r="AC145">
        <f>HYPERLINK("https://klasma.github.io/Logging_2582/tillsyn/A 51304-2025 tillsynsbegäran.docx", "A 51304-2025")</f>
        <v/>
      </c>
      <c r="AD145">
        <f>HYPERLINK("https://klasma.github.io/Logging_2582/tillsynsmail/A 51304-2025 tillsynsbegäran mail.docx", "A 51304-2025")</f>
        <v/>
      </c>
    </row>
    <row r="146" ht="15" customHeight="1">
      <c r="A146" t="inlineStr">
        <is>
          <t>A 51874-2025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45952</v>
      </c>
      <c r="E146" s="1" t="n">
        <v>46311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0.7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Skinnlav</t>
        </is>
      </c>
      <c r="W146">
        <f>HYPERLINK("https://klasma.github.io/Logging_2582/artfynd/A 51874-2025 artfynd.xlsx", "A 51874-2025")</f>
        <v/>
      </c>
      <c r="X146">
        <f>HYPERLINK("https://klasma.github.io/Logging_2582/kartor/A 51874-2025 karta.png", "A 51874-2025")</f>
        <v/>
      </c>
      <c r="Y146">
        <f>HYPERLINK("https://klasma.github.io/Logging_2582/kartor_geotiff/A 51874-2025 georefererad karta.tif", "A 51874-2025")</f>
        <v/>
      </c>
      <c r="AA146">
        <f>HYPERLINK("https://klasma.github.io/Logging_2582/klagomål/A 51874-2025 FSC-klagomål.docx", "A 51874-2025")</f>
        <v/>
      </c>
      <c r="AB146">
        <f>HYPERLINK("https://klasma.github.io/Logging_2582/klagomålsmail/A 51874-2025 FSC-klagomål mail.docx", "A 51874-2025")</f>
        <v/>
      </c>
      <c r="AC146">
        <f>HYPERLINK("https://klasma.github.io/Logging_2582/tillsyn/A 51874-2025 tillsynsbegäran.docx", "A 51874-2025")</f>
        <v/>
      </c>
      <c r="AD146">
        <f>HYPERLINK("https://klasma.github.io/Logging_2582/tillsynsmail/A 51874-2025 tillsynsbegäran mail.docx", "A 51874-2025")</f>
        <v/>
      </c>
    </row>
    <row r="147" ht="15" customHeight="1">
      <c r="A147" t="inlineStr">
        <is>
          <t>A 36743-2024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46311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HYPERLINK("https://klasma.github.io/Logging_2582/artfynd/A 36743-2024 artfynd.xlsx", "A 36743-2024")</f>
        <v/>
      </c>
      <c r="X147">
        <f>HYPERLINK("https://klasma.github.io/Logging_2582/kartor/A 36743-2024 karta.png", "A 36743-2024")</f>
        <v/>
      </c>
      <c r="Y147">
        <f>HYPERLINK("https://klasma.github.io/Logging_2582/kartor_geotiff/A 36743-2024 georefererad karta.tif", "A 36743-2024")</f>
        <v/>
      </c>
      <c r="AA147">
        <f>HYPERLINK("https://klasma.github.io/Logging_2582/klagomål/A 36743-2024 FSC-klagomål.docx", "A 36743-2024")</f>
        <v/>
      </c>
      <c r="AB147">
        <f>HYPERLINK("https://klasma.github.io/Logging_2582/klagomålsmail/A 36743-2024 FSC-klagomål mail.docx", "A 36743-2024")</f>
        <v/>
      </c>
      <c r="AC147">
        <f>HYPERLINK("https://klasma.github.io/Logging_2582/tillsyn/A 36743-2024 tillsynsbegäran.docx", "A 36743-2024")</f>
        <v/>
      </c>
      <c r="AD147">
        <f>HYPERLINK("https://klasma.github.io/Logging_2582/tillsynsmail/A 36743-2024 tillsynsbegäran mail.docx", "A 36743-2024")</f>
        <v/>
      </c>
    </row>
    <row r="148" ht="15" customHeight="1">
      <c r="A148" t="inlineStr">
        <is>
          <t>A 53180-2025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46311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13.2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3</v>
      </c>
      <c r="U148" t="n">
        <v>3</v>
      </c>
      <c r="V148" s="2" t="inlineStr">
        <is>
          <t>Lunglav</t>
        </is>
      </c>
      <c r="W148">
        <f>HYPERLINK("https://klasma.github.io/Logging_2582/artfynd/A 53180-2025 artfynd.xlsx", "A 53180-2025")</f>
        <v/>
      </c>
      <c r="X148">
        <f>HYPERLINK("https://klasma.github.io/Logging_2582/kartor/A 53180-2025 karta.png", "A 53180-2025")</f>
        <v/>
      </c>
      <c r="Y148">
        <f>HYPERLINK("https://klasma.github.io/Logging_2582/kartor_geotiff/A 53180-2025 georefererad karta.tif", "A 53180-2025")</f>
        <v/>
      </c>
      <c r="AA148">
        <f>HYPERLINK("https://klasma.github.io/Logging_2582/klagomål/A 53180-2025 FSC-klagomål.docx", "A 53180-2025")</f>
        <v/>
      </c>
      <c r="AB148">
        <f>HYPERLINK("https://klasma.github.io/Logging_2582/klagomålsmail/A 53180-2025 FSC-klagomål mail.docx", "A 53180-2025")</f>
        <v/>
      </c>
      <c r="AC148">
        <f>HYPERLINK("https://klasma.github.io/Logging_2582/tillsyn/A 53180-2025 tillsynsbegäran.docx", "A 53180-2025")</f>
        <v/>
      </c>
      <c r="AD148">
        <f>HYPERLINK("https://klasma.github.io/Logging_2582/tillsynsmail/A 53180-2025 tillsynsbegäran mail.docx", "A 53180-2025")</f>
        <v/>
      </c>
    </row>
    <row r="149" ht="15" customHeight="1">
      <c r="A149" t="inlineStr">
        <is>
          <t>A 53590-2025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46311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7.6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Gulskölding</t>
        </is>
      </c>
      <c r="W149">
        <f>HYPERLINK("https://klasma.github.io/Logging_2582/artfynd/A 53590-2025 artfynd.xlsx", "A 53590-2025")</f>
        <v/>
      </c>
      <c r="X149">
        <f>HYPERLINK("https://klasma.github.io/Logging_2582/kartor/A 53590-2025 karta.png", "A 53590-2025")</f>
        <v/>
      </c>
      <c r="Y149">
        <f>HYPERLINK("https://klasma.github.io/Logging_2582/kartor_geotiff/A 53590-2025 georefererad karta.tif", "A 53590-2025")</f>
        <v/>
      </c>
      <c r="AA149">
        <f>HYPERLINK("https://klasma.github.io/Logging_2582/klagomål/A 53590-2025 FSC-klagomål.docx", "A 53590-2025")</f>
        <v/>
      </c>
      <c r="AB149">
        <f>HYPERLINK("https://klasma.github.io/Logging_2582/klagomålsmail/A 53590-2025 FSC-klagomål mail.docx", "A 53590-2025")</f>
        <v/>
      </c>
      <c r="AC149">
        <f>HYPERLINK("https://klasma.github.io/Logging_2582/tillsyn/A 53590-2025 tillsynsbegäran.docx", "A 53590-2025")</f>
        <v/>
      </c>
      <c r="AD149">
        <f>HYPERLINK("https://klasma.github.io/Logging_2582/tillsynsmail/A 53590-2025 tillsynsbegäran mail.docx", "A 53590-2025")</f>
        <v/>
      </c>
    </row>
    <row r="150" ht="15" customHeight="1">
      <c r="A150" t="inlineStr">
        <is>
          <t>A 36734-2026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46272</v>
      </c>
      <c r="E150" s="1" t="n">
        <v>46311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Fläcknycklar</t>
        </is>
      </c>
      <c r="W150">
        <f>HYPERLINK("https://klasma.github.io/Logging_2582/artfynd/A 36734-2026 artfynd.xlsx", "A 36734-2026")</f>
        <v/>
      </c>
      <c r="X150">
        <f>HYPERLINK("https://klasma.github.io/Logging_2582/kartor/A 36734-2026 karta.png", "A 36734-2026")</f>
        <v/>
      </c>
      <c r="Y150">
        <f>HYPERLINK("https://klasma.github.io/Logging_2582/kartor_geotiff/A 36734-2026 georefererad karta.tif", "A 36734-2026")</f>
        <v/>
      </c>
      <c r="AA150">
        <f>HYPERLINK("https://klasma.github.io/Logging_2582/klagomål/A 36734-2026 FSC-klagomål.docx", "A 36734-2026")</f>
        <v/>
      </c>
      <c r="AB150">
        <f>HYPERLINK("https://klasma.github.io/Logging_2582/klagomålsmail/A 36734-2026 FSC-klagomål mail.docx", "A 36734-2026")</f>
        <v/>
      </c>
      <c r="AC150">
        <f>HYPERLINK("https://klasma.github.io/Logging_2582/tillsyn/A 36734-2026 tillsynsbegäran.docx", "A 36734-2026")</f>
        <v/>
      </c>
      <c r="AD150">
        <f>HYPERLINK("https://klasma.github.io/Logging_2582/tillsynsmail/A 36734-2026 tillsynsbegäran mail.docx", "A 36734-2026")</f>
        <v/>
      </c>
    </row>
    <row r="151" ht="15" customHeight="1">
      <c r="A151" t="inlineStr">
        <is>
          <t>A 36749-2026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46272</v>
      </c>
      <c r="E151" s="1" t="n">
        <v>46311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8.699999999999999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Vedflamlav</t>
        </is>
      </c>
      <c r="W151">
        <f>HYPERLINK("https://klasma.github.io/Logging_2582/artfynd/A 36749-2026 artfynd.xlsx", "A 36749-2026")</f>
        <v/>
      </c>
      <c r="X151">
        <f>HYPERLINK("https://klasma.github.io/Logging_2582/kartor/A 36749-2026 karta.png", "A 36749-2026")</f>
        <v/>
      </c>
      <c r="Y151">
        <f>HYPERLINK("https://klasma.github.io/Logging_2582/kartor_geotiff/A 36749-2026 georefererad karta.tif", "A 36749-2026")</f>
        <v/>
      </c>
      <c r="AA151">
        <f>HYPERLINK("https://klasma.github.io/Logging_2582/klagomål/A 36749-2026 FSC-klagomål.docx", "A 36749-2026")</f>
        <v/>
      </c>
      <c r="AB151">
        <f>HYPERLINK("https://klasma.github.io/Logging_2582/klagomålsmail/A 36749-2026 FSC-klagomål mail.docx", "A 36749-2026")</f>
        <v/>
      </c>
      <c r="AC151">
        <f>HYPERLINK("https://klasma.github.io/Logging_2582/tillsyn/A 36749-2026 tillsynsbegäran.docx", "A 36749-2026")</f>
        <v/>
      </c>
      <c r="AD151">
        <f>HYPERLINK("https://klasma.github.io/Logging_2582/tillsynsmail/A 36749-2026 tillsynsbegäran mail.docx", "A 36749-2026")</f>
        <v/>
      </c>
    </row>
    <row r="152" ht="15" customHeight="1">
      <c r="A152" t="inlineStr">
        <is>
          <t>A 68514-2021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44529</v>
      </c>
      <c r="E152" s="1" t="n">
        <v>46311</v>
      </c>
      <c r="F152" t="inlineStr">
        <is>
          <t>NORRBOTTENS LÄN</t>
        </is>
      </c>
      <c r="G152" t="inlineStr">
        <is>
          <t>BODEN</t>
        </is>
      </c>
      <c r="I152" t="n">
        <v>6.2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Spillkråka</t>
        </is>
      </c>
      <c r="W152">
        <f>HYPERLINK("https://klasma.github.io/Logging_2582/artfynd/A 68514-2021 artfynd.xlsx", "A 68514-2021")</f>
        <v/>
      </c>
      <c r="X152">
        <f>HYPERLINK("https://klasma.github.io/Logging_2582/kartor/A 68514-2021 karta.png", "A 68514-2021")</f>
        <v/>
      </c>
      <c r="Y152">
        <f>HYPERLINK("https://klasma.github.io/Logging_2582/kartor_geotiff/A 68514-2021 georefererad karta.tif", "A 68514-2021")</f>
        <v/>
      </c>
      <c r="Z152">
        <f>HYPERLINK("https://klasma.github.io/Logging_2582/knärot/A 68514-2021 karta knärot.png", "A 68514-2021")</f>
        <v/>
      </c>
      <c r="AA152">
        <f>HYPERLINK("https://klasma.github.io/Logging_2582/klagomål/A 68514-2021 FSC-klagomål.docx", "A 68514-2021")</f>
        <v/>
      </c>
      <c r="AB152">
        <f>HYPERLINK("https://klasma.github.io/Logging_2582/klagomålsmail/A 68514-2021 FSC-klagomål mail.docx", "A 68514-2021")</f>
        <v/>
      </c>
      <c r="AC152">
        <f>HYPERLINK("https://klasma.github.io/Logging_2582/tillsyn/A 68514-2021 tillsynsbegäran.docx", "A 68514-2021")</f>
        <v/>
      </c>
      <c r="AD152">
        <f>HYPERLINK("https://klasma.github.io/Logging_2582/tillsynsmail/A 68514-2021 tillsynsbegäran mail.docx", "A 68514-2021")</f>
        <v/>
      </c>
      <c r="AE152">
        <f>HYPERLINK("https://klasma.github.io/Logging_2582/fåglar/A 68514-2021 prioriterade fågelarter.docx", "A 68514-2021")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46311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38395-2026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46282</v>
      </c>
      <c r="E154" s="1" t="n">
        <v>46311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HYPERLINK("https://klasma.github.io/Logging_2582/artfynd/A 38395-2026 artfynd.xlsx", "A 38395-2026")</f>
        <v/>
      </c>
      <c r="X154">
        <f>HYPERLINK("https://klasma.github.io/Logging_2582/kartor/A 38395-2026 karta.png", "A 38395-2026")</f>
        <v/>
      </c>
      <c r="Y154">
        <f>HYPERLINK("https://klasma.github.io/Logging_2582/kartor_geotiff/A 38395-2026 georefererad karta.tif", "A 38395-2026")</f>
        <v/>
      </c>
      <c r="AA154">
        <f>HYPERLINK("https://klasma.github.io/Logging_2582/klagomål/A 38395-2026 FSC-klagomål.docx", "A 38395-2026")</f>
        <v/>
      </c>
      <c r="AB154">
        <f>HYPERLINK("https://klasma.github.io/Logging_2582/klagomålsmail/A 38395-2026 FSC-klagomål mail.docx", "A 38395-2026")</f>
        <v/>
      </c>
      <c r="AC154">
        <f>HYPERLINK("https://klasma.github.io/Logging_2582/tillsyn/A 38395-2026 tillsynsbegäran.docx", "A 38395-2026")</f>
        <v/>
      </c>
      <c r="AD154">
        <f>HYPERLINK("https://klasma.github.io/Logging_2582/tillsynsmail/A 38395-2026 tillsynsbegäran mail.docx", "A 38395-2026")</f>
        <v/>
      </c>
    </row>
    <row r="155" ht="15" customHeight="1">
      <c r="A155" t="inlineStr">
        <is>
          <t>A 56598-2025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46311</v>
      </c>
      <c r="F155" t="inlineStr">
        <is>
          <t>NORRBOTTENS LÄN</t>
        </is>
      </c>
      <c r="G155" t="inlineStr">
        <is>
          <t>BODEN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Revlummer</t>
        </is>
      </c>
      <c r="W155">
        <f>HYPERLINK("https://klasma.github.io/Logging_2582/artfynd/A 56598-2025 artfynd.xlsx", "A 56598-2025")</f>
        <v/>
      </c>
      <c r="X155">
        <f>HYPERLINK("https://klasma.github.io/Logging_2582/kartor/A 56598-2025 karta.png", "A 56598-2025")</f>
        <v/>
      </c>
      <c r="Y155">
        <f>HYPERLINK("https://klasma.github.io/Logging_2582/kartor_geotiff/A 56598-2025 georefererad karta.tif", "A 56598-2025")</f>
        <v/>
      </c>
      <c r="AA155">
        <f>HYPERLINK("https://klasma.github.io/Logging_2582/klagomål/A 56598-2025 FSC-klagomål.docx", "A 56598-2025")</f>
        <v/>
      </c>
      <c r="AB155">
        <f>HYPERLINK("https://klasma.github.io/Logging_2582/klagomålsmail/A 56598-2025 FSC-klagomål mail.docx", "A 56598-2025")</f>
        <v/>
      </c>
      <c r="AC155">
        <f>HYPERLINK("https://klasma.github.io/Logging_2582/tillsyn/A 56598-2025 tillsynsbegäran.docx", "A 56598-2025")</f>
        <v/>
      </c>
      <c r="AD155">
        <f>HYPERLINK("https://klasma.github.io/Logging_2582/tillsynsmail/A 56598-2025 tillsynsbegäran mail.docx", "A 56598-2025")</f>
        <v/>
      </c>
    </row>
    <row r="156" ht="15" customHeight="1">
      <c r="A156" t="inlineStr">
        <is>
          <t>A 32664-2026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46311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14.3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4</v>
      </c>
      <c r="U156" t="n">
        <v>0</v>
      </c>
      <c r="V156" s="2" t="inlineStr">
        <is>
          <t>Lunglav</t>
        </is>
      </c>
      <c r="W156">
        <f>HYPERLINK("https://klasma.github.io/Logging_2582/artfynd/A 32664-2026 artfynd.xlsx", "A 32664-2026")</f>
        <v/>
      </c>
      <c r="X156">
        <f>HYPERLINK("https://klasma.github.io/Logging_2582/kartor/A 32664-2026 karta.png", "A 32664-2026")</f>
        <v/>
      </c>
      <c r="Y156">
        <f>HYPERLINK("https://klasma.github.io/Logging_2582/kartor_geotiff/A 32664-2026 georefererad karta.tif", "A 32664-2026")</f>
        <v/>
      </c>
      <c r="AA156">
        <f>HYPERLINK("https://klasma.github.io/Logging_2582/klagomål/A 32664-2026 FSC-klagomål.docx", "A 32664-2026")</f>
        <v/>
      </c>
      <c r="AB156">
        <f>HYPERLINK("https://klasma.github.io/Logging_2582/klagomålsmail/A 32664-2026 FSC-klagomål mail.docx", "A 32664-2026")</f>
        <v/>
      </c>
      <c r="AC156">
        <f>HYPERLINK("https://klasma.github.io/Logging_2582/tillsyn/A 32664-2026 tillsynsbegäran.docx", "A 32664-2026")</f>
        <v/>
      </c>
      <c r="AD156">
        <f>HYPERLINK("https://klasma.github.io/Logging_2582/tillsynsmail/A 32664-2026 tillsynsbegäran mail.docx", "A 32664-2026")</f>
        <v/>
      </c>
    </row>
    <row r="157" ht="15" customHeight="1">
      <c r="A157" t="inlineStr">
        <is>
          <t>A 54833-2025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46311</v>
      </c>
      <c r="F157" t="inlineStr">
        <is>
          <t>NORRBOTTENS LÄN</t>
        </is>
      </c>
      <c r="G157" t="inlineStr">
        <is>
          <t>BODEN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Utter</t>
        </is>
      </c>
      <c r="W157">
        <f>HYPERLINK("https://klasma.github.io/Logging_2582/artfynd/A 54833-2025 artfynd.xlsx", "A 54833-2025")</f>
        <v/>
      </c>
      <c r="X157">
        <f>HYPERLINK("https://klasma.github.io/Logging_2582/kartor/A 54833-2025 karta.png", "A 54833-2025")</f>
        <v/>
      </c>
      <c r="Y157">
        <f>HYPERLINK("https://klasma.github.io/Logging_2582/kartor_geotiff/A 54833-2025 georefererad karta.tif", "A 54833-2025")</f>
        <v/>
      </c>
      <c r="AA157">
        <f>HYPERLINK("https://klasma.github.io/Logging_2582/klagomål/A 54833-2025 FSC-klagomål.docx", "A 54833-2025")</f>
        <v/>
      </c>
      <c r="AB157">
        <f>HYPERLINK("https://klasma.github.io/Logging_2582/klagomålsmail/A 54833-2025 FSC-klagomål mail.docx", "A 54833-2025")</f>
        <v/>
      </c>
      <c r="AC157">
        <f>HYPERLINK("https://klasma.github.io/Logging_2582/tillsyn/A 54833-2025 tillsynsbegäran.docx", "A 54833-2025")</f>
        <v/>
      </c>
      <c r="AD157">
        <f>HYPERLINK("https://klasma.github.io/Logging_2582/tillsynsmail/A 54833-2025 tillsynsbegäran mail.docx", "A 54833-2025")</f>
        <v/>
      </c>
    </row>
    <row r="158" ht="15" customHeight="1">
      <c r="A158" t="inlineStr">
        <is>
          <t>A 32708-2026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46241</v>
      </c>
      <c r="E158" s="1" t="n">
        <v>46311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Lunglav</t>
        </is>
      </c>
      <c r="W158">
        <f>HYPERLINK("https://klasma.github.io/Logging_2582/artfynd/A 32708-2026 artfynd.xlsx", "A 32708-2026")</f>
        <v/>
      </c>
      <c r="X158">
        <f>HYPERLINK("https://klasma.github.io/Logging_2582/kartor/A 32708-2026 karta.png", "A 32708-2026")</f>
        <v/>
      </c>
      <c r="Y158">
        <f>HYPERLINK("https://klasma.github.io/Logging_2582/kartor_geotiff/A 32708-2026 georefererad karta.tif", "A 32708-2026")</f>
        <v/>
      </c>
      <c r="AA158">
        <f>HYPERLINK("https://klasma.github.io/Logging_2582/klagomål/A 32708-2026 FSC-klagomål.docx", "A 32708-2026")</f>
        <v/>
      </c>
      <c r="AB158">
        <f>HYPERLINK("https://klasma.github.io/Logging_2582/klagomålsmail/A 32708-2026 FSC-klagomål mail.docx", "A 32708-2026")</f>
        <v/>
      </c>
      <c r="AC158">
        <f>HYPERLINK("https://klasma.github.io/Logging_2582/tillsyn/A 32708-2026 tillsynsbegäran.docx", "A 32708-2026")</f>
        <v/>
      </c>
      <c r="AD158">
        <f>HYPERLINK("https://klasma.github.io/Logging_2582/tillsynsmail/A 32708-2026 tillsynsbegäran mail.docx", "A 32708-2026")</f>
        <v/>
      </c>
    </row>
    <row r="159" ht="15" customHeight="1">
      <c r="A159" t="inlineStr">
        <is>
          <t>A 19580-2026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46311</v>
      </c>
      <c r="F159" t="inlineStr">
        <is>
          <t>NORRBOTTENS LÄN</t>
        </is>
      </c>
      <c r="G159" t="inlineStr">
        <is>
          <t>BODEN</t>
        </is>
      </c>
      <c r="I159" t="n">
        <v>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Dropptaggsvamp</t>
        </is>
      </c>
      <c r="W159">
        <f>HYPERLINK("https://klasma.github.io/Logging_2582/artfynd/A 19580-2026 artfynd.xlsx", "A 19580-2026")</f>
        <v/>
      </c>
      <c r="X159">
        <f>HYPERLINK("https://klasma.github.io/Logging_2582/kartor/A 19580-2026 karta.png", "A 19580-2026")</f>
        <v/>
      </c>
      <c r="Y159">
        <f>HYPERLINK("https://klasma.github.io/Logging_2582/kartor_geotiff/A 19580-2026 georefererad karta.tif", "A 19580-2026")</f>
        <v/>
      </c>
      <c r="AA159">
        <f>HYPERLINK("https://klasma.github.io/Logging_2582/klagomål/A 19580-2026 FSC-klagomål.docx", "A 19580-2026")</f>
        <v/>
      </c>
      <c r="AB159">
        <f>HYPERLINK("https://klasma.github.io/Logging_2582/klagomålsmail/A 19580-2026 FSC-klagomål mail.docx", "A 19580-2026")</f>
        <v/>
      </c>
      <c r="AC159">
        <f>HYPERLINK("https://klasma.github.io/Logging_2582/tillsyn/A 19580-2026 tillsynsbegäran.docx", "A 19580-2026")</f>
        <v/>
      </c>
      <c r="AD159">
        <f>HYPERLINK("https://klasma.github.io/Logging_2582/tillsynsmail/A 19580-2026 tillsynsbegäran mail.docx", "A 19580-2026")</f>
        <v/>
      </c>
    </row>
    <row r="160" ht="15" customHeight="1">
      <c r="A160" t="inlineStr">
        <is>
          <t>A 60196-2025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45994</v>
      </c>
      <c r="E160" s="1" t="n">
        <v>46311</v>
      </c>
      <c r="F160" t="inlineStr">
        <is>
          <t>NORRBOTTENS LÄN</t>
        </is>
      </c>
      <c r="G160" t="inlineStr">
        <is>
          <t>BODEN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HYPERLINK("https://klasma.github.io/Logging_2582/artfynd/A 60196-2025 artfynd.xlsx", "A 60196-2025")</f>
        <v/>
      </c>
      <c r="X160">
        <f>HYPERLINK("https://klasma.github.io/Logging_2582/kartor/A 60196-2025 karta.png", "A 60196-2025")</f>
        <v/>
      </c>
      <c r="Y160">
        <f>HYPERLINK("https://klasma.github.io/Logging_2582/kartor_geotiff/A 60196-2025 georefererad karta.tif", "A 60196-2025")</f>
        <v/>
      </c>
      <c r="AA160">
        <f>HYPERLINK("https://klasma.github.io/Logging_2582/klagomål/A 60196-2025 FSC-klagomål.docx", "A 60196-2025")</f>
        <v/>
      </c>
      <c r="AB160">
        <f>HYPERLINK("https://klasma.github.io/Logging_2582/klagomålsmail/A 60196-2025 FSC-klagomål mail.docx", "A 60196-2025")</f>
        <v/>
      </c>
      <c r="AC160">
        <f>HYPERLINK("https://klasma.github.io/Logging_2582/tillsyn/A 60196-2025 tillsynsbegäran.docx", "A 60196-2025")</f>
        <v/>
      </c>
      <c r="AD160">
        <f>HYPERLINK("https://klasma.github.io/Logging_2582/tillsynsmail/A 60196-2025 tillsynsbegäran mail.docx", "A 60196-2025")</f>
        <v/>
      </c>
    </row>
    <row r="161" ht="15" customHeight="1">
      <c r="A161" t="inlineStr">
        <is>
          <t>A 60781-2025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46311</v>
      </c>
      <c r="F161" t="inlineStr">
        <is>
          <t>NORRBOTTENS LÄN</t>
        </is>
      </c>
      <c r="G161" t="inlineStr">
        <is>
          <t>BODEN</t>
        </is>
      </c>
      <c r="I161" t="n">
        <v>12.3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Rosenticka</t>
        </is>
      </c>
      <c r="W161">
        <f>HYPERLINK("https://klasma.github.io/Logging_2582/artfynd/A 60781-2025 artfynd.xlsx", "A 60781-2025")</f>
        <v/>
      </c>
      <c r="X161">
        <f>HYPERLINK("https://klasma.github.io/Logging_2582/kartor/A 60781-2025 karta.png", "A 60781-2025")</f>
        <v/>
      </c>
      <c r="Y161">
        <f>HYPERLINK("https://klasma.github.io/Logging_2582/kartor_geotiff/A 60781-2025 georefererad karta.tif", "A 60781-2025")</f>
        <v/>
      </c>
      <c r="AA161">
        <f>HYPERLINK("https://klasma.github.io/Logging_2582/klagomål/A 60781-2025 FSC-klagomål.docx", "A 60781-2025")</f>
        <v/>
      </c>
      <c r="AB161">
        <f>HYPERLINK("https://klasma.github.io/Logging_2582/klagomålsmail/A 60781-2025 FSC-klagomål mail.docx", "A 60781-2025")</f>
        <v/>
      </c>
      <c r="AC161">
        <f>HYPERLINK("https://klasma.github.io/Logging_2582/tillsyn/A 60781-2025 tillsynsbegäran.docx", "A 60781-2025")</f>
        <v/>
      </c>
      <c r="AD161">
        <f>HYPERLINK("https://klasma.github.io/Logging_2582/tillsynsmail/A 60781-2025 tillsynsbegäran mail.docx", "A 60781-2025")</f>
        <v/>
      </c>
    </row>
    <row r="162" ht="15" customHeight="1">
      <c r="A162" t="inlineStr">
        <is>
          <t>A 62002-2025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46311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Vitgrynig nållav</t>
        </is>
      </c>
      <c r="W162">
        <f>HYPERLINK("https://klasma.github.io/Logging_2582/artfynd/A 62002-2025 artfynd.xlsx", "A 62002-2025")</f>
        <v/>
      </c>
      <c r="X162">
        <f>HYPERLINK("https://klasma.github.io/Logging_2582/kartor/A 62002-2025 karta.png", "A 62002-2025")</f>
        <v/>
      </c>
      <c r="Y162">
        <f>HYPERLINK("https://klasma.github.io/Logging_2582/kartor_geotiff/A 62002-2025 georefererad karta.tif", "A 62002-2025")</f>
        <v/>
      </c>
      <c r="AA162">
        <f>HYPERLINK("https://klasma.github.io/Logging_2582/klagomål/A 62002-2025 FSC-klagomål.docx", "A 62002-2025")</f>
        <v/>
      </c>
      <c r="AB162">
        <f>HYPERLINK("https://klasma.github.io/Logging_2582/klagomålsmail/A 62002-2025 FSC-klagomål mail.docx", "A 62002-2025")</f>
        <v/>
      </c>
      <c r="AC162">
        <f>HYPERLINK("https://klasma.github.io/Logging_2582/tillsyn/A 62002-2025 tillsynsbegäran.docx", "A 62002-2025")</f>
        <v/>
      </c>
      <c r="AD162">
        <f>HYPERLINK("https://klasma.github.io/Logging_2582/tillsynsmail/A 62002-2025 tillsynsbegäran mail.docx", "A 62002-2025")</f>
        <v/>
      </c>
    </row>
    <row r="163" ht="15" customHeight="1">
      <c r="A163" t="inlineStr">
        <is>
          <t>A 33756-2026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46251</v>
      </c>
      <c r="E163" s="1" t="n">
        <v>46311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5.5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Bollvitmossa</t>
        </is>
      </c>
      <c r="W163">
        <f>HYPERLINK("https://klasma.github.io/Logging_2582/artfynd/A 33756-2026 artfynd.xlsx", "A 33756-2026")</f>
        <v/>
      </c>
      <c r="X163">
        <f>HYPERLINK("https://klasma.github.io/Logging_2582/kartor/A 33756-2026 karta.png", "A 33756-2026")</f>
        <v/>
      </c>
      <c r="Y163">
        <f>HYPERLINK("https://klasma.github.io/Logging_2582/kartor_geotiff/A 33756-2026 georefererad karta.tif", "A 33756-2026")</f>
        <v/>
      </c>
      <c r="AA163">
        <f>HYPERLINK("https://klasma.github.io/Logging_2582/klagomål/A 33756-2026 FSC-klagomål.docx", "A 33756-2026")</f>
        <v/>
      </c>
      <c r="AB163">
        <f>HYPERLINK("https://klasma.github.io/Logging_2582/klagomålsmail/A 33756-2026 FSC-klagomål mail.docx", "A 33756-2026")</f>
        <v/>
      </c>
      <c r="AC163">
        <f>HYPERLINK("https://klasma.github.io/Logging_2582/tillsyn/A 33756-2026 tillsynsbegäran.docx", "A 33756-2026")</f>
        <v/>
      </c>
      <c r="AD163">
        <f>HYPERLINK("https://klasma.github.io/Logging_2582/tillsynsmail/A 33756-2026 tillsynsbegäran mail.docx", "A 33756-2026")</f>
        <v/>
      </c>
    </row>
    <row r="164" ht="15" customHeight="1">
      <c r="A164" t="inlineStr">
        <is>
          <t>A 2565-2026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46311</v>
      </c>
      <c r="F164" t="inlineStr">
        <is>
          <t>NORRBOTTENS LÄN</t>
        </is>
      </c>
      <c r="G164" t="inlineStr">
        <is>
          <t>BODEN</t>
        </is>
      </c>
      <c r="H164" t="inlineStr">
        <is>
          <t>Naturvårdsverket</t>
        </is>
      </c>
      <c r="I164" t="n">
        <v>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Garnlav</t>
        </is>
      </c>
      <c r="W164">
        <f>HYPERLINK("https://klasma.github.io/Logging_2582/artfynd/A 2565-2026 artfynd.xlsx", "A 2565-2026")</f>
        <v/>
      </c>
      <c r="X164">
        <f>HYPERLINK("https://klasma.github.io/Logging_2582/kartor/A 2565-2026 karta.png", "A 2565-2026")</f>
        <v/>
      </c>
      <c r="Y164">
        <f>HYPERLINK("https://klasma.github.io/Logging_2582/kartor_geotiff/A 2565-2026 georefererad karta.tif", "A 2565-2026")</f>
        <v/>
      </c>
      <c r="AA164">
        <f>HYPERLINK("https://klasma.github.io/Logging_2582/klagomål/A 2565-2026 FSC-klagomål.docx", "A 2565-2026")</f>
        <v/>
      </c>
      <c r="AB164">
        <f>HYPERLINK("https://klasma.github.io/Logging_2582/klagomålsmail/A 2565-2026 FSC-klagomål mail.docx", "A 2565-2026")</f>
        <v/>
      </c>
      <c r="AC164">
        <f>HYPERLINK("https://klasma.github.io/Logging_2582/tillsyn/A 2565-2026 tillsynsbegäran.docx", "A 2565-2026")</f>
        <v/>
      </c>
      <c r="AD164">
        <f>HYPERLINK("https://klasma.github.io/Logging_2582/tillsynsmail/A 2565-2026 tillsynsbegäran mail.docx", "A 2565-2026")</f>
        <v/>
      </c>
    </row>
    <row r="165" ht="15" customHeight="1">
      <c r="A165" t="inlineStr">
        <is>
          <t>A 34512-2026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46255</v>
      </c>
      <c r="E165" s="1" t="n">
        <v>46311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9.300000000000001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Skarp dropptaggsvamp</t>
        </is>
      </c>
      <c r="W165">
        <f>HYPERLINK("https://klasma.github.io/Logging_2582/artfynd/A 34512-2026 artfynd.xlsx", "A 34512-2026")</f>
        <v/>
      </c>
      <c r="X165">
        <f>HYPERLINK("https://klasma.github.io/Logging_2582/kartor/A 34512-2026 karta.png", "A 34512-2026")</f>
        <v/>
      </c>
      <c r="Y165">
        <f>HYPERLINK("https://klasma.github.io/Logging_2582/kartor_geotiff/A 34512-2026 georefererad karta.tif", "A 34512-2026")</f>
        <v/>
      </c>
      <c r="AA165">
        <f>HYPERLINK("https://klasma.github.io/Logging_2582/klagomål/A 34512-2026 FSC-klagomål.docx", "A 34512-2026")</f>
        <v/>
      </c>
      <c r="AB165">
        <f>HYPERLINK("https://klasma.github.io/Logging_2582/klagomålsmail/A 34512-2026 FSC-klagomål mail.docx", "A 34512-2026")</f>
        <v/>
      </c>
      <c r="AC165">
        <f>HYPERLINK("https://klasma.github.io/Logging_2582/tillsyn/A 34512-2026 tillsynsbegäran.docx", "A 34512-2026")</f>
        <v/>
      </c>
      <c r="AD165">
        <f>HYPERLINK("https://klasma.github.io/Logging_2582/tillsynsmail/A 34512-2026 tillsynsbegäran mail.docx", "A 34512-2026")</f>
        <v/>
      </c>
    </row>
    <row r="166" ht="15" customHeight="1">
      <c r="A166" t="inlineStr">
        <is>
          <t>A 16217-2024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45406</v>
      </c>
      <c r="E166" s="1" t="n">
        <v>46311</v>
      </c>
      <c r="F166" t="inlineStr">
        <is>
          <t>NORRBOTTENS LÄN</t>
        </is>
      </c>
      <c r="G166" t="inlineStr">
        <is>
          <t>BODEN</t>
        </is>
      </c>
      <c r="I166" t="n">
        <v>7.2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Videsparv</t>
        </is>
      </c>
      <c r="W166">
        <f>HYPERLINK("https://klasma.github.io/Logging_2582/artfynd/A 16217-2024 artfynd.xlsx", "A 16217-2024")</f>
        <v/>
      </c>
      <c r="X166">
        <f>HYPERLINK("https://klasma.github.io/Logging_2582/kartor/A 16217-2024 karta.png", "A 16217-2024")</f>
        <v/>
      </c>
      <c r="Y166">
        <f>HYPERLINK("https://klasma.github.io/Logging_2582/kartor_geotiff/A 16217-2024 georefererad karta.tif", "A 16217-2024")</f>
        <v/>
      </c>
      <c r="AA166">
        <f>HYPERLINK("https://klasma.github.io/Logging_2582/klagomål/A 16217-2024 FSC-klagomål.docx", "A 16217-2024")</f>
        <v/>
      </c>
      <c r="AB166">
        <f>HYPERLINK("https://klasma.github.io/Logging_2582/klagomålsmail/A 16217-2024 FSC-klagomål mail.docx", "A 16217-2024")</f>
        <v/>
      </c>
      <c r="AC166">
        <f>HYPERLINK("https://klasma.github.io/Logging_2582/tillsyn/A 16217-2024 tillsynsbegäran.docx", "A 16217-2024")</f>
        <v/>
      </c>
      <c r="AD166">
        <f>HYPERLINK("https://klasma.github.io/Logging_2582/tillsynsmail/A 16217-2024 tillsynsbegäran mail.docx", "A 16217-2024")</f>
        <v/>
      </c>
      <c r="AE166">
        <f>HYPERLINK("https://klasma.github.io/Logging_2582/fåglar/A 16217-2024 prioriterade fågelarter.docx", "A 16217-2024")</f>
        <v/>
      </c>
    </row>
    <row r="167" ht="15" customHeight="1">
      <c r="A167" t="inlineStr">
        <is>
          <t>A 41589-2026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46302</v>
      </c>
      <c r="E167" s="1" t="n">
        <v>46311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2.8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Reliktbock</t>
        </is>
      </c>
      <c r="W167">
        <f>HYPERLINK("https://klasma.github.io/Logging_2582/artfynd/A 41589-2026 artfynd.xlsx", "A 41589-2026")</f>
        <v/>
      </c>
      <c r="X167">
        <f>HYPERLINK("https://klasma.github.io/Logging_2582/kartor/A 41589-2026 karta.png", "A 41589-2026")</f>
        <v/>
      </c>
      <c r="Y167">
        <f>HYPERLINK("https://klasma.github.io/Logging_2582/kartor_geotiff/A 41589-2026 georefererad karta.tif", "A 41589-2026")</f>
        <v/>
      </c>
      <c r="AA167">
        <f>HYPERLINK("https://klasma.github.io/Logging_2582/klagomål/A 41589-2026 FSC-klagomål.docx", "A 41589-2026")</f>
        <v/>
      </c>
      <c r="AB167">
        <f>HYPERLINK("https://klasma.github.io/Logging_2582/klagomålsmail/A 41589-2026 FSC-klagomål mail.docx", "A 41589-2026")</f>
        <v/>
      </c>
      <c r="AC167">
        <f>HYPERLINK("https://klasma.github.io/Logging_2582/tillsyn/A 41589-2026 tillsynsbegäran.docx", "A 41589-2026")</f>
        <v/>
      </c>
      <c r="AD167">
        <f>HYPERLINK("https://klasma.github.io/Logging_2582/tillsynsmail/A 41589-2026 tillsynsbegäran mail.docx", "A 41589-2026")</f>
        <v/>
      </c>
    </row>
    <row r="168" ht="15" customHeight="1">
      <c r="A168" t="inlineStr">
        <is>
          <t>A 35292-2026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46261</v>
      </c>
      <c r="E168" s="1" t="n">
        <v>46311</v>
      </c>
      <c r="F168" t="inlineStr">
        <is>
          <t>NORRBOTTENS LÄN</t>
        </is>
      </c>
      <c r="G168" t="inlineStr">
        <is>
          <t>BODEN</t>
        </is>
      </c>
      <c r="I168" t="n">
        <v>4.9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Tretåig hackspett</t>
        </is>
      </c>
      <c r="W168">
        <f>HYPERLINK("https://klasma.github.io/Logging_2582/artfynd/A 35292-2026 artfynd.xlsx", "A 35292-2026")</f>
        <v/>
      </c>
      <c r="X168">
        <f>HYPERLINK("https://klasma.github.io/Logging_2582/kartor/A 35292-2026 karta.png", "A 35292-2026")</f>
        <v/>
      </c>
      <c r="Y168">
        <f>HYPERLINK("https://klasma.github.io/Logging_2582/kartor_geotiff/A 35292-2026 georefererad karta.tif", "A 35292-2026")</f>
        <v/>
      </c>
      <c r="AA168">
        <f>HYPERLINK("https://klasma.github.io/Logging_2582/klagomål/A 35292-2026 FSC-klagomål.docx", "A 35292-2026")</f>
        <v/>
      </c>
      <c r="AB168">
        <f>HYPERLINK("https://klasma.github.io/Logging_2582/klagomålsmail/A 35292-2026 FSC-klagomål mail.docx", "A 35292-2026")</f>
        <v/>
      </c>
      <c r="AC168">
        <f>HYPERLINK("https://klasma.github.io/Logging_2582/tillsyn/A 35292-2026 tillsynsbegäran.docx", "A 35292-2026")</f>
        <v/>
      </c>
      <c r="AD168">
        <f>HYPERLINK("https://klasma.github.io/Logging_2582/tillsynsmail/A 35292-2026 tillsynsbegäran mail.docx", "A 35292-2026")</f>
        <v/>
      </c>
      <c r="AE168">
        <f>HYPERLINK("https://klasma.github.io/Logging_2582/fåglar/A 35292-2026 prioriterade fågelarter.docx", "A 35292-2026")</f>
        <v/>
      </c>
    </row>
    <row r="169" ht="15" customHeight="1">
      <c r="A169" t="inlineStr">
        <is>
          <t>A 35299-2026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46261</v>
      </c>
      <c r="E169" s="1" t="n">
        <v>46311</v>
      </c>
      <c r="F169" t="inlineStr">
        <is>
          <t>NORRBOTTENS LÄN</t>
        </is>
      </c>
      <c r="G169" t="inlineStr">
        <is>
          <t>BODEN</t>
        </is>
      </c>
      <c r="I169" t="n">
        <v>3.3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Knärot</t>
        </is>
      </c>
      <c r="W169">
        <f>HYPERLINK("https://klasma.github.io/Logging_2582/artfynd/A 35299-2026 artfynd.xlsx", "A 35299-2026")</f>
        <v/>
      </c>
      <c r="X169">
        <f>HYPERLINK("https://klasma.github.io/Logging_2582/kartor/A 35299-2026 karta.png", "A 35299-2026")</f>
        <v/>
      </c>
      <c r="Y169">
        <f>HYPERLINK("https://klasma.github.io/Logging_2582/kartor_geotiff/A 35299-2026 georefererad karta.tif", "A 35299-2026")</f>
        <v/>
      </c>
      <c r="Z169">
        <f>HYPERLINK("https://klasma.github.io/Logging_2582/knärot/A 35299-2026 karta knärot.png", "A 35299-2026")</f>
        <v/>
      </c>
      <c r="AA169">
        <f>HYPERLINK("https://klasma.github.io/Logging_2582/klagomål/A 35299-2026 FSC-klagomål.docx", "A 35299-2026")</f>
        <v/>
      </c>
      <c r="AB169">
        <f>HYPERLINK("https://klasma.github.io/Logging_2582/klagomålsmail/A 35299-2026 FSC-klagomål mail.docx", "A 35299-2026")</f>
        <v/>
      </c>
      <c r="AC169">
        <f>HYPERLINK("https://klasma.github.io/Logging_2582/tillsyn/A 35299-2026 tillsynsbegäran.docx", "A 35299-2026")</f>
        <v/>
      </c>
      <c r="AD169">
        <f>HYPERLINK("https://klasma.github.io/Logging_2582/tillsynsmail/A 35299-2026 tillsynsbegäran mail.docx", "A 35299-2026")</f>
        <v/>
      </c>
    </row>
    <row r="170" ht="15" customHeight="1">
      <c r="A170" t="inlineStr">
        <is>
          <t>A 35415-2026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46311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2.6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2</v>
      </c>
      <c r="V170" s="2" t="inlineStr">
        <is>
          <t>Knärot</t>
        </is>
      </c>
      <c r="W170">
        <f>HYPERLINK("https://klasma.github.io/Logging_2582/artfynd/A 35415-2026 artfynd.xlsx", "A 35415-2026")</f>
        <v/>
      </c>
      <c r="X170">
        <f>HYPERLINK("https://klasma.github.io/Logging_2582/kartor/A 35415-2026 karta.png", "A 35415-2026")</f>
        <v/>
      </c>
      <c r="Y170">
        <f>HYPERLINK("https://klasma.github.io/Logging_2582/kartor_geotiff/A 35415-2026 georefererad karta.tif", "A 35415-2026")</f>
        <v/>
      </c>
      <c r="Z170">
        <f>HYPERLINK("https://klasma.github.io/Logging_2582/knärot/A 35415-2026 karta knärot.png", "A 35415-2026")</f>
        <v/>
      </c>
      <c r="AA170">
        <f>HYPERLINK("https://klasma.github.io/Logging_2582/klagomål/A 35415-2026 FSC-klagomål.docx", "A 35415-2026")</f>
        <v/>
      </c>
      <c r="AB170">
        <f>HYPERLINK("https://klasma.github.io/Logging_2582/klagomålsmail/A 35415-2026 FSC-klagomål mail.docx", "A 35415-2026")</f>
        <v/>
      </c>
      <c r="AC170">
        <f>HYPERLINK("https://klasma.github.io/Logging_2582/tillsyn/A 35415-2026 tillsynsbegäran.docx", "A 35415-2026")</f>
        <v/>
      </c>
      <c r="AD170">
        <f>HYPERLINK("https://klasma.github.io/Logging_2582/tillsynsmail/A 35415-2026 tillsynsbegäran mail.docx", "A 35415-2026")</f>
        <v/>
      </c>
    </row>
    <row r="171" ht="15" customHeight="1">
      <c r="A171" t="inlineStr">
        <is>
          <t>A 35410-2026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9</v>
      </c>
      <c r="U171" t="n">
        <v>9</v>
      </c>
      <c r="V171" s="2" t="inlineStr">
        <is>
          <t>Knärot</t>
        </is>
      </c>
      <c r="W171">
        <f>HYPERLINK("https://klasma.github.io/Logging_2582/artfynd/A 35410-2026 artfynd.xlsx", "A 35410-2026")</f>
        <v/>
      </c>
      <c r="X171">
        <f>HYPERLINK("https://klasma.github.io/Logging_2582/kartor/A 35410-2026 karta.png", "A 35410-2026")</f>
        <v/>
      </c>
      <c r="Y171">
        <f>HYPERLINK("https://klasma.github.io/Logging_2582/kartor_geotiff/A 35410-2026 georefererad karta.tif", "A 35410-2026")</f>
        <v/>
      </c>
      <c r="Z171">
        <f>HYPERLINK("https://klasma.github.io/Logging_2582/knärot/A 35410-2026 karta knärot.png", "A 35410-2026")</f>
        <v/>
      </c>
      <c r="AA171">
        <f>HYPERLINK("https://klasma.github.io/Logging_2582/klagomål/A 35410-2026 FSC-klagomål.docx", "A 35410-2026")</f>
        <v/>
      </c>
      <c r="AB171">
        <f>HYPERLINK("https://klasma.github.io/Logging_2582/klagomålsmail/A 35410-2026 FSC-klagomål mail.docx", "A 35410-2026")</f>
        <v/>
      </c>
      <c r="AC171">
        <f>HYPERLINK("https://klasma.github.io/Logging_2582/tillsyn/A 35410-2026 tillsynsbegäran.docx", "A 35410-2026")</f>
        <v/>
      </c>
      <c r="AD171">
        <f>HYPERLINK("https://klasma.github.io/Logging_2582/tillsynsmail/A 35410-2026 tillsynsbegäran mail.docx", "A 35410-2026")</f>
        <v/>
      </c>
    </row>
    <row r="172" ht="15" customHeight="1">
      <c r="A172" t="inlineStr">
        <is>
          <t>A 4878-2026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46311</v>
      </c>
      <c r="F172" t="inlineStr">
        <is>
          <t>NORRBOTTENS LÄN</t>
        </is>
      </c>
      <c r="G172" t="inlineStr">
        <is>
          <t>BODEN</t>
        </is>
      </c>
      <c r="I172" t="n">
        <v>1.8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Vanlig padda</t>
        </is>
      </c>
      <c r="W172">
        <f>HYPERLINK("https://klasma.github.io/Logging_2582/artfynd/A 4878-2026 artfynd.xlsx", "A 4878-2026")</f>
        <v/>
      </c>
      <c r="X172">
        <f>HYPERLINK("https://klasma.github.io/Logging_2582/kartor/A 4878-2026 karta.png", "A 4878-2026")</f>
        <v/>
      </c>
      <c r="Y172">
        <f>HYPERLINK("https://klasma.github.io/Logging_2582/kartor_geotiff/A 4878-2026 georefererad karta.tif", "A 4878-2026")</f>
        <v/>
      </c>
      <c r="AA172">
        <f>HYPERLINK("https://klasma.github.io/Logging_2582/klagomål/A 4878-2026 FSC-klagomål.docx", "A 4878-2026")</f>
        <v/>
      </c>
      <c r="AB172">
        <f>HYPERLINK("https://klasma.github.io/Logging_2582/klagomålsmail/A 4878-2026 FSC-klagomål mail.docx", "A 4878-2026")</f>
        <v/>
      </c>
      <c r="AC172">
        <f>HYPERLINK("https://klasma.github.io/Logging_2582/tillsyn/A 4878-2026 tillsynsbegäran.docx", "A 4878-2026")</f>
        <v/>
      </c>
      <c r="AD172">
        <f>HYPERLINK("https://klasma.github.io/Logging_2582/tillsynsmail/A 4878-2026 tillsynsbegäran mail.docx", "A 4878-2026")</f>
        <v/>
      </c>
    </row>
    <row r="173" ht="15" customHeight="1">
      <c r="A173" t="inlineStr">
        <is>
          <t>A 38511-2025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46311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5.3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Knärot</t>
        </is>
      </c>
      <c r="W173">
        <f>HYPERLINK("https://klasma.github.io/Logging_2582/artfynd/A 38511-2025 artfynd.xlsx", "A 38511-2025")</f>
        <v/>
      </c>
      <c r="X173">
        <f>HYPERLINK("https://klasma.github.io/Logging_2582/kartor/A 38511-2025 karta.png", "A 38511-2025")</f>
        <v/>
      </c>
      <c r="Y173">
        <f>HYPERLINK("https://klasma.github.io/Logging_2582/kartor_geotiff/A 38511-2025 georefererad karta.tif", "A 38511-2025")</f>
        <v/>
      </c>
      <c r="Z173">
        <f>HYPERLINK("https://klasma.github.io/Logging_2582/knärot/A 38511-2025 karta knärot.png", "A 38511-2025")</f>
        <v/>
      </c>
      <c r="AA173">
        <f>HYPERLINK("https://klasma.github.io/Logging_2582/klagomål/A 38511-2025 FSC-klagomål.docx", "A 38511-2025")</f>
        <v/>
      </c>
      <c r="AB173">
        <f>HYPERLINK("https://klasma.github.io/Logging_2582/klagomålsmail/A 38511-2025 FSC-klagomål mail.docx", "A 38511-2025")</f>
        <v/>
      </c>
      <c r="AC173">
        <f>HYPERLINK("https://klasma.github.io/Logging_2582/tillsyn/A 38511-2025 tillsynsbegäran.docx", "A 38511-2025")</f>
        <v/>
      </c>
      <c r="AD173">
        <f>HYPERLINK("https://klasma.github.io/Logging_2582/tillsynsmail/A 38511-2025 tillsynsbegäran mail.docx", "A 38511-2025")</f>
        <v/>
      </c>
    </row>
    <row r="174" ht="15" customHeight="1">
      <c r="A174" t="inlineStr">
        <is>
          <t>A 36130-2026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46311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Vedflamlav</t>
        </is>
      </c>
      <c r="W174">
        <f>HYPERLINK("https://klasma.github.io/Logging_2582/artfynd/A 36130-2026 artfynd.xlsx", "A 36130-2026")</f>
        <v/>
      </c>
      <c r="X174">
        <f>HYPERLINK("https://klasma.github.io/Logging_2582/kartor/A 36130-2026 karta.png", "A 36130-2026")</f>
        <v/>
      </c>
      <c r="Y174">
        <f>HYPERLINK("https://klasma.github.io/Logging_2582/kartor_geotiff/A 36130-2026 georefererad karta.tif", "A 36130-2026")</f>
        <v/>
      </c>
      <c r="AA174">
        <f>HYPERLINK("https://klasma.github.io/Logging_2582/klagomål/A 36130-2026 FSC-klagomål.docx", "A 36130-2026")</f>
        <v/>
      </c>
      <c r="AB174">
        <f>HYPERLINK("https://klasma.github.io/Logging_2582/klagomålsmail/A 36130-2026 FSC-klagomål mail.docx", "A 36130-2026")</f>
        <v/>
      </c>
      <c r="AC174">
        <f>HYPERLINK("https://klasma.github.io/Logging_2582/tillsyn/A 36130-2026 tillsynsbegäran.docx", "A 36130-2026")</f>
        <v/>
      </c>
      <c r="AD174">
        <f>HYPERLINK("https://klasma.github.io/Logging_2582/tillsynsmail/A 36130-2026 tillsynsbegäran mail.docx", "A 36130-2026")</f>
        <v/>
      </c>
    </row>
    <row r="175" ht="15" customHeight="1">
      <c r="A175" t="inlineStr">
        <is>
          <t>S 187-2023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44944</v>
      </c>
      <c r="E175" s="1" t="n">
        <v>46311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407.1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Duvhök</t>
        </is>
      </c>
      <c r="W175">
        <f>HYPERLINK("https://klasma.github.io/Logging_2582/artfynd/S 187-2023 artfynd.xlsx", "S 187-2023")</f>
        <v/>
      </c>
      <c r="X175">
        <f>HYPERLINK("https://klasma.github.io/Logging_2582/kartor/S 187-2023 karta.png", "S 187-2023")</f>
        <v/>
      </c>
      <c r="Y175">
        <f>HYPERLINK("https://klasma.github.io/Logging_2582/kartor_geotiff/S 187-2023 georefererad karta.tif", "S 187-2023")</f>
        <v/>
      </c>
      <c r="AA175">
        <f>HYPERLINK("https://klasma.github.io/Logging_2582/klagomål/S 187-2023 FSC-klagomål.docx", "S 187-2023")</f>
        <v/>
      </c>
      <c r="AB175">
        <f>HYPERLINK("https://klasma.github.io/Logging_2582/klagomålsmail/S 187-2023 FSC-klagomål mail.docx", "S 187-2023")</f>
        <v/>
      </c>
      <c r="AC175">
        <f>HYPERLINK("https://klasma.github.io/Logging_2582/tillsyn/S 187-2023 tillsynsbegäran.docx", "S 187-2023")</f>
        <v/>
      </c>
      <c r="AD175">
        <f>HYPERLINK("https://klasma.github.io/Logging_2582/tillsynsmail/S 187-2023 tillsynsbegäran mail.docx", "S 187-2023")</f>
        <v/>
      </c>
      <c r="AE175">
        <f>HYPERLINK("https://klasma.github.io/Logging_2582/fåglar/S 187-2023 prioriterade fågelarter.docx", "S 187-2023")</f>
        <v/>
      </c>
    </row>
    <row r="176" ht="15" customHeight="1">
      <c r="A176" t="inlineStr">
        <is>
          <t>S 1448-2024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45418</v>
      </c>
      <c r="E176" s="1" t="n">
        <v>46311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Tallticka</t>
        </is>
      </c>
      <c r="W176">
        <f>HYPERLINK("https://klasma.github.io/Logging_2582/artfynd/S 1448-2024 artfynd.xlsx", "S 1448-2024")</f>
        <v/>
      </c>
      <c r="X176">
        <f>HYPERLINK("https://klasma.github.io/Logging_2582/kartor/S 1448-2024 karta.png", "S 1448-2024")</f>
        <v/>
      </c>
      <c r="Y176">
        <f>HYPERLINK("https://klasma.github.io/Logging_2582/kartor_geotiff/S 1448-2024 georefererad karta.tif", "S 1448-2024")</f>
        <v/>
      </c>
      <c r="AA176">
        <f>HYPERLINK("https://klasma.github.io/Logging_2582/klagomål/S 1448-2024 FSC-klagomål.docx", "S 1448-2024")</f>
        <v/>
      </c>
      <c r="AB176">
        <f>HYPERLINK("https://klasma.github.io/Logging_2582/klagomålsmail/S 1448-2024 FSC-klagomål mail.docx", "S 1448-2024")</f>
        <v/>
      </c>
      <c r="AC176">
        <f>HYPERLINK("https://klasma.github.io/Logging_2582/tillsyn/S 1448-2024 tillsynsbegäran.docx", "S 1448-2024")</f>
        <v/>
      </c>
      <c r="AD176">
        <f>HYPERLINK("https://klasma.github.io/Logging_2582/tillsynsmail/S 1448-2024 tillsynsbegäran mail.docx", "S 1448-2024")</f>
        <v/>
      </c>
    </row>
    <row r="177" ht="15" customHeight="1">
      <c r="A177" t="inlineStr">
        <is>
          <t>S 1234-2023</t>
        </is>
      </c>
      <c r="B177" t="inlineStr">
        <is>
          <t>samrådsanmälan</t>
        </is>
      </c>
      <c r="C177" t="inlineStr">
        <is>
          <t>Skogsgödsling</t>
        </is>
      </c>
      <c r="D177" s="1" t="n">
        <v>45028</v>
      </c>
      <c r="E177" s="1" t="n">
        <v>46311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100.1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HYPERLINK("https://klasma.github.io/Logging_2582/artfynd/S 1234-2023 artfynd.xlsx", "S 1234-2023")</f>
        <v/>
      </c>
      <c r="X177">
        <f>HYPERLINK("https://klasma.github.io/Logging_2582/kartor/S 1234-2023 karta.png", "S 1234-2023")</f>
        <v/>
      </c>
      <c r="Y177">
        <f>HYPERLINK("https://klasma.github.io/Logging_2582/kartor_geotiff/S 1234-2023 georefererad karta.tif", "S 1234-2023")</f>
        <v/>
      </c>
      <c r="AA177">
        <f>HYPERLINK("https://klasma.github.io/Logging_2582/klagomål/S 1234-2023 FSC-klagomål.docx", "S 1234-2023")</f>
        <v/>
      </c>
      <c r="AB177">
        <f>HYPERLINK("https://klasma.github.io/Logging_2582/klagomålsmail/S 1234-2023 FSC-klagomål mail.docx", "S 1234-2023")</f>
        <v/>
      </c>
      <c r="AC177">
        <f>HYPERLINK("https://klasma.github.io/Logging_2582/tillsyn/S 1234-2023 tillsynsbegäran.docx", "S 1234-2023")</f>
        <v/>
      </c>
      <c r="AD177">
        <f>HYPERLINK("https://klasma.github.io/Logging_2582/tillsynsmail/S 1234-2023 tillsynsbegäran mail.docx", "S 1234-2023")</f>
        <v/>
      </c>
    </row>
    <row r="178" ht="15" customHeight="1">
      <c r="A178" t="inlineStr">
        <is>
          <t>S 5116-2024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45643</v>
      </c>
      <c r="E178" s="1" t="n">
        <v>46311</v>
      </c>
      <c r="F178" t="inlineStr">
        <is>
          <t>NORRBOTTENS LÄN</t>
        </is>
      </c>
      <c r="G178" t="inlineStr">
        <is>
          <t>BODEN</t>
        </is>
      </c>
      <c r="I178" t="n">
        <v>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Mattlummer</t>
        </is>
      </c>
      <c r="W178">
        <f>HYPERLINK("https://klasma.github.io/Logging_2582/artfynd/S 5116-2024 artfynd.xlsx", "S 5116-2024")</f>
        <v/>
      </c>
      <c r="X178">
        <f>HYPERLINK("https://klasma.github.io/Logging_2582/kartor/S 5116-2024 karta.png", "S 5116-2024")</f>
        <v/>
      </c>
      <c r="Y178">
        <f>HYPERLINK("https://klasma.github.io/Logging_2582/kartor_geotiff/S 5116-2024 georefererad karta.tif", "S 5116-2024")</f>
        <v/>
      </c>
      <c r="AA178">
        <f>HYPERLINK("https://klasma.github.io/Logging_2582/klagomål/S 5116-2024 FSC-klagomål.docx", "S 5116-2024")</f>
        <v/>
      </c>
      <c r="AB178">
        <f>HYPERLINK("https://klasma.github.io/Logging_2582/klagomålsmail/S 5116-2024 FSC-klagomål mail.docx", "S 5116-2024")</f>
        <v/>
      </c>
      <c r="AC178">
        <f>HYPERLINK("https://klasma.github.io/Logging_2582/tillsyn/S 5116-2024 tillsynsbegäran.docx", "S 5116-2024")</f>
        <v/>
      </c>
      <c r="AD178">
        <f>HYPERLINK("https://klasma.github.io/Logging_2582/tillsynsmail/S 5116-2024 tillsynsbegäran mail.docx", "S 5116-2024")</f>
        <v/>
      </c>
    </row>
    <row r="179" ht="15" customHeight="1">
      <c r="A179" t="inlineStr">
        <is>
          <t>S 1634-2025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45799</v>
      </c>
      <c r="E179" s="1" t="n">
        <v>46311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1.9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Knärot</t>
        </is>
      </c>
      <c r="W179">
        <f>HYPERLINK("https://klasma.github.io/Logging_2582/artfynd/S 1634-2025 artfynd.xlsx", "S 1634-2025")</f>
        <v/>
      </c>
      <c r="X179">
        <f>HYPERLINK("https://klasma.github.io/Logging_2582/kartor/S 1634-2025 karta.png", "S 1634-2025")</f>
        <v/>
      </c>
      <c r="Y179">
        <f>HYPERLINK("https://klasma.github.io/Logging_2582/kartor_geotiff/S 1634-2025 georefererad karta.tif", "S 1634-2025")</f>
        <v/>
      </c>
      <c r="Z179">
        <f>HYPERLINK("https://klasma.github.io/Logging_2582/knärot/S 1634-2025 karta knärot.png", "S 1634-2025")</f>
        <v/>
      </c>
      <c r="AA179">
        <f>HYPERLINK("https://klasma.github.io/Logging_2582/klagomål/S 1634-2025 FSC-klagomål.docx", "S 1634-2025")</f>
        <v/>
      </c>
      <c r="AB179">
        <f>HYPERLINK("https://klasma.github.io/Logging_2582/klagomålsmail/S 1634-2025 FSC-klagomål mail.docx", "S 1634-2025")</f>
        <v/>
      </c>
      <c r="AC179">
        <f>HYPERLINK("https://klasma.github.io/Logging_2582/tillsyn/S 1634-2025 tillsynsbegäran.docx", "S 1634-2025")</f>
        <v/>
      </c>
      <c r="AD179">
        <f>HYPERLINK("https://klasma.github.io/Logging_2582/tillsynsmail/S 1634-2025 tillsynsbegäran mail.docx", "S 1634-2025")</f>
        <v/>
      </c>
    </row>
    <row r="180" ht="15" customHeight="1">
      <c r="A180" t="inlineStr">
        <is>
          <t>S 2450-2025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45901</v>
      </c>
      <c r="E180" s="1" t="n">
        <v>46311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HYPERLINK("https://klasma.github.io/Logging_2582/artfynd/S 2450-2025 artfynd.xlsx", "S 2450-2025")</f>
        <v/>
      </c>
      <c r="X180">
        <f>HYPERLINK("https://klasma.github.io/Logging_2582/kartor/S 2450-2025 karta.png", "S 2450-2025")</f>
        <v/>
      </c>
      <c r="Y180">
        <f>HYPERLINK("https://klasma.github.io/Logging_2582/kartor_geotiff/S 2450-2025 georefererad karta.tif", "S 2450-2025")</f>
        <v/>
      </c>
      <c r="AA180">
        <f>HYPERLINK("https://klasma.github.io/Logging_2582/klagomål/S 2450-2025 FSC-klagomål.docx", "S 2450-2025")</f>
        <v/>
      </c>
      <c r="AB180">
        <f>HYPERLINK("https://klasma.github.io/Logging_2582/klagomålsmail/S 2450-2025 FSC-klagomål mail.docx", "S 2450-2025")</f>
        <v/>
      </c>
      <c r="AC180">
        <f>HYPERLINK("https://klasma.github.io/Logging_2582/tillsyn/S 2450-2025 tillsynsbegäran.docx", "S 2450-2025")</f>
        <v/>
      </c>
      <c r="AD180">
        <f>HYPERLINK("https://klasma.github.io/Logging_2582/tillsynsmail/S 2450-2025 tillsynsbegäran mail.docx", "S 2450-2025")</f>
        <v/>
      </c>
    </row>
    <row r="181" ht="15" customHeight="1">
      <c r="A181" t="inlineStr">
        <is>
          <t>S 2940-2025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45952</v>
      </c>
      <c r="E181" s="1" t="n">
        <v>46311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0.7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Skinnlav</t>
        </is>
      </c>
      <c r="W181">
        <f>HYPERLINK("https://klasma.github.io/Logging_2582/artfynd/S 2940-2025 artfynd.xlsx", "S 2940-2025")</f>
        <v/>
      </c>
      <c r="X181">
        <f>HYPERLINK("https://klasma.github.io/Logging_2582/kartor/S 2940-2025 karta.png", "S 2940-2025")</f>
        <v/>
      </c>
      <c r="Y181">
        <f>HYPERLINK("https://klasma.github.io/Logging_2582/kartor_geotiff/S 2940-2025 georefererad karta.tif", "S 2940-2025")</f>
        <v/>
      </c>
      <c r="AA181">
        <f>HYPERLINK("https://klasma.github.io/Logging_2582/klagomål/S 2940-2025 FSC-klagomål.docx", "S 2940-2025")</f>
        <v/>
      </c>
      <c r="AB181">
        <f>HYPERLINK("https://klasma.github.io/Logging_2582/klagomålsmail/S 2940-2025 FSC-klagomål mail.docx", "S 2940-2025")</f>
        <v/>
      </c>
      <c r="AC181">
        <f>HYPERLINK("https://klasma.github.io/Logging_2582/tillsyn/S 2940-2025 tillsynsbegäran.docx", "S 2940-2025")</f>
        <v/>
      </c>
      <c r="AD181">
        <f>HYPERLINK("https://klasma.github.io/Logging_2582/tillsynsmail/S 2940-2025 tillsynsbegäran mail.docx", "S 2940-2025")</f>
        <v/>
      </c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46311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46311</v>
      </c>
      <c r="F183" t="inlineStr">
        <is>
          <t>NORRBOTTENS LÄN</t>
        </is>
      </c>
      <c r="G183" t="inlineStr">
        <is>
          <t>BODEN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44577</v>
      </c>
      <c r="E184" s="1" t="n">
        <v>46311</v>
      </c>
      <c r="F184" t="inlineStr">
        <is>
          <t>NORRBOTTENS LÄN</t>
        </is>
      </c>
      <c r="G184" t="inlineStr">
        <is>
          <t>BODEN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46311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46311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46311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46311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46311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46311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46311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46311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46311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46311</v>
      </c>
      <c r="F194" t="inlineStr">
        <is>
          <t>NORRBOTTENS LÄN</t>
        </is>
      </c>
      <c r="G194" t="inlineStr">
        <is>
          <t>BODEN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46311</v>
      </c>
      <c r="F195" t="inlineStr">
        <is>
          <t>NORRBOTTENS LÄN</t>
        </is>
      </c>
      <c r="G195" t="inlineStr">
        <is>
          <t>BODEN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16478-2022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46311</v>
      </c>
      <c r="F196" t="inlineStr">
        <is>
          <t>NORRBOTTENS LÄN</t>
        </is>
      </c>
      <c r="G196" t="inlineStr">
        <is>
          <t>BODEN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46311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46311</v>
      </c>
      <c r="F198" t="inlineStr">
        <is>
          <t>NORRBOTTENS LÄN</t>
        </is>
      </c>
      <c r="G198" t="inlineStr">
        <is>
          <t>BODEN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46311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46311</v>
      </c>
      <c r="F200" t="inlineStr">
        <is>
          <t>NORRBOTTENS LÄN</t>
        </is>
      </c>
      <c r="G200" t="inlineStr">
        <is>
          <t>BODEN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13552-2022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46311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46311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46311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46311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46311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46311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46311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46311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46311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46311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46311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46311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46311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46311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46311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46311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46311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46311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46311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46311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46311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46311</v>
      </c>
      <c r="F222" t="inlineStr">
        <is>
          <t>NORRBOTTENS LÄN</t>
        </is>
      </c>
      <c r="G222" t="inlineStr">
        <is>
          <t>BODEN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46311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46311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46311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38213-2022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46311</v>
      </c>
      <c r="F226" t="inlineStr">
        <is>
          <t>NORRBOTTENS LÄN</t>
        </is>
      </c>
      <c r="G226" t="inlineStr">
        <is>
          <t>BODEN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46311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45672</v>
      </c>
      <c r="E228" s="1" t="n">
        <v>46311</v>
      </c>
      <c r="F228" t="inlineStr">
        <is>
          <t>NORRBOTTENS LÄN</t>
        </is>
      </c>
      <c r="G228" t="inlineStr">
        <is>
          <t>BODEN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46311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46311</v>
      </c>
      <c r="F230" t="inlineStr">
        <is>
          <t>NORRBOTTENS LÄN</t>
        </is>
      </c>
      <c r="G230" t="inlineStr">
        <is>
          <t>BODEN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46311</v>
      </c>
      <c r="F231" t="inlineStr">
        <is>
          <t>NORRBOTTENS LÄN</t>
        </is>
      </c>
      <c r="G231" t="inlineStr">
        <is>
          <t>BODEN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46311</v>
      </c>
      <c r="F232" t="inlineStr">
        <is>
          <t>NORRBOTTENS LÄN</t>
        </is>
      </c>
      <c r="G232" t="inlineStr">
        <is>
          <t>BODEN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46311</v>
      </c>
      <c r="F233" t="inlineStr">
        <is>
          <t>NORRBOTTENS LÄN</t>
        </is>
      </c>
      <c r="G233" t="inlineStr">
        <is>
          <t>BODEN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46311</v>
      </c>
      <c r="F234" t="inlineStr">
        <is>
          <t>NORRBOTTENS LÄN</t>
        </is>
      </c>
      <c r="G234" t="inlineStr">
        <is>
          <t>BODEN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46311</v>
      </c>
      <c r="F235" t="inlineStr">
        <is>
          <t>NORRBOTTENS LÄN</t>
        </is>
      </c>
      <c r="G235" t="inlineStr">
        <is>
          <t>BODEN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46311</v>
      </c>
      <c r="F236" t="inlineStr">
        <is>
          <t>NORRBOTTENS LÄN</t>
        </is>
      </c>
      <c r="G236" t="inlineStr">
        <is>
          <t>BODEN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46311</v>
      </c>
      <c r="F237" t="inlineStr">
        <is>
          <t>NORRBOTTENS LÄN</t>
        </is>
      </c>
      <c r="G237" t="inlineStr">
        <is>
          <t>BODEN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67438-2021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44524</v>
      </c>
      <c r="E238" s="1" t="n">
        <v>46311</v>
      </c>
      <c r="F238" t="inlineStr">
        <is>
          <t>NORRBOTTENS LÄN</t>
        </is>
      </c>
      <c r="G238" t="inlineStr">
        <is>
          <t>BODEN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46311</v>
      </c>
      <c r="F239" t="inlineStr">
        <is>
          <t>NORRBOTTENS LÄN</t>
        </is>
      </c>
      <c r="G239" t="inlineStr">
        <is>
          <t>BODEN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46311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45546</v>
      </c>
      <c r="E241" s="1" t="n">
        <v>46311</v>
      </c>
      <c r="F241" t="inlineStr">
        <is>
          <t>NORRBOTTENS LÄN</t>
        </is>
      </c>
      <c r="G241" t="inlineStr">
        <is>
          <t>BODEN</t>
        </is>
      </c>
      <c r="H241" t="inlineStr">
        <is>
          <t>Sveaskog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45464</v>
      </c>
      <c r="E242" s="1" t="n">
        <v>46311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45243</v>
      </c>
      <c r="E243" s="1" t="n">
        <v>46311</v>
      </c>
      <c r="F243" t="inlineStr">
        <is>
          <t>NORRBOTTENS LÄN</t>
        </is>
      </c>
      <c r="G243" t="inlineStr">
        <is>
          <t>BODEN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43969-2024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45572</v>
      </c>
      <c r="E244" s="1" t="n">
        <v>46311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46311</v>
      </c>
      <c r="F245" t="inlineStr">
        <is>
          <t>NORRBOTTENS LÄN</t>
        </is>
      </c>
      <c r="G245" t="inlineStr">
        <is>
          <t>BODEN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45248</v>
      </c>
      <c r="E246" s="1" t="n">
        <v>46311</v>
      </c>
      <c r="F246" t="inlineStr">
        <is>
          <t>NORRBOTTENS LÄN</t>
        </is>
      </c>
      <c r="G246" t="inlineStr">
        <is>
          <t>BODEN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46311</v>
      </c>
      <c r="F247" t="inlineStr">
        <is>
          <t>NORRBOTTENS LÄN</t>
        </is>
      </c>
      <c r="G247" t="inlineStr">
        <is>
          <t>BODEN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45429</v>
      </c>
      <c r="E248" s="1" t="n">
        <v>46311</v>
      </c>
      <c r="F248" t="inlineStr">
        <is>
          <t>NORRBOTTENS LÄN</t>
        </is>
      </c>
      <c r="G248" t="inlineStr">
        <is>
          <t>BODEN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46311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46311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13.9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49127-2023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45210</v>
      </c>
      <c r="E251" s="1" t="n">
        <v>46311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46311</v>
      </c>
      <c r="F252" t="inlineStr">
        <is>
          <t>NORRBOTTENS LÄN</t>
        </is>
      </c>
      <c r="G252" t="inlineStr">
        <is>
          <t>BODEN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45766</v>
      </c>
      <c r="E253" s="1" t="n">
        <v>46311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46311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46311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44565</v>
      </c>
      <c r="E256" s="1" t="n">
        <v>46311</v>
      </c>
      <c r="F256" t="inlineStr">
        <is>
          <t>NORRBOTTENS LÄN</t>
        </is>
      </c>
      <c r="G256" t="inlineStr">
        <is>
          <t>BODEN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46311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46311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45427</v>
      </c>
      <c r="E259" s="1" t="n">
        <v>46311</v>
      </c>
      <c r="F259" t="inlineStr">
        <is>
          <t>NORRBOTTENS LÄN</t>
        </is>
      </c>
      <c r="G259" t="inlineStr">
        <is>
          <t>BODEN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46311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46311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45481</v>
      </c>
      <c r="E262" s="1" t="n">
        <v>46311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45358</v>
      </c>
      <c r="E263" s="1" t="n">
        <v>46311</v>
      </c>
      <c r="F263" t="inlineStr">
        <is>
          <t>NORRBOTTENS LÄN</t>
        </is>
      </c>
      <c r="G263" t="inlineStr">
        <is>
          <t>BODEN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46311</v>
      </c>
      <c r="F264" t="inlineStr">
        <is>
          <t>NORRBOTTENS LÄN</t>
        </is>
      </c>
      <c r="G264" t="inlineStr">
        <is>
          <t>BODEN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45070</v>
      </c>
      <c r="E265" s="1" t="n">
        <v>46311</v>
      </c>
      <c r="F265" t="inlineStr">
        <is>
          <t>NORRBOTTENS LÄN</t>
        </is>
      </c>
      <c r="G265" t="inlineStr">
        <is>
          <t>BODEN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46311</v>
      </c>
      <c r="F266" t="inlineStr">
        <is>
          <t>NORRBOTTENS LÄN</t>
        </is>
      </c>
      <c r="G266" t="inlineStr">
        <is>
          <t>BODEN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28270-2025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45818</v>
      </c>
      <c r="E267" s="1" t="n">
        <v>46311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68591-2021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46311</v>
      </c>
      <c r="F268" t="inlineStr">
        <is>
          <t>NORRBOTTENS LÄN</t>
        </is>
      </c>
      <c r="G268" t="inlineStr">
        <is>
          <t>BODEN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46311</v>
      </c>
      <c r="F269" t="inlineStr">
        <is>
          <t>NORRBOTTENS LÄN</t>
        </is>
      </c>
      <c r="G269" t="inlineStr">
        <is>
          <t>BODEN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46311</v>
      </c>
      <c r="F270" t="inlineStr">
        <is>
          <t>NORRBOTTENS LÄN</t>
        </is>
      </c>
      <c r="G270" t="inlineStr">
        <is>
          <t>BODEN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46311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46311</v>
      </c>
      <c r="F272" t="inlineStr">
        <is>
          <t>NORRBOTTENS LÄN</t>
        </is>
      </c>
      <c r="G272" t="inlineStr">
        <is>
          <t>BODEN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45301</v>
      </c>
      <c r="E273" s="1" t="n">
        <v>46311</v>
      </c>
      <c r="F273" t="inlineStr">
        <is>
          <t>NORRBOTTENS LÄN</t>
        </is>
      </c>
      <c r="G273" t="inlineStr">
        <is>
          <t>BODEN</t>
        </is>
      </c>
      <c r="H273" t="inlineStr">
        <is>
          <t>Övriga statliga verk och myndigheter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46311</v>
      </c>
      <c r="F274" t="inlineStr">
        <is>
          <t>NORRBOTTENS LÄN</t>
        </is>
      </c>
      <c r="G274" t="inlineStr">
        <is>
          <t>BODEN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46311</v>
      </c>
      <c r="F275" t="inlineStr">
        <is>
          <t>NORRBOTTENS LÄN</t>
        </is>
      </c>
      <c r="G275" t="inlineStr">
        <is>
          <t>BODEN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46311</v>
      </c>
      <c r="F276" t="inlineStr">
        <is>
          <t>NORRBOTTENS LÄN</t>
        </is>
      </c>
      <c r="G276" t="inlineStr">
        <is>
          <t>BODEN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46311</v>
      </c>
      <c r="F277" t="inlineStr">
        <is>
          <t>NORRBOTTENS LÄN</t>
        </is>
      </c>
      <c r="G277" t="inlineStr">
        <is>
          <t>BODEN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45102</v>
      </c>
      <c r="E278" s="1" t="n">
        <v>46311</v>
      </c>
      <c r="F278" t="inlineStr">
        <is>
          <t>NORRBOTTENS LÄN</t>
        </is>
      </c>
      <c r="G278" t="inlineStr">
        <is>
          <t>BODEN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48592-2024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45593</v>
      </c>
      <c r="E279" s="1" t="n">
        <v>46311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46311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31487-2025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45833</v>
      </c>
      <c r="E281" s="1" t="n">
        <v>46311</v>
      </c>
      <c r="F281" t="inlineStr">
        <is>
          <t>NORRBOTTENS LÄN</t>
        </is>
      </c>
      <c r="G281" t="inlineStr">
        <is>
          <t>BODEN</t>
        </is>
      </c>
      <c r="H281" t="inlineStr">
        <is>
          <t>Övriga Aktiebolag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45649</v>
      </c>
      <c r="E282" s="1" t="n">
        <v>46311</v>
      </c>
      <c r="F282" t="inlineStr">
        <is>
          <t>NORRBOTTENS LÄN</t>
        </is>
      </c>
      <c r="G282" t="inlineStr">
        <is>
          <t>BODEN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46311</v>
      </c>
      <c r="F283" t="inlineStr">
        <is>
          <t>NORRBOTTENS LÄN</t>
        </is>
      </c>
      <c r="G283" t="inlineStr">
        <is>
          <t>BODEN</t>
        </is>
      </c>
      <c r="H283" t="inlineStr">
        <is>
          <t>Övriga Aktiebolag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46311</v>
      </c>
      <c r="F284" t="inlineStr">
        <is>
          <t>NORRBOTTENS LÄN</t>
        </is>
      </c>
      <c r="G284" t="inlineStr">
        <is>
          <t>BODEN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46311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46311</v>
      </c>
      <c r="F286" t="inlineStr">
        <is>
          <t>NORRBOTTENS LÄN</t>
        </is>
      </c>
      <c r="G286" t="inlineStr">
        <is>
          <t>BODEN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46311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45512</v>
      </c>
      <c r="E288" s="1" t="n">
        <v>46311</v>
      </c>
      <c r="F288" t="inlineStr">
        <is>
          <t>NORRBOTTENS LÄN</t>
        </is>
      </c>
      <c r="G288" t="inlineStr">
        <is>
          <t>BODEN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46311</v>
      </c>
      <c r="F289" t="inlineStr">
        <is>
          <t>NORRBOTTENS LÄN</t>
        </is>
      </c>
      <c r="G289" t="inlineStr">
        <is>
          <t>BODEN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33130-2025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45840</v>
      </c>
      <c r="E290" s="1" t="n">
        <v>46311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74264-2021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44558</v>
      </c>
      <c r="E291" s="1" t="n">
        <v>46311</v>
      </c>
      <c r="F291" t="inlineStr">
        <is>
          <t>NORRBOTTENS LÄN</t>
        </is>
      </c>
      <c r="G291" t="inlineStr">
        <is>
          <t>BODEN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45406</v>
      </c>
      <c r="E292" s="1" t="n">
        <v>46311</v>
      </c>
      <c r="F292" t="inlineStr">
        <is>
          <t>NORRBOTTENS LÄN</t>
        </is>
      </c>
      <c r="G292" t="inlineStr">
        <is>
          <t>BODEN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45843</v>
      </c>
      <c r="E293" s="1" t="n">
        <v>46311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44489</v>
      </c>
      <c r="E294" s="1" t="n">
        <v>46311</v>
      </c>
      <c r="F294" t="inlineStr">
        <is>
          <t>NORRBOTTENS LÄN</t>
        </is>
      </c>
      <c r="G294" t="inlineStr">
        <is>
          <t>BODEN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54590-2022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44883</v>
      </c>
      <c r="E295" s="1" t="n">
        <v>46311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46311</v>
      </c>
      <c r="F296" t="inlineStr">
        <is>
          <t>NORRBOTTENS LÄN</t>
        </is>
      </c>
      <c r="G296" t="inlineStr">
        <is>
          <t>BODEN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46311</v>
      </c>
      <c r="F297" t="inlineStr">
        <is>
          <t>NORRBOTTENS LÄN</t>
        </is>
      </c>
      <c r="G297" t="inlineStr">
        <is>
          <t>BODEN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44908</v>
      </c>
      <c r="E298" s="1" t="n">
        <v>46311</v>
      </c>
      <c r="F298" t="inlineStr">
        <is>
          <t>NORRBOTTENS LÄN</t>
        </is>
      </c>
      <c r="G298" t="inlineStr">
        <is>
          <t>BODEN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46311</v>
      </c>
      <c r="F299" t="inlineStr">
        <is>
          <t>NORRBOTTENS LÄN</t>
        </is>
      </c>
      <c r="G299" t="inlineStr">
        <is>
          <t>BODEN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60466-2024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45643</v>
      </c>
      <c r="E300" s="1" t="n">
        <v>46311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45419</v>
      </c>
      <c r="E301" s="1" t="n">
        <v>46311</v>
      </c>
      <c r="F301" t="inlineStr">
        <is>
          <t>NORRBOTTENS LÄN</t>
        </is>
      </c>
      <c r="G301" t="inlineStr">
        <is>
          <t>BODEN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45358</v>
      </c>
      <c r="E302" s="1" t="n">
        <v>46311</v>
      </c>
      <c r="F302" t="inlineStr">
        <is>
          <t>NORRBOTTENS LÄN</t>
        </is>
      </c>
      <c r="G302" t="inlineStr">
        <is>
          <t>BODEN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45674</v>
      </c>
      <c r="E303" s="1" t="n">
        <v>46311</v>
      </c>
      <c r="F303" t="inlineStr">
        <is>
          <t>NORRBOTTENS LÄN</t>
        </is>
      </c>
      <c r="G303" t="inlineStr">
        <is>
          <t>BODEN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46311</v>
      </c>
      <c r="F304" t="inlineStr">
        <is>
          <t>NORRBOTTENS LÄN</t>
        </is>
      </c>
      <c r="G304" t="inlineStr">
        <is>
          <t>BODEN</t>
        </is>
      </c>
      <c r="I304" t="n">
        <v>22.7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46311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45863</v>
      </c>
      <c r="E306" s="1" t="n">
        <v>46311</v>
      </c>
      <c r="F306" t="inlineStr">
        <is>
          <t>NORRBOTTENS LÄN</t>
        </is>
      </c>
      <c r="G306" t="inlineStr">
        <is>
          <t>BODEN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46311</v>
      </c>
      <c r="F307" t="inlineStr">
        <is>
          <t>NORRBOTTENS LÄN</t>
        </is>
      </c>
      <c r="G307" t="inlineStr">
        <is>
          <t>BODEN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32906-2024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45516</v>
      </c>
      <c r="E308" s="1" t="n">
        <v>46311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45516</v>
      </c>
      <c r="E309" s="1" t="n">
        <v>46311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45838</v>
      </c>
      <c r="E310" s="1" t="n">
        <v>46311</v>
      </c>
      <c r="F310" t="inlineStr">
        <is>
          <t>NORRBOTTENS LÄN</t>
        </is>
      </c>
      <c r="G310" t="inlineStr">
        <is>
          <t>BODEN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45456</v>
      </c>
      <c r="E311" s="1" t="n">
        <v>46311</v>
      </c>
      <c r="F311" t="inlineStr">
        <is>
          <t>NORRBOTTENS LÄN</t>
        </is>
      </c>
      <c r="G311" t="inlineStr">
        <is>
          <t>BODEN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46311</v>
      </c>
      <c r="F312" t="inlineStr">
        <is>
          <t>NORRBOTTENS LÄN</t>
        </is>
      </c>
      <c r="G312" t="inlineStr">
        <is>
          <t>BODEN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45110</v>
      </c>
      <c r="E313" s="1" t="n">
        <v>46311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46311</v>
      </c>
      <c r="F314" t="inlineStr">
        <is>
          <t>NORRBOTTENS LÄN</t>
        </is>
      </c>
      <c r="G314" t="inlineStr">
        <is>
          <t>BODEN</t>
        </is>
      </c>
      <c r="H314" t="inlineStr">
        <is>
          <t>Naturvårdsverket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46311</v>
      </c>
      <c r="F315" t="inlineStr">
        <is>
          <t>NORRBOTTENS LÄN</t>
        </is>
      </c>
      <c r="G315" t="inlineStr">
        <is>
          <t>BODEN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45868</v>
      </c>
      <c r="E316" s="1" t="n">
        <v>46311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37404-2025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45877</v>
      </c>
      <c r="E317" s="1" t="n">
        <v>46311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46311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46311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45881</v>
      </c>
      <c r="E320" s="1" t="n">
        <v>46311</v>
      </c>
      <c r="F320" t="inlineStr">
        <is>
          <t>NORRBOTTENS LÄN</t>
        </is>
      </c>
      <c r="G320" t="inlineStr">
        <is>
          <t>BODEN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45882</v>
      </c>
      <c r="E321" s="1" t="n">
        <v>46311</v>
      </c>
      <c r="F321" t="inlineStr">
        <is>
          <t>NORRBOTTENS LÄN</t>
        </is>
      </c>
      <c r="G321" t="inlineStr">
        <is>
          <t>BODEN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38288-2025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45882</v>
      </c>
      <c r="E322" s="1" t="n">
        <v>46311</v>
      </c>
      <c r="F322" t="inlineStr">
        <is>
          <t>NORRBOTTENS LÄN</t>
        </is>
      </c>
      <c r="G322" t="inlineStr">
        <is>
          <t>BODEN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46311</v>
      </c>
      <c r="F323" t="inlineStr">
        <is>
          <t>NORRBOTTENS LÄN</t>
        </is>
      </c>
      <c r="G323" t="inlineStr">
        <is>
          <t>BODEN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46311</v>
      </c>
      <c r="F324" t="inlineStr">
        <is>
          <t>NORRBOTTENS LÄN</t>
        </is>
      </c>
      <c r="G324" t="inlineStr">
        <is>
          <t>BODEN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46311</v>
      </c>
      <c r="F325" t="inlineStr">
        <is>
          <t>NORRBOTTENS LÄN</t>
        </is>
      </c>
      <c r="G325" t="inlineStr">
        <is>
          <t>BODEN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46311</v>
      </c>
      <c r="F326" t="inlineStr">
        <is>
          <t>NORRBOTTENS LÄN</t>
        </is>
      </c>
      <c r="G326" t="inlineStr">
        <is>
          <t>BODEN</t>
        </is>
      </c>
      <c r="I326" t="n">
        <v>13.9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45574</v>
      </c>
      <c r="E327" s="1" t="n">
        <v>46311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46311</v>
      </c>
      <c r="F328" t="inlineStr">
        <is>
          <t>NORRBOTTENS LÄN</t>
        </is>
      </c>
      <c r="G328" t="inlineStr">
        <is>
          <t>BODEN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44567-2024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45574</v>
      </c>
      <c r="E329" s="1" t="n">
        <v>46311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46311</v>
      </c>
      <c r="F330" t="inlineStr">
        <is>
          <t>NORRBOTTENS LÄN</t>
        </is>
      </c>
      <c r="G330" t="inlineStr">
        <is>
          <t>BODEN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45429</v>
      </c>
      <c r="E331" s="1" t="n">
        <v>46311</v>
      </c>
      <c r="F331" t="inlineStr">
        <is>
          <t>NORRBOTTENS LÄN</t>
        </is>
      </c>
      <c r="G331" t="inlineStr">
        <is>
          <t>BODEN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64649-2023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45281</v>
      </c>
      <c r="E332" s="1" t="n">
        <v>46311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68611-2021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44529</v>
      </c>
      <c r="E333" s="1" t="n">
        <v>46311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11651-2023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44994</v>
      </c>
      <c r="E334" s="1" t="n">
        <v>46311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46311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45897</v>
      </c>
      <c r="E336" s="1" t="n">
        <v>46311</v>
      </c>
      <c r="F336" t="inlineStr">
        <is>
          <t>NORRBOTTENS LÄN</t>
        </is>
      </c>
      <c r="G336" t="inlineStr">
        <is>
          <t>BODEN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46311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46311</v>
      </c>
      <c r="F338" t="inlineStr">
        <is>
          <t>NORRBOTTENS LÄN</t>
        </is>
      </c>
      <c r="G338" t="inlineStr">
        <is>
          <t>BODEN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46311</v>
      </c>
      <c r="F339" t="inlineStr">
        <is>
          <t>NORRBOTTENS LÄN</t>
        </is>
      </c>
      <c r="G339" t="inlineStr">
        <is>
          <t>BODEN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56163-2022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46311</v>
      </c>
      <c r="F340" t="inlineStr">
        <is>
          <t>NORRBOTTENS LÄN</t>
        </is>
      </c>
      <c r="G340" t="inlineStr">
        <is>
          <t>BODEN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46311</v>
      </c>
      <c r="F341" t="inlineStr">
        <is>
          <t>NORRBOTTENS LÄN</t>
        </is>
      </c>
      <c r="G341" t="inlineStr">
        <is>
          <t>BODEN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46311</v>
      </c>
      <c r="F342" t="inlineStr">
        <is>
          <t>NORRBOTTENS LÄN</t>
        </is>
      </c>
      <c r="G342" t="inlineStr">
        <is>
          <t>BODEN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46311</v>
      </c>
      <c r="F343" t="inlineStr">
        <is>
          <t>NORRBOTTENS LÄN</t>
        </is>
      </c>
      <c r="G343" t="inlineStr">
        <is>
          <t>BODEN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44983</v>
      </c>
      <c r="E344" s="1" t="n">
        <v>46311</v>
      </c>
      <c r="F344" t="inlineStr">
        <is>
          <t>NORRBOTTENS LÄN</t>
        </is>
      </c>
      <c r="G344" t="inlineStr">
        <is>
          <t>BODEN</t>
        </is>
      </c>
      <c r="I344" t="n">
        <v>37.1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46311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46311</v>
      </c>
      <c r="F346" t="inlineStr">
        <is>
          <t>NORRBOTTENS LÄN</t>
        </is>
      </c>
      <c r="G346" t="inlineStr">
        <is>
          <t>BODEN</t>
        </is>
      </c>
      <c r="I346" t="n">
        <v>16.1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54718-2024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45618</v>
      </c>
      <c r="E347" s="1" t="n">
        <v>46311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68565-2021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46311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14245-2026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46099</v>
      </c>
      <c r="E349" s="1" t="n">
        <v>46311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46311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statliga verk och myndigheter</t>
        </is>
      </c>
      <c r="I350" t="n">
        <v>11.5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46311</v>
      </c>
      <c r="F351" t="inlineStr">
        <is>
          <t>NORRBOTTENS LÄN</t>
        </is>
      </c>
      <c r="G351" t="inlineStr">
        <is>
          <t>BODEN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45691</v>
      </c>
      <c r="E352" s="1" t="n">
        <v>46311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46311</v>
      </c>
      <c r="F353" t="inlineStr">
        <is>
          <t>NORRBOTTENS LÄN</t>
        </is>
      </c>
      <c r="G353" t="inlineStr">
        <is>
          <t>BODEN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46311</v>
      </c>
      <c r="F354" t="inlineStr">
        <is>
          <t>NORRBOTTENS LÄN</t>
        </is>
      </c>
      <c r="G354" t="inlineStr">
        <is>
          <t>BODEN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46311</v>
      </c>
      <c r="F355" t="inlineStr">
        <is>
          <t>NORRBOTTENS LÄN</t>
        </is>
      </c>
      <c r="G355" t="inlineStr">
        <is>
          <t>BODEN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45772</v>
      </c>
      <c r="E356" s="1" t="n">
        <v>46311</v>
      </c>
      <c r="F356" t="inlineStr">
        <is>
          <t>NORRBOTTENS LÄN</t>
        </is>
      </c>
      <c r="G356" t="inlineStr">
        <is>
          <t>BODEN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6776-2023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46311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41691-2025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45902</v>
      </c>
      <c r="E358" s="1" t="n">
        <v>46311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46311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45132</v>
      </c>
      <c r="E360" s="1" t="n">
        <v>46311</v>
      </c>
      <c r="F360" t="inlineStr">
        <is>
          <t>NORRBOTTENS LÄN</t>
        </is>
      </c>
      <c r="G360" t="inlineStr">
        <is>
          <t>BODEN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45901</v>
      </c>
      <c r="E361" s="1" t="n">
        <v>46311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46311</v>
      </c>
      <c r="F362" t="inlineStr">
        <is>
          <t>NORRBOTTENS LÄN</t>
        </is>
      </c>
      <c r="G362" t="inlineStr">
        <is>
          <t>BODEN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67068-2021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44522</v>
      </c>
      <c r="E363" s="1" t="n">
        <v>46311</v>
      </c>
      <c r="F363" t="inlineStr">
        <is>
          <t>NORRBOTTENS LÄN</t>
        </is>
      </c>
      <c r="G363" t="inlineStr">
        <is>
          <t>BODEN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61260-2023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46311</v>
      </c>
      <c r="F364" t="inlineStr">
        <is>
          <t>NORRBOTTENS LÄN</t>
        </is>
      </c>
      <c r="G364" t="inlineStr">
        <is>
          <t>BODEN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45591</v>
      </c>
      <c r="E365" s="1" t="n">
        <v>46311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8120-2022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44609</v>
      </c>
      <c r="E366" s="1" t="n">
        <v>46311</v>
      </c>
      <c r="F366" t="inlineStr">
        <is>
          <t>NORRBOTTENS LÄN</t>
        </is>
      </c>
      <c r="G366" t="inlineStr">
        <is>
          <t>BODEN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45653</v>
      </c>
      <c r="E367" s="1" t="n">
        <v>46311</v>
      </c>
      <c r="F367" t="inlineStr">
        <is>
          <t>NORRBOTTENS LÄN</t>
        </is>
      </c>
      <c r="G367" t="inlineStr">
        <is>
          <t>BODEN</t>
        </is>
      </c>
      <c r="I367" t="n">
        <v>47.3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46311</v>
      </c>
      <c r="F368" t="inlineStr">
        <is>
          <t>NORRBOTTENS LÄN</t>
        </is>
      </c>
      <c r="G368" t="inlineStr">
        <is>
          <t>BODEN</t>
        </is>
      </c>
      <c r="I368" t="n">
        <v>19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45161</v>
      </c>
      <c r="E369" s="1" t="n">
        <v>46311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46311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46311</v>
      </c>
      <c r="F371" t="inlineStr">
        <is>
          <t>NORRBOTTENS LÄN</t>
        </is>
      </c>
      <c r="G371" t="inlineStr">
        <is>
          <t>BODEN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45523</v>
      </c>
      <c r="E372" s="1" t="n">
        <v>46311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46311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34760-2022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44795</v>
      </c>
      <c r="E374" s="1" t="n">
        <v>46311</v>
      </c>
      <c r="F374" t="inlineStr">
        <is>
          <t>NORRBOTTENS LÄN</t>
        </is>
      </c>
      <c r="G374" t="inlineStr">
        <is>
          <t>BODEN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46311</v>
      </c>
      <c r="F375" t="inlineStr">
        <is>
          <t>NORRBOTTENS LÄN</t>
        </is>
      </c>
      <c r="G375" t="inlineStr">
        <is>
          <t>BODEN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45587</v>
      </c>
      <c r="E376" s="1" t="n">
        <v>46311</v>
      </c>
      <c r="F376" t="inlineStr">
        <is>
          <t>NORRBOTTENS LÄN</t>
        </is>
      </c>
      <c r="G376" t="inlineStr">
        <is>
          <t>BODEN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46901-2024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45583</v>
      </c>
      <c r="E377" s="1" t="n">
        <v>46311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46126</v>
      </c>
      <c r="E378" s="1" t="n">
        <v>46311</v>
      </c>
      <c r="F378" t="inlineStr">
        <is>
          <t>NORRBOTTENS LÄN</t>
        </is>
      </c>
      <c r="G378" t="inlineStr">
        <is>
          <t>BODEN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50327-2023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45216</v>
      </c>
      <c r="E379" s="1" t="n">
        <v>46311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45596</v>
      </c>
      <c r="E380" s="1" t="n">
        <v>46311</v>
      </c>
      <c r="F380" t="inlineStr">
        <is>
          <t>NORRBOTTENS LÄN</t>
        </is>
      </c>
      <c r="G380" t="inlineStr">
        <is>
          <t>BODEN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46311</v>
      </c>
      <c r="F381" t="inlineStr">
        <is>
          <t>NORRBOTTENS LÄN</t>
        </is>
      </c>
      <c r="G381" t="inlineStr">
        <is>
          <t>BODEN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46311</v>
      </c>
      <c r="F382" t="inlineStr">
        <is>
          <t>NORRBOTTENS LÄN</t>
        </is>
      </c>
      <c r="G382" t="inlineStr">
        <is>
          <t>BODEN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46311</v>
      </c>
      <c r="F383" t="inlineStr">
        <is>
          <t>NORRBOTTENS LÄN</t>
        </is>
      </c>
      <c r="G383" t="inlineStr">
        <is>
          <t>BODEN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706-2022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44566</v>
      </c>
      <c r="E384" s="1" t="n">
        <v>46311</v>
      </c>
      <c r="F384" t="inlineStr">
        <is>
          <t>NORRBOTTENS LÄN</t>
        </is>
      </c>
      <c r="G384" t="inlineStr">
        <is>
          <t>BODEN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45649</v>
      </c>
      <c r="E385" s="1" t="n">
        <v>46311</v>
      </c>
      <c r="F385" t="inlineStr">
        <is>
          <t>NORRBOTTENS LÄN</t>
        </is>
      </c>
      <c r="G385" t="inlineStr">
        <is>
          <t>BODEN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46126</v>
      </c>
      <c r="E386" s="1" t="n">
        <v>46311</v>
      </c>
      <c r="F386" t="inlineStr">
        <is>
          <t>NORRBOTTENS LÄN</t>
        </is>
      </c>
      <c r="G386" t="inlineStr">
        <is>
          <t>BODEN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46311</v>
      </c>
      <c r="F387" t="inlineStr">
        <is>
          <t>NORRBOTTENS LÄN</t>
        </is>
      </c>
      <c r="G387" t="inlineStr">
        <is>
          <t>BODEN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46311</v>
      </c>
      <c r="F388" t="inlineStr">
        <is>
          <t>NORRBOTTENS LÄN</t>
        </is>
      </c>
      <c r="G388" t="inlineStr">
        <is>
          <t>BODEN</t>
        </is>
      </c>
      <c r="I388" t="n">
        <v>11.7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46311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24400-2022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46311</v>
      </c>
      <c r="F390" t="inlineStr">
        <is>
          <t>NORRBOTTENS LÄN</t>
        </is>
      </c>
      <c r="G390" t="inlineStr">
        <is>
          <t>BODEN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46311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46311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12893-2022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44642</v>
      </c>
      <c r="E393" s="1" t="n">
        <v>46311</v>
      </c>
      <c r="F393" t="inlineStr">
        <is>
          <t>NORRBOTTENS LÄN</t>
        </is>
      </c>
      <c r="G393" t="inlineStr">
        <is>
          <t>BODEN</t>
        </is>
      </c>
      <c r="H393" t="inlineStr">
        <is>
          <t>Övriga statliga verk och myndigheter</t>
        </is>
      </c>
      <c r="I393" t="n">
        <v>15.8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38994-2024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45548</v>
      </c>
      <c r="E394" s="1" t="n">
        <v>46311</v>
      </c>
      <c r="F394" t="inlineStr">
        <is>
          <t>NORRBOTTENS LÄN</t>
        </is>
      </c>
      <c r="G394" t="inlineStr">
        <is>
          <t>BODEN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45054</v>
      </c>
      <c r="E395" s="1" t="n">
        <v>46311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46311</v>
      </c>
      <c r="F396" t="inlineStr">
        <is>
          <t>NORRBOTTENS LÄN</t>
        </is>
      </c>
      <c r="G396" t="inlineStr">
        <is>
          <t>BODEN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44963</v>
      </c>
      <c r="E397" s="1" t="n">
        <v>46311</v>
      </c>
      <c r="F397" t="inlineStr">
        <is>
          <t>NORRBOTTENS LÄN</t>
        </is>
      </c>
      <c r="G397" t="inlineStr">
        <is>
          <t>BODEN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45238</v>
      </c>
      <c r="E398" s="1" t="n">
        <v>46311</v>
      </c>
      <c r="F398" t="inlineStr">
        <is>
          <t>NORRBOTTENS LÄN</t>
        </is>
      </c>
      <c r="G398" t="inlineStr">
        <is>
          <t>BODEN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45411</v>
      </c>
      <c r="E399" s="1" t="n">
        <v>46311</v>
      </c>
      <c r="F399" t="inlineStr">
        <is>
          <t>NORRBOTTENS LÄN</t>
        </is>
      </c>
      <c r="G399" t="inlineStr">
        <is>
          <t>BODEN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2426-2024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45310</v>
      </c>
      <c r="E400" s="1" t="n">
        <v>46311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45764</v>
      </c>
      <c r="E401" s="1" t="n">
        <v>46311</v>
      </c>
      <c r="F401" t="inlineStr">
        <is>
          <t>NORRBOTTENS LÄN</t>
        </is>
      </c>
      <c r="G401" t="inlineStr">
        <is>
          <t>BODEN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46007</v>
      </c>
      <c r="E402" s="1" t="n">
        <v>46311</v>
      </c>
      <c r="F402" t="inlineStr">
        <is>
          <t>NORRBOTTENS LÄN</t>
        </is>
      </c>
      <c r="G402" t="inlineStr">
        <is>
          <t>BODEN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45764</v>
      </c>
      <c r="E403" s="1" t="n">
        <v>46311</v>
      </c>
      <c r="F403" t="inlineStr">
        <is>
          <t>NORRBOTTENS LÄN</t>
        </is>
      </c>
      <c r="G403" t="inlineStr">
        <is>
          <t>BODEN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46311</v>
      </c>
      <c r="F404" t="inlineStr">
        <is>
          <t>NORRBOTTENS LÄN</t>
        </is>
      </c>
      <c r="G404" t="inlineStr">
        <is>
          <t>BODEN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46311</v>
      </c>
      <c r="F405" t="inlineStr">
        <is>
          <t>NORRBOTTENS LÄN</t>
        </is>
      </c>
      <c r="G405" t="inlineStr">
        <is>
          <t>BODEN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46311</v>
      </c>
      <c r="F406" t="inlineStr">
        <is>
          <t>NORRBOTTENS LÄN</t>
        </is>
      </c>
      <c r="G406" t="inlineStr">
        <is>
          <t>BODEN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45907</v>
      </c>
      <c r="E407" s="1" t="n">
        <v>46311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11647-2023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44994</v>
      </c>
      <c r="E408" s="1" t="n">
        <v>46311</v>
      </c>
      <c r="F408" t="inlineStr">
        <is>
          <t>NORRBOTTENS LÄN</t>
        </is>
      </c>
      <c r="G408" t="inlineStr">
        <is>
          <t>BODEN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11092-2022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44628</v>
      </c>
      <c r="E409" s="1" t="n">
        <v>46311</v>
      </c>
      <c r="F409" t="inlineStr">
        <is>
          <t>NORRBOTTENS LÄN</t>
        </is>
      </c>
      <c r="G409" t="inlineStr">
        <is>
          <t>BODEN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44673</v>
      </c>
      <c r="E410" s="1" t="n">
        <v>46311</v>
      </c>
      <c r="F410" t="inlineStr">
        <is>
          <t>NORRBOTTENS LÄN</t>
        </is>
      </c>
      <c r="G410" t="inlineStr">
        <is>
          <t>BODEN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41957-2024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46311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46311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46311</v>
      </c>
      <c r="F413" t="inlineStr">
        <is>
          <t>NORRBOTTENS LÄN</t>
        </is>
      </c>
      <c r="G413" t="inlineStr">
        <is>
          <t>BODEN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46311</v>
      </c>
      <c r="F414" t="inlineStr">
        <is>
          <t>NORRBOTTENS LÄN</t>
        </is>
      </c>
      <c r="G414" t="inlineStr">
        <is>
          <t>BODEN</t>
        </is>
      </c>
      <c r="H414" t="inlineStr">
        <is>
          <t>Naturvårdsverket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46311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46311</v>
      </c>
      <c r="F416" t="inlineStr">
        <is>
          <t>NORRBOTTENS LÄN</t>
        </is>
      </c>
      <c r="G416" t="inlineStr">
        <is>
          <t>BODEN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45935</v>
      </c>
      <c r="E417" s="1" t="n">
        <v>46311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48950-2022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44859</v>
      </c>
      <c r="E418" s="1" t="n">
        <v>46311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45586</v>
      </c>
      <c r="E419" s="1" t="n">
        <v>46311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49859-2023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46311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46311</v>
      </c>
      <c r="F421" t="inlineStr">
        <is>
          <t>NORRBOTTENS LÄN</t>
        </is>
      </c>
      <c r="G421" t="inlineStr">
        <is>
          <t>BODEN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41487-2024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45560</v>
      </c>
      <c r="E422" s="1" t="n">
        <v>46311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46311</v>
      </c>
      <c r="F423" t="inlineStr">
        <is>
          <t>NORRBOTTENS LÄN</t>
        </is>
      </c>
      <c r="G423" t="inlineStr">
        <is>
          <t>BODEN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46311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46311</v>
      </c>
      <c r="F425" t="inlineStr">
        <is>
          <t>NORRBOTTENS LÄN</t>
        </is>
      </c>
      <c r="G425" t="inlineStr">
        <is>
          <t>BODEN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45832</v>
      </c>
      <c r="E426" s="1" t="n">
        <v>46311</v>
      </c>
      <c r="F426" t="inlineStr">
        <is>
          <t>NORRBOTTENS LÄN</t>
        </is>
      </c>
      <c r="G426" t="inlineStr">
        <is>
          <t>BODEN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46311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45625</v>
      </c>
      <c r="E428" s="1" t="n">
        <v>46311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45910</v>
      </c>
      <c r="E429" s="1" t="n">
        <v>46311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59029-2022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46311</v>
      </c>
      <c r="F430" t="inlineStr">
        <is>
          <t>NORRBOTTENS LÄN</t>
        </is>
      </c>
      <c r="G430" t="inlineStr">
        <is>
          <t>BODEN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46311</v>
      </c>
      <c r="F431" t="inlineStr">
        <is>
          <t>NORRBOTTENS LÄN</t>
        </is>
      </c>
      <c r="G431" t="inlineStr">
        <is>
          <t>BODEN</t>
        </is>
      </c>
      <c r="I431" t="n">
        <v>13.6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45860</v>
      </c>
      <c r="E432" s="1" t="n">
        <v>46311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45212</v>
      </c>
      <c r="E433" s="1" t="n">
        <v>46311</v>
      </c>
      <c r="F433" t="inlineStr">
        <is>
          <t>NORRBOTTENS LÄN</t>
        </is>
      </c>
      <c r="G433" t="inlineStr">
        <is>
          <t>BODEN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45505</v>
      </c>
      <c r="E434" s="1" t="n">
        <v>46311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46311</v>
      </c>
      <c r="F435" t="inlineStr">
        <is>
          <t>NORRBOTTENS LÄN</t>
        </is>
      </c>
      <c r="G435" t="inlineStr">
        <is>
          <t>BODEN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46311</v>
      </c>
      <c r="F436" t="inlineStr">
        <is>
          <t>NORRBOTTENS LÄN</t>
        </is>
      </c>
      <c r="G436" t="inlineStr">
        <is>
          <t>BODEN</t>
        </is>
      </c>
      <c r="I436" t="n">
        <v>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46311</v>
      </c>
      <c r="F437" t="inlineStr">
        <is>
          <t>NORRBOTTENS LÄN</t>
        </is>
      </c>
      <c r="G437" t="inlineStr">
        <is>
          <t>BODEN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61214-2024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46311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46311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46311</v>
      </c>
      <c r="F440" t="inlineStr">
        <is>
          <t>NORRBOTTENS LÄN</t>
        </is>
      </c>
      <c r="G440" t="inlineStr">
        <is>
          <t>BODEN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44994</v>
      </c>
      <c r="E441" s="1" t="n">
        <v>46311</v>
      </c>
      <c r="F441" t="inlineStr">
        <is>
          <t>NORRBOTTENS LÄN</t>
        </is>
      </c>
      <c r="G441" t="inlineStr">
        <is>
          <t>BODEN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45460</v>
      </c>
      <c r="E442" s="1" t="n">
        <v>46311</v>
      </c>
      <c r="F442" t="inlineStr">
        <is>
          <t>NORRBOTTENS LÄN</t>
        </is>
      </c>
      <c r="G442" t="inlineStr">
        <is>
          <t>BODEN</t>
        </is>
      </c>
      <c r="H442" t="inlineStr">
        <is>
          <t>Övriga Aktiebolag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45408</v>
      </c>
      <c r="E443" s="1" t="n">
        <v>46311</v>
      </c>
      <c r="F443" t="inlineStr">
        <is>
          <t>NORRBOTTENS LÄN</t>
        </is>
      </c>
      <c r="G443" t="inlineStr">
        <is>
          <t>BODEN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46311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46003</v>
      </c>
      <c r="E445" s="1" t="n">
        <v>46311</v>
      </c>
      <c r="F445" t="inlineStr">
        <is>
          <t>NORRBOTTENS LÄN</t>
        </is>
      </c>
      <c r="G445" t="inlineStr">
        <is>
          <t>BODEN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46311</v>
      </c>
      <c r="F446" t="inlineStr">
        <is>
          <t>NORRBOTTENS LÄN</t>
        </is>
      </c>
      <c r="G446" t="inlineStr">
        <is>
          <t>BODEN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46311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55317-2023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45237</v>
      </c>
      <c r="E448" s="1" t="n">
        <v>46311</v>
      </c>
      <c r="F448" t="inlineStr">
        <is>
          <t>NORRBOTTENS LÄN</t>
        </is>
      </c>
      <c r="G448" t="inlineStr">
        <is>
          <t>BODEN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35040-2022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44796</v>
      </c>
      <c r="E449" s="1" t="n">
        <v>46311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45210</v>
      </c>
      <c r="E450" s="1" t="n">
        <v>46311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45911</v>
      </c>
      <c r="E451" s="1" t="n">
        <v>46311</v>
      </c>
      <c r="F451" t="inlineStr">
        <is>
          <t>NORRBOTTENS LÄN</t>
        </is>
      </c>
      <c r="G451" t="inlineStr">
        <is>
          <t>BODEN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46311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46311</v>
      </c>
      <c r="F453" t="inlineStr">
        <is>
          <t>NORRBOTTENS LÄN</t>
        </is>
      </c>
      <c r="G453" t="inlineStr">
        <is>
          <t>BODEN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46311</v>
      </c>
      <c r="F454" t="inlineStr">
        <is>
          <t>NORRBOTTENS LÄN</t>
        </is>
      </c>
      <c r="G454" t="inlineStr">
        <is>
          <t>BODEN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46311</v>
      </c>
      <c r="F455" t="inlineStr">
        <is>
          <t>NORRBOTTENS LÄN</t>
        </is>
      </c>
      <c r="G455" t="inlineStr">
        <is>
          <t>BODEN</t>
        </is>
      </c>
      <c r="I455" t="n">
        <v>15.5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46311</v>
      </c>
      <c r="F456" t="inlineStr">
        <is>
          <t>NORRBOTTENS LÄN</t>
        </is>
      </c>
      <c r="G456" t="inlineStr">
        <is>
          <t>BODEN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46311</v>
      </c>
      <c r="F457" t="inlineStr">
        <is>
          <t>NORRBOTTENS LÄN</t>
        </is>
      </c>
      <c r="G457" t="inlineStr">
        <is>
          <t>BODEN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46311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45153</v>
      </c>
      <c r="E459" s="1" t="n">
        <v>46311</v>
      </c>
      <c r="F459" t="inlineStr">
        <is>
          <t>NORRBOTTENS LÄN</t>
        </is>
      </c>
      <c r="G459" t="inlineStr">
        <is>
          <t>BODEN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32754-2022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44783</v>
      </c>
      <c r="E460" s="1" t="n">
        <v>46311</v>
      </c>
      <c r="F460" t="inlineStr">
        <is>
          <t>NORRBOTTENS LÄN</t>
        </is>
      </c>
      <c r="G460" t="inlineStr">
        <is>
          <t>BODEN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61750-2024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45649</v>
      </c>
      <c r="E461" s="1" t="n">
        <v>46311</v>
      </c>
      <c r="F461" t="inlineStr">
        <is>
          <t>NORRBOTTENS LÄN</t>
        </is>
      </c>
      <c r="G461" t="inlineStr">
        <is>
          <t>BODEN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47097-2023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45201</v>
      </c>
      <c r="E462" s="1" t="n">
        <v>46311</v>
      </c>
      <c r="F462" t="inlineStr">
        <is>
          <t>NORRBOTTENS LÄN</t>
        </is>
      </c>
      <c r="G462" t="inlineStr">
        <is>
          <t>BODEN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45149</v>
      </c>
      <c r="E463" s="1" t="n">
        <v>46311</v>
      </c>
      <c r="F463" t="inlineStr">
        <is>
          <t>NORRBOTTENS LÄN</t>
        </is>
      </c>
      <c r="G463" t="inlineStr">
        <is>
          <t>BODEN</t>
        </is>
      </c>
      <c r="I463" t="n">
        <v>16.1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45893</v>
      </c>
      <c r="E464" s="1" t="n">
        <v>46311</v>
      </c>
      <c r="F464" t="inlineStr">
        <is>
          <t>NORRBOTTENS LÄN</t>
        </is>
      </c>
      <c r="G464" t="inlineStr">
        <is>
          <t>BODEN</t>
        </is>
      </c>
      <c r="H464" t="inlineStr">
        <is>
          <t>Övriga statliga verk och myndigheter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33511-2025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46311</v>
      </c>
      <c r="F465" t="inlineStr">
        <is>
          <t>NORRBOTTENS LÄN</t>
        </is>
      </c>
      <c r="G465" t="inlineStr">
        <is>
          <t>BODEN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46311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48107-2022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44856</v>
      </c>
      <c r="E467" s="1" t="n">
        <v>46311</v>
      </c>
      <c r="F467" t="inlineStr">
        <is>
          <t>NORRBOTTENS LÄN</t>
        </is>
      </c>
      <c r="G467" t="inlineStr">
        <is>
          <t>BODEN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45103</v>
      </c>
      <c r="E468" s="1" t="n">
        <v>46311</v>
      </c>
      <c r="F468" t="inlineStr">
        <is>
          <t>NORRBOTTENS LÄN</t>
        </is>
      </c>
      <c r="G468" t="inlineStr">
        <is>
          <t>BODEN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46311</v>
      </c>
      <c r="F469" t="inlineStr">
        <is>
          <t>NORRBOTTENS LÄN</t>
        </is>
      </c>
      <c r="G469" t="inlineStr">
        <is>
          <t>BODEN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11865-2025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46311</v>
      </c>
      <c r="F470" t="inlineStr">
        <is>
          <t>NORRBOTTENS LÄN</t>
        </is>
      </c>
      <c r="G470" t="inlineStr">
        <is>
          <t>BODEN</t>
        </is>
      </c>
      <c r="H470" t="inlineStr">
        <is>
          <t>Övriga Aktiebolag</t>
        </is>
      </c>
      <c r="I470" t="n">
        <v>10.6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46150</v>
      </c>
      <c r="E471" s="1" t="n">
        <v>46311</v>
      </c>
      <c r="F471" t="inlineStr">
        <is>
          <t>NORRBOTTENS LÄN</t>
        </is>
      </c>
      <c r="G471" t="inlineStr">
        <is>
          <t>BODEN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46311</v>
      </c>
      <c r="F472" t="inlineStr">
        <is>
          <t>NORRBOTTENS LÄN</t>
        </is>
      </c>
      <c r="G472" t="inlineStr">
        <is>
          <t>BODEN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46150</v>
      </c>
      <c r="E473" s="1" t="n">
        <v>46311</v>
      </c>
      <c r="F473" t="inlineStr">
        <is>
          <t>NORRBOTTENS LÄN</t>
        </is>
      </c>
      <c r="G473" t="inlineStr">
        <is>
          <t>BODEN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46149</v>
      </c>
      <c r="E474" s="1" t="n">
        <v>46311</v>
      </c>
      <c r="F474" t="inlineStr">
        <is>
          <t>NORRBOTTENS LÄN</t>
        </is>
      </c>
      <c r="G474" t="inlineStr">
        <is>
          <t>BODEN</t>
        </is>
      </c>
      <c r="I474" t="n">
        <v>11.6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40624-2022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44823</v>
      </c>
      <c r="E475" s="1" t="n">
        <v>46311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46149</v>
      </c>
      <c r="E476" s="1" t="n">
        <v>46311</v>
      </c>
      <c r="F476" t="inlineStr">
        <is>
          <t>NORRBOTTENS LÄN</t>
        </is>
      </c>
      <c r="G476" t="inlineStr">
        <is>
          <t>BODEN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46311</v>
      </c>
      <c r="F477" t="inlineStr">
        <is>
          <t>NORRBOTTENS LÄN</t>
        </is>
      </c>
      <c r="G477" t="inlineStr">
        <is>
          <t>BODEN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18428-2025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46311</v>
      </c>
      <c r="F478" t="inlineStr">
        <is>
          <t>NORRBOTTENS LÄN</t>
        </is>
      </c>
      <c r="G478" t="inlineStr">
        <is>
          <t>BODEN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46311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718-2022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44568</v>
      </c>
      <c r="E480" s="1" t="n">
        <v>46311</v>
      </c>
      <c r="F480" t="inlineStr">
        <is>
          <t>NORRBOTTENS LÄN</t>
        </is>
      </c>
      <c r="G480" t="inlineStr">
        <is>
          <t>BODEN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39463-2023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46311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45667</v>
      </c>
      <c r="E482" s="1" t="n">
        <v>46311</v>
      </c>
      <c r="F482" t="inlineStr">
        <is>
          <t>NORRBOTTENS LÄN</t>
        </is>
      </c>
      <c r="G482" t="inlineStr">
        <is>
          <t>BODEN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9940-2025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45718</v>
      </c>
      <c r="E483" s="1" t="n">
        <v>46311</v>
      </c>
      <c r="F483" t="inlineStr">
        <is>
          <t>NORRBOTTENS LÄN</t>
        </is>
      </c>
      <c r="G483" t="inlineStr">
        <is>
          <t>BODEN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57968-2023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45247</v>
      </c>
      <c r="E484" s="1" t="n">
        <v>46311</v>
      </c>
      <c r="F484" t="inlineStr">
        <is>
          <t>NORRBOTTENS LÄN</t>
        </is>
      </c>
      <c r="G484" t="inlineStr">
        <is>
          <t>BODEN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44648</v>
      </c>
      <c r="E485" s="1" t="n">
        <v>46311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45314</v>
      </c>
      <c r="E486" s="1" t="n">
        <v>46311</v>
      </c>
      <c r="F486" t="inlineStr">
        <is>
          <t>NORRBOTTENS LÄN</t>
        </is>
      </c>
      <c r="G486" t="inlineStr">
        <is>
          <t>BODEN</t>
        </is>
      </c>
      <c r="I486" t="n">
        <v>17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16699-2024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45408</v>
      </c>
      <c r="E487" s="1" t="n">
        <v>46311</v>
      </c>
      <c r="F487" t="inlineStr">
        <is>
          <t>NORRBOTTENS LÄN</t>
        </is>
      </c>
      <c r="G487" t="inlineStr">
        <is>
          <t>BODEN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45256</v>
      </c>
      <c r="E488" s="1" t="n">
        <v>46311</v>
      </c>
      <c r="F488" t="inlineStr">
        <is>
          <t>NORRBOTTENS LÄN</t>
        </is>
      </c>
      <c r="G488" t="inlineStr">
        <is>
          <t>BODEN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45427</v>
      </c>
      <c r="E489" s="1" t="n">
        <v>46311</v>
      </c>
      <c r="F489" t="inlineStr">
        <is>
          <t>NORRBOTTENS LÄN</t>
        </is>
      </c>
      <c r="G489" t="inlineStr">
        <is>
          <t>BODEN</t>
        </is>
      </c>
      <c r="I489" t="n">
        <v>22.1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46311</v>
      </c>
      <c r="F490" t="inlineStr">
        <is>
          <t>NORRBOTTENS LÄN</t>
        </is>
      </c>
      <c r="G490" t="inlineStr">
        <is>
          <t>BODEN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45499</v>
      </c>
      <c r="E491" s="1" t="n">
        <v>46311</v>
      </c>
      <c r="F491" t="inlineStr">
        <is>
          <t>NORRBOTTENS LÄN</t>
        </is>
      </c>
      <c r="G491" t="inlineStr">
        <is>
          <t>BODEN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60085-2024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45639</v>
      </c>
      <c r="E492" s="1" t="n">
        <v>46311</v>
      </c>
      <c r="F492" t="inlineStr">
        <is>
          <t>NORRBOTTENS LÄN</t>
        </is>
      </c>
      <c r="G492" t="inlineStr">
        <is>
          <t>BODEN</t>
        </is>
      </c>
      <c r="I492" t="n">
        <v>9.5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45194</v>
      </c>
      <c r="E493" s="1" t="n">
        <v>46311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61743-2024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45649</v>
      </c>
      <c r="E494" s="1" t="n">
        <v>46311</v>
      </c>
      <c r="F494" t="inlineStr">
        <is>
          <t>NORRBOTTENS LÄN</t>
        </is>
      </c>
      <c r="G494" t="inlineStr">
        <is>
          <t>BODEN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46311</v>
      </c>
      <c r="F495" t="inlineStr">
        <is>
          <t>NORRBOTTENS LÄN</t>
        </is>
      </c>
      <c r="G495" t="inlineStr">
        <is>
          <t>BODEN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45646</v>
      </c>
      <c r="E496" s="1" t="n">
        <v>46311</v>
      </c>
      <c r="F496" t="inlineStr">
        <is>
          <t>NORRBOTTENS LÄN</t>
        </is>
      </c>
      <c r="G496" t="inlineStr">
        <is>
          <t>BODEN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45764</v>
      </c>
      <c r="E497" s="1" t="n">
        <v>46311</v>
      </c>
      <c r="F497" t="inlineStr">
        <is>
          <t>NORRBOTTENS LÄN</t>
        </is>
      </c>
      <c r="G497" t="inlineStr">
        <is>
          <t>BODEN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45680</v>
      </c>
      <c r="E498" s="1" t="n">
        <v>46311</v>
      </c>
      <c r="F498" t="inlineStr">
        <is>
          <t>NORRBOTTENS LÄN</t>
        </is>
      </c>
      <c r="G498" t="inlineStr">
        <is>
          <t>BODEN</t>
        </is>
      </c>
      <c r="H498" t="inlineStr">
        <is>
          <t>Naturvårdsverket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45915</v>
      </c>
      <c r="E499" s="1" t="n">
        <v>46311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45915</v>
      </c>
      <c r="E500" s="1" t="n">
        <v>46311</v>
      </c>
      <c r="F500" t="inlineStr">
        <is>
          <t>NORRBOTTENS LÄN</t>
        </is>
      </c>
      <c r="G500" t="inlineStr">
        <is>
          <t>BODEN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20260-2025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45773</v>
      </c>
      <c r="E501" s="1" t="n">
        <v>46311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44249-2025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45915</v>
      </c>
      <c r="E502" s="1" t="n">
        <v>46311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59890-2023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45254</v>
      </c>
      <c r="E503" s="1" t="n">
        <v>46311</v>
      </c>
      <c r="F503" t="inlineStr">
        <is>
          <t>NORRBOTTENS LÄN</t>
        </is>
      </c>
      <c r="G503" t="inlineStr">
        <is>
          <t>BODEN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45257</v>
      </c>
      <c r="E504" s="1" t="n">
        <v>46311</v>
      </c>
      <c r="F504" t="inlineStr">
        <is>
          <t>NORRBOTTENS LÄN</t>
        </is>
      </c>
      <c r="G504" t="inlineStr">
        <is>
          <t>BODEN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46311</v>
      </c>
      <c r="F505" t="inlineStr">
        <is>
          <t>NORRBOTTENS LÄN</t>
        </is>
      </c>
      <c r="G505" t="inlineStr">
        <is>
          <t>BODEN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21329-2024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45440</v>
      </c>
      <c r="E506" s="1" t="n">
        <v>46311</v>
      </c>
      <c r="F506" t="inlineStr">
        <is>
          <t>NORRBOTTENS LÄN</t>
        </is>
      </c>
      <c r="G506" t="inlineStr">
        <is>
          <t>BODEN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46311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61488-2023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46311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46311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45211-2025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45919</v>
      </c>
      <c r="E510" s="1" t="n">
        <v>46311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8873-2024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46311</v>
      </c>
      <c r="F511" t="inlineStr">
        <is>
          <t>NORRBOTTENS LÄN</t>
        </is>
      </c>
      <c r="G511" t="inlineStr">
        <is>
          <t>BODEN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46311</v>
      </c>
      <c r="F512" t="inlineStr">
        <is>
          <t>NORRBOTTENS LÄN</t>
        </is>
      </c>
      <c r="G512" t="inlineStr">
        <is>
          <t>BODEN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45617-2025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46311</v>
      </c>
      <c r="F513" t="inlineStr">
        <is>
          <t>NORRBOTTENS LÄN</t>
        </is>
      </c>
      <c r="G513" t="inlineStr">
        <is>
          <t>BODEN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45922</v>
      </c>
      <c r="E514" s="1" t="n">
        <v>46311</v>
      </c>
      <c r="F514" t="inlineStr">
        <is>
          <t>NORRBOTTENS LÄN</t>
        </is>
      </c>
      <c r="G514" t="inlineStr">
        <is>
          <t>BODEN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46311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46311</v>
      </c>
      <c r="F516" t="inlineStr">
        <is>
          <t>NORRBOTTENS LÄN</t>
        </is>
      </c>
      <c r="G516" t="inlineStr">
        <is>
          <t>BODEN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45694</v>
      </c>
      <c r="E517" s="1" t="n">
        <v>46311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15157-2025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46311</v>
      </c>
      <c r="F518" t="inlineStr">
        <is>
          <t>NORRBOTTENS LÄN</t>
        </is>
      </c>
      <c r="G518" t="inlineStr">
        <is>
          <t>BODEN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45691</v>
      </c>
      <c r="E519" s="1" t="n">
        <v>46311</v>
      </c>
      <c r="F519" t="inlineStr">
        <is>
          <t>NORRBOTTENS LÄN</t>
        </is>
      </c>
      <c r="G519" t="inlineStr">
        <is>
          <t>BODEN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46311</v>
      </c>
      <c r="F520" t="inlineStr">
        <is>
          <t>NORRBOTTENS LÄN</t>
        </is>
      </c>
      <c r="G520" t="inlineStr">
        <is>
          <t>BODEN</t>
        </is>
      </c>
      <c r="I520" t="n">
        <v>33.9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46311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23792-2026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46164</v>
      </c>
      <c r="E522" s="1" t="n">
        <v>46311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45022</v>
      </c>
      <c r="E523" s="1" t="n">
        <v>46311</v>
      </c>
      <c r="F523" t="inlineStr">
        <is>
          <t>NORRBOTTENS LÄN</t>
        </is>
      </c>
      <c r="G523" t="inlineStr">
        <is>
          <t>BODEN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44573</v>
      </c>
      <c r="E524" s="1" t="n">
        <v>46311</v>
      </c>
      <c r="F524" t="inlineStr">
        <is>
          <t>NORRBOTTENS LÄN</t>
        </is>
      </c>
      <c r="G524" t="inlineStr">
        <is>
          <t>BODEN</t>
        </is>
      </c>
      <c r="H524" t="inlineStr">
        <is>
          <t>Övriga statliga verk och myndigheter</t>
        </is>
      </c>
      <c r="I524" t="n">
        <v>9.9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46311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23789-2026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46164</v>
      </c>
      <c r="E526" s="1" t="n">
        <v>46311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45969-2025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45924</v>
      </c>
      <c r="E527" s="1" t="n">
        <v>46311</v>
      </c>
      <c r="F527" t="inlineStr">
        <is>
          <t>NORRBOTTENS LÄN</t>
        </is>
      </c>
      <c r="G527" t="inlineStr">
        <is>
          <t>BODEN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45674</v>
      </c>
      <c r="E528" s="1" t="n">
        <v>46311</v>
      </c>
      <c r="F528" t="inlineStr">
        <is>
          <t>NORRBOTTENS LÄN</t>
        </is>
      </c>
      <c r="G528" t="inlineStr">
        <is>
          <t>BODEN</t>
        </is>
      </c>
      <c r="I528" t="n">
        <v>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7442-2024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45345</v>
      </c>
      <c r="E529" s="1" t="n">
        <v>46311</v>
      </c>
      <c r="F529" t="inlineStr">
        <is>
          <t>NORRBOTTENS LÄN</t>
        </is>
      </c>
      <c r="G529" t="inlineStr">
        <is>
          <t>BODEN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45926</v>
      </c>
      <c r="E530" s="1" t="n">
        <v>46311</v>
      </c>
      <c r="F530" t="inlineStr">
        <is>
          <t>NORRBOTTENS LÄN</t>
        </is>
      </c>
      <c r="G530" t="inlineStr">
        <is>
          <t>BODEN</t>
        </is>
      </c>
      <c r="H530" t="inlineStr">
        <is>
          <t>Övriga Aktiebolag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45483</v>
      </c>
      <c r="E531" s="1" t="n">
        <v>46311</v>
      </c>
      <c r="F531" t="inlineStr">
        <is>
          <t>NORRBOTTENS LÄN</t>
        </is>
      </c>
      <c r="G531" t="inlineStr">
        <is>
          <t>BODEN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46311</v>
      </c>
      <c r="F532" t="inlineStr">
        <is>
          <t>NORRBOTTENS LÄN</t>
        </is>
      </c>
      <c r="G532" t="inlineStr">
        <is>
          <t>BODEN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46311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64975-2023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45285</v>
      </c>
      <c r="E534" s="1" t="n">
        <v>46311</v>
      </c>
      <c r="F534" t="inlineStr">
        <is>
          <t>NORRBOTTENS LÄN</t>
        </is>
      </c>
      <c r="G534" t="inlineStr">
        <is>
          <t>BODEN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45529</v>
      </c>
      <c r="E535" s="1" t="n">
        <v>46311</v>
      </c>
      <c r="F535" t="inlineStr">
        <is>
          <t>NORRBOTTENS LÄN</t>
        </is>
      </c>
      <c r="G535" t="inlineStr">
        <is>
          <t>BODEN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46311</v>
      </c>
      <c r="F536" t="inlineStr">
        <is>
          <t>NORRBOTTENS LÄN</t>
        </is>
      </c>
      <c r="G536" t="inlineStr">
        <is>
          <t>BODEN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46311</v>
      </c>
      <c r="F537" t="inlineStr">
        <is>
          <t>NORRBOTTENS LÄN</t>
        </is>
      </c>
      <c r="G537" t="inlineStr">
        <is>
          <t>BODEN</t>
        </is>
      </c>
      <c r="H537" t="inlineStr">
        <is>
          <t>Övriga statliga verk och myndigheter</t>
        </is>
      </c>
      <c r="I537" t="n">
        <v>17.6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45926</v>
      </c>
      <c r="E538" s="1" t="n">
        <v>46311</v>
      </c>
      <c r="F538" t="inlineStr">
        <is>
          <t>NORRBOTTENS LÄN</t>
        </is>
      </c>
      <c r="G538" t="inlineStr">
        <is>
          <t>BODEN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25627-2022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44732</v>
      </c>
      <c r="E539" s="1" t="n">
        <v>46311</v>
      </c>
      <c r="F539" t="inlineStr">
        <is>
          <t>NORRBOTTENS LÄN</t>
        </is>
      </c>
      <c r="G539" t="inlineStr">
        <is>
          <t>BODEN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46311</v>
      </c>
      <c r="F540" t="inlineStr">
        <is>
          <t>NORRBOTTENS LÄN</t>
        </is>
      </c>
      <c r="G540" t="inlineStr">
        <is>
          <t>BODEN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46454-2025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45925</v>
      </c>
      <c r="E541" s="1" t="n">
        <v>46311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45925</v>
      </c>
      <c r="E542" s="1" t="n">
        <v>46311</v>
      </c>
      <c r="F542" t="inlineStr">
        <is>
          <t>NORRBOTTENS LÄN</t>
        </is>
      </c>
      <c r="G542" t="inlineStr">
        <is>
          <t>BODEN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45323</v>
      </c>
      <c r="E543" s="1" t="n">
        <v>46311</v>
      </c>
      <c r="F543" t="inlineStr">
        <is>
          <t>NORRBOTTENS LÄN</t>
        </is>
      </c>
      <c r="G543" t="inlineStr">
        <is>
          <t>BODEN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46311</v>
      </c>
      <c r="F544" t="inlineStr">
        <is>
          <t>NORRBOTTENS LÄN</t>
        </is>
      </c>
      <c r="G544" t="inlineStr">
        <is>
          <t>BODEN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46311</v>
      </c>
      <c r="F545" t="inlineStr">
        <is>
          <t>NORRBOTTENS LÄN</t>
        </is>
      </c>
      <c r="G545" t="inlineStr">
        <is>
          <t>BODEN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46311</v>
      </c>
      <c r="F546" t="inlineStr">
        <is>
          <t>NORRBOTTENS LÄN</t>
        </is>
      </c>
      <c r="G546" t="inlineStr">
        <is>
          <t>BODEN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47204-2025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45930</v>
      </c>
      <c r="E547" s="1" t="n">
        <v>46311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46311</v>
      </c>
      <c r="F548" t="inlineStr">
        <is>
          <t>NORRBOTTENS LÄN</t>
        </is>
      </c>
      <c r="G548" t="inlineStr">
        <is>
          <t>BODEN</t>
        </is>
      </c>
      <c r="H548" t="inlineStr">
        <is>
          <t>Sveaskog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47483-2025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45930</v>
      </c>
      <c r="E549" s="1" t="n">
        <v>46311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45692</v>
      </c>
      <c r="E550" s="1" t="n">
        <v>46311</v>
      </c>
      <c r="F550" t="inlineStr">
        <is>
          <t>NORRBOTTENS LÄN</t>
        </is>
      </c>
      <c r="G550" t="inlineStr">
        <is>
          <t>BODEN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46311</v>
      </c>
      <c r="F551" t="inlineStr">
        <is>
          <t>NORRBOTTENS LÄN</t>
        </is>
      </c>
      <c r="G551" t="inlineStr">
        <is>
          <t>BODEN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45509</v>
      </c>
      <c r="E552" s="1" t="n">
        <v>46311</v>
      </c>
      <c r="F552" t="inlineStr">
        <is>
          <t>NORRBOTTENS LÄN</t>
        </is>
      </c>
      <c r="G552" t="inlineStr">
        <is>
          <t>BODEN</t>
        </is>
      </c>
      <c r="I552" t="n">
        <v>11.1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46172</v>
      </c>
      <c r="E553" s="1" t="n">
        <v>46311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46311</v>
      </c>
      <c r="F554" t="inlineStr">
        <is>
          <t>NORRBOTTENS LÄN</t>
        </is>
      </c>
      <c r="G554" t="inlineStr">
        <is>
          <t>BODEN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36438-2024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45537</v>
      </c>
      <c r="E555" s="1" t="n">
        <v>46311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46311</v>
      </c>
      <c r="F556" t="inlineStr">
        <is>
          <t>NORRBOTTENS LÄN</t>
        </is>
      </c>
      <c r="G556" t="inlineStr">
        <is>
          <t>BODEN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44964</v>
      </c>
      <c r="E557" s="1" t="n">
        <v>46311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45539</v>
      </c>
      <c r="E558" s="1" t="n">
        <v>46311</v>
      </c>
      <c r="F558" t="inlineStr">
        <is>
          <t>NORRBOTTENS LÄN</t>
        </is>
      </c>
      <c r="G558" t="inlineStr">
        <is>
          <t>BODEN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45931</v>
      </c>
      <c r="E559" s="1" t="n">
        <v>46311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Aktiebolag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46311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25536-2026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46311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8869-2024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45356</v>
      </c>
      <c r="E562" s="1" t="n">
        <v>46311</v>
      </c>
      <c r="F562" t="inlineStr">
        <is>
          <t>NORRBOTTENS LÄN</t>
        </is>
      </c>
      <c r="G562" t="inlineStr">
        <is>
          <t>BODEN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46311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45933</v>
      </c>
      <c r="E564" s="1" t="n">
        <v>46311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46311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19563-2024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46311</v>
      </c>
      <c r="F566" t="inlineStr">
        <is>
          <t>NORRBOTTENS LÄN</t>
        </is>
      </c>
      <c r="G566" t="inlineStr">
        <is>
          <t>BODEN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45906</v>
      </c>
      <c r="E567" s="1" t="n">
        <v>46311</v>
      </c>
      <c r="F567" t="inlineStr">
        <is>
          <t>NORRBOTTENS LÄN</t>
        </is>
      </c>
      <c r="G567" t="inlineStr">
        <is>
          <t>BODEN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48173-2025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45933</v>
      </c>
      <c r="E568" s="1" t="n">
        <v>46311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28432-2022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44747</v>
      </c>
      <c r="E569" s="1" t="n">
        <v>46311</v>
      </c>
      <c r="F569" t="inlineStr">
        <is>
          <t>NORRBOTTENS LÄN</t>
        </is>
      </c>
      <c r="G569" t="inlineStr">
        <is>
          <t>BODEN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44706</v>
      </c>
      <c r="E570" s="1" t="n">
        <v>46311</v>
      </c>
      <c r="F570" t="inlineStr">
        <is>
          <t>NORRBOTTENS LÄN</t>
        </is>
      </c>
      <c r="G570" t="inlineStr">
        <is>
          <t>BODEN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48091-2025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45933</v>
      </c>
      <c r="E571" s="1" t="n">
        <v>46311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53840-2022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44880</v>
      </c>
      <c r="E572" s="1" t="n">
        <v>46311</v>
      </c>
      <c r="F572" t="inlineStr">
        <is>
          <t>NORRBOTTENS LÄN</t>
        </is>
      </c>
      <c r="G572" t="inlineStr">
        <is>
          <t>BODEN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44979</v>
      </c>
      <c r="E573" s="1" t="n">
        <v>46311</v>
      </c>
      <c r="F573" t="inlineStr">
        <is>
          <t>NORRBOTTENS LÄN</t>
        </is>
      </c>
      <c r="G573" t="inlineStr">
        <is>
          <t>BODEN</t>
        </is>
      </c>
      <c r="H573" t="inlineStr">
        <is>
          <t>Övriga statliga verk och myndigheter</t>
        </is>
      </c>
      <c r="I573" t="n">
        <v>18.8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877-2023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44931</v>
      </c>
      <c r="E574" s="1" t="n">
        <v>46311</v>
      </c>
      <c r="F574" t="inlineStr">
        <is>
          <t>NORRBOTTENS LÄN</t>
        </is>
      </c>
      <c r="G574" t="inlineStr">
        <is>
          <t>BODEN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46170</v>
      </c>
      <c r="E575" s="1" t="n">
        <v>46311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26386-2026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46311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46311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8.5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48805-2025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45937</v>
      </c>
      <c r="E578" s="1" t="n">
        <v>46311</v>
      </c>
      <c r="F578" t="inlineStr">
        <is>
          <t>NORRBOTTENS LÄN</t>
        </is>
      </c>
      <c r="G578" t="inlineStr">
        <is>
          <t>BODEN</t>
        </is>
      </c>
      <c r="I578" t="n">
        <v>10.2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45938</v>
      </c>
      <c r="E579" s="1" t="n">
        <v>46311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46311</v>
      </c>
      <c r="F580" t="inlineStr">
        <is>
          <t>NORRBOTTENS LÄN</t>
        </is>
      </c>
      <c r="G580" t="inlineStr">
        <is>
          <t>BODEN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45938</v>
      </c>
      <c r="E581" s="1" t="n">
        <v>46311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46311</v>
      </c>
      <c r="F582" t="inlineStr">
        <is>
          <t>NORRBOTTENS LÄN</t>
        </is>
      </c>
      <c r="G582" t="inlineStr">
        <is>
          <t>BODEN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43648-2023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45187</v>
      </c>
      <c r="E583" s="1" t="n">
        <v>46311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26776-2026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46311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  <c r="Z584">
        <f>HYPERLINK("https://klasma.github.io/Logging_2582/knärot/A 26776-2026 karta knärot.png", "A 26776-2026")</f>
        <v/>
      </c>
      <c r="AA584">
        <f>HYPERLINK("https://klasma.github.io/Logging_2582/klagomål/A 26776-2026 FSC-klagomål.docx", "A 26776-2026")</f>
        <v/>
      </c>
      <c r="AB584">
        <f>HYPERLINK("https://klasma.github.io/Logging_2582/klagomålsmail/A 26776-2026 FSC-klagomål mail.docx", "A 26776-2026")</f>
        <v/>
      </c>
      <c r="AC584">
        <f>HYPERLINK("https://klasma.github.io/Logging_2582/tillsyn/A 26776-2026 tillsynsbegäran.docx", "A 26776-2026")</f>
        <v/>
      </c>
      <c r="AD584">
        <f>HYPERLINK("https://klasma.github.io/Logging_2582/tillsynsmail/A 26776-2026 tillsynsbegäran mail.docx", "A 26776-2026")</f>
        <v/>
      </c>
    </row>
    <row r="585" ht="15" customHeight="1">
      <c r="A585" t="inlineStr">
        <is>
          <t>A 26714-2026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46311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45591</v>
      </c>
      <c r="E586" s="1" t="n">
        <v>46311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46311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42.2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45938</v>
      </c>
      <c r="E588" s="1" t="n">
        <v>46311</v>
      </c>
      <c r="F588" t="inlineStr">
        <is>
          <t>NORRBOTTENS LÄN</t>
        </is>
      </c>
      <c r="G588" t="inlineStr">
        <is>
          <t>BODEN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14757-2023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45014</v>
      </c>
      <c r="E589" s="1" t="n">
        <v>46311</v>
      </c>
      <c r="F589" t="inlineStr">
        <is>
          <t>NORRBOTTENS LÄN</t>
        </is>
      </c>
      <c r="G589" t="inlineStr">
        <is>
          <t>BODEN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46311</v>
      </c>
      <c r="F590" t="inlineStr">
        <is>
          <t>NORRBOTTENS LÄN</t>
        </is>
      </c>
      <c r="G590" t="inlineStr">
        <is>
          <t>BODEN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45001</v>
      </c>
      <c r="E591" s="1" t="n">
        <v>46311</v>
      </c>
      <c r="F591" t="inlineStr">
        <is>
          <t>NORRBOTTENS LÄN</t>
        </is>
      </c>
      <c r="G591" t="inlineStr">
        <is>
          <t>BODEN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44964</v>
      </c>
      <c r="E592" s="1" t="n">
        <v>46311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46311</v>
      </c>
      <c r="F593" t="inlineStr">
        <is>
          <t>NORRBOTTENS LÄN</t>
        </is>
      </c>
      <c r="G593" t="inlineStr">
        <is>
          <t>BODEN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49588-2025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45939</v>
      </c>
      <c r="E594" s="1" t="n">
        <v>46311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45105</v>
      </c>
      <c r="E595" s="1" t="n">
        <v>46311</v>
      </c>
      <c r="F595" t="inlineStr">
        <is>
          <t>NORRBOTTENS LÄN</t>
        </is>
      </c>
      <c r="G595" t="inlineStr">
        <is>
          <t>BODEN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50410-2025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45944</v>
      </c>
      <c r="E596" s="1" t="n">
        <v>46311</v>
      </c>
      <c r="F596" t="inlineStr">
        <is>
          <t>NORRBOTTENS LÄN</t>
        </is>
      </c>
      <c r="G596" t="inlineStr">
        <is>
          <t>BODEN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50419-2025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45944</v>
      </c>
      <c r="E597" s="1" t="n">
        <v>46311</v>
      </c>
      <c r="F597" t="inlineStr">
        <is>
          <t>NORRBOTTENS LÄN</t>
        </is>
      </c>
      <c r="G597" t="inlineStr">
        <is>
          <t>BODEN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3462-2022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44585</v>
      </c>
      <c r="E598" s="1" t="n">
        <v>46311</v>
      </c>
      <c r="F598" t="inlineStr">
        <is>
          <t>NORRBOTTENS LÄN</t>
        </is>
      </c>
      <c r="G598" t="inlineStr">
        <is>
          <t>BODEN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46311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44847</v>
      </c>
      <c r="E600" s="1" t="n">
        <v>46311</v>
      </c>
      <c r="F600" t="inlineStr">
        <is>
          <t>NORRBOTTENS LÄN</t>
        </is>
      </c>
      <c r="G600" t="inlineStr">
        <is>
          <t>BODEN</t>
        </is>
      </c>
      <c r="I600" t="n">
        <v>28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46197</v>
      </c>
      <c r="E601" s="1" t="n">
        <v>46311</v>
      </c>
      <c r="F601" t="inlineStr">
        <is>
          <t>NORRBOTTENS LÄN</t>
        </is>
      </c>
      <c r="G601" t="inlineStr">
        <is>
          <t>BODEN</t>
        </is>
      </c>
      <c r="I601" t="n">
        <v>10.8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46311</v>
      </c>
      <c r="F602" t="inlineStr">
        <is>
          <t>NORRBOTTENS LÄN</t>
        </is>
      </c>
      <c r="G602" t="inlineStr">
        <is>
          <t>BODEN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46311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46198</v>
      </c>
      <c r="E604" s="1" t="n">
        <v>46311</v>
      </c>
      <c r="F604" t="inlineStr">
        <is>
          <t>NORRBOTTENS LÄN</t>
        </is>
      </c>
      <c r="G604" t="inlineStr">
        <is>
          <t>BODEN</t>
        </is>
      </c>
      <c r="I604" t="n">
        <v>14.5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46311</v>
      </c>
      <c r="F605" t="inlineStr">
        <is>
          <t>NORRBOTTENS LÄN</t>
        </is>
      </c>
      <c r="G605" t="inlineStr">
        <is>
          <t>BODEN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46311</v>
      </c>
      <c r="F606" t="inlineStr">
        <is>
          <t>NORRBOTTENS LÄN</t>
        </is>
      </c>
      <c r="G606" t="inlineStr">
        <is>
          <t>BODEN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60337-2024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45643</v>
      </c>
      <c r="E607" s="1" t="n">
        <v>46311</v>
      </c>
      <c r="F607" t="inlineStr">
        <is>
          <t>NORRBOTTENS LÄN</t>
        </is>
      </c>
      <c r="G607" t="inlineStr">
        <is>
          <t>BODEN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50387-2025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45944</v>
      </c>
      <c r="E608" s="1" t="n">
        <v>46311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50147-2025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45943</v>
      </c>
      <c r="E609" s="1" t="n">
        <v>46311</v>
      </c>
      <c r="F609" t="inlineStr">
        <is>
          <t>NORRBOTTENS LÄN</t>
        </is>
      </c>
      <c r="G609" t="inlineStr">
        <is>
          <t>BODEN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50361-2025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45944</v>
      </c>
      <c r="E610" s="1" t="n">
        <v>46311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50471-2025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45945</v>
      </c>
      <c r="E611" s="1" t="n">
        <v>46311</v>
      </c>
      <c r="F611" t="inlineStr">
        <is>
          <t>NORRBOTTENS LÄN</t>
        </is>
      </c>
      <c r="G611" t="inlineStr">
        <is>
          <t>BODEN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3146-2024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45316</v>
      </c>
      <c r="E612" s="1" t="n">
        <v>46311</v>
      </c>
      <c r="F612" t="inlineStr">
        <is>
          <t>NORRBOTTENS LÄN</t>
        </is>
      </c>
      <c r="G612" t="inlineStr">
        <is>
          <t>BODEN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73910-2021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44552</v>
      </c>
      <c r="E613" s="1" t="n">
        <v>46311</v>
      </c>
      <c r="F613" t="inlineStr">
        <is>
          <t>NORRBOTTENS LÄN</t>
        </is>
      </c>
      <c r="G613" t="inlineStr">
        <is>
          <t>BODEN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8776-2022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44614</v>
      </c>
      <c r="E614" s="1" t="n">
        <v>46311</v>
      </c>
      <c r="F614" t="inlineStr">
        <is>
          <t>NORRBOTTENS LÄN</t>
        </is>
      </c>
      <c r="G614" t="inlineStr">
        <is>
          <t>BODEN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26806-2024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45470</v>
      </c>
      <c r="E615" s="1" t="n">
        <v>46311</v>
      </c>
      <c r="F615" t="inlineStr">
        <is>
          <t>NORRBOTTENS LÄN</t>
        </is>
      </c>
      <c r="G615" t="inlineStr">
        <is>
          <t>BODEN</t>
        </is>
      </c>
      <c r="H615" t="inlineStr">
        <is>
          <t>Övriga Aktiebolag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47423-2024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45587</v>
      </c>
      <c r="E616" s="1" t="n">
        <v>46311</v>
      </c>
      <c r="F616" t="inlineStr">
        <is>
          <t>NORRBOTTENS LÄN</t>
        </is>
      </c>
      <c r="G616" t="inlineStr">
        <is>
          <t>BODEN</t>
        </is>
      </c>
      <c r="I616" t="n">
        <v>17.2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29393-2026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46311</v>
      </c>
      <c r="F617" t="inlineStr">
        <is>
          <t>NORRBOTTENS LÄN</t>
        </is>
      </c>
      <c r="G617" t="inlineStr">
        <is>
          <t>BODEN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46311</v>
      </c>
      <c r="F618" t="inlineStr">
        <is>
          <t>NORRBOTTENS LÄN</t>
        </is>
      </c>
      <c r="G618" t="inlineStr">
        <is>
          <t>BODEN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46202</v>
      </c>
      <c r="E619" s="1" t="n">
        <v>46311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50479-2025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45945</v>
      </c>
      <c r="E620" s="1" t="n">
        <v>46311</v>
      </c>
      <c r="F620" t="inlineStr">
        <is>
          <t>NORRBOTTENS LÄN</t>
        </is>
      </c>
      <c r="G620" t="inlineStr">
        <is>
          <t>BODEN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46202</v>
      </c>
      <c r="E621" s="1" t="n">
        <v>46311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46202</v>
      </c>
      <c r="E622" s="1" t="n">
        <v>46311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708-2022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44566</v>
      </c>
      <c r="E623" s="1" t="n">
        <v>46311</v>
      </c>
      <c r="F623" t="inlineStr">
        <is>
          <t>NORRBOTTENS LÄN</t>
        </is>
      </c>
      <c r="G623" t="inlineStr">
        <is>
          <t>BODEN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4254-2025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45685</v>
      </c>
      <c r="E624" s="1" t="n">
        <v>46311</v>
      </c>
      <c r="F624" t="inlineStr">
        <is>
          <t>NORRBOTTENS LÄN</t>
        </is>
      </c>
      <c r="G624" t="inlineStr">
        <is>
          <t>BODEN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37791-2024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45543</v>
      </c>
      <c r="E625" s="1" t="n">
        <v>46311</v>
      </c>
      <c r="F625" t="inlineStr">
        <is>
          <t>NORRBOTTENS LÄN</t>
        </is>
      </c>
      <c r="G625" t="inlineStr">
        <is>
          <t>BODEN</t>
        </is>
      </c>
      <c r="I625" t="n">
        <v>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50449-2025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45945</v>
      </c>
      <c r="E626" s="1" t="n">
        <v>46311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46311</v>
      </c>
      <c r="F627" t="inlineStr">
        <is>
          <t>NORRBOTTENS LÄN</t>
        </is>
      </c>
      <c r="G627" t="inlineStr">
        <is>
          <t>BODEN</t>
        </is>
      </c>
      <c r="I627" t="n">
        <v>12.2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51460-2025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45950</v>
      </c>
      <c r="E628" s="1" t="n">
        <v>46311</v>
      </c>
      <c r="F628" t="inlineStr">
        <is>
          <t>NORRBOTTENS LÄN</t>
        </is>
      </c>
      <c r="G628" t="inlineStr">
        <is>
          <t>BODEN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57563-2023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45246</v>
      </c>
      <c r="E629" s="1" t="n">
        <v>46311</v>
      </c>
      <c r="F629" t="inlineStr">
        <is>
          <t>NORRBOTTENS LÄN</t>
        </is>
      </c>
      <c r="G629" t="inlineStr">
        <is>
          <t>BODEN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45035-2022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44841</v>
      </c>
      <c r="E630" s="1" t="n">
        <v>46311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29759-2026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46204</v>
      </c>
      <c r="E631" s="1" t="n">
        <v>46311</v>
      </c>
      <c r="F631" t="inlineStr">
        <is>
          <t>NORRBOTTENS LÄN</t>
        </is>
      </c>
      <c r="G631" t="inlineStr">
        <is>
          <t>BODEN</t>
        </is>
      </c>
      <c r="I631" t="n">
        <v>38.7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18436-2025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46311</v>
      </c>
      <c r="F632" t="inlineStr">
        <is>
          <t>NORRBOTTENS LÄN</t>
        </is>
      </c>
      <c r="G632" t="inlineStr">
        <is>
          <t>BODEN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51061-2025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45947</v>
      </c>
      <c r="E633" s="1" t="n">
        <v>46311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46311</v>
      </c>
      <c r="F634" t="inlineStr">
        <is>
          <t>NORRBOTTENS LÄN</t>
        </is>
      </c>
      <c r="G634" t="inlineStr">
        <is>
          <t>BODEN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46311</v>
      </c>
      <c r="F635" t="inlineStr">
        <is>
          <t>NORRBOTTENS LÄN</t>
        </is>
      </c>
      <c r="G635" t="inlineStr">
        <is>
          <t>BODEN</t>
        </is>
      </c>
      <c r="H635" t="inlineStr">
        <is>
          <t>Kommuner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30023-2026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46311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59331-2021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44490</v>
      </c>
      <c r="E637" s="1" t="n">
        <v>46311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30025-2026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46311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30077-2026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46206</v>
      </c>
      <c r="E639" s="1" t="n">
        <v>46311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30332-2026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46208</v>
      </c>
      <c r="E640" s="1" t="n">
        <v>46311</v>
      </c>
      <c r="F640" t="inlineStr">
        <is>
          <t>NORRBOTTENS LÄN</t>
        </is>
      </c>
      <c r="G640" t="inlineStr">
        <is>
          <t>BODEN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30426-2026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46311</v>
      </c>
      <c r="F641" t="inlineStr">
        <is>
          <t>NORRBOTTENS LÄN</t>
        </is>
      </c>
      <c r="G641" t="inlineStr">
        <is>
          <t>BODEN</t>
        </is>
      </c>
      <c r="H641" t="inlineStr">
        <is>
          <t>Kommuner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46311</v>
      </c>
      <c r="F642" t="inlineStr">
        <is>
          <t>NORRBOTTENS LÄN</t>
        </is>
      </c>
      <c r="G642" t="inlineStr">
        <is>
          <t>BODEN</t>
        </is>
      </c>
      <c r="H642" t="inlineStr">
        <is>
          <t>Kommuner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30745-2026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46211</v>
      </c>
      <c r="E643" s="1" t="n">
        <v>46311</v>
      </c>
      <c r="F643" t="inlineStr">
        <is>
          <t>NORRBOTTENS LÄN</t>
        </is>
      </c>
      <c r="G643" t="inlineStr">
        <is>
          <t>BODEN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23232-2024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45453</v>
      </c>
      <c r="E644" s="1" t="n">
        <v>46311</v>
      </c>
      <c r="F644" t="inlineStr">
        <is>
          <t>NORRBOTTENS LÄN</t>
        </is>
      </c>
      <c r="G644" t="inlineStr">
        <is>
          <t>BODEN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52284-2025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45953</v>
      </c>
      <c r="E645" s="1" t="n">
        <v>46311</v>
      </c>
      <c r="F645" t="inlineStr">
        <is>
          <t>NORRBOTTENS LÄN</t>
        </is>
      </c>
      <c r="G645" t="inlineStr">
        <is>
          <t>BODEN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52169-2025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45953</v>
      </c>
      <c r="E646" s="1" t="n">
        <v>46311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52166-2025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45953</v>
      </c>
      <c r="E647" s="1" t="n">
        <v>46311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51525-2025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45950</v>
      </c>
      <c r="E648" s="1" t="n">
        <v>46311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30105-2023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45099</v>
      </c>
      <c r="E649" s="1" t="n">
        <v>46311</v>
      </c>
      <c r="F649" t="inlineStr">
        <is>
          <t>NORRBOTTENS LÄN</t>
        </is>
      </c>
      <c r="G649" t="inlineStr">
        <is>
          <t>BODEN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46311</v>
      </c>
      <c r="F650" t="inlineStr">
        <is>
          <t>NORRBOTTENS LÄN</t>
        </is>
      </c>
      <c r="G650" t="inlineStr">
        <is>
          <t>BODEN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46217</v>
      </c>
      <c r="E651" s="1" t="n">
        <v>46311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46217</v>
      </c>
      <c r="E652" s="1" t="n">
        <v>46311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8.800000000000001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31211-2026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46311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31226-2026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46311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46052-2025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45924</v>
      </c>
      <c r="E655" s="1" t="n">
        <v>46311</v>
      </c>
      <c r="F655" t="inlineStr">
        <is>
          <t>NORRBOTTENS LÄN</t>
        </is>
      </c>
      <c r="G655" t="inlineStr">
        <is>
          <t>BODEN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45894</v>
      </c>
      <c r="E656" s="1" t="n">
        <v>46311</v>
      </c>
      <c r="F656" t="inlineStr">
        <is>
          <t>NORRBOTTENS LÄN</t>
        </is>
      </c>
      <c r="G656" t="inlineStr">
        <is>
          <t>BODEN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52645-2025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45955</v>
      </c>
      <c r="E657" s="1" t="n">
        <v>46311</v>
      </c>
      <c r="F657" t="inlineStr">
        <is>
          <t>NORRBOTTENS LÄN</t>
        </is>
      </c>
      <c r="G657" t="inlineStr">
        <is>
          <t>BODEN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52646-2025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45955</v>
      </c>
      <c r="E658" s="1" t="n">
        <v>46311</v>
      </c>
      <c r="F658" t="inlineStr">
        <is>
          <t>NORRBOTTENS LÄN</t>
        </is>
      </c>
      <c r="G658" t="inlineStr">
        <is>
          <t>BODEN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46311</v>
      </c>
      <c r="F659" t="inlineStr">
        <is>
          <t>NORRBOTTENS LÄN</t>
        </is>
      </c>
      <c r="G659" t="inlineStr">
        <is>
          <t>BODEN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46311</v>
      </c>
      <c r="F660" t="inlineStr">
        <is>
          <t>NORRBOTTENS LÄN</t>
        </is>
      </c>
      <c r="G660" t="inlineStr">
        <is>
          <t>BODEN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23706-2024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46311</v>
      </c>
      <c r="F661" t="inlineStr">
        <is>
          <t>NORRBOTTENS LÄN</t>
        </is>
      </c>
      <c r="G661" t="inlineStr">
        <is>
          <t>BODEN</t>
        </is>
      </c>
      <c r="I661" t="n">
        <v>10.9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46225</v>
      </c>
      <c r="E662" s="1" t="n">
        <v>46311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19582-2025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45770</v>
      </c>
      <c r="E663" s="1" t="n">
        <v>46311</v>
      </c>
      <c r="F663" t="inlineStr">
        <is>
          <t>NORRBOTTENS LÄN</t>
        </is>
      </c>
      <c r="G663" t="inlineStr">
        <is>
          <t>BODEN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53623-2025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45960</v>
      </c>
      <c r="E664" s="1" t="n">
        <v>46311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11.7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46311</v>
      </c>
      <c r="F665" t="inlineStr">
        <is>
          <t>NORRBOTTENS LÄN</t>
        </is>
      </c>
      <c r="G665" t="inlineStr">
        <is>
          <t>BODEN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45677</v>
      </c>
      <c r="E666" s="1" t="n">
        <v>46311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53893-2025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45961</v>
      </c>
      <c r="E667" s="1" t="n">
        <v>46311</v>
      </c>
      <c r="F667" t="inlineStr">
        <is>
          <t>NORRBOTTENS LÄN</t>
        </is>
      </c>
      <c r="G667" t="inlineStr">
        <is>
          <t>BODEN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36792-2026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46272</v>
      </c>
      <c r="E668" s="1" t="n">
        <v>46311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18569-2024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45425</v>
      </c>
      <c r="E669" s="1" t="n">
        <v>46311</v>
      </c>
      <c r="F669" t="inlineStr">
        <is>
          <t>NORRBOTTENS LÄN</t>
        </is>
      </c>
      <c r="G669" t="inlineStr">
        <is>
          <t>BODEN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46311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19968-2025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45771</v>
      </c>
      <c r="E671" s="1" t="n">
        <v>46311</v>
      </c>
      <c r="F671" t="inlineStr">
        <is>
          <t>NORRBOTTENS LÄN</t>
        </is>
      </c>
      <c r="G671" t="inlineStr">
        <is>
          <t>BODEN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46270</v>
      </c>
      <c r="E672" s="1" t="n">
        <v>46311</v>
      </c>
      <c r="F672" t="inlineStr">
        <is>
          <t>NORRBOTTENS LÄN</t>
        </is>
      </c>
      <c r="G672" t="inlineStr">
        <is>
          <t>BODEN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54172-2025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45964</v>
      </c>
      <c r="E673" s="1" t="n">
        <v>46311</v>
      </c>
      <c r="F673" t="inlineStr">
        <is>
          <t>NORRBOTTENS LÄN</t>
        </is>
      </c>
      <c r="G673" t="inlineStr">
        <is>
          <t>BODEN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33034-2023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45125</v>
      </c>
      <c r="E674" s="1" t="n">
        <v>46311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62140-2024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45646</v>
      </c>
      <c r="E675" s="1" t="n">
        <v>46311</v>
      </c>
      <c r="F675" t="inlineStr">
        <is>
          <t>NORRBOTTENS LÄN</t>
        </is>
      </c>
      <c r="G675" t="inlineStr">
        <is>
          <t>BODEN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19082-2025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45766</v>
      </c>
      <c r="E676" s="1" t="n">
        <v>46311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37101-2026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46274</v>
      </c>
      <c r="E677" s="1" t="n">
        <v>46311</v>
      </c>
      <c r="F677" t="inlineStr">
        <is>
          <t>NORRBOTTENS LÄN</t>
        </is>
      </c>
      <c r="G677" t="inlineStr">
        <is>
          <t>BODEN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37029-2026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46273</v>
      </c>
      <c r="E678" s="1" t="n">
        <v>46311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11.8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37162-2026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46274</v>
      </c>
      <c r="E679" s="1" t="n">
        <v>46311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46274</v>
      </c>
      <c r="E680" s="1" t="n">
        <v>46311</v>
      </c>
      <c r="F680" t="inlineStr">
        <is>
          <t>NORRBOTTENS LÄN</t>
        </is>
      </c>
      <c r="G680" t="inlineStr">
        <is>
          <t>BODEN</t>
        </is>
      </c>
      <c r="I680" t="n">
        <v>12.3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54417-2025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45965</v>
      </c>
      <c r="E681" s="1" t="n">
        <v>46311</v>
      </c>
      <c r="F681" t="inlineStr">
        <is>
          <t>NORRBOTTENS LÄN</t>
        </is>
      </c>
      <c r="G681" t="inlineStr">
        <is>
          <t>BODEN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58504-2024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45635</v>
      </c>
      <c r="E682" s="1" t="n">
        <v>46311</v>
      </c>
      <c r="F682" t="inlineStr">
        <is>
          <t>NORRBOTTENS LÄN</t>
        </is>
      </c>
      <c r="G682" t="inlineStr">
        <is>
          <t>BODEN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46274</v>
      </c>
      <c r="E683" s="1" t="n">
        <v>46311</v>
      </c>
      <c r="F683" t="inlineStr">
        <is>
          <t>NORRBOTTENS LÄN</t>
        </is>
      </c>
      <c r="G683" t="inlineStr">
        <is>
          <t>BODEN</t>
        </is>
      </c>
      <c r="I683" t="n">
        <v>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54578-2025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45965</v>
      </c>
      <c r="E684" s="1" t="n">
        <v>46311</v>
      </c>
      <c r="F684" t="inlineStr">
        <is>
          <t>NORRBOTTENS LÄN</t>
        </is>
      </c>
      <c r="G684" t="inlineStr">
        <is>
          <t>BODEN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54834-2025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45966</v>
      </c>
      <c r="E685" s="1" t="n">
        <v>46311</v>
      </c>
      <c r="F685" t="inlineStr">
        <is>
          <t>NORRBOTTENS LÄN</t>
        </is>
      </c>
      <c r="G685" t="inlineStr">
        <is>
          <t>BODEN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28357-2023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45099</v>
      </c>
      <c r="E686" s="1" t="n">
        <v>46311</v>
      </c>
      <c r="F686" t="inlineStr">
        <is>
          <t>NORRBOTTENS LÄN</t>
        </is>
      </c>
      <c r="G686" t="inlineStr">
        <is>
          <t>BODEN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54523-2025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45965</v>
      </c>
      <c r="E687" s="1" t="n">
        <v>46311</v>
      </c>
      <c r="F687" t="inlineStr">
        <is>
          <t>NORRBOTTENS LÄN</t>
        </is>
      </c>
      <c r="G687" t="inlineStr">
        <is>
          <t>BODEN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54416-2025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45965</v>
      </c>
      <c r="E688" s="1" t="n">
        <v>46311</v>
      </c>
      <c r="F688" t="inlineStr">
        <is>
          <t>NORRBOTTENS LÄN</t>
        </is>
      </c>
      <c r="G688" t="inlineStr">
        <is>
          <t>BODEN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15017-2022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44657</v>
      </c>
      <c r="E689" s="1" t="n">
        <v>46311</v>
      </c>
      <c r="F689" t="inlineStr">
        <is>
          <t>NORRBOTTENS LÄN</t>
        </is>
      </c>
      <c r="G689" t="inlineStr">
        <is>
          <t>BODEN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37589-2026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46276</v>
      </c>
      <c r="E690" s="1" t="n">
        <v>46311</v>
      </c>
      <c r="F690" t="inlineStr">
        <is>
          <t>NORRBOTTENS LÄN</t>
        </is>
      </c>
      <c r="G690" t="inlineStr">
        <is>
          <t>BODEN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46311</v>
      </c>
      <c r="F691" t="inlineStr">
        <is>
          <t>NORRBOTTENS LÄN</t>
        </is>
      </c>
      <c r="G691" t="inlineStr">
        <is>
          <t>BODEN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46275</v>
      </c>
      <c r="E692" s="1" t="n">
        <v>46311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37588-2026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46276</v>
      </c>
      <c r="E693" s="1" t="n">
        <v>46311</v>
      </c>
      <c r="F693" t="inlineStr">
        <is>
          <t>NORRBOTTENS LÄN</t>
        </is>
      </c>
      <c r="G693" t="inlineStr">
        <is>
          <t>BODEN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37459-2026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46275</v>
      </c>
      <c r="E694" s="1" t="n">
        <v>46311</v>
      </c>
      <c r="F694" t="inlineStr">
        <is>
          <t>NORRBOTTENS LÄN</t>
        </is>
      </c>
      <c r="G694" t="inlineStr">
        <is>
          <t>BODEN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46311</v>
      </c>
      <c r="F695" t="inlineStr">
        <is>
          <t>NORRBOTTENS LÄN</t>
        </is>
      </c>
      <c r="G695" t="inlineStr">
        <is>
          <t>BODEN</t>
        </is>
      </c>
      <c r="I695" t="n">
        <v>23.1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61487-2023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46311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37472-2026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46275</v>
      </c>
      <c r="E697" s="1" t="n">
        <v>46311</v>
      </c>
      <c r="F697" t="inlineStr">
        <is>
          <t>NORRBOTTENS LÄN</t>
        </is>
      </c>
      <c r="G697" t="inlineStr">
        <is>
          <t>BODEN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8028-2024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45350</v>
      </c>
      <c r="E698" s="1" t="n">
        <v>46311</v>
      </c>
      <c r="F698" t="inlineStr">
        <is>
          <t>NORRBOTTENS LÄN</t>
        </is>
      </c>
      <c r="G698" t="inlineStr">
        <is>
          <t>BODEN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12562-2024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45379</v>
      </c>
      <c r="E699" s="1" t="n">
        <v>46311</v>
      </c>
      <c r="F699" t="inlineStr">
        <is>
          <t>NORRBOTTENS LÄN</t>
        </is>
      </c>
      <c r="G699" t="inlineStr">
        <is>
          <t>BODEN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46311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57895-2021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44486</v>
      </c>
      <c r="E701" s="1" t="n">
        <v>46311</v>
      </c>
      <c r="F701" t="inlineStr">
        <is>
          <t>NORRBOTTENS LÄN</t>
        </is>
      </c>
      <c r="G701" t="inlineStr">
        <is>
          <t>BODEN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48129-2023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45205</v>
      </c>
      <c r="E702" s="1" t="n">
        <v>46311</v>
      </c>
      <c r="F702" t="inlineStr">
        <is>
          <t>NORRBOTTENS LÄN</t>
        </is>
      </c>
      <c r="G702" t="inlineStr">
        <is>
          <t>BODEN</t>
        </is>
      </c>
      <c r="I702" t="n">
        <v>7.1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46234</v>
      </c>
      <c r="E703" s="1" t="n">
        <v>46311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55562-2025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45971</v>
      </c>
      <c r="E704" s="1" t="n">
        <v>46311</v>
      </c>
      <c r="F704" t="inlineStr">
        <is>
          <t>NORRBOTTENS LÄN</t>
        </is>
      </c>
      <c r="G704" t="inlineStr">
        <is>
          <t>BODEN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32088-2026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46234</v>
      </c>
      <c r="E705" s="1" t="n">
        <v>46311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38280-2026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46281</v>
      </c>
      <c r="E706" s="1" t="n">
        <v>46311</v>
      </c>
      <c r="F706" t="inlineStr">
        <is>
          <t>NORRBOTTENS LÄN</t>
        </is>
      </c>
      <c r="G706" t="inlineStr">
        <is>
          <t>BODEN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45035</v>
      </c>
      <c r="E707" s="1" t="n">
        <v>46311</v>
      </c>
      <c r="F707" t="inlineStr">
        <is>
          <t>NORRBOTTENS LÄN</t>
        </is>
      </c>
      <c r="G707" t="inlineStr">
        <is>
          <t>BODEN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38272-2026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46281</v>
      </c>
      <c r="E708" s="1" t="n">
        <v>46311</v>
      </c>
      <c r="F708" t="inlineStr">
        <is>
          <t>NORRBOTTENS LÄN</t>
        </is>
      </c>
      <c r="G708" t="inlineStr">
        <is>
          <t>BODEN</t>
        </is>
      </c>
      <c r="H708" t="inlineStr">
        <is>
          <t>Övriga Aktiebolag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46281</v>
      </c>
      <c r="E709" s="1" t="n">
        <v>46311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Aktiebolag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46281</v>
      </c>
      <c r="E710" s="1" t="n">
        <v>46311</v>
      </c>
      <c r="F710" t="inlineStr">
        <is>
          <t>NORRBOTTENS LÄN</t>
        </is>
      </c>
      <c r="G710" t="inlineStr">
        <is>
          <t>BODEN</t>
        </is>
      </c>
      <c r="H710" t="inlineStr">
        <is>
          <t>Övriga Aktiebolag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55676-2025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45972</v>
      </c>
      <c r="E711" s="1" t="n">
        <v>46311</v>
      </c>
      <c r="F711" t="inlineStr">
        <is>
          <t>NORRBOTTENS LÄN</t>
        </is>
      </c>
      <c r="G711" t="inlineStr">
        <is>
          <t>BODEN</t>
        </is>
      </c>
      <c r="I711" t="n">
        <v>11.9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46311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46311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6638-2024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45341</v>
      </c>
      <c r="E714" s="1" t="n">
        <v>46311</v>
      </c>
      <c r="F714" t="inlineStr">
        <is>
          <t>NORRBOTTENS LÄN</t>
        </is>
      </c>
      <c r="G714" t="inlineStr">
        <is>
          <t>BODEN</t>
        </is>
      </c>
      <c r="H714" t="inlineStr">
        <is>
          <t>Övriga statliga verk och myndigheter</t>
        </is>
      </c>
      <c r="I714" t="n">
        <v>12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32562-2026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46239</v>
      </c>
      <c r="E715" s="1" t="n">
        <v>46311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26.6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56560-2025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45975</v>
      </c>
      <c r="E716" s="1" t="n">
        <v>46311</v>
      </c>
      <c r="F716" t="inlineStr">
        <is>
          <t>NORRBOTTENS LÄN</t>
        </is>
      </c>
      <c r="G716" t="inlineStr">
        <is>
          <t>BODEN</t>
        </is>
      </c>
      <c r="H716" t="inlineStr">
        <is>
          <t>Naturvårdsverket</t>
        </is>
      </c>
      <c r="I716" t="n">
        <v>9.800000000000001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56947-2025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46311</v>
      </c>
      <c r="F717" t="inlineStr">
        <is>
          <t>NORRBOTTENS LÄN</t>
        </is>
      </c>
      <c r="G717" t="inlineStr">
        <is>
          <t>BODEN</t>
        </is>
      </c>
      <c r="H717" t="inlineStr">
        <is>
          <t>Naturvårdsverket</t>
        </is>
      </c>
      <c r="I717" t="n">
        <v>10.4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61932-2024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46311</v>
      </c>
      <c r="F718" t="inlineStr">
        <is>
          <t>NORRBOTTENS LÄN</t>
        </is>
      </c>
      <c r="G718" t="inlineStr">
        <is>
          <t>BODEN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45174</v>
      </c>
      <c r="E719" s="1" t="n">
        <v>46311</v>
      </c>
      <c r="F719" t="inlineStr">
        <is>
          <t>NORRBOTTENS LÄN</t>
        </is>
      </c>
      <c r="G719" t="inlineStr">
        <is>
          <t>BODEN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45975</v>
      </c>
      <c r="E720" s="1" t="n">
        <v>46311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42995-2022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44833</v>
      </c>
      <c r="E721" s="1" t="n">
        <v>46311</v>
      </c>
      <c r="F721" t="inlineStr">
        <is>
          <t>NORRBOTTENS LÄN</t>
        </is>
      </c>
      <c r="G721" t="inlineStr">
        <is>
          <t>BODEN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32674-2026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46240</v>
      </c>
      <c r="E722" s="1" t="n">
        <v>46311</v>
      </c>
      <c r="F722" t="inlineStr">
        <is>
          <t>NORRBOTTENS LÄN</t>
        </is>
      </c>
      <c r="G722" t="inlineStr">
        <is>
          <t>BODEN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46311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59893-2023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45254</v>
      </c>
      <c r="E724" s="1" t="n">
        <v>46311</v>
      </c>
      <c r="F724" t="inlineStr">
        <is>
          <t>NORRBOTTENS LÄN</t>
        </is>
      </c>
      <c r="G724" t="inlineStr">
        <is>
          <t>BODEN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35561-2025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45856</v>
      </c>
      <c r="E725" s="1" t="n">
        <v>46311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10.8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38576-2026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46283</v>
      </c>
      <c r="E726" s="1" t="n">
        <v>46311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44935</v>
      </c>
      <c r="E727" s="1" t="n">
        <v>46311</v>
      </c>
      <c r="F727" t="inlineStr">
        <is>
          <t>NORRBOTTENS LÄN</t>
        </is>
      </c>
      <c r="G727" t="inlineStr">
        <is>
          <t>BODEN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56439-2025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45975</v>
      </c>
      <c r="E728" s="1" t="n">
        <v>46311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56867-2025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45978</v>
      </c>
      <c r="E729" s="1" t="n">
        <v>46311</v>
      </c>
      <c r="F729" t="inlineStr">
        <is>
          <t>NORRBOTTENS LÄN</t>
        </is>
      </c>
      <c r="G729" t="inlineStr">
        <is>
          <t>BODEN</t>
        </is>
      </c>
      <c r="I729" t="n">
        <v>5.8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31203-2025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45832</v>
      </c>
      <c r="E730" s="1" t="n">
        <v>46311</v>
      </c>
      <c r="F730" t="inlineStr">
        <is>
          <t>NORRBOTTENS LÄN</t>
        </is>
      </c>
      <c r="G730" t="inlineStr">
        <is>
          <t>BODEN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38574-2026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46283</v>
      </c>
      <c r="E731" s="1" t="n">
        <v>46311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28496-2026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46197</v>
      </c>
      <c r="E732" s="1" t="n">
        <v>46311</v>
      </c>
      <c r="F732" t="inlineStr">
        <is>
          <t>NORRBOTTENS LÄN</t>
        </is>
      </c>
      <c r="G732" t="inlineStr">
        <is>
          <t>BODEN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56837-2023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45244</v>
      </c>
      <c r="E733" s="1" t="n">
        <v>46311</v>
      </c>
      <c r="F733" t="inlineStr">
        <is>
          <t>NORRBOTTENS LÄN</t>
        </is>
      </c>
      <c r="G733" t="inlineStr">
        <is>
          <t>BODEN</t>
        </is>
      </c>
      <c r="H733" t="inlineStr">
        <is>
          <t>Övriga statliga verk och myndigheter</t>
        </is>
      </c>
      <c r="I733" t="n">
        <v>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61969-2024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45653</v>
      </c>
      <c r="E734" s="1" t="n">
        <v>46311</v>
      </c>
      <c r="F734" t="inlineStr">
        <is>
          <t>NORRBOTTENS LÄN</t>
        </is>
      </c>
      <c r="G734" t="inlineStr">
        <is>
          <t>BODEN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39007-2026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46311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29183-2026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46202</v>
      </c>
      <c r="E736" s="1" t="n">
        <v>46311</v>
      </c>
      <c r="F736" t="inlineStr">
        <is>
          <t>NORRBOTTENS LÄN</t>
        </is>
      </c>
      <c r="G736" t="inlineStr">
        <is>
          <t>BODEN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46311</v>
      </c>
      <c r="F737" t="inlineStr">
        <is>
          <t>NORRBOTTENS LÄN</t>
        </is>
      </c>
      <c r="G737" t="inlineStr">
        <is>
          <t>BODEN</t>
        </is>
      </c>
      <c r="H737" t="inlineStr">
        <is>
          <t>Övriga Aktiebolag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45672</v>
      </c>
      <c r="E738" s="1" t="n">
        <v>46311</v>
      </c>
      <c r="F738" t="inlineStr">
        <is>
          <t>NORRBOTTENS LÄN</t>
        </is>
      </c>
      <c r="G738" t="inlineStr">
        <is>
          <t>BODEN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57777-2025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45981</v>
      </c>
      <c r="E739" s="1" t="n">
        <v>46311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57778-2025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45981</v>
      </c>
      <c r="E740" s="1" t="n">
        <v>46311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19624-2025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45770</v>
      </c>
      <c r="E741" s="1" t="n">
        <v>46311</v>
      </c>
      <c r="F741" t="inlineStr">
        <is>
          <t>NORRBOTTENS LÄN</t>
        </is>
      </c>
      <c r="G741" t="inlineStr">
        <is>
          <t>BODEN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28079-2024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45476</v>
      </c>
      <c r="E742" s="1" t="n">
        <v>46311</v>
      </c>
      <c r="F742" t="inlineStr">
        <is>
          <t>NORRBOTTENS LÄN</t>
        </is>
      </c>
      <c r="G742" t="inlineStr">
        <is>
          <t>BODEN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58490-2025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45985</v>
      </c>
      <c r="E743" s="1" t="n">
        <v>46311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19048-2025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45764</v>
      </c>
      <c r="E744" s="1" t="n">
        <v>46311</v>
      </c>
      <c r="F744" t="inlineStr">
        <is>
          <t>NORRBOTTENS LÄN</t>
        </is>
      </c>
      <c r="G744" t="inlineStr">
        <is>
          <t>BODEN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46311</v>
      </c>
      <c r="F745" t="inlineStr">
        <is>
          <t>NORRBOTTENS LÄN</t>
        </is>
      </c>
      <c r="G745" t="inlineStr">
        <is>
          <t>BODEN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39943-2026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46290</v>
      </c>
      <c r="E746" s="1" t="n">
        <v>46311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11.1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54236-2022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44881</v>
      </c>
      <c r="E747" s="1" t="n">
        <v>46311</v>
      </c>
      <c r="F747" t="inlineStr">
        <is>
          <t>NORRBOTTENS LÄN</t>
        </is>
      </c>
      <c r="G747" t="inlineStr">
        <is>
          <t>BODEN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39521-2026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46289</v>
      </c>
      <c r="E748" s="1" t="n">
        <v>46311</v>
      </c>
      <c r="F748" t="inlineStr">
        <is>
          <t>NORRBOTTENS LÄN</t>
        </is>
      </c>
      <c r="G748" t="inlineStr">
        <is>
          <t>BODEN</t>
        </is>
      </c>
      <c r="I748" t="n">
        <v>24.6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58662-2025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46311</v>
      </c>
      <c r="F749" t="inlineStr">
        <is>
          <t>NORRBOTTENS LÄN</t>
        </is>
      </c>
      <c r="G749" t="inlineStr">
        <is>
          <t>BODEN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14801-2024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45397</v>
      </c>
      <c r="E750" s="1" t="n">
        <v>46311</v>
      </c>
      <c r="F750" t="inlineStr">
        <is>
          <t>NORRBOTTENS LÄN</t>
        </is>
      </c>
      <c r="G750" t="inlineStr">
        <is>
          <t>BODEN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14802-2024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45397</v>
      </c>
      <c r="E751" s="1" t="n">
        <v>46311</v>
      </c>
      <c r="F751" t="inlineStr">
        <is>
          <t>NORRBOTTENS LÄN</t>
        </is>
      </c>
      <c r="G751" t="inlineStr">
        <is>
          <t>BODEN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58203-2025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45984</v>
      </c>
      <c r="E752" s="1" t="n">
        <v>46311</v>
      </c>
      <c r="F752" t="inlineStr">
        <is>
          <t>NORRBOTTENS LÄN</t>
        </is>
      </c>
      <c r="G752" t="inlineStr">
        <is>
          <t>BODEN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45391</v>
      </c>
      <c r="E753" s="1" t="n">
        <v>46311</v>
      </c>
      <c r="F753" t="inlineStr">
        <is>
          <t>NORRBOTTENS LÄN</t>
        </is>
      </c>
      <c r="G753" t="inlineStr">
        <is>
          <t>BODEN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59263-2025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45988</v>
      </c>
      <c r="E754" s="1" t="n">
        <v>46311</v>
      </c>
      <c r="F754" t="inlineStr">
        <is>
          <t>NORRBOTTENS LÄN</t>
        </is>
      </c>
      <c r="G754" t="inlineStr">
        <is>
          <t>BODEN</t>
        </is>
      </c>
      <c r="I754" t="n">
        <v>6.7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33326-2026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46311</v>
      </c>
      <c r="F755" t="inlineStr">
        <is>
          <t>NORRBOTTENS LÄN</t>
        </is>
      </c>
      <c r="G755" t="inlineStr">
        <is>
          <t>BODEN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21128-2025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45778</v>
      </c>
      <c r="E756" s="1" t="n">
        <v>46311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59264-2025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45988</v>
      </c>
      <c r="E757" s="1" t="n">
        <v>46311</v>
      </c>
      <c r="F757" t="inlineStr">
        <is>
          <t>NORRBOTTENS LÄN</t>
        </is>
      </c>
      <c r="G757" t="inlineStr">
        <is>
          <t>BODEN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21349-2025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45782</v>
      </c>
      <c r="E758" s="1" t="n">
        <v>46311</v>
      </c>
      <c r="F758" t="inlineStr">
        <is>
          <t>NORRBOTTENS LÄN</t>
        </is>
      </c>
      <c r="G758" t="inlineStr">
        <is>
          <t>BODEN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46311</v>
      </c>
      <c r="F759" t="inlineStr">
        <is>
          <t>NORRBOTTENS LÄN</t>
        </is>
      </c>
      <c r="G759" t="inlineStr">
        <is>
          <t>BODEN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40151-2026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46293</v>
      </c>
      <c r="E760" s="1" t="n">
        <v>46311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46311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60238-2025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45994</v>
      </c>
      <c r="E762" s="1" t="n">
        <v>46311</v>
      </c>
      <c r="F762" t="inlineStr">
        <is>
          <t>NORRBOTTENS LÄN</t>
        </is>
      </c>
      <c r="G762" t="inlineStr">
        <is>
          <t>BODEN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60233-2025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45994</v>
      </c>
      <c r="E763" s="1" t="n">
        <v>46311</v>
      </c>
      <c r="F763" t="inlineStr">
        <is>
          <t>NORRBOTTENS LÄN</t>
        </is>
      </c>
      <c r="G763" t="inlineStr">
        <is>
          <t>BODEN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60235-2025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45994</v>
      </c>
      <c r="E764" s="1" t="n">
        <v>46311</v>
      </c>
      <c r="F764" t="inlineStr">
        <is>
          <t>NORRBOTTENS LÄN</t>
        </is>
      </c>
      <c r="G764" t="inlineStr">
        <is>
          <t>BODEN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60225-2025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45994</v>
      </c>
      <c r="E765" s="1" t="n">
        <v>46311</v>
      </c>
      <c r="F765" t="inlineStr">
        <is>
          <t>NORRBOTTENS LÄN</t>
        </is>
      </c>
      <c r="G765" t="inlineStr">
        <is>
          <t>BODEN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60236-2025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45994</v>
      </c>
      <c r="E766" s="1" t="n">
        <v>46311</v>
      </c>
      <c r="F766" t="inlineStr">
        <is>
          <t>NORRBOTTENS LÄN</t>
        </is>
      </c>
      <c r="G766" t="inlineStr">
        <is>
          <t>BODEN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40434-2026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46311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40026-2026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46293</v>
      </c>
      <c r="E768" s="1" t="n">
        <v>46311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8.300000000000001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60397-2025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45995</v>
      </c>
      <c r="E769" s="1" t="n">
        <v>46311</v>
      </c>
      <c r="F769" t="inlineStr">
        <is>
          <t>NORRBOTTENS LÄN</t>
        </is>
      </c>
      <c r="G769" t="inlineStr">
        <is>
          <t>BODEN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60395-2025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45995</v>
      </c>
      <c r="E770" s="1" t="n">
        <v>46311</v>
      </c>
      <c r="F770" t="inlineStr">
        <is>
          <t>NORRBOTTENS LÄN</t>
        </is>
      </c>
      <c r="G770" t="inlineStr">
        <is>
          <t>BODEN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60423-2025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46311</v>
      </c>
      <c r="F771" t="inlineStr">
        <is>
          <t>NORRBOTTENS LÄN</t>
        </is>
      </c>
      <c r="G771" t="inlineStr">
        <is>
          <t>BODEN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60424-2025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45995</v>
      </c>
      <c r="E772" s="1" t="n">
        <v>46311</v>
      </c>
      <c r="F772" t="inlineStr">
        <is>
          <t>NORRBOTTENS LÄN</t>
        </is>
      </c>
      <c r="G772" t="inlineStr">
        <is>
          <t>BODEN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60613-2025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45996</v>
      </c>
      <c r="E773" s="1" t="n">
        <v>46311</v>
      </c>
      <c r="F773" t="inlineStr">
        <is>
          <t>NORRBOTTENS LÄN</t>
        </is>
      </c>
      <c r="G773" t="inlineStr">
        <is>
          <t>BODEN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46248</v>
      </c>
      <c r="E774" s="1" t="n">
        <v>46311</v>
      </c>
      <c r="F774" t="inlineStr">
        <is>
          <t>NORRBOTTENS LÄN</t>
        </is>
      </c>
      <c r="G774" t="inlineStr">
        <is>
          <t>BODEN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60429-2025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45995</v>
      </c>
      <c r="E775" s="1" t="n">
        <v>46311</v>
      </c>
      <c r="F775" t="inlineStr">
        <is>
          <t>NORRBOTTENS LÄN</t>
        </is>
      </c>
      <c r="G775" t="inlineStr">
        <is>
          <t>BODEN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46029</v>
      </c>
      <c r="E776" s="1" t="n">
        <v>46311</v>
      </c>
      <c r="F776" t="inlineStr">
        <is>
          <t>NORRBOTTENS LÄN</t>
        </is>
      </c>
      <c r="G776" t="inlineStr">
        <is>
          <t>BODEN</t>
        </is>
      </c>
      <c r="H776" t="inlineStr">
        <is>
          <t>Naturvårdsverket</t>
        </is>
      </c>
      <c r="I776" t="n">
        <v>5.2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40701-2026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46296</v>
      </c>
      <c r="E777" s="1" t="n">
        <v>46311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14.5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46311</v>
      </c>
      <c r="F778" t="inlineStr">
        <is>
          <t>NORRBOTTENS LÄN</t>
        </is>
      </c>
      <c r="G778" t="inlineStr">
        <is>
          <t>BODEN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42652-2025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45906</v>
      </c>
      <c r="E779" s="1" t="n">
        <v>46311</v>
      </c>
      <c r="F779" t="inlineStr">
        <is>
          <t>NORRBOTTENS LÄN</t>
        </is>
      </c>
      <c r="G779" t="inlineStr">
        <is>
          <t>BODEN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61034-2025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45999</v>
      </c>
      <c r="E780" s="1" t="n">
        <v>46311</v>
      </c>
      <c r="F780" t="inlineStr">
        <is>
          <t>NORRBOTTENS LÄN</t>
        </is>
      </c>
      <c r="G780" t="inlineStr">
        <is>
          <t>BODEN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61227-2025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46000</v>
      </c>
      <c r="E781" s="1" t="n">
        <v>46311</v>
      </c>
      <c r="F781" t="inlineStr">
        <is>
          <t>NORRBOTTENS LÄN</t>
        </is>
      </c>
      <c r="G781" t="inlineStr">
        <is>
          <t>BODEN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40708-2026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46296</v>
      </c>
      <c r="E782" s="1" t="n">
        <v>46311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61384-2025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46001</v>
      </c>
      <c r="E783" s="1" t="n">
        <v>46311</v>
      </c>
      <c r="F783" t="inlineStr">
        <is>
          <t>NORRBOTTENS LÄN</t>
        </is>
      </c>
      <c r="G783" t="inlineStr">
        <is>
          <t>BODEN</t>
        </is>
      </c>
      <c r="I783" t="n">
        <v>17.1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61560-2025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46001</v>
      </c>
      <c r="E784" s="1" t="n">
        <v>46311</v>
      </c>
      <c r="F784" t="inlineStr">
        <is>
          <t>NORRBOTTENS LÄN</t>
        </is>
      </c>
      <c r="G784" t="inlineStr">
        <is>
          <t>BODEN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61559-2025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46001</v>
      </c>
      <c r="E785" s="1" t="n">
        <v>46311</v>
      </c>
      <c r="F785" t="inlineStr">
        <is>
          <t>NORRBOTTENS LÄN</t>
        </is>
      </c>
      <c r="G785" t="inlineStr">
        <is>
          <t>BODEN</t>
        </is>
      </c>
      <c r="I785" t="n">
        <v>6.7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61959-2025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46003</v>
      </c>
      <c r="E786" s="1" t="n">
        <v>46311</v>
      </c>
      <c r="F786" t="inlineStr">
        <is>
          <t>NORRBOTTENS LÄN</t>
        </is>
      </c>
      <c r="G786" t="inlineStr">
        <is>
          <t>BODEN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33790-2026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46251</v>
      </c>
      <c r="E787" s="1" t="n">
        <v>46311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61949-2025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46003</v>
      </c>
      <c r="E788" s="1" t="n">
        <v>46311</v>
      </c>
      <c r="F788" t="inlineStr">
        <is>
          <t>NORRBOTTENS LÄN</t>
        </is>
      </c>
      <c r="G788" t="inlineStr">
        <is>
          <t>BODEN</t>
        </is>
      </c>
      <c r="I788" t="n">
        <v>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62687-2025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46008</v>
      </c>
      <c r="E789" s="1" t="n">
        <v>46311</v>
      </c>
      <c r="F789" t="inlineStr">
        <is>
          <t>NORRBOTTENS LÄN</t>
        </is>
      </c>
      <c r="G789" t="inlineStr">
        <is>
          <t>BODEN</t>
        </is>
      </c>
      <c r="I789" t="n">
        <v>10.1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34022-2026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46252</v>
      </c>
      <c r="E790" s="1" t="n">
        <v>46311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19.5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27543-2025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45813</v>
      </c>
      <c r="E791" s="1" t="n">
        <v>46311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22372-2025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45786</v>
      </c>
      <c r="E792" s="1" t="n">
        <v>46311</v>
      </c>
      <c r="F792" t="inlineStr">
        <is>
          <t>NORRBOTTENS LÄN</t>
        </is>
      </c>
      <c r="G792" t="inlineStr">
        <is>
          <t>BODEN</t>
        </is>
      </c>
      <c r="H792" t="inlineStr">
        <is>
          <t>Kommuner</t>
        </is>
      </c>
      <c r="I792" t="n">
        <v>16.3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36115-2023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45149</v>
      </c>
      <c r="E793" s="1" t="n">
        <v>46311</v>
      </c>
      <c r="F793" t="inlineStr">
        <is>
          <t>NORRBOTTENS LÄN</t>
        </is>
      </c>
      <c r="G793" t="inlineStr">
        <is>
          <t>BODEN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46311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18.5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46311</v>
      </c>
      <c r="F795" t="inlineStr">
        <is>
          <t>NORRBOTTENS LÄN</t>
        </is>
      </c>
      <c r="G795" t="inlineStr">
        <is>
          <t>BODEN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63329-2025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46009</v>
      </c>
      <c r="E796" s="1" t="n">
        <v>46311</v>
      </c>
      <c r="F796" t="inlineStr">
        <is>
          <t>NORRBOTTENS LÄN</t>
        </is>
      </c>
      <c r="G796" t="inlineStr">
        <is>
          <t>BODEN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63333-2025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46009</v>
      </c>
      <c r="E797" s="1" t="n">
        <v>46311</v>
      </c>
      <c r="F797" t="inlineStr">
        <is>
          <t>NORRBOTTENS LÄN</t>
        </is>
      </c>
      <c r="G797" t="inlineStr">
        <is>
          <t>BODEN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40873-2026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46311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41096-2026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46311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11.6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60237-2025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45994</v>
      </c>
      <c r="E800" s="1" t="n">
        <v>46311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34462-2026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46311</v>
      </c>
      <c r="F801" t="inlineStr">
        <is>
          <t>NORRBOTTENS LÄN</t>
        </is>
      </c>
      <c r="G801" t="inlineStr">
        <is>
          <t>BODEN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46311</v>
      </c>
      <c r="F802" t="inlineStr">
        <is>
          <t>NORRBOTTENS LÄN</t>
        </is>
      </c>
      <c r="G802" t="inlineStr">
        <is>
          <t>BODEN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62992-2025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46009</v>
      </c>
      <c r="E803" s="1" t="n">
        <v>46311</v>
      </c>
      <c r="F803" t="inlineStr">
        <is>
          <t>NORRBOTTENS LÄN</t>
        </is>
      </c>
      <c r="G803" t="inlineStr">
        <is>
          <t>BODEN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12558-2024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45379</v>
      </c>
      <c r="E804" s="1" t="n">
        <v>46311</v>
      </c>
      <c r="F804" t="inlineStr">
        <is>
          <t>NORRBOTTENS LÄN</t>
        </is>
      </c>
      <c r="G804" t="inlineStr">
        <is>
          <t>BODEN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23321-2025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45791</v>
      </c>
      <c r="E805" s="1" t="n">
        <v>46311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10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41099-2026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46311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63399-2025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46012</v>
      </c>
      <c r="E807" s="1" t="n">
        <v>46311</v>
      </c>
      <c r="F807" t="inlineStr">
        <is>
          <t>NORRBOTTENS LÄN</t>
        </is>
      </c>
      <c r="G807" t="inlineStr">
        <is>
          <t>BODEN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63400-2025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46012</v>
      </c>
      <c r="E808" s="1" t="n">
        <v>46311</v>
      </c>
      <c r="F808" t="inlineStr">
        <is>
          <t>NORRBOTTENS LÄN</t>
        </is>
      </c>
      <c r="G808" t="inlineStr">
        <is>
          <t>BODEN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42173-2025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45902</v>
      </c>
      <c r="E809" s="1" t="n">
        <v>46311</v>
      </c>
      <c r="F809" t="inlineStr">
        <is>
          <t>NORRBOTTENS LÄN</t>
        </is>
      </c>
      <c r="G809" t="inlineStr">
        <is>
          <t>BODEN</t>
        </is>
      </c>
      <c r="H809" t="inlineStr">
        <is>
          <t>Övriga statliga verk och myndigheter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46311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41039-2026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46299</v>
      </c>
      <c r="E811" s="1" t="n">
        <v>46311</v>
      </c>
      <c r="F811" t="inlineStr">
        <is>
          <t>NORRBOTTENS LÄN</t>
        </is>
      </c>
      <c r="G811" t="inlineStr">
        <is>
          <t>BODEN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41302-2026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46300</v>
      </c>
      <c r="E812" s="1" t="n">
        <v>46311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41140-2026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46300</v>
      </c>
      <c r="E813" s="1" t="n">
        <v>46311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46311</v>
      </c>
      <c r="F814" t="inlineStr">
        <is>
          <t>NORRBOTTENS LÄN</t>
        </is>
      </c>
      <c r="G814" t="inlineStr">
        <is>
          <t>BODEN</t>
        </is>
      </c>
      <c r="I814" t="n">
        <v>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63891-2025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46020</v>
      </c>
      <c r="E815" s="1" t="n">
        <v>46311</v>
      </c>
      <c r="F815" t="inlineStr">
        <is>
          <t>NORRBOTTENS LÄN</t>
        </is>
      </c>
      <c r="G815" t="inlineStr">
        <is>
          <t>BODEN</t>
        </is>
      </c>
      <c r="I815" t="n">
        <v>12.5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34898-2026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46311</v>
      </c>
      <c r="F816" t="inlineStr">
        <is>
          <t>NORRBOTTENS LÄN</t>
        </is>
      </c>
      <c r="G816" t="inlineStr">
        <is>
          <t>BODEN</t>
        </is>
      </c>
      <c r="H816" t="inlineStr">
        <is>
          <t>Naturvårdsverket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34897-2026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46259</v>
      </c>
      <c r="E817" s="1" t="n">
        <v>46311</v>
      </c>
      <c r="F817" t="inlineStr">
        <is>
          <t>NORRBOTTENS LÄN</t>
        </is>
      </c>
      <c r="G817" t="inlineStr">
        <is>
          <t>BODEN</t>
        </is>
      </c>
      <c r="H817" t="inlineStr">
        <is>
          <t>Naturvårdsverket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23724-2025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45793</v>
      </c>
      <c r="E818" s="1" t="n">
        <v>46311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48420-2024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45590</v>
      </c>
      <c r="E819" s="1" t="n">
        <v>46311</v>
      </c>
      <c r="F819" t="inlineStr">
        <is>
          <t>NORRBOTTENS LÄN</t>
        </is>
      </c>
      <c r="G819" t="inlineStr">
        <is>
          <t>BODEN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48427-2024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46311</v>
      </c>
      <c r="F820" t="inlineStr">
        <is>
          <t>NORRBOTTENS LÄN</t>
        </is>
      </c>
      <c r="G820" t="inlineStr">
        <is>
          <t>BODEN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46311</v>
      </c>
      <c r="F821" t="inlineStr">
        <is>
          <t>NORRBOTTENS LÄN</t>
        </is>
      </c>
      <c r="G821" t="inlineStr">
        <is>
          <t>BODEN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8701-2026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46066</v>
      </c>
      <c r="E822" s="1" t="n">
        <v>46311</v>
      </c>
      <c r="F822" t="inlineStr">
        <is>
          <t>NORRBOTTENS LÄN</t>
        </is>
      </c>
      <c r="G822" t="inlineStr">
        <is>
          <t>BODEN</t>
        </is>
      </c>
      <c r="I822" t="n">
        <v>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45798</v>
      </c>
      <c r="E823" s="1" t="n">
        <v>46311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46030</v>
      </c>
      <c r="E824" s="1" t="n">
        <v>46311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46030</v>
      </c>
      <c r="E825" s="1" t="n">
        <v>46311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35060-2026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46259</v>
      </c>
      <c r="E826" s="1" t="n">
        <v>46311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44.8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41568-2026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46301</v>
      </c>
      <c r="E827" s="1" t="n">
        <v>46311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46029</v>
      </c>
      <c r="E828" s="1" t="n">
        <v>46311</v>
      </c>
      <c r="F828" t="inlineStr">
        <is>
          <t>NORRBOTTENS LÄN</t>
        </is>
      </c>
      <c r="G828" t="inlineStr">
        <is>
          <t>BODEN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46311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24538-2025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45798</v>
      </c>
      <c r="E830" s="1" t="n">
        <v>46311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24358-2025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45797</v>
      </c>
      <c r="E831" s="1" t="n">
        <v>46311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46311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49806-2022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44862</v>
      </c>
      <c r="E833" s="1" t="n">
        <v>46311</v>
      </c>
      <c r="F833" t="inlineStr">
        <is>
          <t>NORRBOTTENS LÄN</t>
        </is>
      </c>
      <c r="G833" t="inlineStr">
        <is>
          <t>BODEN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63841-2025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46020</v>
      </c>
      <c r="E834" s="1" t="n">
        <v>46311</v>
      </c>
      <c r="F834" t="inlineStr">
        <is>
          <t>NORRBOTTENS LÄN</t>
        </is>
      </c>
      <c r="G834" t="inlineStr">
        <is>
          <t>BODEN</t>
        </is>
      </c>
      <c r="I834" t="n">
        <v>10.9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46311</v>
      </c>
      <c r="F835" t="inlineStr">
        <is>
          <t>NORRBOTTENS LÄN</t>
        </is>
      </c>
      <c r="G835" t="inlineStr">
        <is>
          <t>BODEN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42179-2026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46304</v>
      </c>
      <c r="E836" s="1" t="n">
        <v>46311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35407-2026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46311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35381-2026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46311</v>
      </c>
      <c r="F838" t="inlineStr">
        <is>
          <t>NORRBOTTENS LÄN</t>
        </is>
      </c>
      <c r="G838" t="inlineStr">
        <is>
          <t>BODEN</t>
        </is>
      </c>
      <c r="I838" t="n">
        <v>10.9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46042</v>
      </c>
      <c r="E839" s="1" t="n">
        <v>46311</v>
      </c>
      <c r="F839" t="inlineStr">
        <is>
          <t>NORRBOTTENS LÄN</t>
        </is>
      </c>
      <c r="G839" t="inlineStr">
        <is>
          <t>BODEN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46311</v>
      </c>
      <c r="F840" t="inlineStr">
        <is>
          <t>NORRBOTTENS LÄN</t>
        </is>
      </c>
      <c r="G840" t="inlineStr">
        <is>
          <t>BODEN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3493-2026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46311</v>
      </c>
      <c r="F841" t="inlineStr">
        <is>
          <t>NORRBOTTENS LÄN</t>
        </is>
      </c>
      <c r="G841" t="inlineStr">
        <is>
          <t>BODEN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35295-2026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46311</v>
      </c>
      <c r="F842" t="inlineStr">
        <is>
          <t>NORRBOTTENS LÄN</t>
        </is>
      </c>
      <c r="G842" t="inlineStr">
        <is>
          <t>BODEN</t>
        </is>
      </c>
      <c r="I842" t="n">
        <v>5.3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HYPERLINK("https://klasma.github.io/Logging_2582/knärot/A 35295-2026 karta knärot.png", "A 35295-2026")</f>
        <v/>
      </c>
      <c r="AA842">
        <f>HYPERLINK("https://klasma.github.io/Logging_2582/klagomål/A 35295-2026 FSC-klagomål.docx", "A 35295-2026")</f>
        <v/>
      </c>
      <c r="AB842">
        <f>HYPERLINK("https://klasma.github.io/Logging_2582/klagomålsmail/A 35295-2026 FSC-klagomål mail.docx", "A 35295-2026")</f>
        <v/>
      </c>
      <c r="AC842">
        <f>HYPERLINK("https://klasma.github.io/Logging_2582/tillsyn/A 35295-2026 tillsynsbegäran.docx", "A 35295-2026")</f>
        <v/>
      </c>
      <c r="AD842">
        <f>HYPERLINK("https://klasma.github.io/Logging_2582/tillsynsmail/A 35295-2026 tillsynsbegäran mail.docx", "A 35295-2026")</f>
        <v/>
      </c>
    </row>
    <row r="843" ht="15" customHeight="1">
      <c r="A843" t="inlineStr">
        <is>
          <t>A 42214-2026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46306</v>
      </c>
      <c r="E843" s="1" t="n">
        <v>46311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46305</v>
      </c>
      <c r="E844" s="1" t="n">
        <v>46311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46311</v>
      </c>
      <c r="F845" t="inlineStr">
        <is>
          <t>NORRBOTTENS LÄN</t>
        </is>
      </c>
      <c r="G845" t="inlineStr">
        <is>
          <t>BODEN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42316-2026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46307</v>
      </c>
      <c r="E846" s="1" t="n">
        <v>46311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5457-2026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46050</v>
      </c>
      <c r="E847" s="1" t="n">
        <v>46311</v>
      </c>
      <c r="F847" t="inlineStr">
        <is>
          <t>NORRBOTTENS LÄN</t>
        </is>
      </c>
      <c r="G847" t="inlineStr">
        <is>
          <t>BODEN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42213-2026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46306</v>
      </c>
      <c r="E848" s="1" t="n">
        <v>46311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42312-2026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46307</v>
      </c>
      <c r="E849" s="1" t="n">
        <v>46311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42203-2026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46305</v>
      </c>
      <c r="E850" s="1" t="n">
        <v>46311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46052</v>
      </c>
      <c r="E851" s="1" t="n">
        <v>46311</v>
      </c>
      <c r="F851" t="inlineStr">
        <is>
          <t>NORRBOTTENS LÄN</t>
        </is>
      </c>
      <c r="G851" t="inlineStr">
        <is>
          <t>BODEN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6516-2026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46056</v>
      </c>
      <c r="E852" s="1" t="n">
        <v>46311</v>
      </c>
      <c r="F852" t="inlineStr">
        <is>
          <t>NORRBOTTENS LÄN</t>
        </is>
      </c>
      <c r="G852" t="inlineStr">
        <is>
          <t>BODEN</t>
        </is>
      </c>
      <c r="I852" t="n">
        <v>9.800000000000001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46311</v>
      </c>
      <c r="F853" t="inlineStr">
        <is>
          <t>NORRBOTTENS LÄN</t>
        </is>
      </c>
      <c r="G853" t="inlineStr">
        <is>
          <t>BODEN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7004-2026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46057</v>
      </c>
      <c r="E854" s="1" t="n">
        <v>46311</v>
      </c>
      <c r="F854" t="inlineStr">
        <is>
          <t>NORRBOTTENS LÄN</t>
        </is>
      </c>
      <c r="G854" t="inlineStr">
        <is>
          <t>BODEN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7185-2026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46311</v>
      </c>
      <c r="F855" t="inlineStr">
        <is>
          <t>NORRBOTTENS LÄN</t>
        </is>
      </c>
      <c r="G855" t="inlineStr">
        <is>
          <t>BODEN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8571-2025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45709</v>
      </c>
      <c r="E856" s="1" t="n">
        <v>46311</v>
      </c>
      <c r="F856" t="inlineStr">
        <is>
          <t>NORRBOTTENS LÄN</t>
        </is>
      </c>
      <c r="G856" t="inlineStr">
        <is>
          <t>BODEN</t>
        </is>
      </c>
      <c r="H856" t="inlineStr">
        <is>
          <t>Övriga Aktiebolag</t>
        </is>
      </c>
      <c r="I856" t="n">
        <v>14.3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7669-2026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46062</v>
      </c>
      <c r="E857" s="1" t="n">
        <v>46311</v>
      </c>
      <c r="F857" t="inlineStr">
        <is>
          <t>NORRBOTTENS LÄN</t>
        </is>
      </c>
      <c r="G857" t="inlineStr">
        <is>
          <t>BODEN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36241-2026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46268</v>
      </c>
      <c r="E858" s="1" t="n">
        <v>46311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42978-2026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46310</v>
      </c>
      <c r="E859" s="1" t="n">
        <v>46311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22.1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7370-2026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46059</v>
      </c>
      <c r="E860" s="1" t="n">
        <v>46311</v>
      </c>
      <c r="F860" t="inlineStr">
        <is>
          <t>NORRBOTTENS LÄN</t>
        </is>
      </c>
      <c r="G860" t="inlineStr">
        <is>
          <t>BODEN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8056-2026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46063</v>
      </c>
      <c r="E861" s="1" t="n">
        <v>46311</v>
      </c>
      <c r="F861" t="inlineStr">
        <is>
          <t>NORRBOTTENS LÄN</t>
        </is>
      </c>
      <c r="G861" t="inlineStr">
        <is>
          <t>BODEN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7923-2026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46311</v>
      </c>
      <c r="F862" t="inlineStr">
        <is>
          <t>NORRBOTTENS LÄN</t>
        </is>
      </c>
      <c r="G862" t="inlineStr">
        <is>
          <t>BODEN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8433-2026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46065</v>
      </c>
      <c r="E863" s="1" t="n">
        <v>46311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9.699999999999999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36406-2026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46268</v>
      </c>
      <c r="E864" s="1" t="n">
        <v>46311</v>
      </c>
      <c r="F864" t="inlineStr">
        <is>
          <t>NORRBOTTENS LÄN</t>
        </is>
      </c>
      <c r="G864" t="inlineStr">
        <is>
          <t>BODEN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42670-2026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46309</v>
      </c>
      <c r="E865" s="1" t="n">
        <v>46311</v>
      </c>
      <c r="F865" t="inlineStr">
        <is>
          <t>NORRBOTTENS LÄN</t>
        </is>
      </c>
      <c r="G865" t="inlineStr">
        <is>
          <t>BODEN</t>
        </is>
      </c>
      <c r="I865" t="n">
        <v>6.1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35902-2026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46266</v>
      </c>
      <c r="E866" s="1" t="n">
        <v>46311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12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36398-2026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46268</v>
      </c>
      <c r="E867" s="1" t="n">
        <v>46311</v>
      </c>
      <c r="F867" t="inlineStr">
        <is>
          <t>NORRBOTTENS LÄN</t>
        </is>
      </c>
      <c r="G867" t="inlineStr">
        <is>
          <t>BODEN</t>
        </is>
      </c>
      <c r="H867" t="inlineStr">
        <is>
          <t>Kommuner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46267</v>
      </c>
      <c r="E868" s="1" t="n">
        <v>46311</v>
      </c>
      <c r="F868" t="inlineStr">
        <is>
          <t>NORRBOTTENS LÄN</t>
        </is>
      </c>
      <c r="G868" t="inlineStr">
        <is>
          <t>BODEN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10234-2026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46311</v>
      </c>
      <c r="F869" t="inlineStr">
        <is>
          <t>NORRBOTTENS LÄN</t>
        </is>
      </c>
      <c r="G869" t="inlineStr">
        <is>
          <t>BODEN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10231-2026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46076</v>
      </c>
      <c r="E870" s="1" t="n">
        <v>46311</v>
      </c>
      <c r="F870" t="inlineStr">
        <is>
          <t>NORRBOTTENS LÄN</t>
        </is>
      </c>
      <c r="G870" t="inlineStr">
        <is>
          <t>BODEN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10251-2026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46076</v>
      </c>
      <c r="E871" s="1" t="n">
        <v>46311</v>
      </c>
      <c r="F871" t="inlineStr">
        <is>
          <t>NORRBOTTENS LÄN</t>
        </is>
      </c>
      <c r="G871" t="inlineStr">
        <is>
          <t>BODEN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10694-2026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46311</v>
      </c>
      <c r="F872" t="inlineStr">
        <is>
          <t>NORRBOTTENS LÄN</t>
        </is>
      </c>
      <c r="G872" t="inlineStr">
        <is>
          <t>BODEN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11636-2026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46084</v>
      </c>
      <c r="E873" s="1" t="n">
        <v>46311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11631-2026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46084</v>
      </c>
      <c r="E874" s="1" t="n">
        <v>46311</v>
      </c>
      <c r="F874" t="inlineStr">
        <is>
          <t>NORRBOTTENS LÄN</t>
        </is>
      </c>
      <c r="G874" t="inlineStr">
        <is>
          <t>BODEN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11633-2026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46084</v>
      </c>
      <c r="E875" s="1" t="n">
        <v>46311</v>
      </c>
      <c r="F875" t="inlineStr">
        <is>
          <t>NORRBOTTENS LÄN</t>
        </is>
      </c>
      <c r="G875" t="inlineStr">
        <is>
          <t>BODEN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11632-2026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46084</v>
      </c>
      <c r="E876" s="1" t="n">
        <v>46311</v>
      </c>
      <c r="F876" t="inlineStr">
        <is>
          <t>NORRBOTTENS LÄN</t>
        </is>
      </c>
      <c r="G876" t="inlineStr">
        <is>
          <t>BODEN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11569-2026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46084</v>
      </c>
      <c r="E877" s="1" t="n">
        <v>46311</v>
      </c>
      <c r="F877" t="inlineStr">
        <is>
          <t>NORRBOTTENS LÄN</t>
        </is>
      </c>
      <c r="G877" t="inlineStr">
        <is>
          <t>BODEN</t>
        </is>
      </c>
      <c r="I877" t="n">
        <v>9.199999999999999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12183-2026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46086</v>
      </c>
      <c r="E878" s="1" t="n">
        <v>46311</v>
      </c>
      <c r="F878" t="inlineStr">
        <is>
          <t>NORRBOTTENS LÄN</t>
        </is>
      </c>
      <c r="G878" t="inlineStr">
        <is>
          <t>BODEN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12338-2026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46087</v>
      </c>
      <c r="E879" s="1" t="n">
        <v>46311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45376-2025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46311</v>
      </c>
      <c r="F880" t="inlineStr">
        <is>
          <t>NORRBOTTENS LÄN</t>
        </is>
      </c>
      <c r="G880" t="inlineStr">
        <is>
          <t>BODEN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885-2024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46311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1063-2023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45013</v>
      </c>
      <c r="E882" s="1" t="n">
        <v>46311</v>
      </c>
      <c r="F882" t="inlineStr">
        <is>
          <t>NORRBOTTENS LÄN</t>
        </is>
      </c>
      <c r="G882" t="inlineStr">
        <is>
          <t>BODEN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883-2024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45376</v>
      </c>
      <c r="E883" s="1" t="n">
        <v>46311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45667</v>
      </c>
      <c r="E884" s="1" t="n">
        <v>46311</v>
      </c>
      <c r="F884" t="inlineStr">
        <is>
          <t>NORRBOTTENS LÄN</t>
        </is>
      </c>
      <c r="G884" t="inlineStr">
        <is>
          <t>BODEN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44945</v>
      </c>
      <c r="E885" s="1" t="n">
        <v>46311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6.8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977-2025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45743</v>
      </c>
      <c r="E886" s="1" t="n">
        <v>46311</v>
      </c>
      <c r="F886" t="inlineStr">
        <is>
          <t>NORRBOTTENS LÄN</t>
        </is>
      </c>
      <c r="G886" t="inlineStr">
        <is>
          <t>BODEN</t>
        </is>
      </c>
      <c r="I886" t="n">
        <v>11.1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978-2025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46311</v>
      </c>
      <c r="F887" t="inlineStr">
        <is>
          <t>NORRBOTTENS LÄN</t>
        </is>
      </c>
      <c r="G887" t="inlineStr">
        <is>
          <t>BODEN</t>
        </is>
      </c>
      <c r="I887" t="n">
        <v>19.5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1498-2025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45789</v>
      </c>
      <c r="E888" s="1" t="n">
        <v>46311</v>
      </c>
      <c r="F888" t="inlineStr">
        <is>
          <t>NORRBOTTENS LÄN</t>
        </is>
      </c>
      <c r="G888" t="inlineStr">
        <is>
          <t>BODEN</t>
        </is>
      </c>
      <c r="H888" t="inlineStr">
        <is>
          <t>Övriga Aktiebolag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1572-2025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45792</v>
      </c>
      <c r="E889" s="1" t="n">
        <v>46311</v>
      </c>
      <c r="F889" t="inlineStr">
        <is>
          <t>NORRBOTTENS LÄN</t>
        </is>
      </c>
      <c r="G889" t="inlineStr">
        <is>
          <t>BODEN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46311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1633-2025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46311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46311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1734-2025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45810</v>
      </c>
      <c r="E893" s="1" t="n">
        <v>46311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1811-2025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45818</v>
      </c>
      <c r="E894" s="1" t="n">
        <v>46311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2072-2025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45840</v>
      </c>
      <c r="E895" s="1" t="n">
        <v>46311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3580-2025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46018</v>
      </c>
      <c r="E896" s="1" t="n">
        <v>46311</v>
      </c>
      <c r="F896" t="inlineStr">
        <is>
          <t>NORRBOTTENS LÄN</t>
        </is>
      </c>
      <c r="G896" t="inlineStr">
        <is>
          <t>BODEN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46311</v>
      </c>
      <c r="F897" t="inlineStr">
        <is>
          <t>NORRBOTTENS LÄN</t>
        </is>
      </c>
      <c r="G897" t="inlineStr">
        <is>
          <t>BODEN</t>
        </is>
      </c>
      <c r="I897" t="n">
        <v>57.4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1261-2026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46311</v>
      </c>
      <c r="F898" t="inlineStr">
        <is>
          <t>NORRBOTTENS LÄN</t>
        </is>
      </c>
      <c r="G898" t="inlineStr">
        <is>
          <t>BODEN</t>
        </is>
      </c>
      <c r="I898" t="n">
        <v>16.9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46311</v>
      </c>
      <c r="F899" t="inlineStr">
        <is>
          <t>NORRBOTTENS LÄN</t>
        </is>
      </c>
      <c r="G899" t="inlineStr">
        <is>
          <t>BODEN</t>
        </is>
      </c>
      <c r="H899" t="inlineStr">
        <is>
          <t>Kommuner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1356-2026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46152</v>
      </c>
      <c r="E900" s="1" t="n">
        <v>46311</v>
      </c>
      <c r="F900" t="inlineStr">
        <is>
          <t>NORRBOTTENS LÄN</t>
        </is>
      </c>
      <c r="G900" t="inlineStr">
        <is>
          <t>BODEN</t>
        </is>
      </c>
      <c r="I900" t="n">
        <v>124.7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46311</v>
      </c>
      <c r="F901" t="inlineStr">
        <is>
          <t>NORRBOTTENS LÄN</t>
        </is>
      </c>
      <c r="G901" t="inlineStr">
        <is>
          <t>BODEN</t>
        </is>
      </c>
      <c r="I901" t="n">
        <v>38.2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1297-2026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46148</v>
      </c>
      <c r="E902" s="1" t="n">
        <v>46311</v>
      </c>
      <c r="F902" t="inlineStr">
        <is>
          <t>NORRBOTTENS LÄN</t>
        </is>
      </c>
      <c r="G902" t="inlineStr">
        <is>
          <t>BODEN</t>
        </is>
      </c>
      <c r="I902" t="n">
        <v>20.5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2026-10-16T02:21:39Z</dcterms:created>
  <dcterms:modified xmlns:dcterms="http://purl.org/dc/terms/" xmlns:xsi="http://www.w3.org/2001/XMLSchema-instance" xsi:type="dcterms:W3CDTF">2026-10-16T02:21:40Z</dcterms:modified>
</cp:coreProperties>
</file>