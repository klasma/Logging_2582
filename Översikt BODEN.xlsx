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46232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46232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46232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46232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46232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29150-2023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45105</v>
      </c>
      <c r="E13" s="1" t="n">
        <v>46232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2.9</v>
      </c>
      <c r="J13" t="n">
        <v>2</v>
      </c>
      <c r="K13" t="n">
        <v>0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10</v>
      </c>
      <c r="T13" t="n">
        <v>17</v>
      </c>
      <c r="U13" t="n">
        <v>15</v>
      </c>
      <c r="V13" s="2" t="inlineStr">
        <is>
          <t>Knärot
Urskogsänger
Vit aspticka
Björkplattnos
Månlåsbräken
Ullticka
Brudborste
Ekbräken
Linnea
Revlummer</t>
        </is>
      </c>
      <c r="W13">
        <f>HYPERLINK("https://klasma.github.io/Logging_2582/artfynd/A 29150-2023 artfynd.xlsx", "A 29150-2023")</f>
        <v/>
      </c>
      <c r="X13">
        <f>HYPERLINK("https://klasma.github.io/Logging_2582/kartor/A 29150-2023 karta.png", "A 29150-2023")</f>
        <v/>
      </c>
      <c r="Y13">
        <f>HYPERLINK("https://klasma.github.io/Logging_2582/kartor_geotiff/A 29150-2023 georefererad karta.tif", "A 29150-2023")</f>
        <v/>
      </c>
      <c r="Z13">
        <f>HYPERLINK("https://klasma.github.io/Logging_2582/knärot/A 29150-2023 karta knärot.png", "A 29150-2023")</f>
        <v/>
      </c>
      <c r="AA13">
        <f>HYPERLINK("https://klasma.github.io/Logging_2582/klagomål/A 29150-2023 FSC-klagomål.docx", "A 29150-2023")</f>
        <v/>
      </c>
      <c r="AB13">
        <f>HYPERLINK("https://klasma.github.io/Logging_2582/klagomålsmail/A 29150-2023 FSC-klagomål mail.docx", "A 29150-2023")</f>
        <v/>
      </c>
      <c r="AC13">
        <f>HYPERLINK("https://klasma.github.io/Logging_2582/tillsyn/A 29150-2023 tillsynsbegäran.docx", "A 29150-2023")</f>
        <v/>
      </c>
      <c r="AD13">
        <f>HYPERLINK("https://klasma.github.io/Logging_2582/tillsynsmail/A 29150-2023 tillsynsbegäran mail.docx", "A 29150-2023")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46232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46232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46232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46232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46232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46232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46232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46232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46232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46232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46232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46232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46232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34792-2022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46232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6.7</v>
      </c>
      <c r="J28" t="n">
        <v>1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Knärot
Gammelgransskål
Lunglav
Ullticka
Grönpyrola</t>
        </is>
      </c>
      <c r="W28">
        <f>HYPERLINK("https://klasma.github.io/Logging_2582/artfynd/A 34792-2022 artfynd.xlsx", "A 34792-2022")</f>
        <v/>
      </c>
      <c r="X28">
        <f>HYPERLINK("https://klasma.github.io/Logging_2582/kartor/A 34792-2022 karta.png", "A 34792-2022")</f>
        <v/>
      </c>
      <c r="Y28">
        <f>HYPERLINK("https://klasma.github.io/Logging_2582/kartor_geotiff/A 34792-2022 georefererad karta.tif", "A 34792-2022")</f>
        <v/>
      </c>
      <c r="Z28">
        <f>HYPERLINK("https://klasma.github.io/Logging_2582/knärot/A 34792-2022 karta knärot.png", "A 34792-2022")</f>
        <v/>
      </c>
      <c r="AA28">
        <f>HYPERLINK("https://klasma.github.io/Logging_2582/klagomål/A 34792-2022 FSC-klagomål.docx", "A 34792-2022")</f>
        <v/>
      </c>
      <c r="AB28">
        <f>HYPERLINK("https://klasma.github.io/Logging_2582/klagomålsmail/A 34792-2022 FSC-klagomål mail.docx", "A 34792-2022")</f>
        <v/>
      </c>
      <c r="AC28">
        <f>HYPERLINK("https://klasma.github.io/Logging_2582/tillsyn/A 34792-2022 tillsynsbegäran.docx", "A 34792-2022")</f>
        <v/>
      </c>
      <c r="AD28">
        <f>HYPERLINK("https://klasma.github.io/Logging_2582/tillsynsmail/A 34792-2022 tillsynsbegäran mail.docx", "A 34792-2022")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46232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46232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46232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46232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46232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46232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46232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31197-2026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46209</v>
      </c>
      <c r="E36" s="1" t="n">
        <v>46232</v>
      </c>
      <c r="F36" t="inlineStr">
        <is>
          <t>NORRBOTTENS LÄN</t>
        </is>
      </c>
      <c r="G36" t="inlineStr">
        <is>
          <t>BODEN</t>
        </is>
      </c>
      <c r="H36" t="inlineStr">
        <is>
          <t>Kommuner</t>
        </is>
      </c>
      <c r="I36" t="n">
        <v>2.7</v>
      </c>
      <c r="J36" t="n">
        <v>4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6</v>
      </c>
      <c r="U36" t="n">
        <v>0</v>
      </c>
      <c r="V36" s="2" t="inlineStr">
        <is>
          <t>Tornseglare
Älvstarr
Grönsiska
Svartvit flugsnappare
Vanlig groda</t>
        </is>
      </c>
      <c r="W36">
        <f>HYPERLINK("https://klasma.github.io/Logging_2582/artfynd/A 31197-2026 artfynd.xlsx", "A 31197-2026")</f>
        <v/>
      </c>
      <c r="X36">
        <f>HYPERLINK("https://klasma.github.io/Logging_2582/kartor/A 31197-2026 karta.png", "A 31197-2026")</f>
        <v/>
      </c>
      <c r="Y36">
        <f>HYPERLINK("https://klasma.github.io/Logging_2582/kartor_geotiff/A 31197-2026 georefererad karta.tif", "A 31197-2026")</f>
        <v/>
      </c>
      <c r="AA36">
        <f>HYPERLINK("https://klasma.github.io/Logging_2582/klagomål/A 31197-2026 FSC-klagomål.docx", "A 31197-2026")</f>
        <v/>
      </c>
      <c r="AB36">
        <f>HYPERLINK("https://klasma.github.io/Logging_2582/klagomålsmail/A 31197-2026 FSC-klagomål mail.docx", "A 31197-2026")</f>
        <v/>
      </c>
      <c r="AC36">
        <f>HYPERLINK("https://klasma.github.io/Logging_2582/tillsyn/A 31197-2026 tillsynsbegäran.docx", "A 31197-2026")</f>
        <v/>
      </c>
      <c r="AD36">
        <f>HYPERLINK("https://klasma.github.io/Logging_2582/tillsynsmail/A 31197-2026 tillsynsbegäran mail.docx", "A 31197-2026")</f>
        <v/>
      </c>
      <c r="AE36">
        <f>HYPERLINK("https://klasma.github.io/Logging_2582/fåglar/A 31197-2026 prioriterade fågelarter.docx", "A 31197-2026")</f>
        <v/>
      </c>
    </row>
    <row r="37" ht="15" customHeight="1">
      <c r="A37" t="inlineStr">
        <is>
          <t>A 30513-2026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46210</v>
      </c>
      <c r="E37" s="1" t="n">
        <v>46232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10.2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14</v>
      </c>
      <c r="U37" t="n">
        <v>5</v>
      </c>
      <c r="V37" s="2" t="inlineStr">
        <is>
          <t>Gräddporing
Knärot
Nordtagging
Tallticka
Grönpyrola</t>
        </is>
      </c>
      <c r="W37">
        <f>HYPERLINK("https://klasma.github.io/Logging_2582/artfynd/A 30513-2026 artfynd.xlsx", "A 30513-2026")</f>
        <v/>
      </c>
      <c r="X37">
        <f>HYPERLINK("https://klasma.github.io/Logging_2582/kartor/A 30513-2026 karta.png", "A 30513-2026")</f>
        <v/>
      </c>
      <c r="Y37">
        <f>HYPERLINK("https://klasma.github.io/Logging_2582/kartor_geotiff/A 30513-2026 georefererad karta.tif", "A 30513-2026")</f>
        <v/>
      </c>
      <c r="Z37">
        <f>HYPERLINK("https://klasma.github.io/Logging_2582/knärot/A 30513-2026 karta knärot.png", "A 30513-2026")</f>
        <v/>
      </c>
      <c r="AA37">
        <f>HYPERLINK("https://klasma.github.io/Logging_2582/klagomål/A 30513-2026 FSC-klagomål.docx", "A 30513-2026")</f>
        <v/>
      </c>
      <c r="AB37">
        <f>HYPERLINK("https://klasma.github.io/Logging_2582/klagomålsmail/A 30513-2026 FSC-klagomål mail.docx", "A 30513-2026")</f>
        <v/>
      </c>
      <c r="AC37">
        <f>HYPERLINK("https://klasma.github.io/Logging_2582/tillsyn/A 30513-2026 tillsynsbegäran.docx", "A 30513-2026")</f>
        <v/>
      </c>
      <c r="AD37">
        <f>HYPERLINK("https://klasma.github.io/Logging_2582/tillsynsmail/A 30513-2026 tillsynsbegäran mail.docx", "A 30513-2026")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46232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t="n">
        <v>7</v>
      </c>
      <c r="V38" s="2" t="inlineStr">
        <is>
          <t>Knärot
Norna
Lunglav
Stuplav</t>
        </is>
      </c>
      <c r="W38">
        <f>HYPERLINK("https://klasma.github.io/Logging_2582/artfynd/A 28197-2025 artfynd.xlsx", "A 28197-2025")</f>
        <v/>
      </c>
      <c r="X38">
        <f>HYPERLINK("https://klasma.github.io/Logging_2582/kartor/A 28197-2025 karta.png", "A 28197-2025")</f>
        <v/>
      </c>
      <c r="Y38">
        <f>HYPERLINK("https://klasma.github.io/Logging_2582/kartor_geotiff/A 28197-2025 georefererad karta.tif", "A 28197-2025")</f>
        <v/>
      </c>
      <c r="Z38">
        <f>HYPERLINK("https://klasma.github.io/Logging_2582/knärot/A 28197-2025 karta knärot.png", "A 28197-2025")</f>
        <v/>
      </c>
      <c r="AA38">
        <f>HYPERLINK("https://klasma.github.io/Logging_2582/klagomål/A 28197-2025 FSC-klagomål.docx", "A 28197-2025")</f>
        <v/>
      </c>
      <c r="AB38">
        <f>HYPERLINK("https://klasma.github.io/Logging_2582/klagomålsmail/A 28197-2025 FSC-klagomål mail.docx", "A 28197-2025")</f>
        <v/>
      </c>
      <c r="AC38">
        <f>HYPERLINK("https://klasma.github.io/Logging_2582/tillsyn/A 28197-2025 tillsynsbegäran.docx", "A 28197-2025")</f>
        <v/>
      </c>
      <c r="AD38">
        <f>HYPERLINK("https://klasma.github.io/Logging_2582/tillsynsmail/A 28197-2025 tillsynsbegäran mail.docx", "A 28197-2025")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46232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46232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46232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21475-2026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46148</v>
      </c>
      <c r="E43" s="1" t="n">
        <v>46232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27.6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Harticka
Tretåig hackspett
Smal svampklubba
Järpe</t>
        </is>
      </c>
      <c r="W43">
        <f>HYPERLINK("https://klasma.github.io/Logging_2582/artfynd/A 21475-2026 artfynd.xlsx", "A 21475-2026")</f>
        <v/>
      </c>
      <c r="X43">
        <f>HYPERLINK("https://klasma.github.io/Logging_2582/kartor/A 21475-2026 karta.png", "A 21475-2026")</f>
        <v/>
      </c>
      <c r="Y43">
        <f>HYPERLINK("https://klasma.github.io/Logging_2582/kartor_geotiff/A 21475-2026 georefererad karta.tif", "A 21475-2026")</f>
        <v/>
      </c>
      <c r="AA43">
        <f>HYPERLINK("https://klasma.github.io/Logging_2582/klagomål/A 21475-2026 FSC-klagomål.docx", "A 21475-2026")</f>
        <v/>
      </c>
      <c r="AB43">
        <f>HYPERLINK("https://klasma.github.io/Logging_2582/klagomålsmail/A 21475-2026 FSC-klagomål mail.docx", "A 21475-2026")</f>
        <v/>
      </c>
      <c r="AC43">
        <f>HYPERLINK("https://klasma.github.io/Logging_2582/tillsyn/A 21475-2026 tillsynsbegäran.docx", "A 21475-2026")</f>
        <v/>
      </c>
      <c r="AD43">
        <f>HYPERLINK("https://klasma.github.io/Logging_2582/tillsynsmail/A 21475-2026 tillsynsbegäran mail.docx", "A 21475-2026")</f>
        <v/>
      </c>
      <c r="AE43">
        <f>HYPERLINK("https://klasma.github.io/Logging_2582/fåglar/A 21475-2026 prioriterade fågelarter.docx", "A 21475-2026")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46232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28183-2026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46232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8.199999999999999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16</v>
      </c>
      <c r="U45" t="n">
        <v>16</v>
      </c>
      <c r="V45" s="2" t="inlineStr">
        <is>
          <t>Knärot
Lunglav
Grönpyrola
Fläcknycklar</t>
        </is>
      </c>
      <c r="W45">
        <f>HYPERLINK("https://klasma.github.io/Logging_2582/artfynd/A 28183-2026 artfynd.xlsx", "A 28183-2026")</f>
        <v/>
      </c>
      <c r="X45">
        <f>HYPERLINK("https://klasma.github.io/Logging_2582/kartor/A 28183-2026 karta.png", "A 28183-2026")</f>
        <v/>
      </c>
      <c r="Y45">
        <f>HYPERLINK("https://klasma.github.io/Logging_2582/kartor_geotiff/A 28183-2026 georefererad karta.tif", "A 28183-2026")</f>
        <v/>
      </c>
      <c r="Z45">
        <f>HYPERLINK("https://klasma.github.io/Logging_2582/knärot/A 28183-2026 karta knärot.png", "A 28183-2026")</f>
        <v/>
      </c>
      <c r="AA45">
        <f>HYPERLINK("https://klasma.github.io/Logging_2582/klagomål/A 28183-2026 FSC-klagomål.docx", "A 28183-2026")</f>
        <v/>
      </c>
      <c r="AB45">
        <f>HYPERLINK("https://klasma.github.io/Logging_2582/klagomålsmail/A 28183-2026 FSC-klagomål mail.docx", "A 28183-2026")</f>
        <v/>
      </c>
      <c r="AC45">
        <f>HYPERLINK("https://klasma.github.io/Logging_2582/tillsyn/A 28183-2026 tillsynsbegäran.docx", "A 28183-2026")</f>
        <v/>
      </c>
      <c r="AD45">
        <f>HYPERLINK("https://klasma.github.io/Logging_2582/tillsynsmail/A 28183-2026 tillsynsbegäran mail.docx", "A 28183-2026")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46232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46232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6118-2025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45698</v>
      </c>
      <c r="E50" s="1" t="n">
        <v>46232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3.7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14</v>
      </c>
      <c r="U50" t="n">
        <v>14</v>
      </c>
      <c r="V50" s="2" t="inlineStr">
        <is>
          <t>Garnlav
Tretåig hackspett
Spillkråka</t>
        </is>
      </c>
      <c r="W50">
        <f>HYPERLINK("https://klasma.github.io/Logging_2582/artfynd/A 6118-2025 artfynd.xlsx", "A 6118-2025")</f>
        <v/>
      </c>
      <c r="X50">
        <f>HYPERLINK("https://klasma.github.io/Logging_2582/kartor/A 6118-2025 karta.png", "A 6118-2025")</f>
        <v/>
      </c>
      <c r="Y50">
        <f>HYPERLINK("https://klasma.github.io/Logging_2582/kartor_geotiff/A 6118-2025 georefererad karta.tif", "A 6118-2025")</f>
        <v/>
      </c>
      <c r="AA50">
        <f>HYPERLINK("https://klasma.github.io/Logging_2582/klagomål/A 6118-2025 FSC-klagomål.docx", "A 6118-2025")</f>
        <v/>
      </c>
      <c r="AB50">
        <f>HYPERLINK("https://klasma.github.io/Logging_2582/klagomålsmail/A 6118-2025 FSC-klagomål mail.docx", "A 6118-2025")</f>
        <v/>
      </c>
      <c r="AC50">
        <f>HYPERLINK("https://klasma.github.io/Logging_2582/tillsyn/A 6118-2025 tillsynsbegäran.docx", "A 6118-2025")</f>
        <v/>
      </c>
      <c r="AD50">
        <f>HYPERLINK("https://klasma.github.io/Logging_2582/tillsynsmail/A 6118-2025 tillsynsbegäran mail.docx", "A 6118-2025")</f>
        <v/>
      </c>
      <c r="AE50">
        <f>HYPERLINK("https://klasma.github.io/Logging_2582/fåglar/A 6118-2025 prioriterade fågelarter.docx", "A 6118-2025")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46232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46232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46232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46232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46232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46232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46232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46232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31230-2026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46217</v>
      </c>
      <c r="E59" s="1" t="n">
        <v>46232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Fläcknycklar
Fläcknycklar × sumpnycklar</t>
        </is>
      </c>
      <c r="W59">
        <f>HYPERLINK("https://klasma.github.io/Logging_2582/artfynd/A 31230-2026 artfynd.xlsx", "A 31230-2026")</f>
        <v/>
      </c>
      <c r="X59">
        <f>HYPERLINK("https://klasma.github.io/Logging_2582/kartor/A 31230-2026 karta.png", "A 31230-2026")</f>
        <v/>
      </c>
      <c r="Y59">
        <f>HYPERLINK("https://klasma.github.io/Logging_2582/kartor_geotiff/A 31230-2026 georefererad karta.tif", "A 31230-2026")</f>
        <v/>
      </c>
      <c r="AA59">
        <f>HYPERLINK("https://klasma.github.io/Logging_2582/klagomål/A 31230-2026 FSC-klagomål.docx", "A 31230-2026")</f>
        <v/>
      </c>
      <c r="AB59">
        <f>HYPERLINK("https://klasma.github.io/Logging_2582/klagomålsmail/A 31230-2026 FSC-klagomål mail.docx", "A 31230-2026")</f>
        <v/>
      </c>
      <c r="AC59">
        <f>HYPERLINK("https://klasma.github.io/Logging_2582/tillsyn/A 31230-2026 tillsynsbegäran.docx", "A 31230-2026")</f>
        <v/>
      </c>
      <c r="AD59">
        <f>HYPERLINK("https://klasma.github.io/Logging_2582/tillsynsmail/A 31230-2026 tillsynsbegäran mail.docx", "A 31230-2026")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46232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46232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46232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6639-2024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45341</v>
      </c>
      <c r="E67" s="1" t="n">
        <v>46232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23.8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Lunglav
Kungsfågel</t>
        </is>
      </c>
      <c r="W67">
        <f>HYPERLINK("https://klasma.github.io/Logging_2582/artfynd/A 6639-2024 artfynd.xlsx", "A 6639-2024")</f>
        <v/>
      </c>
      <c r="X67">
        <f>HYPERLINK("https://klasma.github.io/Logging_2582/kartor/A 6639-2024 karta.png", "A 6639-2024")</f>
        <v/>
      </c>
      <c r="Y67">
        <f>HYPERLINK("https://klasma.github.io/Logging_2582/kartor_geotiff/A 6639-2024 georefererad karta.tif", "A 6639-2024")</f>
        <v/>
      </c>
      <c r="AA67">
        <f>HYPERLINK("https://klasma.github.io/Logging_2582/klagomål/A 6639-2024 FSC-klagomål.docx", "A 6639-2024")</f>
        <v/>
      </c>
      <c r="AB67">
        <f>HYPERLINK("https://klasma.github.io/Logging_2582/klagomålsmail/A 6639-2024 FSC-klagomål mail.docx", "A 6639-2024")</f>
        <v/>
      </c>
      <c r="AC67">
        <f>HYPERLINK("https://klasma.github.io/Logging_2582/tillsyn/A 6639-2024 tillsynsbegäran.docx", "A 6639-2024")</f>
        <v/>
      </c>
      <c r="AD67">
        <f>HYPERLINK("https://klasma.github.io/Logging_2582/tillsynsmail/A 6639-2024 tillsynsbegäran mail.docx", "A 6639-2024")</f>
        <v/>
      </c>
    </row>
    <row r="68" ht="15" customHeight="1">
      <c r="A68" t="inlineStr">
        <is>
          <t>A 32971-2024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46232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4</v>
      </c>
      <c r="V68" s="2" t="inlineStr">
        <is>
          <t>Lunglav
Fläcknycklar</t>
        </is>
      </c>
      <c r="W68">
        <f>HYPERLINK("https://klasma.github.io/Logging_2582/artfynd/A 32971-2024 artfynd.xlsx", "A 32971-2024")</f>
        <v/>
      </c>
      <c r="X68">
        <f>HYPERLINK("https://klasma.github.io/Logging_2582/kartor/A 32971-2024 karta.png", "A 32971-2024")</f>
        <v/>
      </c>
      <c r="Y68">
        <f>HYPERLINK("https://klasma.github.io/Logging_2582/kartor_geotiff/A 32971-2024 georefererad karta.tif", "A 32971-2024")</f>
        <v/>
      </c>
      <c r="AA68">
        <f>HYPERLINK("https://klasma.github.io/Logging_2582/klagomål/A 32971-2024 FSC-klagomål.docx", "A 32971-2024")</f>
        <v/>
      </c>
      <c r="AB68">
        <f>HYPERLINK("https://klasma.github.io/Logging_2582/klagomålsmail/A 32971-2024 FSC-klagomål mail.docx", "A 32971-2024")</f>
        <v/>
      </c>
      <c r="AC68">
        <f>HYPERLINK("https://klasma.github.io/Logging_2582/tillsyn/A 32971-2024 tillsynsbegäran.docx", "A 32971-2024")</f>
        <v/>
      </c>
      <c r="AD68">
        <f>HYPERLINK("https://klasma.github.io/Logging_2582/tillsynsmail/A 32971-2024 tillsynsbegäran mail.docx", "A 32971-2024")</f>
        <v/>
      </c>
    </row>
    <row r="69" ht="15" customHeight="1">
      <c r="A69" t="inlineStr">
        <is>
          <t>A 8703-2026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46066</v>
      </c>
      <c r="E69" s="1" t="n">
        <v>46232</v>
      </c>
      <c r="F69" t="inlineStr">
        <is>
          <t>NORRBOTTENS LÄN</t>
        </is>
      </c>
      <c r="G69" t="inlineStr">
        <is>
          <t>BODEN</t>
        </is>
      </c>
      <c r="I69" t="n">
        <v>1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Skinnlav</t>
        </is>
      </c>
      <c r="W69">
        <f>HYPERLINK("https://klasma.github.io/Logging_2582/artfynd/A 8703-2026 artfynd.xlsx", "A 8703-2026")</f>
        <v/>
      </c>
      <c r="X69">
        <f>HYPERLINK("https://klasma.github.io/Logging_2582/kartor/A 8703-2026 karta.png", "A 8703-2026")</f>
        <v/>
      </c>
      <c r="Y69">
        <f>HYPERLINK("https://klasma.github.io/Logging_2582/kartor_geotiff/A 8703-2026 georefererad karta.tif", "A 8703-2026")</f>
        <v/>
      </c>
      <c r="AA69">
        <f>HYPERLINK("https://klasma.github.io/Logging_2582/klagomål/A 8703-2026 FSC-klagomål.docx", "A 8703-2026")</f>
        <v/>
      </c>
      <c r="AB69">
        <f>HYPERLINK("https://klasma.github.io/Logging_2582/klagomålsmail/A 8703-2026 FSC-klagomål mail.docx", "A 8703-2026")</f>
        <v/>
      </c>
      <c r="AC69">
        <f>HYPERLINK("https://klasma.github.io/Logging_2582/tillsyn/A 8703-2026 tillsynsbegäran.docx", "A 8703-2026")</f>
        <v/>
      </c>
      <c r="AD69">
        <f>HYPERLINK("https://klasma.github.io/Logging_2582/tillsynsmail/A 8703-2026 tillsynsbegäran mail.docx", "A 8703-2026")</f>
        <v/>
      </c>
    </row>
    <row r="70" ht="15" customHeight="1">
      <c r="A70" t="inlineStr">
        <is>
          <t>A 8754-2026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46066</v>
      </c>
      <c r="E70" s="1" t="n">
        <v>46232</v>
      </c>
      <c r="F70" t="inlineStr">
        <is>
          <t>NORRBOTTENS LÄN</t>
        </is>
      </c>
      <c r="G70" t="inlineStr">
        <is>
          <t>BODEN</t>
        </is>
      </c>
      <c r="I70" t="n">
        <v>2.1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Ullticka</t>
        </is>
      </c>
      <c r="W70">
        <f>HYPERLINK("https://klasma.github.io/Logging_2582/artfynd/A 8754-2026 artfynd.xlsx", "A 8754-2026")</f>
        <v/>
      </c>
      <c r="X70">
        <f>HYPERLINK("https://klasma.github.io/Logging_2582/kartor/A 8754-2026 karta.png", "A 8754-2026")</f>
        <v/>
      </c>
      <c r="Y70">
        <f>HYPERLINK("https://klasma.github.io/Logging_2582/kartor_geotiff/A 8754-2026 georefererad karta.tif", "A 8754-2026")</f>
        <v/>
      </c>
      <c r="AA70">
        <f>HYPERLINK("https://klasma.github.io/Logging_2582/klagomål/A 8754-2026 FSC-klagomål.docx", "A 8754-2026")</f>
        <v/>
      </c>
      <c r="AB70">
        <f>HYPERLINK("https://klasma.github.io/Logging_2582/klagomålsmail/A 8754-2026 FSC-klagomål mail.docx", "A 8754-2026")</f>
        <v/>
      </c>
      <c r="AC70">
        <f>HYPERLINK("https://klasma.github.io/Logging_2582/tillsyn/A 8754-2026 tillsynsbegäran.docx", "A 8754-2026")</f>
        <v/>
      </c>
      <c r="AD70">
        <f>HYPERLINK("https://klasma.github.io/Logging_2582/tillsynsmail/A 8754-2026 tillsynsbegäran mail.docx", "A 8754-2026")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46232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28867-2025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46232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8.199999999999999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12</v>
      </c>
      <c r="U72" t="n">
        <v>12</v>
      </c>
      <c r="V72" s="2" t="inlineStr">
        <is>
          <t>Knärot
Fläcknycklar</t>
        </is>
      </c>
      <c r="W72">
        <f>HYPERLINK("https://klasma.github.io/Logging_2582/artfynd/A 28867-2025 artfynd.xlsx", "A 28867-2025")</f>
        <v/>
      </c>
      <c r="X72">
        <f>HYPERLINK("https://klasma.github.io/Logging_2582/kartor/A 28867-2025 karta.png", "A 28867-2025")</f>
        <v/>
      </c>
      <c r="Y72">
        <f>HYPERLINK("https://klasma.github.io/Logging_2582/kartor_geotiff/A 28867-2025 georefererad karta.tif", "A 28867-2025")</f>
        <v/>
      </c>
      <c r="Z72">
        <f>HYPERLINK("https://klasma.github.io/Logging_2582/knärot/A 28867-2025 karta knärot.png", "A 28867-2025")</f>
        <v/>
      </c>
      <c r="AA72">
        <f>HYPERLINK("https://klasma.github.io/Logging_2582/klagomål/A 28867-2025 FSC-klagomål.docx", "A 28867-2025")</f>
        <v/>
      </c>
      <c r="AB72">
        <f>HYPERLINK("https://klasma.github.io/Logging_2582/klagomålsmail/A 28867-2025 FSC-klagomål mail.docx", "A 28867-2025")</f>
        <v/>
      </c>
      <c r="AC72">
        <f>HYPERLINK("https://klasma.github.io/Logging_2582/tillsyn/A 28867-2025 tillsynsbegäran.docx", "A 28867-2025")</f>
        <v/>
      </c>
      <c r="AD72">
        <f>HYPERLINK("https://klasma.github.io/Logging_2582/tillsynsmail/A 28867-2025 tillsynsbegäran mail.docx", "A 28867-2025")</f>
        <v/>
      </c>
    </row>
    <row r="73" ht="15" customHeight="1">
      <c r="A73" t="inlineStr">
        <is>
          <t>A 25701-2025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46232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Öring</t>
        </is>
      </c>
      <c r="W73">
        <f>HYPERLINK("https://klasma.github.io/Logging_2582/artfynd/A 25701-2025 artfynd.xlsx", "A 25701-2025")</f>
        <v/>
      </c>
      <c r="X73">
        <f>HYPERLINK("https://klasma.github.io/Logging_2582/kartor/A 25701-2025 karta.png", "A 25701-2025")</f>
        <v/>
      </c>
      <c r="Y73">
        <f>HYPERLINK("https://klasma.github.io/Logging_2582/kartor_geotiff/A 25701-2025 georefererad karta.tif", "A 25701-2025")</f>
        <v/>
      </c>
      <c r="AA73">
        <f>HYPERLINK("https://klasma.github.io/Logging_2582/klagomål/A 25701-2025 FSC-klagomål.docx", "A 25701-2025")</f>
        <v/>
      </c>
      <c r="AB73">
        <f>HYPERLINK("https://klasma.github.io/Logging_2582/klagomålsmail/A 25701-2025 FSC-klagomål mail.docx", "A 25701-2025")</f>
        <v/>
      </c>
      <c r="AC73">
        <f>HYPERLINK("https://klasma.github.io/Logging_2582/tillsyn/A 25701-2025 tillsynsbegäran.docx", "A 25701-2025")</f>
        <v/>
      </c>
      <c r="AD73">
        <f>HYPERLINK("https://klasma.github.io/Logging_2582/tillsynsmail/A 25701-2025 tillsynsbegäran mail.docx", "A 25701-2025")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46232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43315-2025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46232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43315-2025 artfynd.xlsx", "A 43315-2025")</f>
        <v/>
      </c>
      <c r="X75">
        <f>HYPERLINK("https://klasma.github.io/Logging_2582/kartor/A 43315-2025 karta.png", "A 43315-2025")</f>
        <v/>
      </c>
      <c r="Y75">
        <f>HYPERLINK("https://klasma.github.io/Logging_2582/kartor_geotiff/A 43315-2025 georefererad karta.tif", "A 43315-2025")</f>
        <v/>
      </c>
      <c r="AA75">
        <f>HYPERLINK("https://klasma.github.io/Logging_2582/klagomål/A 43315-2025 FSC-klagomål.docx", "A 43315-2025")</f>
        <v/>
      </c>
      <c r="AB75">
        <f>HYPERLINK("https://klasma.github.io/Logging_2582/klagomålsmail/A 43315-2025 FSC-klagomål mail.docx", "A 43315-2025")</f>
        <v/>
      </c>
      <c r="AC75">
        <f>HYPERLINK("https://klasma.github.io/Logging_2582/tillsyn/A 43315-2025 tillsynsbegäran.docx", "A 43315-2025")</f>
        <v/>
      </c>
      <c r="AD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46232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43310-2025 artfynd.xlsx", "A 43310-2025")</f>
        <v/>
      </c>
      <c r="X76">
        <f>HYPERLINK("https://klasma.github.io/Logging_2582/kartor/A 43310-2025 karta.png", "A 43310-2025")</f>
        <v/>
      </c>
      <c r="Y76">
        <f>HYPERLINK("https://klasma.github.io/Logging_2582/kartor_geotiff/A 43310-2025 georefererad karta.tif", "A 43310-2025")</f>
        <v/>
      </c>
      <c r="AA76">
        <f>HYPERLINK("https://klasma.github.io/Logging_2582/klagomål/A 43310-2025 FSC-klagomål.docx", "A 43310-2025")</f>
        <v/>
      </c>
      <c r="AB76">
        <f>HYPERLINK("https://klasma.github.io/Logging_2582/klagomålsmail/A 43310-2025 FSC-klagomål mail.docx", "A 43310-2025")</f>
        <v/>
      </c>
      <c r="AC76">
        <f>HYPERLINK("https://klasma.github.io/Logging_2582/tillsyn/A 43310-2025 tillsynsbegäran.docx", "A 43310-2025")</f>
        <v/>
      </c>
      <c r="AD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46232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37086-2025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46232</v>
      </c>
      <c r="F78" t="inlineStr">
        <is>
          <t>NORRBOTTENS LÄN</t>
        </is>
      </c>
      <c r="G78" t="inlineStr">
        <is>
          <t>BODEN</t>
        </is>
      </c>
      <c r="H78" t="inlineStr">
        <is>
          <t>Övriga Aktiebolag</t>
        </is>
      </c>
      <c r="I78" t="n">
        <v>22.8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37086-2025 artfynd.xlsx", "A 37086-2025")</f>
        <v/>
      </c>
      <c r="X78">
        <f>HYPERLINK("https://klasma.github.io/Logging_2582/kartor/A 37086-2025 karta.png", "A 37086-2025")</f>
        <v/>
      </c>
      <c r="Y78">
        <f>HYPERLINK("https://klasma.github.io/Logging_2582/kartor_geotiff/A 37086-2025 georefererad karta.tif", "A 37086-2025")</f>
        <v/>
      </c>
      <c r="AA78">
        <f>HYPERLINK("https://klasma.github.io/Logging_2582/klagomål/A 37086-2025 FSC-klagomål.docx", "A 37086-2025")</f>
        <v/>
      </c>
      <c r="AB78">
        <f>HYPERLINK("https://klasma.github.io/Logging_2582/klagomålsmail/A 37086-2025 FSC-klagomål mail.docx", "A 37086-2025")</f>
        <v/>
      </c>
      <c r="AC78">
        <f>HYPERLINK("https://klasma.github.io/Logging_2582/tillsyn/A 37086-2025 tillsynsbegäran.docx", "A 37086-2025")</f>
        <v/>
      </c>
      <c r="AD78">
        <f>HYPERLINK("https://klasma.github.io/Logging_2582/tillsynsmail/A 37086-2025 tillsynsbegäran mail.docx", "A 37086-2025")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46232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46232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48899-2024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46232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Hässlebrodd
Fläcknycklar</t>
        </is>
      </c>
      <c r="W81">
        <f>HYPERLINK("https://klasma.github.io/Logging_2582/artfynd/A 48899-2024 artfynd.xlsx", "A 48899-2024")</f>
        <v/>
      </c>
      <c r="X81">
        <f>HYPERLINK("https://klasma.github.io/Logging_2582/kartor/A 48899-2024 karta.png", "A 48899-2024")</f>
        <v/>
      </c>
      <c r="Y81">
        <f>HYPERLINK("https://klasma.github.io/Logging_2582/kartor_geotiff/A 48899-2024 georefererad karta.tif", "A 48899-2024")</f>
        <v/>
      </c>
      <c r="AA81">
        <f>HYPERLINK("https://klasma.github.io/Logging_2582/klagomål/A 48899-2024 FSC-klagomål.docx", "A 48899-2024")</f>
        <v/>
      </c>
      <c r="AB81">
        <f>HYPERLINK("https://klasma.github.io/Logging_2582/klagomålsmail/A 48899-2024 FSC-klagomål mail.docx", "A 48899-2024")</f>
        <v/>
      </c>
      <c r="AC81">
        <f>HYPERLINK("https://klasma.github.io/Logging_2582/tillsyn/A 48899-2024 tillsynsbegäran.docx", "A 48899-2024")</f>
        <v/>
      </c>
      <c r="AD81">
        <f>HYPERLINK("https://klasma.github.io/Logging_2582/tillsynsmail/A 48899-2024 tillsynsbegäran mail.docx", "A 48899-2024")</f>
        <v/>
      </c>
    </row>
    <row r="82" ht="15" customHeight="1">
      <c r="A82" t="inlineStr">
        <is>
          <t>A 61210-2024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46232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4</v>
      </c>
      <c r="U82" t="n">
        <v>0</v>
      </c>
      <c r="V82" s="2" t="inlineStr">
        <is>
          <t>Skrovlig taggsvamp
Blå taggsvamp</t>
        </is>
      </c>
      <c r="W82">
        <f>HYPERLINK("https://klasma.github.io/Logging_2582/artfynd/A 61210-2024 artfynd.xlsx", "A 61210-2024")</f>
        <v/>
      </c>
      <c r="X82">
        <f>HYPERLINK("https://klasma.github.io/Logging_2582/kartor/A 61210-2024 karta.png", "A 61210-2024")</f>
        <v/>
      </c>
      <c r="Y82">
        <f>HYPERLINK("https://klasma.github.io/Logging_2582/kartor_geotiff/A 61210-2024 georefererad karta.tif", "A 61210-2024")</f>
        <v/>
      </c>
      <c r="AA82">
        <f>HYPERLINK("https://klasma.github.io/Logging_2582/klagomål/A 61210-2024 FSC-klagomål.docx", "A 61210-2024")</f>
        <v/>
      </c>
      <c r="AB82">
        <f>HYPERLINK("https://klasma.github.io/Logging_2582/klagomålsmail/A 61210-2024 FSC-klagomål mail.docx", "A 61210-2024")</f>
        <v/>
      </c>
      <c r="AC82">
        <f>HYPERLINK("https://klasma.github.io/Logging_2582/tillsyn/A 61210-2024 tillsynsbegäran.docx", "A 61210-2024")</f>
        <v/>
      </c>
      <c r="AD82">
        <f>HYPERLINK("https://klasma.github.io/Logging_2582/tillsynsmail/A 61210-2024 tillsynsbegäran mail.docx", "A 61210-2024")</f>
        <v/>
      </c>
    </row>
    <row r="83" ht="15" customHeight="1">
      <c r="A83" t="inlineStr">
        <is>
          <t>A 59435-2024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46232</v>
      </c>
      <c r="F83" t="inlineStr">
        <is>
          <t>NORRBOTTENS LÄN</t>
        </is>
      </c>
      <c r="G83" t="inlineStr">
        <is>
          <t>BODEN</t>
        </is>
      </c>
      <c r="I83" t="n">
        <v>2.1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Lappranunkel
Ögonpyrola</t>
        </is>
      </c>
      <c r="W83">
        <f>HYPERLINK("https://klasma.github.io/Logging_2582/artfynd/A 59435-2024 artfynd.xlsx", "A 59435-2024")</f>
        <v/>
      </c>
      <c r="X83">
        <f>HYPERLINK("https://klasma.github.io/Logging_2582/kartor/A 59435-2024 karta.png", "A 59435-2024")</f>
        <v/>
      </c>
      <c r="Y83">
        <f>HYPERLINK("https://klasma.github.io/Logging_2582/kartor_geotiff/A 59435-2024 georefererad karta.tif", "A 59435-2024")</f>
        <v/>
      </c>
      <c r="AA83">
        <f>HYPERLINK("https://klasma.github.io/Logging_2582/klagomål/A 59435-2024 FSC-klagomål.docx", "A 59435-2024")</f>
        <v/>
      </c>
      <c r="AB83">
        <f>HYPERLINK("https://klasma.github.io/Logging_2582/klagomålsmail/A 59435-2024 FSC-klagomål mail.docx", "A 59435-2024")</f>
        <v/>
      </c>
      <c r="AC83">
        <f>HYPERLINK("https://klasma.github.io/Logging_2582/tillsyn/A 59435-2024 tillsynsbegäran.docx", "A 59435-2024")</f>
        <v/>
      </c>
      <c r="AD83">
        <f>HYPERLINK("https://klasma.github.io/Logging_2582/tillsynsmail/A 59435-2024 tillsynsbegäran mail.docx", "A 59435-2024")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46232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46232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54167-2025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46232</v>
      </c>
      <c r="F86" t="inlineStr">
        <is>
          <t>NORRBOTTENS LÄN</t>
        </is>
      </c>
      <c r="G86" t="inlineStr">
        <is>
          <t>BODEN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Lunglav
Stiftgelélav</t>
        </is>
      </c>
      <c r="W86">
        <f>HYPERLINK("https://klasma.github.io/Logging_2582/artfynd/A 54167-2025 artfynd.xlsx", "A 54167-2025")</f>
        <v/>
      </c>
      <c r="X86">
        <f>HYPERLINK("https://klasma.github.io/Logging_2582/kartor/A 54167-2025 karta.png", "A 54167-2025")</f>
        <v/>
      </c>
      <c r="Y86">
        <f>HYPERLINK("https://klasma.github.io/Logging_2582/kartor_geotiff/A 54167-2025 georefererad karta.tif", "A 54167-2025")</f>
        <v/>
      </c>
      <c r="AA86">
        <f>HYPERLINK("https://klasma.github.io/Logging_2582/klagomål/A 54167-2025 FSC-klagomål.docx", "A 54167-2025")</f>
        <v/>
      </c>
      <c r="AB86">
        <f>HYPERLINK("https://klasma.github.io/Logging_2582/klagomålsmail/A 54167-2025 FSC-klagomål mail.docx", "A 54167-2025")</f>
        <v/>
      </c>
      <c r="AC86">
        <f>HYPERLINK("https://klasma.github.io/Logging_2582/tillsyn/A 54167-2025 tillsynsbegäran.docx", "A 54167-2025")</f>
        <v/>
      </c>
      <c r="AD86">
        <f>HYPERLINK("https://klasma.github.io/Logging_2582/tillsynsmail/A 54167-2025 tillsynsbegäran mail.docx", "A 54167-2025")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46232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46232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46232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29807-2026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46232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Mörk kolflarnlav</t>
        </is>
      </c>
      <c r="W90">
        <f>HYPERLINK("https://klasma.github.io/Logging_2582/artfynd/A 29807-2026 artfynd.xlsx", "A 29807-2026")</f>
        <v/>
      </c>
      <c r="X90">
        <f>HYPERLINK("https://klasma.github.io/Logging_2582/kartor/A 29807-2026 karta.png", "A 29807-2026")</f>
        <v/>
      </c>
      <c r="Y90">
        <f>HYPERLINK("https://klasma.github.io/Logging_2582/kartor_geotiff/A 29807-2026 georefererad karta.tif", "A 29807-2026")</f>
        <v/>
      </c>
      <c r="AA90">
        <f>HYPERLINK("https://klasma.github.io/Logging_2582/klagomål/A 29807-2026 FSC-klagomål.docx", "A 29807-2026")</f>
        <v/>
      </c>
      <c r="AB90">
        <f>HYPERLINK("https://klasma.github.io/Logging_2582/klagomålsmail/A 29807-2026 FSC-klagomål mail.docx", "A 29807-2026")</f>
        <v/>
      </c>
      <c r="AC90">
        <f>HYPERLINK("https://klasma.github.io/Logging_2582/tillsyn/A 29807-2026 tillsynsbegäran.docx", "A 29807-2026")</f>
        <v/>
      </c>
      <c r="AD90">
        <f>HYPERLINK("https://klasma.github.io/Logging_2582/tillsynsmail/A 29807-2026 tillsynsbegäran mail.docx", "A 29807-2026")</f>
        <v/>
      </c>
    </row>
    <row r="91" ht="15" customHeight="1">
      <c r="A91" t="inlineStr">
        <is>
          <t>A 29860-2026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46232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Knottrig blåslav
Lunglav</t>
        </is>
      </c>
      <c r="W91">
        <f>HYPERLINK("https://klasma.github.io/Logging_2582/artfynd/A 29860-2026 artfynd.xlsx", "A 29860-2026")</f>
        <v/>
      </c>
      <c r="X91">
        <f>HYPERLINK("https://klasma.github.io/Logging_2582/kartor/A 29860-2026 karta.png", "A 29860-2026")</f>
        <v/>
      </c>
      <c r="Y91">
        <f>HYPERLINK("https://klasma.github.io/Logging_2582/kartor_geotiff/A 29860-2026 georefererad karta.tif", "A 29860-2026")</f>
        <v/>
      </c>
      <c r="AA91">
        <f>HYPERLINK("https://klasma.github.io/Logging_2582/klagomål/A 29860-2026 FSC-klagomål.docx", "A 29860-2026")</f>
        <v/>
      </c>
      <c r="AB91">
        <f>HYPERLINK("https://klasma.github.io/Logging_2582/klagomålsmail/A 29860-2026 FSC-klagomål mail.docx", "A 29860-2026")</f>
        <v/>
      </c>
      <c r="AC91">
        <f>HYPERLINK("https://klasma.github.io/Logging_2582/tillsyn/A 29860-2026 tillsynsbegäran.docx", "A 29860-2026")</f>
        <v/>
      </c>
      <c r="AD91">
        <f>HYPERLINK("https://klasma.github.io/Logging_2582/tillsynsmail/A 29860-2026 tillsynsbegäran mail.docx", "A 29860-2026")</f>
        <v/>
      </c>
    </row>
    <row r="92" ht="15" customHeight="1">
      <c r="A92" t="inlineStr">
        <is>
          <t>A 29881-2026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46232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Lunglav
Fläcknycklar</t>
        </is>
      </c>
      <c r="W92">
        <f>HYPERLINK("https://klasma.github.io/Logging_2582/artfynd/A 29881-2026 artfynd.xlsx", "A 29881-2026")</f>
        <v/>
      </c>
      <c r="X92">
        <f>HYPERLINK("https://klasma.github.io/Logging_2582/kartor/A 29881-2026 karta.png", "A 29881-2026")</f>
        <v/>
      </c>
      <c r="Y92">
        <f>HYPERLINK("https://klasma.github.io/Logging_2582/kartor_geotiff/A 29881-2026 georefererad karta.tif", "A 29881-2026")</f>
        <v/>
      </c>
      <c r="AA92">
        <f>HYPERLINK("https://klasma.github.io/Logging_2582/klagomål/A 29881-2026 FSC-klagomål.docx", "A 29881-2026")</f>
        <v/>
      </c>
      <c r="AB92">
        <f>HYPERLINK("https://klasma.github.io/Logging_2582/klagomålsmail/A 29881-2026 FSC-klagomål mail.docx", "A 29881-2026")</f>
        <v/>
      </c>
      <c r="AC92">
        <f>HYPERLINK("https://klasma.github.io/Logging_2582/tillsyn/A 29881-2026 tillsynsbegäran.docx", "A 29881-2026")</f>
        <v/>
      </c>
      <c r="AD92">
        <f>HYPERLINK("https://klasma.github.io/Logging_2582/tillsynsmail/A 29881-2026 tillsynsbegäran mail.docx", "A 29881-2026")</f>
        <v/>
      </c>
    </row>
    <row r="93" ht="15" customHeight="1">
      <c r="A93" t="inlineStr">
        <is>
          <t>A 42233-2022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44830</v>
      </c>
      <c r="E93" s="1" t="n">
        <v>46232</v>
      </c>
      <c r="F93" t="inlineStr">
        <is>
          <t>NORRBOTTENS LÄN</t>
        </is>
      </c>
      <c r="G93" t="inlineStr">
        <is>
          <t>BODEN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Enkelbeckasin
Svartvit flugsnappare</t>
        </is>
      </c>
      <c r="W93">
        <f>HYPERLINK("https://klasma.github.io/Logging_2582/artfynd/A 42233-2022 artfynd.xlsx", "A 42233-2022")</f>
        <v/>
      </c>
      <c r="X93">
        <f>HYPERLINK("https://klasma.github.io/Logging_2582/kartor/A 42233-2022 karta.png", "A 42233-2022")</f>
        <v/>
      </c>
      <c r="Y93">
        <f>HYPERLINK("https://klasma.github.io/Logging_2582/kartor_geotiff/A 42233-2022 georefererad karta.tif", "A 42233-2022")</f>
        <v/>
      </c>
      <c r="AA93">
        <f>HYPERLINK("https://klasma.github.io/Logging_2582/klagomål/A 42233-2022 FSC-klagomål.docx", "A 42233-2022")</f>
        <v/>
      </c>
      <c r="AB93">
        <f>HYPERLINK("https://klasma.github.io/Logging_2582/klagomålsmail/A 42233-2022 FSC-klagomål mail.docx", "A 42233-2022")</f>
        <v/>
      </c>
      <c r="AC93">
        <f>HYPERLINK("https://klasma.github.io/Logging_2582/tillsyn/A 42233-2022 tillsynsbegäran.docx", "A 42233-2022")</f>
        <v/>
      </c>
      <c r="AD93">
        <f>HYPERLINK("https://klasma.github.io/Logging_2582/tillsynsmail/A 42233-2022 tillsynsbegäran mail.docx", "A 42233-2022")</f>
        <v/>
      </c>
      <c r="AE93">
        <f>HYPERLINK("https://klasma.github.io/Logging_2582/fåglar/A 42233-2022 prioriterade fågelarter.docx", "A 42233-2022")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46232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31233-2026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46217</v>
      </c>
      <c r="E95" s="1" t="n">
        <v>46232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18.5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Lunglav
Fläcknycklar</t>
        </is>
      </c>
      <c r="W95">
        <f>HYPERLINK("https://klasma.github.io/Logging_2582/artfynd/A 31233-2026 artfynd.xlsx", "A 31233-2026")</f>
        <v/>
      </c>
      <c r="X95">
        <f>HYPERLINK("https://klasma.github.io/Logging_2582/kartor/A 31233-2026 karta.png", "A 31233-2026")</f>
        <v/>
      </c>
      <c r="Y95">
        <f>HYPERLINK("https://klasma.github.io/Logging_2582/kartor_geotiff/A 31233-2026 georefererad karta.tif", "A 31233-2026")</f>
        <v/>
      </c>
      <c r="AA95">
        <f>HYPERLINK("https://klasma.github.io/Logging_2582/klagomål/A 31233-2026 FSC-klagomål.docx", "A 31233-2026")</f>
        <v/>
      </c>
      <c r="AB95">
        <f>HYPERLINK("https://klasma.github.io/Logging_2582/klagomålsmail/A 31233-2026 FSC-klagomål mail.docx", "A 31233-2026")</f>
        <v/>
      </c>
      <c r="AC95">
        <f>HYPERLINK("https://klasma.github.io/Logging_2582/tillsyn/A 31233-2026 tillsynsbegäran.docx", "A 31233-2026")</f>
        <v/>
      </c>
      <c r="AD95">
        <f>HYPERLINK("https://klasma.github.io/Logging_2582/tillsynsmail/A 31233-2026 tillsynsbegäran mail.docx", "A 31233-2026")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46232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46232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Utter</t>
        </is>
      </c>
      <c r="W97">
        <f>HYPERLINK("https://klasma.github.io/Logging_2582/artfynd/A 22906-2023 artfynd.xlsx", "A 22906-2023")</f>
        <v/>
      </c>
      <c r="X97">
        <f>HYPERLINK("https://klasma.github.io/Logging_2582/kartor/A 22906-2023 karta.png", "A 22906-2023")</f>
        <v/>
      </c>
      <c r="Y97">
        <f>HYPERLINK("https://klasma.github.io/Logging_2582/kartor_geotiff/A 22906-2023 georefererad karta.tif", "A 22906-2023")</f>
        <v/>
      </c>
      <c r="AA97">
        <f>HYPERLINK("https://klasma.github.io/Logging_2582/klagomål/A 22906-2023 FSC-klagomål.docx", "A 22906-2023")</f>
        <v/>
      </c>
      <c r="AB97">
        <f>HYPERLINK("https://klasma.github.io/Logging_2582/klagomålsmail/A 22906-2023 FSC-klagomål mail.docx", "A 22906-2023")</f>
        <v/>
      </c>
      <c r="AC97">
        <f>HYPERLINK("https://klasma.github.io/Logging_2582/tillsyn/A 22906-2023 tillsynsbegäran.docx", "A 22906-2023")</f>
        <v/>
      </c>
      <c r="AD97">
        <f>HYPERLINK("https://klasma.github.io/Logging_2582/tillsynsmail/A 22906-2023 tillsynsbegäran mail.docx", "A 22906-2023")</f>
        <v/>
      </c>
      <c r="AE97">
        <f>HYPERLINK("https://klasma.github.io/Logging_2582/fåglar/A 22906-2023 prioriterade fågelarter.docx", "A 22906-2023")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46232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Lunglav</t>
        </is>
      </c>
      <c r="W98">
        <f>HYPERLINK("https://klasma.github.io/Logging_2582/artfynd/A 26773-2026 artfynd.xlsx", "A 26773-2026")</f>
        <v/>
      </c>
      <c r="X98">
        <f>HYPERLINK("https://klasma.github.io/Logging_2582/kartor/A 26773-2026 karta.png", "A 26773-2026")</f>
        <v/>
      </c>
      <c r="Y98">
        <f>HYPERLINK("https://klasma.github.io/Logging_2582/kartor_geotiff/A 26773-2026 georefererad karta.tif", "A 26773-2026")</f>
        <v/>
      </c>
      <c r="Z98">
        <f>HYPERLINK("https://klasma.github.io/Logging_2582/knärot/A 26773-2026 karta knärot.png", "A 26773-2026")</f>
        <v/>
      </c>
      <c r="AA98">
        <f>HYPERLINK("https://klasma.github.io/Logging_2582/klagomål/A 26773-2026 FSC-klagomål.docx", "A 26773-2026")</f>
        <v/>
      </c>
      <c r="AB98">
        <f>HYPERLINK("https://klasma.github.io/Logging_2582/klagomålsmail/A 26773-2026 FSC-klagomål mail.docx", "A 26773-2026")</f>
        <v/>
      </c>
      <c r="AC98">
        <f>HYPERLINK("https://klasma.github.io/Logging_2582/tillsyn/A 26773-2026 tillsynsbegäran.docx", "A 26773-2026")</f>
        <v/>
      </c>
      <c r="AD98">
        <f>HYPERLINK("https://klasma.github.io/Logging_2582/tillsynsmail/A 26773-2026 tillsynsbegäran mail.docx", "A 26773-2026")</f>
        <v/>
      </c>
    </row>
    <row r="99" ht="15" customHeight="1">
      <c r="A99" t="inlineStr">
        <is>
          <t>A 26721-2026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46232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7.8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Plattlummer
Tibast</t>
        </is>
      </c>
      <c r="W99">
        <f>HYPERLINK("https://klasma.github.io/Logging_2582/artfynd/A 26721-2026 artfynd.xlsx", "A 26721-2026")</f>
        <v/>
      </c>
      <c r="X99">
        <f>HYPERLINK("https://klasma.github.io/Logging_2582/kartor/A 26721-2026 karta.png", "A 26721-2026")</f>
        <v/>
      </c>
      <c r="Y99">
        <f>HYPERLINK("https://klasma.github.io/Logging_2582/kartor_geotiff/A 26721-2026 georefererad karta.tif", "A 26721-2026")</f>
        <v/>
      </c>
      <c r="AA99">
        <f>HYPERLINK("https://klasma.github.io/Logging_2582/klagomål/A 26721-2026 FSC-klagomål.docx", "A 26721-2026")</f>
        <v/>
      </c>
      <c r="AB99">
        <f>HYPERLINK("https://klasma.github.io/Logging_2582/klagomålsmail/A 26721-2026 FSC-klagomål mail.docx", "A 26721-2026")</f>
        <v/>
      </c>
      <c r="AC99">
        <f>HYPERLINK("https://klasma.github.io/Logging_2582/tillsyn/A 26721-2026 tillsynsbegäran.docx", "A 26721-2026")</f>
        <v/>
      </c>
      <c r="AD99">
        <f>HYPERLINK("https://klasma.github.io/Logging_2582/tillsynsmail/A 26721-2026 tillsynsbegäran mail.docx", "A 26721-2026")</f>
        <v/>
      </c>
    </row>
    <row r="100" ht="15" customHeight="1">
      <c r="A100" t="inlineStr">
        <is>
          <t>A 900-2024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46232</v>
      </c>
      <c r="F100" t="inlineStr">
        <is>
          <t>NORRBOTTENS LÄN</t>
        </is>
      </c>
      <c r="G100" t="inlineStr">
        <is>
          <t>BODEN</t>
        </is>
      </c>
      <c r="I100" t="n">
        <v>5.2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Revlummer</t>
        </is>
      </c>
      <c r="W100">
        <f>HYPERLINK("https://klasma.github.io/Logging_2582/artfynd/A 900-2024 artfynd.xlsx", "A 900-2024")</f>
        <v/>
      </c>
      <c r="X100">
        <f>HYPERLINK("https://klasma.github.io/Logging_2582/kartor/A 900-2024 karta.png", "A 900-2024")</f>
        <v/>
      </c>
      <c r="Y100">
        <f>HYPERLINK("https://klasma.github.io/Logging_2582/kartor_geotiff/A 900-2024 georefererad karta.tif", "A 900-2024")</f>
        <v/>
      </c>
      <c r="Z100">
        <f>HYPERLINK("https://klasma.github.io/Logging_2582/knärot/A 900-2024 karta knärot.png", "A 900-2024")</f>
        <v/>
      </c>
      <c r="AA100">
        <f>HYPERLINK("https://klasma.github.io/Logging_2582/klagomål/A 900-2024 FSC-klagomål.docx", "A 900-2024")</f>
        <v/>
      </c>
      <c r="AB100">
        <f>HYPERLINK("https://klasma.github.io/Logging_2582/klagomålsmail/A 900-2024 FSC-klagomål mail.docx", "A 900-2024")</f>
        <v/>
      </c>
      <c r="AC100">
        <f>HYPERLINK("https://klasma.github.io/Logging_2582/tillsyn/A 900-2024 tillsynsbegäran.docx", "A 900-2024")</f>
        <v/>
      </c>
      <c r="AD100">
        <f>HYPERLINK("https://klasma.github.io/Logging_2582/tillsynsmail/A 900-2024 tillsynsbegäran mail.docx", "A 900-2024")</f>
        <v/>
      </c>
    </row>
    <row r="101" ht="15" customHeight="1">
      <c r="A101" t="inlineStr">
        <is>
          <t>A 17292-2022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46232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Revlummer</t>
        </is>
      </c>
      <c r="W101">
        <f>HYPERLINK("https://klasma.github.io/Logging_2582/artfynd/A 17292-2022 artfynd.xlsx", "A 17292-2022")</f>
        <v/>
      </c>
      <c r="X101">
        <f>HYPERLINK("https://klasma.github.io/Logging_2582/kartor/A 17292-2022 karta.png", "A 17292-2022")</f>
        <v/>
      </c>
      <c r="Y101">
        <f>HYPERLINK("https://klasma.github.io/Logging_2582/kartor_geotiff/A 17292-2022 georefererad karta.tif", "A 17292-2022")</f>
        <v/>
      </c>
      <c r="AA101">
        <f>HYPERLINK("https://klasma.github.io/Logging_2582/klagomål/A 17292-2022 FSC-klagomål.docx", "A 17292-2022")</f>
        <v/>
      </c>
      <c r="AB101">
        <f>HYPERLINK("https://klasma.github.io/Logging_2582/klagomålsmail/A 17292-2022 FSC-klagomål mail.docx", "A 17292-2022")</f>
        <v/>
      </c>
      <c r="AC101">
        <f>HYPERLINK("https://klasma.github.io/Logging_2582/tillsyn/A 17292-2022 tillsynsbegäran.docx", "A 17292-2022")</f>
        <v/>
      </c>
      <c r="AD101">
        <f>HYPERLINK("https://klasma.github.io/Logging_2582/tillsynsmail/A 17292-2022 tillsynsbegäran mail.docx", "A 17292-2022")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46232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46232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46232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46232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46232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46232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46232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46232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46232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41443-2025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45901</v>
      </c>
      <c r="E113" s="1" t="n">
        <v>46232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HYPERLINK("https://klasma.github.io/Logging_2582/artfynd/A 41443-2025 artfynd.xlsx", "A 41443-2025")</f>
        <v/>
      </c>
      <c r="X113">
        <f>HYPERLINK("https://klasma.github.io/Logging_2582/kartor/A 41443-2025 karta.png", "A 41443-2025")</f>
        <v/>
      </c>
      <c r="Y113">
        <f>HYPERLINK("https://klasma.github.io/Logging_2582/kartor_geotiff/A 41443-2025 georefererad karta.tif", "A 41443-2025")</f>
        <v/>
      </c>
      <c r="AA113">
        <f>HYPERLINK("https://klasma.github.io/Logging_2582/klagomål/A 41443-2025 FSC-klagomål.docx", "A 41443-2025")</f>
        <v/>
      </c>
      <c r="AB113">
        <f>HYPERLINK("https://klasma.github.io/Logging_2582/klagomålsmail/A 41443-2025 FSC-klagomål mail.docx", "A 41443-2025")</f>
        <v/>
      </c>
      <c r="AC113">
        <f>HYPERLINK("https://klasma.github.io/Logging_2582/tillsyn/A 41443-2025 tillsynsbegäran.docx", "A 41443-2025")</f>
        <v/>
      </c>
      <c r="AD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22892-2024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46232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0.8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Bollvitmossa</t>
        </is>
      </c>
      <c r="W114">
        <f>HYPERLINK("https://klasma.github.io/Logging_2582/artfynd/A 22892-2024 artfynd.xlsx", "A 22892-2024")</f>
        <v/>
      </c>
      <c r="X114">
        <f>HYPERLINK("https://klasma.github.io/Logging_2582/kartor/A 22892-2024 karta.png", "A 22892-2024")</f>
        <v/>
      </c>
      <c r="Y114">
        <f>HYPERLINK("https://klasma.github.io/Logging_2582/kartor_geotiff/A 22892-2024 georefererad karta.tif", "A 22892-2024")</f>
        <v/>
      </c>
      <c r="AA114">
        <f>HYPERLINK("https://klasma.github.io/Logging_2582/klagomål/A 22892-2024 FSC-klagomål.docx", "A 22892-2024")</f>
        <v/>
      </c>
      <c r="AB114">
        <f>HYPERLINK("https://klasma.github.io/Logging_2582/klagomålsmail/A 22892-2024 FSC-klagomål mail.docx", "A 22892-2024")</f>
        <v/>
      </c>
      <c r="AC114">
        <f>HYPERLINK("https://klasma.github.io/Logging_2582/tillsyn/A 22892-2024 tillsynsbegäran.docx", "A 22892-2024")</f>
        <v/>
      </c>
      <c r="AD114">
        <f>HYPERLINK("https://klasma.github.io/Logging_2582/tillsynsmail/A 22892-2024 tillsynsbegäran mail.docx", "A 22892-2024")</f>
        <v/>
      </c>
    </row>
    <row r="115" ht="15" customHeight="1">
      <c r="A115" t="inlineStr">
        <is>
          <t>A 41436-2025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46232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21.5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Fläcknycklar</t>
        </is>
      </c>
      <c r="W115">
        <f>HYPERLINK("https://klasma.github.io/Logging_2582/artfynd/A 41436-2025 artfynd.xlsx", "A 41436-2025")</f>
        <v/>
      </c>
      <c r="X115">
        <f>HYPERLINK("https://klasma.github.io/Logging_2582/kartor/A 41436-2025 karta.png", "A 41436-2025")</f>
        <v/>
      </c>
      <c r="Y115">
        <f>HYPERLINK("https://klasma.github.io/Logging_2582/kartor_geotiff/A 41436-2025 georefererad karta.tif", "A 41436-2025")</f>
        <v/>
      </c>
      <c r="AA115">
        <f>HYPERLINK("https://klasma.github.io/Logging_2582/klagomål/A 41436-2025 FSC-klagomål.docx", "A 41436-2025")</f>
        <v/>
      </c>
      <c r="AB115">
        <f>HYPERLINK("https://klasma.github.io/Logging_2582/klagomålsmail/A 41436-2025 FSC-klagomål mail.docx", "A 41436-2025")</f>
        <v/>
      </c>
      <c r="AC115">
        <f>HYPERLINK("https://klasma.github.io/Logging_2582/tillsyn/A 41436-2025 tillsynsbegäran.docx", "A 41436-2025")</f>
        <v/>
      </c>
      <c r="AD115">
        <f>HYPERLINK("https://klasma.github.io/Logging_2582/tillsynsmail/A 41436-2025 tillsynsbegäran mail.docx", "A 41436-2025")</f>
        <v/>
      </c>
    </row>
    <row r="116" ht="15" customHeight="1">
      <c r="A116" t="inlineStr">
        <is>
          <t>A 26359-2022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46232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11.4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Tallticka</t>
        </is>
      </c>
      <c r="W116">
        <f>HYPERLINK("https://klasma.github.io/Logging_2582/artfynd/A 26359-2022 artfynd.xlsx", "A 26359-2022")</f>
        <v/>
      </c>
      <c r="X116">
        <f>HYPERLINK("https://klasma.github.io/Logging_2582/kartor/A 26359-2022 karta.png", "A 26359-2022")</f>
        <v/>
      </c>
      <c r="Y116">
        <f>HYPERLINK("https://klasma.github.io/Logging_2582/kartor_geotiff/A 26359-2022 georefererad karta.tif", "A 26359-2022")</f>
        <v/>
      </c>
      <c r="AA116">
        <f>HYPERLINK("https://klasma.github.io/Logging_2582/klagomål/A 26359-2022 FSC-klagomål.docx", "A 26359-2022")</f>
        <v/>
      </c>
      <c r="AB116">
        <f>HYPERLINK("https://klasma.github.io/Logging_2582/klagomålsmail/A 26359-2022 FSC-klagomål mail.docx", "A 26359-2022")</f>
        <v/>
      </c>
      <c r="AC116">
        <f>HYPERLINK("https://klasma.github.io/Logging_2582/tillsyn/A 26359-2022 tillsynsbegäran.docx", "A 26359-2022")</f>
        <v/>
      </c>
      <c r="AD116">
        <f>HYPERLINK("https://klasma.github.io/Logging_2582/tillsynsmail/A 26359-2022 tillsynsbegäran mail.docx", "A 26359-2022")</f>
        <v/>
      </c>
    </row>
    <row r="117" ht="15" customHeight="1">
      <c r="A117" t="inlineStr">
        <is>
          <t>A 13568-2022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46232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Lavskrika</t>
        </is>
      </c>
      <c r="W117">
        <f>HYPERLINK("https://klasma.github.io/Logging_2582/artfynd/A 13568-2022 artfynd.xlsx", "A 13568-2022")</f>
        <v/>
      </c>
      <c r="X117">
        <f>HYPERLINK("https://klasma.github.io/Logging_2582/kartor/A 13568-2022 karta.png", "A 13568-2022")</f>
        <v/>
      </c>
      <c r="Y117">
        <f>HYPERLINK("https://klasma.github.io/Logging_2582/kartor_geotiff/A 13568-2022 georefererad karta.tif", "A 13568-2022")</f>
        <v/>
      </c>
      <c r="AA117">
        <f>HYPERLINK("https://klasma.github.io/Logging_2582/klagomål/A 13568-2022 FSC-klagomål.docx", "A 13568-2022")</f>
        <v/>
      </c>
      <c r="AB117">
        <f>HYPERLINK("https://klasma.github.io/Logging_2582/klagomålsmail/A 13568-2022 FSC-klagomål mail.docx", "A 13568-2022")</f>
        <v/>
      </c>
      <c r="AC117">
        <f>HYPERLINK("https://klasma.github.io/Logging_2582/tillsyn/A 13568-2022 tillsynsbegäran.docx", "A 13568-2022")</f>
        <v/>
      </c>
      <c r="AD117">
        <f>HYPERLINK("https://klasma.github.io/Logging_2582/tillsynsmail/A 13568-2022 tillsynsbegäran mail.docx", "A 13568-2022")</f>
        <v/>
      </c>
      <c r="AE117">
        <f>HYPERLINK("https://klasma.github.io/Logging_2582/fåglar/A 13568-2022 prioriterade fågelarter.docx", "A 13568-2022")</f>
        <v/>
      </c>
    </row>
    <row r="118" ht="15" customHeight="1">
      <c r="A118" t="inlineStr">
        <is>
          <t>A 4878-2026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46048</v>
      </c>
      <c r="E118" s="1" t="n">
        <v>46232</v>
      </c>
      <c r="F118" t="inlineStr">
        <is>
          <t>NORRBOTTENS LÄN</t>
        </is>
      </c>
      <c r="G118" t="inlineStr">
        <is>
          <t>BODEN</t>
        </is>
      </c>
      <c r="I118" t="n">
        <v>1.8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Vanlig padda</t>
        </is>
      </c>
      <c r="W118">
        <f>HYPERLINK("https://klasma.github.io/Logging_2582/artfynd/A 4878-2026 artfynd.xlsx", "A 4878-2026")</f>
        <v/>
      </c>
      <c r="X118">
        <f>HYPERLINK("https://klasma.github.io/Logging_2582/kartor/A 4878-2026 karta.png", "A 4878-2026")</f>
        <v/>
      </c>
      <c r="Y118">
        <f>HYPERLINK("https://klasma.github.io/Logging_2582/kartor_geotiff/A 4878-2026 georefererad karta.tif", "A 4878-2026")</f>
        <v/>
      </c>
      <c r="AA118">
        <f>HYPERLINK("https://klasma.github.io/Logging_2582/klagomål/A 4878-2026 FSC-klagomål.docx", "A 4878-2026")</f>
        <v/>
      </c>
      <c r="AB118">
        <f>HYPERLINK("https://klasma.github.io/Logging_2582/klagomålsmail/A 4878-2026 FSC-klagomål mail.docx", "A 4878-2026")</f>
        <v/>
      </c>
      <c r="AC118">
        <f>HYPERLINK("https://klasma.github.io/Logging_2582/tillsyn/A 4878-2026 tillsynsbegäran.docx", "A 4878-2026")</f>
        <v/>
      </c>
      <c r="AD118">
        <f>HYPERLINK("https://klasma.github.io/Logging_2582/tillsynsmail/A 4878-2026 tillsynsbegäran mail.docx", "A 4878-2026")</f>
        <v/>
      </c>
    </row>
    <row r="119" ht="15" customHeight="1">
      <c r="A119" t="inlineStr">
        <is>
          <t>A 2565-2026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46232</v>
      </c>
      <c r="F119" t="inlineStr">
        <is>
          <t>NORRBOTTENS LÄN</t>
        </is>
      </c>
      <c r="G119" t="inlineStr">
        <is>
          <t>BODEN</t>
        </is>
      </c>
      <c r="H119" t="inlineStr">
        <is>
          <t>Naturvårdsverket</t>
        </is>
      </c>
      <c r="I119" t="n">
        <v>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Garnlav</t>
        </is>
      </c>
      <c r="W119">
        <f>HYPERLINK("https://klasma.github.io/Logging_2582/artfynd/A 2565-2026 artfynd.xlsx", "A 2565-2026")</f>
        <v/>
      </c>
      <c r="X119">
        <f>HYPERLINK("https://klasma.github.io/Logging_2582/kartor/A 2565-2026 karta.png", "A 2565-2026")</f>
        <v/>
      </c>
      <c r="Y119">
        <f>HYPERLINK("https://klasma.github.io/Logging_2582/kartor_geotiff/A 2565-2026 georefererad karta.tif", "A 2565-2026")</f>
        <v/>
      </c>
      <c r="AA119">
        <f>HYPERLINK("https://klasma.github.io/Logging_2582/klagomål/A 2565-2026 FSC-klagomål.docx", "A 2565-2026")</f>
        <v/>
      </c>
      <c r="AB119">
        <f>HYPERLINK("https://klasma.github.io/Logging_2582/klagomålsmail/A 2565-2026 FSC-klagomål mail.docx", "A 2565-2026")</f>
        <v/>
      </c>
      <c r="AC119">
        <f>HYPERLINK("https://klasma.github.io/Logging_2582/tillsyn/A 2565-2026 tillsynsbegäran.docx", "A 2565-2026")</f>
        <v/>
      </c>
      <c r="AD119">
        <f>HYPERLINK("https://klasma.github.io/Logging_2582/tillsynsmail/A 2565-2026 tillsynsbegäran mail.docx", "A 2565-2026")</f>
        <v/>
      </c>
    </row>
    <row r="120" ht="15" customHeight="1">
      <c r="A120" t="inlineStr">
        <is>
          <t>A 50394-2025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46232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HYPERLINK("https://klasma.github.io/Logging_2582/artfynd/A 50394-2025 artfynd.xlsx", "A 50394-2025")</f>
        <v/>
      </c>
      <c r="X120">
        <f>HYPERLINK("https://klasma.github.io/Logging_2582/kartor/A 50394-2025 karta.png", "A 50394-2025")</f>
        <v/>
      </c>
      <c r="Y120">
        <f>HYPERLINK("https://klasma.github.io/Logging_2582/kartor_geotiff/A 50394-2025 georefererad karta.tif", "A 50394-2025")</f>
        <v/>
      </c>
      <c r="AA120">
        <f>HYPERLINK("https://klasma.github.io/Logging_2582/klagomål/A 50394-2025 FSC-klagomål.docx", "A 50394-2025")</f>
        <v/>
      </c>
      <c r="AB120">
        <f>HYPERLINK("https://klasma.github.io/Logging_2582/klagomålsmail/A 50394-2025 FSC-klagomål mail.docx", "A 50394-2025")</f>
        <v/>
      </c>
      <c r="AC120">
        <f>HYPERLINK("https://klasma.github.io/Logging_2582/tillsyn/A 50394-2025 tillsynsbegäran.docx", "A 50394-2025")</f>
        <v/>
      </c>
      <c r="AD120">
        <f>HYPERLINK("https://klasma.github.io/Logging_2582/tillsynsmail/A 50394-2025 tillsynsbegäran mail.docx", "A 50394-2025")</f>
        <v/>
      </c>
    </row>
    <row r="121" ht="15" customHeight="1">
      <c r="A121" t="inlineStr">
        <is>
          <t>A 51184-2025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46232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HYPERLINK("https://klasma.github.io/Logging_2582/artfynd/A 51184-2025 artfynd.xlsx", "A 51184-2025")</f>
        <v/>
      </c>
      <c r="X121">
        <f>HYPERLINK("https://klasma.github.io/Logging_2582/kartor/A 51184-2025 karta.png", "A 51184-2025")</f>
        <v/>
      </c>
      <c r="Y121">
        <f>HYPERLINK("https://klasma.github.io/Logging_2582/kartor_geotiff/A 51184-2025 georefererad karta.tif", "A 51184-2025")</f>
        <v/>
      </c>
      <c r="AA121">
        <f>HYPERLINK("https://klasma.github.io/Logging_2582/klagomål/A 51184-2025 FSC-klagomål.docx", "A 51184-2025")</f>
        <v/>
      </c>
      <c r="AB121">
        <f>HYPERLINK("https://klasma.github.io/Logging_2582/klagomålsmail/A 51184-2025 FSC-klagomål mail.docx", "A 51184-2025")</f>
        <v/>
      </c>
      <c r="AC121">
        <f>HYPERLINK("https://klasma.github.io/Logging_2582/tillsyn/A 51184-2025 tillsynsbegäran.docx", "A 51184-2025")</f>
        <v/>
      </c>
      <c r="AD121">
        <f>HYPERLINK("https://klasma.github.io/Logging_2582/tillsynsmail/A 51184-2025 tillsynsbegäran mail.docx", "A 51184-2025")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46232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46232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51874-2025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45952</v>
      </c>
      <c r="E124" s="1" t="n">
        <v>46232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51874-2025 artfynd.xlsx", "A 51874-2025")</f>
        <v/>
      </c>
      <c r="X124">
        <f>HYPERLINK("https://klasma.github.io/Logging_2582/kartor/A 51874-2025 karta.png", "A 51874-2025")</f>
        <v/>
      </c>
      <c r="Y124">
        <f>HYPERLINK("https://klasma.github.io/Logging_2582/kartor_geotiff/A 51874-2025 georefererad karta.tif", "A 51874-2025")</f>
        <v/>
      </c>
      <c r="AA124">
        <f>HYPERLINK("https://klasma.github.io/Logging_2582/klagomål/A 51874-2025 FSC-klagomål.docx", "A 51874-2025")</f>
        <v/>
      </c>
      <c r="AB124">
        <f>HYPERLINK("https://klasma.github.io/Logging_2582/klagomålsmail/A 51874-2025 FSC-klagomål mail.docx", "A 51874-2025")</f>
        <v/>
      </c>
      <c r="AC124">
        <f>HYPERLINK("https://klasma.github.io/Logging_2582/tillsyn/A 51874-2025 tillsynsbegäran.docx", "A 51874-2025")</f>
        <v/>
      </c>
      <c r="AD124">
        <f>HYPERLINK("https://klasma.github.io/Logging_2582/tillsynsmail/A 51874-2025 tillsynsbegäran mail.docx", "A 51874-2025")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46232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46232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53590-2025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46232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Gulskölding</t>
        </is>
      </c>
      <c r="W127">
        <f>HYPERLINK("https://klasma.github.io/Logging_2582/artfynd/A 53590-2025 artfynd.xlsx", "A 53590-2025")</f>
        <v/>
      </c>
      <c r="X127">
        <f>HYPERLINK("https://klasma.github.io/Logging_2582/kartor/A 53590-2025 karta.png", "A 53590-2025")</f>
        <v/>
      </c>
      <c r="Y127">
        <f>HYPERLINK("https://klasma.github.io/Logging_2582/kartor_geotiff/A 53590-2025 georefererad karta.tif", "A 53590-2025")</f>
        <v/>
      </c>
      <c r="AA127">
        <f>HYPERLINK("https://klasma.github.io/Logging_2582/klagomål/A 53590-2025 FSC-klagomål.docx", "A 53590-2025")</f>
        <v/>
      </c>
      <c r="AB127">
        <f>HYPERLINK("https://klasma.github.io/Logging_2582/klagomålsmail/A 53590-2025 FSC-klagomål mail.docx", "A 53590-2025")</f>
        <v/>
      </c>
      <c r="AC127">
        <f>HYPERLINK("https://klasma.github.io/Logging_2582/tillsyn/A 53590-2025 tillsynsbegäran.docx", "A 53590-2025")</f>
        <v/>
      </c>
      <c r="AD127">
        <f>HYPERLINK("https://klasma.github.io/Logging_2582/tillsynsmail/A 53590-2025 tillsynsbegäran mail.docx", "A 53590-2025")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46232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56598-2025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46232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56598-2025 artfynd.xlsx", "A 56598-2025")</f>
        <v/>
      </c>
      <c r="X129">
        <f>HYPERLINK("https://klasma.github.io/Logging_2582/kartor/A 56598-2025 karta.png", "A 56598-2025")</f>
        <v/>
      </c>
      <c r="Y129">
        <f>HYPERLINK("https://klasma.github.io/Logging_2582/kartor_geotiff/A 56598-2025 georefererad karta.tif", "A 56598-2025")</f>
        <v/>
      </c>
      <c r="AA129">
        <f>HYPERLINK("https://klasma.github.io/Logging_2582/klagomål/A 56598-2025 FSC-klagomål.docx", "A 56598-2025")</f>
        <v/>
      </c>
      <c r="AB129">
        <f>HYPERLINK("https://klasma.github.io/Logging_2582/klagomålsmail/A 56598-2025 FSC-klagomål mail.docx", "A 56598-2025")</f>
        <v/>
      </c>
      <c r="AC129">
        <f>HYPERLINK("https://klasma.github.io/Logging_2582/tillsyn/A 56598-2025 tillsynsbegäran.docx", "A 56598-2025")</f>
        <v/>
      </c>
      <c r="AD129">
        <f>HYPERLINK("https://klasma.github.io/Logging_2582/tillsynsmail/A 56598-2025 tillsynsbegäran mail.docx", "A 56598-2025")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46232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46232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46232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Vitgrynig nållav</t>
        </is>
      </c>
      <c r="W132">
        <f>HYPERLINK("https://klasma.github.io/Logging_2582/artfynd/A 62002-2025 artfynd.xlsx", "A 62002-2025")</f>
        <v/>
      </c>
      <c r="X132">
        <f>HYPERLINK("https://klasma.github.io/Logging_2582/kartor/A 62002-2025 karta.png", "A 62002-2025")</f>
        <v/>
      </c>
      <c r="Y132">
        <f>HYPERLINK("https://klasma.github.io/Logging_2582/kartor_geotiff/A 62002-2025 georefererad karta.tif", "A 62002-2025")</f>
        <v/>
      </c>
      <c r="AA132">
        <f>HYPERLINK("https://klasma.github.io/Logging_2582/klagomål/A 62002-2025 FSC-klagomål.docx", "A 62002-2025")</f>
        <v/>
      </c>
      <c r="AB132">
        <f>HYPERLINK("https://klasma.github.io/Logging_2582/klagomålsmail/A 62002-2025 FSC-klagomål mail.docx", "A 62002-2025")</f>
        <v/>
      </c>
      <c r="AC132">
        <f>HYPERLINK("https://klasma.github.io/Logging_2582/tillsyn/A 62002-2025 tillsynsbegäran.docx", "A 62002-2025")</f>
        <v/>
      </c>
      <c r="AD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36743-2024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46232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36743-2024 artfynd.xlsx", "A 36743-2024")</f>
        <v/>
      </c>
      <c r="X133">
        <f>HYPERLINK("https://klasma.github.io/Logging_2582/kartor/A 36743-2024 karta.png", "A 36743-2024")</f>
        <v/>
      </c>
      <c r="Y133">
        <f>HYPERLINK("https://klasma.github.io/Logging_2582/kartor_geotiff/A 36743-2024 georefererad karta.tif", "A 36743-2024")</f>
        <v/>
      </c>
      <c r="AA133">
        <f>HYPERLINK("https://klasma.github.io/Logging_2582/klagomål/A 36743-2024 FSC-klagomål.docx", "A 36743-2024")</f>
        <v/>
      </c>
      <c r="AB133">
        <f>HYPERLINK("https://klasma.github.io/Logging_2582/klagomålsmail/A 36743-2024 FSC-klagomål mail.docx", "A 36743-2024")</f>
        <v/>
      </c>
      <c r="AC133">
        <f>HYPERLINK("https://klasma.github.io/Logging_2582/tillsyn/A 36743-2024 tillsynsbegäran.docx", "A 36743-2024")</f>
        <v/>
      </c>
      <c r="AD133">
        <f>HYPERLINK("https://klasma.github.io/Logging_2582/tillsynsmail/A 36743-2024 tillsynsbegäran mail.docx", "A 36743-2024")</f>
        <v/>
      </c>
    </row>
    <row r="134" ht="15" customHeight="1">
      <c r="A134" t="inlineStr">
        <is>
          <t>A 14329-2026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46232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HYPERLINK("https://klasma.github.io/Logging_2582/artfynd/A 14329-2026 artfynd.xlsx", "A 14329-2026")</f>
        <v/>
      </c>
      <c r="X134">
        <f>HYPERLINK("https://klasma.github.io/Logging_2582/kartor/A 14329-2026 karta.png", "A 14329-2026")</f>
        <v/>
      </c>
      <c r="Y134">
        <f>HYPERLINK("https://klasma.github.io/Logging_2582/kartor_geotiff/A 14329-2026 georefererad karta.tif", "A 14329-2026")</f>
        <v/>
      </c>
      <c r="AA134">
        <f>HYPERLINK("https://klasma.github.io/Logging_2582/klagomål/A 14329-2026 FSC-klagomål.docx", "A 14329-2026")</f>
        <v/>
      </c>
      <c r="AB134">
        <f>HYPERLINK("https://klasma.github.io/Logging_2582/klagomålsmail/A 14329-2026 FSC-klagomål mail.docx", "A 14329-2026")</f>
        <v/>
      </c>
      <c r="AC134">
        <f>HYPERLINK("https://klasma.github.io/Logging_2582/tillsyn/A 14329-2026 tillsynsbegäran.docx", "A 14329-2026")</f>
        <v/>
      </c>
      <c r="AD134">
        <f>HYPERLINK("https://klasma.github.io/Logging_2582/tillsynsmail/A 14329-2026 tillsynsbegäran mail.docx", "A 14329-2026")</f>
        <v/>
      </c>
      <c r="AE134">
        <f>HYPERLINK("https://klasma.github.io/Logging_2582/fåglar/A 14329-2026 prioriterade fågelarter.docx", "A 14329-2026")</f>
        <v/>
      </c>
    </row>
    <row r="135" ht="15" customHeight="1">
      <c r="A135" t="inlineStr">
        <is>
          <t>A 32600-2024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46232</v>
      </c>
      <c r="F135" t="inlineStr">
        <is>
          <t>NORRBOTTENS LÄN</t>
        </is>
      </c>
      <c r="G135" t="inlineStr">
        <is>
          <t>BODEN</t>
        </is>
      </c>
      <c r="I135" t="n">
        <v>2.5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HYPERLINK("https://klasma.github.io/Logging_2582/artfynd/A 32600-2024 artfynd.xlsx", "A 32600-2024")</f>
        <v/>
      </c>
      <c r="X135">
        <f>HYPERLINK("https://klasma.github.io/Logging_2582/kartor/A 32600-2024 karta.png", "A 32600-2024")</f>
        <v/>
      </c>
      <c r="Y135">
        <f>HYPERLINK("https://klasma.github.io/Logging_2582/kartor_geotiff/A 32600-2024 georefererad karta.tif", "A 32600-2024")</f>
        <v/>
      </c>
      <c r="AA135">
        <f>HYPERLINK("https://klasma.github.io/Logging_2582/klagomål/A 32600-2024 FSC-klagomål.docx", "A 32600-2024")</f>
        <v/>
      </c>
      <c r="AB135">
        <f>HYPERLINK("https://klasma.github.io/Logging_2582/klagomålsmail/A 32600-2024 FSC-klagomål mail.docx", "A 32600-2024")</f>
        <v/>
      </c>
      <c r="AC135">
        <f>HYPERLINK("https://klasma.github.io/Logging_2582/tillsyn/A 32600-2024 tillsynsbegäran.docx", "A 32600-2024")</f>
        <v/>
      </c>
      <c r="AD135">
        <f>HYPERLINK("https://klasma.github.io/Logging_2582/tillsynsmail/A 32600-2024 tillsynsbegäran mail.docx", "A 32600-2024")</f>
        <v/>
      </c>
    </row>
    <row r="136" ht="15" customHeight="1">
      <c r="A136" t="inlineStr">
        <is>
          <t>A 665-2023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46232</v>
      </c>
      <c r="F136" t="inlineStr">
        <is>
          <t>NORRBOTTENS LÄN</t>
        </is>
      </c>
      <c r="G136" t="inlineStr">
        <is>
          <t>BODEN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Duvhök</t>
        </is>
      </c>
      <c r="W136">
        <f>HYPERLINK("https://klasma.github.io/Logging_2582/artfynd/A 665-2023 artfynd.xlsx", "A 665-2023")</f>
        <v/>
      </c>
      <c r="X136">
        <f>HYPERLINK("https://klasma.github.io/Logging_2582/kartor/A 665-2023 karta.png", "A 665-2023")</f>
        <v/>
      </c>
      <c r="Y136">
        <f>HYPERLINK("https://klasma.github.io/Logging_2582/kartor_geotiff/A 665-2023 georefererad karta.tif", "A 665-2023")</f>
        <v/>
      </c>
      <c r="AA136">
        <f>HYPERLINK("https://klasma.github.io/Logging_2582/klagomål/A 665-2023 FSC-klagomål.docx", "A 665-2023")</f>
        <v/>
      </c>
      <c r="AB136">
        <f>HYPERLINK("https://klasma.github.io/Logging_2582/klagomålsmail/A 665-2023 FSC-klagomål mail.docx", "A 665-2023")</f>
        <v/>
      </c>
      <c r="AC136">
        <f>HYPERLINK("https://klasma.github.io/Logging_2582/tillsyn/A 665-2023 tillsynsbegäran.docx", "A 665-2023")</f>
        <v/>
      </c>
      <c r="AD136">
        <f>HYPERLINK("https://klasma.github.io/Logging_2582/tillsynsmail/A 665-2023 tillsynsbegäran mail.docx", "A 665-2023")</f>
        <v/>
      </c>
      <c r="AE136">
        <f>HYPERLINK("https://klasma.github.io/Logging_2582/fåglar/A 665-2023 prioriterade fågelarter.docx", "A 665-2023")</f>
        <v/>
      </c>
    </row>
    <row r="137" ht="15" customHeight="1">
      <c r="A137" t="inlineStr">
        <is>
          <t>A 19580-2026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46134</v>
      </c>
      <c r="E137" s="1" t="n">
        <v>46232</v>
      </c>
      <c r="F137" t="inlineStr">
        <is>
          <t>NORRBOTTENS LÄN</t>
        </is>
      </c>
      <c r="G137" t="inlineStr">
        <is>
          <t>BODEN</t>
        </is>
      </c>
      <c r="I137" t="n">
        <v>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Dropptaggsvamp</t>
        </is>
      </c>
      <c r="W137">
        <f>HYPERLINK("https://klasma.github.io/Logging_2582/artfynd/A 19580-2026 artfynd.xlsx", "A 19580-2026")</f>
        <v/>
      </c>
      <c r="X137">
        <f>HYPERLINK("https://klasma.github.io/Logging_2582/kartor/A 19580-2026 karta.png", "A 19580-2026")</f>
        <v/>
      </c>
      <c r="Y137">
        <f>HYPERLINK("https://klasma.github.io/Logging_2582/kartor_geotiff/A 19580-2026 georefererad karta.tif", "A 19580-2026")</f>
        <v/>
      </c>
      <c r="AA137">
        <f>HYPERLINK("https://klasma.github.io/Logging_2582/klagomål/A 19580-2026 FSC-klagomål.docx", "A 19580-2026")</f>
        <v/>
      </c>
      <c r="AB137">
        <f>HYPERLINK("https://klasma.github.io/Logging_2582/klagomålsmail/A 19580-2026 FSC-klagomål mail.docx", "A 19580-2026")</f>
        <v/>
      </c>
      <c r="AC137">
        <f>HYPERLINK("https://klasma.github.io/Logging_2582/tillsyn/A 19580-2026 tillsynsbegäran.docx", "A 19580-2026")</f>
        <v/>
      </c>
      <c r="AD137">
        <f>HYPERLINK("https://klasma.github.io/Logging_2582/tillsynsmail/A 19580-2026 tillsynsbegäran mail.docx", "A 19580-2026")</f>
        <v/>
      </c>
    </row>
    <row r="138" ht="15" customHeight="1">
      <c r="A138" t="inlineStr">
        <is>
          <t>A 12832-2022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44642</v>
      </c>
      <c r="E138" s="1" t="n">
        <v>46232</v>
      </c>
      <c r="F138" t="inlineStr">
        <is>
          <t>NORRBOTTENS LÄN</t>
        </is>
      </c>
      <c r="G138" t="inlineStr">
        <is>
          <t>BODEN</t>
        </is>
      </c>
      <c r="I138" t="n">
        <v>6.6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Doftticka</t>
        </is>
      </c>
      <c r="W138">
        <f>HYPERLINK("https://klasma.github.io/Logging_2582/artfynd/A 12832-2022 artfynd.xlsx", "A 12832-2022")</f>
        <v/>
      </c>
      <c r="X138">
        <f>HYPERLINK("https://klasma.github.io/Logging_2582/kartor/A 12832-2022 karta.png", "A 12832-2022")</f>
        <v/>
      </c>
      <c r="Y138">
        <f>HYPERLINK("https://klasma.github.io/Logging_2582/kartor_geotiff/A 12832-2022 georefererad karta.tif", "A 12832-2022")</f>
        <v/>
      </c>
      <c r="AA138">
        <f>HYPERLINK("https://klasma.github.io/Logging_2582/klagomål/A 12832-2022 FSC-klagomål.docx", "A 12832-2022")</f>
        <v/>
      </c>
      <c r="AB138">
        <f>HYPERLINK("https://klasma.github.io/Logging_2582/klagomålsmail/A 12832-2022 FSC-klagomål mail.docx", "A 12832-2022")</f>
        <v/>
      </c>
      <c r="AC138">
        <f>HYPERLINK("https://klasma.github.io/Logging_2582/tillsyn/A 12832-2022 tillsynsbegäran.docx", "A 12832-2022")</f>
        <v/>
      </c>
      <c r="AD138">
        <f>HYPERLINK("https://klasma.github.io/Logging_2582/tillsynsmail/A 12832-2022 tillsynsbegäran mail.docx", "A 12832-2022")</f>
        <v/>
      </c>
    </row>
    <row r="139" ht="15" customHeight="1">
      <c r="A139" t="inlineStr">
        <is>
          <t>A 21310-2026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46147</v>
      </c>
      <c r="E139" s="1" t="n">
        <v>46232</v>
      </c>
      <c r="F139" t="inlineStr">
        <is>
          <t>NORRBOTTENS LÄN</t>
        </is>
      </c>
      <c r="G139" t="inlineStr">
        <is>
          <t>BODEN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21310-2026 artfynd.xlsx", "A 21310-2026")</f>
        <v/>
      </c>
      <c r="X139">
        <f>HYPERLINK("https://klasma.github.io/Logging_2582/kartor/A 21310-2026 karta.png", "A 21310-2026")</f>
        <v/>
      </c>
      <c r="Y139">
        <f>HYPERLINK("https://klasma.github.io/Logging_2582/kartor_geotiff/A 21310-2026 georefererad karta.tif", "A 21310-2026")</f>
        <v/>
      </c>
      <c r="AA139">
        <f>HYPERLINK("https://klasma.github.io/Logging_2582/klagomål/A 21310-2026 FSC-klagomål.docx", "A 21310-2026")</f>
        <v/>
      </c>
      <c r="AB139">
        <f>HYPERLINK("https://klasma.github.io/Logging_2582/klagomålsmail/A 21310-2026 FSC-klagomål mail.docx", "A 21310-2026")</f>
        <v/>
      </c>
      <c r="AC139">
        <f>HYPERLINK("https://klasma.github.io/Logging_2582/tillsyn/A 21310-2026 tillsynsbegäran.docx", "A 21310-2026")</f>
        <v/>
      </c>
      <c r="AD139">
        <f>HYPERLINK("https://klasma.github.io/Logging_2582/tillsynsmail/A 21310-2026 tillsynsbegäran mail.docx", "A 21310-2026")</f>
        <v/>
      </c>
    </row>
    <row r="140" ht="15" customHeight="1">
      <c r="A140" t="inlineStr">
        <is>
          <t>A 41087-2024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45559</v>
      </c>
      <c r="E140" s="1" t="n">
        <v>46232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HYPERLINK("https://klasma.github.io/Logging_2582/artfynd/A 41087-2024 artfynd.xlsx", "A 41087-2024")</f>
        <v/>
      </c>
      <c r="X140">
        <f>HYPERLINK("https://klasma.github.io/Logging_2582/kartor/A 41087-2024 karta.png", "A 41087-2024")</f>
        <v/>
      </c>
      <c r="Y140">
        <f>HYPERLINK("https://klasma.github.io/Logging_2582/kartor_geotiff/A 41087-2024 georefererad karta.tif", "A 41087-2024")</f>
        <v/>
      </c>
      <c r="AA140">
        <f>HYPERLINK("https://klasma.github.io/Logging_2582/klagomål/A 41087-2024 FSC-klagomål.docx", "A 41087-2024")</f>
        <v/>
      </c>
      <c r="AB140">
        <f>HYPERLINK("https://klasma.github.io/Logging_2582/klagomålsmail/A 41087-2024 FSC-klagomål mail.docx", "A 41087-2024")</f>
        <v/>
      </c>
      <c r="AC140">
        <f>HYPERLINK("https://klasma.github.io/Logging_2582/tillsyn/A 41087-2024 tillsynsbegäran.docx", "A 41087-2024")</f>
        <v/>
      </c>
      <c r="AD140">
        <f>HYPERLINK("https://klasma.github.io/Logging_2582/tillsynsmail/A 41087-2024 tillsynsbegäran mail.docx", "A 41087-2024")</f>
        <v/>
      </c>
    </row>
    <row r="141" ht="15" customHeight="1">
      <c r="A141" t="inlineStr">
        <is>
          <t>A 19396-2022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46232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Tallticka</t>
        </is>
      </c>
      <c r="W141">
        <f>HYPERLINK("https://klasma.github.io/Logging_2582/artfynd/A 19396-2022 artfynd.xlsx", "A 19396-2022")</f>
        <v/>
      </c>
      <c r="X141">
        <f>HYPERLINK("https://klasma.github.io/Logging_2582/kartor/A 19396-2022 karta.png", "A 19396-2022")</f>
        <v/>
      </c>
      <c r="Y141">
        <f>HYPERLINK("https://klasma.github.io/Logging_2582/kartor_geotiff/A 19396-2022 georefererad karta.tif", "A 19396-2022")</f>
        <v/>
      </c>
      <c r="AA141">
        <f>HYPERLINK("https://klasma.github.io/Logging_2582/klagomål/A 19396-2022 FSC-klagomål.docx", "A 19396-2022")</f>
        <v/>
      </c>
      <c r="AB141">
        <f>HYPERLINK("https://klasma.github.io/Logging_2582/klagomålsmail/A 19396-2022 FSC-klagomål mail.docx", "A 19396-2022")</f>
        <v/>
      </c>
      <c r="AC141">
        <f>HYPERLINK("https://klasma.github.io/Logging_2582/tillsyn/A 19396-2022 tillsynsbegäran.docx", "A 19396-2022")</f>
        <v/>
      </c>
      <c r="AD141">
        <f>HYPERLINK("https://klasma.github.io/Logging_2582/tillsynsmail/A 19396-2022 tillsynsbegäran mail.docx", "A 19396-2022")</f>
        <v/>
      </c>
    </row>
    <row r="142" ht="15" customHeight="1">
      <c r="A142" t="inlineStr">
        <is>
          <t>A 29875-2026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46232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4.4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Tallticka</t>
        </is>
      </c>
      <c r="W142">
        <f>HYPERLINK("https://klasma.github.io/Logging_2582/artfynd/A 29875-2026 artfynd.xlsx", "A 29875-2026")</f>
        <v/>
      </c>
      <c r="X142">
        <f>HYPERLINK("https://klasma.github.io/Logging_2582/kartor/A 29875-2026 karta.png", "A 29875-2026")</f>
        <v/>
      </c>
      <c r="Y142">
        <f>HYPERLINK("https://klasma.github.io/Logging_2582/kartor_geotiff/A 29875-2026 georefererad karta.tif", "A 29875-2026")</f>
        <v/>
      </c>
      <c r="AA142">
        <f>HYPERLINK("https://klasma.github.io/Logging_2582/klagomål/A 29875-2026 FSC-klagomål.docx", "A 29875-2026")</f>
        <v/>
      </c>
      <c r="AB142">
        <f>HYPERLINK("https://klasma.github.io/Logging_2582/klagomålsmail/A 29875-2026 FSC-klagomål mail.docx", "A 29875-2026")</f>
        <v/>
      </c>
      <c r="AC142">
        <f>HYPERLINK("https://klasma.github.io/Logging_2582/tillsyn/A 29875-2026 tillsynsbegäran.docx", "A 29875-2026")</f>
        <v/>
      </c>
      <c r="AD142">
        <f>HYPERLINK("https://klasma.github.io/Logging_2582/tillsynsmail/A 29875-2026 tillsynsbegäran mail.docx", "A 29875-2026")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46232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HYPERLINK("https://klasma.github.io/Logging_2582/artfynd/A 24429-2026 artfynd.xlsx", "A 24429-2026")</f>
        <v/>
      </c>
      <c r="X143">
        <f>HYPERLINK("https://klasma.github.io/Logging_2582/kartor/A 24429-2026 karta.png", "A 24429-2026")</f>
        <v/>
      </c>
      <c r="Y143">
        <f>HYPERLINK("https://klasma.github.io/Logging_2582/kartor_geotiff/A 24429-2026 georefererad karta.tif", "A 24429-2026")</f>
        <v/>
      </c>
      <c r="AA143">
        <f>HYPERLINK("https://klasma.github.io/Logging_2582/klagomål/A 24429-2026 FSC-klagomål.docx", "A 24429-2026")</f>
        <v/>
      </c>
      <c r="AB143">
        <f>HYPERLINK("https://klasma.github.io/Logging_2582/klagomålsmail/A 24429-2026 FSC-klagomål mail.docx", "A 24429-2026")</f>
        <v/>
      </c>
      <c r="AC143">
        <f>HYPERLINK("https://klasma.github.io/Logging_2582/tillsyn/A 24429-2026 tillsynsbegäran.docx", "A 24429-2026")</f>
        <v/>
      </c>
      <c r="AD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46232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46232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Spindelblomster</t>
        </is>
      </c>
      <c r="W145">
        <f>HYPERLINK("https://klasma.github.io/Logging_2582/artfynd/A 25803-2026 artfynd.xlsx", "A 25803-2026")</f>
        <v/>
      </c>
      <c r="X145">
        <f>HYPERLINK("https://klasma.github.io/Logging_2582/kartor/A 25803-2026 karta.png", "A 25803-2026")</f>
        <v/>
      </c>
      <c r="Y145">
        <f>HYPERLINK("https://klasma.github.io/Logging_2582/kartor_geotiff/A 25803-2026 georefererad karta.tif", "A 25803-2026")</f>
        <v/>
      </c>
      <c r="AA145">
        <f>HYPERLINK("https://klasma.github.io/Logging_2582/klagomål/A 25803-2026 FSC-klagomål.docx", "A 25803-2026")</f>
        <v/>
      </c>
      <c r="AB145">
        <f>HYPERLINK("https://klasma.github.io/Logging_2582/klagomålsmail/A 25803-2026 FSC-klagomål mail.docx", "A 25803-2026")</f>
        <v/>
      </c>
      <c r="AC145">
        <f>HYPERLINK("https://klasma.github.io/Logging_2582/tillsyn/A 25803-2026 tillsynsbegäran.docx", "A 25803-2026")</f>
        <v/>
      </c>
      <c r="AD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25801-2026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46232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25801-2026 artfynd.xlsx", "A 25801-2026")</f>
        <v/>
      </c>
      <c r="X146">
        <f>HYPERLINK("https://klasma.github.io/Logging_2582/kartor/A 25801-2026 karta.png", "A 25801-2026")</f>
        <v/>
      </c>
      <c r="Y146">
        <f>HYPERLINK("https://klasma.github.io/Logging_2582/kartor_geotiff/A 25801-2026 georefererad karta.tif", "A 25801-2026")</f>
        <v/>
      </c>
      <c r="Z146">
        <f>HYPERLINK("https://klasma.github.io/Logging_2582/knärot/A 25801-2026 karta knärot.png", "A 25801-2026")</f>
        <v/>
      </c>
      <c r="AA146">
        <f>HYPERLINK("https://klasma.github.io/Logging_2582/klagomål/A 25801-2026 FSC-klagomål.docx", "A 25801-2026")</f>
        <v/>
      </c>
      <c r="AB146">
        <f>HYPERLINK("https://klasma.github.io/Logging_2582/klagomålsmail/A 25801-2026 FSC-klagomål mail.docx", "A 25801-2026")</f>
        <v/>
      </c>
      <c r="AC146">
        <f>HYPERLINK("https://klasma.github.io/Logging_2582/tillsyn/A 25801-2026 tillsynsbegäran.docx", "A 25801-2026")</f>
        <v/>
      </c>
      <c r="AD146">
        <f>HYPERLINK("https://klasma.github.io/Logging_2582/tillsynsmail/A 25801-2026 tillsynsbegäran mail.docx", "A 25801-2026")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46232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46232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46232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46232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46232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46232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46232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46232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46232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46232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46232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46232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46232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46232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46232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46232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46232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46232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46232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46232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46232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44414</v>
      </c>
      <c r="E171" s="1" t="n">
        <v>46232</v>
      </c>
      <c r="F171" t="inlineStr">
        <is>
          <t>NORRBOTTENS LÄN</t>
        </is>
      </c>
      <c r="G171" t="inlineStr">
        <is>
          <t>BODEN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46232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46232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46232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46232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46232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46232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46232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46232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46232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46232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46232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46232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46232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46232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46232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46232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46232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46232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46232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46232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46232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46232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46232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46232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46232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46232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46232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46232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46232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46232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46232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46232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46232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46232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46232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46232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46232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46232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46232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46232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46232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46232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46232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46232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46232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46232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46232</v>
      </c>
      <c r="F218" t="inlineStr">
        <is>
          <t>NORRBOTTENS LÄN</t>
        </is>
      </c>
      <c r="G218" t="inlineStr">
        <is>
          <t>BODEN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46232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46232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46232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46232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46232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46232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52075-2021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46232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73910-2021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46232</v>
      </c>
      <c r="F226" t="inlineStr">
        <is>
          <t>NORRBOTTENS LÄN</t>
        </is>
      </c>
      <c r="G226" t="inlineStr">
        <is>
          <t>BODEN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46232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46232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45022</v>
      </c>
      <c r="E229" s="1" t="n">
        <v>46232</v>
      </c>
      <c r="F229" t="inlineStr">
        <is>
          <t>NORRBOTTENS LÄN</t>
        </is>
      </c>
      <c r="G229" t="inlineStr">
        <is>
          <t>BODEN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44833</v>
      </c>
      <c r="E230" s="1" t="n">
        <v>46232</v>
      </c>
      <c r="F230" t="inlineStr">
        <is>
          <t>NORRBOTTENS LÄN</t>
        </is>
      </c>
      <c r="G230" t="inlineStr">
        <is>
          <t>BODEN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46232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46232</v>
      </c>
      <c r="F232" t="inlineStr">
        <is>
          <t>NORRBOTTENS LÄN</t>
        </is>
      </c>
      <c r="G232" t="inlineStr">
        <is>
          <t>BODEN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46232</v>
      </c>
      <c r="F233" t="inlineStr">
        <is>
          <t>NORRBOTTENS LÄN</t>
        </is>
      </c>
      <c r="G233" t="inlineStr">
        <is>
          <t>BODEN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46232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46232</v>
      </c>
      <c r="F235" t="inlineStr">
        <is>
          <t>NORRBOTTENS LÄN</t>
        </is>
      </c>
      <c r="G235" t="inlineStr">
        <is>
          <t>BODEN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46232</v>
      </c>
      <c r="F236" t="inlineStr">
        <is>
          <t>NORRBOTTENS LÄN</t>
        </is>
      </c>
      <c r="G236" t="inlineStr">
        <is>
          <t>BODEN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45125</v>
      </c>
      <c r="E237" s="1" t="n">
        <v>46232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46232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46232</v>
      </c>
      <c r="F239" t="inlineStr">
        <is>
          <t>NORRBOTTENS LÄN</t>
        </is>
      </c>
      <c r="G239" t="inlineStr">
        <is>
          <t>BODEN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44489</v>
      </c>
      <c r="E240" s="1" t="n">
        <v>46232</v>
      </c>
      <c r="F240" t="inlineStr">
        <is>
          <t>NORRBOTTENS LÄN</t>
        </is>
      </c>
      <c r="G240" t="inlineStr">
        <is>
          <t>BODEN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45600</v>
      </c>
      <c r="E241" s="1" t="n">
        <v>46232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46232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46232</v>
      </c>
      <c r="F243" t="inlineStr">
        <is>
          <t>NORRBOTTENS LÄN</t>
        </is>
      </c>
      <c r="G243" t="inlineStr">
        <is>
          <t>BODEN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46232</v>
      </c>
      <c r="F244" t="inlineStr">
        <is>
          <t>NORRBOTTENS LÄN</t>
        </is>
      </c>
      <c r="G244" t="inlineStr">
        <is>
          <t>BODEN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46232</v>
      </c>
      <c r="F245" t="inlineStr">
        <is>
          <t>NORRBOTTENS LÄN</t>
        </is>
      </c>
      <c r="G245" t="inlineStr">
        <is>
          <t>BODEN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45161</v>
      </c>
      <c r="E246" s="1" t="n">
        <v>46232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44881</v>
      </c>
      <c r="E247" s="1" t="n">
        <v>46232</v>
      </c>
      <c r="F247" t="inlineStr">
        <is>
          <t>NORRBOTTENS LÄN</t>
        </is>
      </c>
      <c r="G247" t="inlineStr">
        <is>
          <t>BODEN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46232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55317-2023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45237</v>
      </c>
      <c r="E249" s="1" t="n">
        <v>46232</v>
      </c>
      <c r="F249" t="inlineStr">
        <is>
          <t>NORRBOTTENS LÄN</t>
        </is>
      </c>
      <c r="G249" t="inlineStr">
        <is>
          <t>BODEN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7442-2024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45345</v>
      </c>
      <c r="E250" s="1" t="n">
        <v>46232</v>
      </c>
      <c r="F250" t="inlineStr">
        <is>
          <t>NORRBOTTENS LÄN</t>
        </is>
      </c>
      <c r="G250" t="inlineStr">
        <is>
          <t>BODEN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45512</v>
      </c>
      <c r="E251" s="1" t="n">
        <v>46232</v>
      </c>
      <c r="F251" t="inlineStr">
        <is>
          <t>NORRBOTTENS LÄN</t>
        </is>
      </c>
      <c r="G251" t="inlineStr">
        <is>
          <t>BODEN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74264-2021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44558</v>
      </c>
      <c r="E252" s="1" t="n">
        <v>46232</v>
      </c>
      <c r="F252" t="inlineStr">
        <is>
          <t>NORRBOTTENS LÄN</t>
        </is>
      </c>
      <c r="G252" t="inlineStr">
        <is>
          <t>BODEN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45766</v>
      </c>
      <c r="E253" s="1" t="n">
        <v>46232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45539</v>
      </c>
      <c r="E254" s="1" t="n">
        <v>46232</v>
      </c>
      <c r="F254" t="inlineStr">
        <is>
          <t>NORRBOTTENS LÄN</t>
        </is>
      </c>
      <c r="G254" t="inlineStr">
        <is>
          <t>BODEN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68565-2021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46232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46232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46232</v>
      </c>
      <c r="F257" t="inlineStr">
        <is>
          <t>NORRBOTTENS LÄN</t>
        </is>
      </c>
      <c r="G257" t="inlineStr">
        <is>
          <t>BODEN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46232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45397</v>
      </c>
      <c r="E259" s="1" t="n">
        <v>46232</v>
      </c>
      <c r="F259" t="inlineStr">
        <is>
          <t>NORRBOTTENS LÄN</t>
        </is>
      </c>
      <c r="G259" t="inlineStr">
        <is>
          <t>BODEN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45397</v>
      </c>
      <c r="E260" s="1" t="n">
        <v>46232</v>
      </c>
      <c r="F260" t="inlineStr">
        <is>
          <t>NORRBOTTENS LÄN</t>
        </is>
      </c>
      <c r="G260" t="inlineStr">
        <is>
          <t>BODEN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45764</v>
      </c>
      <c r="E261" s="1" t="n">
        <v>46232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44983</v>
      </c>
      <c r="E262" s="1" t="n">
        <v>46232</v>
      </c>
      <c r="F262" t="inlineStr">
        <is>
          <t>NORRBOTTENS LÄN</t>
        </is>
      </c>
      <c r="G262" t="inlineStr">
        <is>
          <t>BODEN</t>
        </is>
      </c>
      <c r="I262" t="n">
        <v>37.1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46232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15.8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44474</v>
      </c>
      <c r="E264" s="1" t="n">
        <v>46232</v>
      </c>
      <c r="F264" t="inlineStr">
        <is>
          <t>NORRBOTTENS LÄN</t>
        </is>
      </c>
      <c r="G264" t="inlineStr">
        <is>
          <t>BODEN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44862</v>
      </c>
      <c r="E265" s="1" t="n">
        <v>46232</v>
      </c>
      <c r="F265" t="inlineStr">
        <is>
          <t>NORRBOTTENS LÄN</t>
        </is>
      </c>
      <c r="G265" t="inlineStr">
        <is>
          <t>BODEN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46232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45758</v>
      </c>
      <c r="E267" s="1" t="n">
        <v>46232</v>
      </c>
      <c r="F267" t="inlineStr">
        <is>
          <t>NORRBOTTENS LÄN</t>
        </is>
      </c>
      <c r="G267" t="inlineStr">
        <is>
          <t>BODEN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45285</v>
      </c>
      <c r="E268" s="1" t="n">
        <v>46232</v>
      </c>
      <c r="F268" t="inlineStr">
        <is>
          <t>NORRBOTTENS LÄN</t>
        </is>
      </c>
      <c r="G268" t="inlineStr">
        <is>
          <t>BODEN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25983-2025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46232</v>
      </c>
      <c r="F269" t="inlineStr">
        <is>
          <t>NORRBOTTENS LÄN</t>
        </is>
      </c>
      <c r="G269" t="inlineStr">
        <is>
          <t>BODEN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46232</v>
      </c>
      <c r="F270" t="inlineStr">
        <is>
          <t>NORRBOTTENS LÄN</t>
        </is>
      </c>
      <c r="G270" t="inlineStr">
        <is>
          <t>BODEN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46232</v>
      </c>
      <c r="F271" t="inlineStr">
        <is>
          <t>NORRBOTTENS LÄN</t>
        </is>
      </c>
      <c r="G271" t="inlineStr">
        <is>
          <t>BODEN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60466-2024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45643</v>
      </c>
      <c r="E272" s="1" t="n">
        <v>46232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46232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46232</v>
      </c>
      <c r="F274" t="inlineStr">
        <is>
          <t>NORRBOTTENS LÄN</t>
        </is>
      </c>
      <c r="G274" t="inlineStr">
        <is>
          <t>BODEN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46232</v>
      </c>
      <c r="F275" t="inlineStr">
        <is>
          <t>NORRBOTTENS LÄN</t>
        </is>
      </c>
      <c r="G275" t="inlineStr">
        <is>
          <t>BODEN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46232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46232</v>
      </c>
      <c r="F277" t="inlineStr">
        <is>
          <t>NORRBOTTENS LÄN</t>
        </is>
      </c>
      <c r="G277" t="inlineStr">
        <is>
          <t>BODEN</t>
        </is>
      </c>
      <c r="I277" t="n">
        <v>33.9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46232</v>
      </c>
      <c r="F278" t="inlineStr">
        <is>
          <t>NORRBOTTENS LÄN</t>
        </is>
      </c>
      <c r="G278" t="inlineStr">
        <is>
          <t>BODEN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46232</v>
      </c>
      <c r="F279" t="inlineStr">
        <is>
          <t>NORRBOTTENS LÄN</t>
        </is>
      </c>
      <c r="G279" t="inlineStr">
        <is>
          <t>BODEN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45429</v>
      </c>
      <c r="E280" s="1" t="n">
        <v>46232</v>
      </c>
      <c r="F280" t="inlineStr">
        <is>
          <t>NORRBOTTENS LÄN</t>
        </is>
      </c>
      <c r="G280" t="inlineStr">
        <is>
          <t>BODEN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57873-2021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44484</v>
      </c>
      <c r="E281" s="1" t="n">
        <v>46232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45464</v>
      </c>
      <c r="E282" s="1" t="n">
        <v>46232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46232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31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46232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46232</v>
      </c>
      <c r="F285" t="inlineStr">
        <is>
          <t>NORRBOTTENS LÄN</t>
        </is>
      </c>
      <c r="G285" t="inlineStr">
        <is>
          <t>BODEN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61487-2023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46232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46232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46232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46232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46232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46232</v>
      </c>
      <c r="F291" t="inlineStr">
        <is>
          <t>NORRBOTTENS LÄN</t>
        </is>
      </c>
      <c r="G291" t="inlineStr">
        <is>
          <t>BODEN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46232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46232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45516</v>
      </c>
      <c r="E294" s="1" t="n">
        <v>46232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46232</v>
      </c>
      <c r="F295" t="inlineStr">
        <is>
          <t>NORRBOTTENS LÄN</t>
        </is>
      </c>
      <c r="G295" t="inlineStr">
        <is>
          <t>BODEN</t>
        </is>
      </c>
      <c r="I295" t="n">
        <v>10.9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46232</v>
      </c>
      <c r="F296" t="inlineStr">
        <is>
          <t>NORRBOTTENS LÄN</t>
        </is>
      </c>
      <c r="G296" t="inlineStr">
        <is>
          <t>BODEN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46232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46232</v>
      </c>
      <c r="F298" t="inlineStr">
        <is>
          <t>NORRBOTTENS LÄN</t>
        </is>
      </c>
      <c r="G298" t="inlineStr">
        <is>
          <t>BODEN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46232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45649</v>
      </c>
      <c r="E300" s="1" t="n">
        <v>46232</v>
      </c>
      <c r="F300" t="inlineStr">
        <is>
          <t>NORRBOTTENS LÄN</t>
        </is>
      </c>
      <c r="G300" t="inlineStr">
        <is>
          <t>BODEN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45316</v>
      </c>
      <c r="E301" s="1" t="n">
        <v>46232</v>
      </c>
      <c r="F301" t="inlineStr">
        <is>
          <t>NORRBOTTENS LÄN</t>
        </is>
      </c>
      <c r="G301" t="inlineStr">
        <is>
          <t>BODEN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29109-2024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45481</v>
      </c>
      <c r="E302" s="1" t="n">
        <v>46232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46232</v>
      </c>
      <c r="F303" t="inlineStr">
        <is>
          <t>NORRBOTTENS LÄN</t>
        </is>
      </c>
      <c r="G303" t="inlineStr">
        <is>
          <t>BODEN</t>
        </is>
      </c>
      <c r="H303" t="inlineStr">
        <is>
          <t>Naturvårdsverket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45766</v>
      </c>
      <c r="E304" s="1" t="n">
        <v>46232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46232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46232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19060-2024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46232</v>
      </c>
      <c r="F307" t="inlineStr">
        <is>
          <t>NORRBOTTENS LÄN</t>
        </is>
      </c>
      <c r="G307" t="inlineStr">
        <is>
          <t>BODEN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46036</v>
      </c>
      <c r="E308" s="1" t="n">
        <v>46232</v>
      </c>
      <c r="F308" t="inlineStr">
        <is>
          <t>NORRBOTTENS LÄN</t>
        </is>
      </c>
      <c r="G308" t="inlineStr">
        <is>
          <t>BODEN</t>
        </is>
      </c>
      <c r="H308" t="inlineStr">
        <is>
          <t>Kommuner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46232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46232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46232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28270-2025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45818</v>
      </c>
      <c r="E312" s="1" t="n">
        <v>46232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45543</v>
      </c>
      <c r="E313" s="1" t="n">
        <v>46232</v>
      </c>
      <c r="F313" t="inlineStr">
        <is>
          <t>NORRBOTTENS LÄN</t>
        </is>
      </c>
      <c r="G313" t="inlineStr">
        <is>
          <t>BODEN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46232</v>
      </c>
      <c r="F314" t="inlineStr">
        <is>
          <t>NORRBOTTENS LÄN</t>
        </is>
      </c>
      <c r="G314" t="inlineStr">
        <is>
          <t>BODEN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46232</v>
      </c>
      <c r="F315" t="inlineStr">
        <is>
          <t>NORRBOTTENS LÄN</t>
        </is>
      </c>
      <c r="G315" t="inlineStr">
        <is>
          <t>BODEN</t>
        </is>
      </c>
      <c r="H315" t="inlineStr">
        <is>
          <t>Övriga Aktiebolag</t>
        </is>
      </c>
      <c r="I315" t="n">
        <v>14.3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46232</v>
      </c>
      <c r="F316" t="inlineStr">
        <is>
          <t>NORRBOTTENS LÄN</t>
        </is>
      </c>
      <c r="G316" t="inlineStr">
        <is>
          <t>BODEN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46232</v>
      </c>
      <c r="F317" t="inlineStr">
        <is>
          <t>NORRBOTTENS LÄN</t>
        </is>
      </c>
      <c r="G317" t="inlineStr">
        <is>
          <t>BODEN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45897</v>
      </c>
      <c r="E318" s="1" t="n">
        <v>46232</v>
      </c>
      <c r="F318" t="inlineStr">
        <is>
          <t>NORRBOTTENS LÄN</t>
        </is>
      </c>
      <c r="G318" t="inlineStr">
        <is>
          <t>BODEN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45560</v>
      </c>
      <c r="E319" s="1" t="n">
        <v>46232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46232</v>
      </c>
      <c r="F320" t="inlineStr">
        <is>
          <t>NORRBOTTENS LÄN</t>
        </is>
      </c>
      <c r="G320" t="inlineStr">
        <is>
          <t>BODEN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46232</v>
      </c>
      <c r="F321" t="inlineStr">
        <is>
          <t>NORRBOTTENS LÄN</t>
        </is>
      </c>
      <c r="G321" t="inlineStr">
        <is>
          <t>BODEN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46232</v>
      </c>
      <c r="F322" t="inlineStr">
        <is>
          <t>NORRBOTTENS LÄN</t>
        </is>
      </c>
      <c r="G322" t="inlineStr">
        <is>
          <t>BODEN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46232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46232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46232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41691-2025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45902</v>
      </c>
      <c r="E326" s="1" t="n">
        <v>46232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46232</v>
      </c>
      <c r="F327" t="inlineStr">
        <is>
          <t>NORRBOTTENS LÄN</t>
        </is>
      </c>
      <c r="G327" t="inlineStr">
        <is>
          <t>BODEN</t>
        </is>
      </c>
      <c r="H327" t="inlineStr">
        <is>
          <t>Övriga statliga verk och myndigheter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45748</v>
      </c>
      <c r="E328" s="1" t="n">
        <v>46232</v>
      </c>
      <c r="F328" t="inlineStr">
        <is>
          <t>NORRBOTTENS LÄN</t>
        </is>
      </c>
      <c r="G328" t="inlineStr">
        <is>
          <t>BODEN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46232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46232</v>
      </c>
      <c r="F330" t="inlineStr">
        <is>
          <t>NORRBOTTENS LÄN</t>
        </is>
      </c>
      <c r="G330" t="inlineStr">
        <is>
          <t>BODEN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46232</v>
      </c>
      <c r="F331" t="inlineStr">
        <is>
          <t>NORRBOTTENS LÄN</t>
        </is>
      </c>
      <c r="G331" t="inlineStr">
        <is>
          <t>BODEN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46232</v>
      </c>
      <c r="F332" t="inlineStr">
        <is>
          <t>NORRBOTTENS LÄN</t>
        </is>
      </c>
      <c r="G332" t="inlineStr">
        <is>
          <t>BODEN</t>
        </is>
      </c>
      <c r="H332" t="inlineStr">
        <is>
          <t>Övriga Aktiebolag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46232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45835</v>
      </c>
      <c r="E334" s="1" t="n">
        <v>46232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45907</v>
      </c>
      <c r="E335" s="1" t="n">
        <v>46232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46232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46232</v>
      </c>
      <c r="F337" t="inlineStr">
        <is>
          <t>NORRBOTTENS LÄN</t>
        </is>
      </c>
      <c r="G337" t="inlineStr">
        <is>
          <t>BODEN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46232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46232</v>
      </c>
      <c r="F339" t="inlineStr">
        <is>
          <t>NORRBOTTENS LÄN</t>
        </is>
      </c>
      <c r="G339" t="inlineStr">
        <is>
          <t>BODEN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46232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46232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46232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46232</v>
      </c>
      <c r="F343" t="inlineStr">
        <is>
          <t>NORRBOTTENS LÄN</t>
        </is>
      </c>
      <c r="G343" t="inlineStr">
        <is>
          <t>BODEN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46232</v>
      </c>
      <c r="F344" t="inlineStr">
        <is>
          <t>NORRBOTTENS LÄN</t>
        </is>
      </c>
      <c r="G344" t="inlineStr">
        <is>
          <t>BODEN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46232</v>
      </c>
      <c r="F345" t="inlineStr">
        <is>
          <t>NORRBOTTENS LÄN</t>
        </is>
      </c>
      <c r="G345" t="inlineStr">
        <is>
          <t>BODEN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33130-2025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45840</v>
      </c>
      <c r="E346" s="1" t="n">
        <v>46232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46232</v>
      </c>
      <c r="F347" t="inlineStr">
        <is>
          <t>NORRBOTTENS LÄN</t>
        </is>
      </c>
      <c r="G347" t="inlineStr">
        <is>
          <t>BODEN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46232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46232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45747</v>
      </c>
      <c r="E350" s="1" t="n">
        <v>46232</v>
      </c>
      <c r="F350" t="inlineStr">
        <is>
          <t>NORRBOTTENS LÄN</t>
        </is>
      </c>
      <c r="G350" t="inlineStr">
        <is>
          <t>BODEN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46232</v>
      </c>
      <c r="F351" t="inlineStr">
        <is>
          <t>NORRBOTTENS LÄN</t>
        </is>
      </c>
      <c r="G351" t="inlineStr">
        <is>
          <t>BODEN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45843</v>
      </c>
      <c r="E352" s="1" t="n">
        <v>46232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46232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46232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46232</v>
      </c>
      <c r="F355" t="inlineStr">
        <is>
          <t>NORRBOTTENS LÄN</t>
        </is>
      </c>
      <c r="G355" t="inlineStr">
        <is>
          <t>BODEN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46232</v>
      </c>
      <c r="F356" t="inlineStr">
        <is>
          <t>NORRBOTTENS LÄN</t>
        </is>
      </c>
      <c r="G356" t="inlineStr">
        <is>
          <t>BODEN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46232</v>
      </c>
      <c r="F357" t="inlineStr">
        <is>
          <t>NORRBOTTENS LÄN</t>
        </is>
      </c>
      <c r="G357" t="inlineStr">
        <is>
          <t>BODEN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46232</v>
      </c>
      <c r="F358" t="inlineStr">
        <is>
          <t>NORRBOTTENS LÄN</t>
        </is>
      </c>
      <c r="G358" t="inlineStr">
        <is>
          <t>BODEN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45764</v>
      </c>
      <c r="E359" s="1" t="n">
        <v>46232</v>
      </c>
      <c r="F359" t="inlineStr">
        <is>
          <t>NORRBOTTENS LÄN</t>
        </is>
      </c>
      <c r="G359" t="inlineStr">
        <is>
          <t>BODEN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46232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46232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46232</v>
      </c>
      <c r="F362" t="inlineStr">
        <is>
          <t>NORRBOTTENS LÄN</t>
        </is>
      </c>
      <c r="G362" t="inlineStr">
        <is>
          <t>BODEN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59890-2023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45254</v>
      </c>
      <c r="E363" s="1" t="n">
        <v>46232</v>
      </c>
      <c r="F363" t="inlineStr">
        <is>
          <t>NORRBOTTENS LÄN</t>
        </is>
      </c>
      <c r="G363" t="inlineStr">
        <is>
          <t>BODEN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46232</v>
      </c>
      <c r="F364" t="inlineStr">
        <is>
          <t>NORRBOTTENS LÄN</t>
        </is>
      </c>
      <c r="G364" t="inlineStr">
        <is>
          <t>BODEN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45969-2025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45924</v>
      </c>
      <c r="E365" s="1" t="n">
        <v>46232</v>
      </c>
      <c r="F365" t="inlineStr">
        <is>
          <t>NORRBOTTENS LÄN</t>
        </is>
      </c>
      <c r="G365" t="inlineStr">
        <is>
          <t>BODEN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51280-2024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45603</v>
      </c>
      <c r="E366" s="1" t="n">
        <v>46232</v>
      </c>
      <c r="F366" t="inlineStr">
        <is>
          <t>NORRBOTTENS LÄN</t>
        </is>
      </c>
      <c r="G366" t="inlineStr">
        <is>
          <t>BODEN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46232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Aktiebolag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46232</v>
      </c>
      <c r="F368" t="inlineStr">
        <is>
          <t>NORRBOTTENS LÄN</t>
        </is>
      </c>
      <c r="G368" t="inlineStr">
        <is>
          <t>BODEN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46232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46232</v>
      </c>
      <c r="F370" t="inlineStr">
        <is>
          <t>NORRBOTTENS LÄN</t>
        </is>
      </c>
      <c r="G370" t="inlineStr">
        <is>
          <t>BODEN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45856</v>
      </c>
      <c r="E371" s="1" t="n">
        <v>46232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10.8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46232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46232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45674</v>
      </c>
      <c r="E374" s="1" t="n">
        <v>46232</v>
      </c>
      <c r="F374" t="inlineStr">
        <is>
          <t>NORRBOTTENS LÄN</t>
        </is>
      </c>
      <c r="G374" t="inlineStr">
        <is>
          <t>BODEN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46232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46232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45596</v>
      </c>
      <c r="E377" s="1" t="n">
        <v>46232</v>
      </c>
      <c r="F377" t="inlineStr">
        <is>
          <t>NORRBOTTENS LÄN</t>
        </is>
      </c>
      <c r="G377" t="inlineStr">
        <is>
          <t>BODEN</t>
        </is>
      </c>
      <c r="I377" t="n">
        <v>22.7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45863</v>
      </c>
      <c r="E378" s="1" t="n">
        <v>46232</v>
      </c>
      <c r="F378" t="inlineStr">
        <is>
          <t>NORRBOTTENS LÄN</t>
        </is>
      </c>
      <c r="G378" t="inlineStr">
        <is>
          <t>BODEN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48091-2025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45933</v>
      </c>
      <c r="E379" s="1" t="n">
        <v>46232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45906</v>
      </c>
      <c r="E380" s="1" t="n">
        <v>46232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46232</v>
      </c>
      <c r="F381" t="inlineStr">
        <is>
          <t>NORRBOTTENS LÄN</t>
        </is>
      </c>
      <c r="G381" t="inlineStr">
        <is>
          <t>BODEN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48172-2025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46232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48173-2025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46232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46232</v>
      </c>
      <c r="F384" t="inlineStr">
        <is>
          <t>NORRBOTTENS LÄN</t>
        </is>
      </c>
      <c r="G384" t="inlineStr">
        <is>
          <t>BODEN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46232</v>
      </c>
      <c r="F385" t="inlineStr">
        <is>
          <t>NORRBOTTENS LÄN</t>
        </is>
      </c>
      <c r="G385" t="inlineStr">
        <is>
          <t>BODEN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45456</v>
      </c>
      <c r="E386" s="1" t="n">
        <v>46232</v>
      </c>
      <c r="F386" t="inlineStr">
        <is>
          <t>NORRBOTTENS LÄN</t>
        </is>
      </c>
      <c r="G386" t="inlineStr">
        <is>
          <t>BODEN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46232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45369</v>
      </c>
      <c r="E388" s="1" t="n">
        <v>46232</v>
      </c>
      <c r="F388" t="inlineStr">
        <is>
          <t>NORRBOTTENS LÄN</t>
        </is>
      </c>
      <c r="G388" t="inlineStr">
        <is>
          <t>BODEN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46232</v>
      </c>
      <c r="F389" t="inlineStr">
        <is>
          <t>NORRBOTTENS LÄN</t>
        </is>
      </c>
      <c r="G389" t="inlineStr">
        <is>
          <t>BODEN</t>
        </is>
      </c>
      <c r="I389" t="n">
        <v>10.2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46232</v>
      </c>
      <c r="F390" t="inlineStr">
        <is>
          <t>NORRBOTTENS LÄN</t>
        </is>
      </c>
      <c r="G390" t="inlineStr">
        <is>
          <t>BODEN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46232</v>
      </c>
      <c r="F391" t="inlineStr">
        <is>
          <t>NORRBOTTENS LÄN</t>
        </is>
      </c>
      <c r="G391" t="inlineStr">
        <is>
          <t>BODEN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46232</v>
      </c>
      <c r="F392" t="inlineStr">
        <is>
          <t>NORRBOTTENS LÄN</t>
        </is>
      </c>
      <c r="G392" t="inlineStr">
        <is>
          <t>BODEN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46232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46232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46232</v>
      </c>
      <c r="F395" t="inlineStr">
        <is>
          <t>NORRBOTTENS LÄN</t>
        </is>
      </c>
      <c r="G395" t="inlineStr">
        <is>
          <t>BODEN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45718</v>
      </c>
      <c r="E396" s="1" t="n">
        <v>46232</v>
      </c>
      <c r="F396" t="inlineStr">
        <is>
          <t>NORRBOTTENS LÄN</t>
        </is>
      </c>
      <c r="G396" t="inlineStr">
        <is>
          <t>BODEN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46232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46232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45246</v>
      </c>
      <c r="E399" s="1" t="n">
        <v>46232</v>
      </c>
      <c r="F399" t="inlineStr">
        <is>
          <t>NORRBOTTENS LÄN</t>
        </is>
      </c>
      <c r="G399" t="inlineStr">
        <is>
          <t>BODEN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45868</v>
      </c>
      <c r="E400" s="1" t="n">
        <v>46232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40781-2021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44421</v>
      </c>
      <c r="E401" s="1" t="n">
        <v>46232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36926-2025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45874</v>
      </c>
      <c r="E402" s="1" t="n">
        <v>46232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8.4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46232</v>
      </c>
      <c r="F403" t="inlineStr">
        <is>
          <t>NORRBOTTENS LÄN</t>
        </is>
      </c>
      <c r="G403" t="inlineStr">
        <is>
          <t>BODEN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46232</v>
      </c>
      <c r="F404" t="inlineStr">
        <is>
          <t>NORRBOTTENS LÄN</t>
        </is>
      </c>
      <c r="G404" t="inlineStr">
        <is>
          <t>BODEN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45877</v>
      </c>
      <c r="E405" s="1" t="n">
        <v>46232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45943</v>
      </c>
      <c r="E406" s="1" t="n">
        <v>46232</v>
      </c>
      <c r="F406" t="inlineStr">
        <is>
          <t>NORRBOTTENS LÄN</t>
        </is>
      </c>
      <c r="G406" t="inlineStr">
        <is>
          <t>BODEN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45358</v>
      </c>
      <c r="E407" s="1" t="n">
        <v>46232</v>
      </c>
      <c r="F407" t="inlineStr">
        <is>
          <t>NORRBOTTENS LÄN</t>
        </is>
      </c>
      <c r="G407" t="inlineStr">
        <is>
          <t>BODEN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45102</v>
      </c>
      <c r="E408" s="1" t="n">
        <v>46232</v>
      </c>
      <c r="F408" t="inlineStr">
        <is>
          <t>NORRBOTTENS LÄN</t>
        </is>
      </c>
      <c r="G408" t="inlineStr">
        <is>
          <t>BODEN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37653-2025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46232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45316</v>
      </c>
      <c r="E410" s="1" t="n">
        <v>46232</v>
      </c>
      <c r="F410" t="inlineStr">
        <is>
          <t>NORRBOTTENS LÄN</t>
        </is>
      </c>
      <c r="G410" t="inlineStr">
        <is>
          <t>BODEN</t>
        </is>
      </c>
      <c r="I410" t="n">
        <v>8.800000000000001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46232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46232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50387-2025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45944</v>
      </c>
      <c r="E413" s="1" t="n">
        <v>46232</v>
      </c>
      <c r="F413" t="inlineStr">
        <is>
          <t>NORRBOTTENS LÄN</t>
        </is>
      </c>
      <c r="G413" t="inlineStr">
        <is>
          <t>BODEN</t>
        </is>
      </c>
      <c r="H413" t="inlineStr">
        <is>
          <t>Sveaskog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50419-2025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46232</v>
      </c>
      <c r="F414" t="inlineStr">
        <is>
          <t>NORRBOTTENS LÄN</t>
        </is>
      </c>
      <c r="G414" t="inlineStr">
        <is>
          <t>BODEN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46232</v>
      </c>
      <c r="F415" t="inlineStr">
        <is>
          <t>NORRBOTTENS LÄN</t>
        </is>
      </c>
      <c r="G415" t="inlineStr">
        <is>
          <t>BODEN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46232</v>
      </c>
      <c r="F416" t="inlineStr">
        <is>
          <t>NORRBOTTENS LÄN</t>
        </is>
      </c>
      <c r="G416" t="inlineStr">
        <is>
          <t>BODEN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46232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45770</v>
      </c>
      <c r="E418" s="1" t="n">
        <v>46232</v>
      </c>
      <c r="F418" t="inlineStr">
        <is>
          <t>NORRBOTTENS LÄN</t>
        </is>
      </c>
      <c r="G418" t="inlineStr">
        <is>
          <t>BODEN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46232</v>
      </c>
      <c r="F419" t="inlineStr">
        <is>
          <t>NORRBOTTENS LÄN</t>
        </is>
      </c>
      <c r="G419" t="inlineStr">
        <is>
          <t>BODEN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45881</v>
      </c>
      <c r="E420" s="1" t="n">
        <v>46232</v>
      </c>
      <c r="F420" t="inlineStr">
        <is>
          <t>NORRBOTTENS LÄN</t>
        </is>
      </c>
      <c r="G420" t="inlineStr">
        <is>
          <t>BODEN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68611-2021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44529</v>
      </c>
      <c r="E421" s="1" t="n">
        <v>46232</v>
      </c>
      <c r="F421" t="inlineStr">
        <is>
          <t>NORRBOTTENS LÄN</t>
        </is>
      </c>
      <c r="G421" t="inlineStr">
        <is>
          <t>BODEN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46232</v>
      </c>
      <c r="F422" t="inlineStr">
        <is>
          <t>NORRBOTTENS LÄN</t>
        </is>
      </c>
      <c r="G422" t="inlineStr">
        <is>
          <t>BODEN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45944</v>
      </c>
      <c r="E423" s="1" t="n">
        <v>46232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45882</v>
      </c>
      <c r="E424" s="1" t="n">
        <v>46232</v>
      </c>
      <c r="F424" t="inlineStr">
        <is>
          <t>NORRBOTTENS LÄN</t>
        </is>
      </c>
      <c r="G424" t="inlineStr">
        <is>
          <t>BODEN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45882</v>
      </c>
      <c r="E425" s="1" t="n">
        <v>46232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13556-2022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44648</v>
      </c>
      <c r="E426" s="1" t="n">
        <v>46232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46232</v>
      </c>
      <c r="F427" t="inlineStr">
        <is>
          <t>NORRBOTTENS LÄN</t>
        </is>
      </c>
      <c r="G427" t="inlineStr">
        <is>
          <t>BODEN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46232</v>
      </c>
      <c r="F428" t="inlineStr">
        <is>
          <t>NORRBOTTENS LÄN</t>
        </is>
      </c>
      <c r="G428" t="inlineStr">
        <is>
          <t>BODEN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46232</v>
      </c>
      <c r="F429" t="inlineStr">
        <is>
          <t>NORRBOTTENS LÄN</t>
        </is>
      </c>
      <c r="G429" t="inlineStr">
        <is>
          <t>BODEN</t>
        </is>
      </c>
      <c r="H429" t="inlineStr">
        <is>
          <t>Naturvårdsverket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51193-2023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45212</v>
      </c>
      <c r="E430" s="1" t="n">
        <v>46232</v>
      </c>
      <c r="F430" t="inlineStr">
        <is>
          <t>NORRBOTTENS LÄN</t>
        </is>
      </c>
      <c r="G430" t="inlineStr">
        <is>
          <t>BODEN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45947</v>
      </c>
      <c r="E431" s="1" t="n">
        <v>46232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45764</v>
      </c>
      <c r="E432" s="1" t="n">
        <v>46232</v>
      </c>
      <c r="F432" t="inlineStr">
        <is>
          <t>NORRBOTTENS LÄN</t>
        </is>
      </c>
      <c r="G432" t="inlineStr">
        <is>
          <t>BODEN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46232</v>
      </c>
      <c r="F433" t="inlineStr">
        <is>
          <t>NORRBOTTENS LÄN</t>
        </is>
      </c>
      <c r="G433" t="inlineStr">
        <is>
          <t>BODEN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50434-2025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45944</v>
      </c>
      <c r="E434" s="1" t="n">
        <v>46232</v>
      </c>
      <c r="F434" t="inlineStr">
        <is>
          <t>NORRBOTTENS LÄN</t>
        </is>
      </c>
      <c r="G434" t="inlineStr">
        <is>
          <t>BODEN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45884</v>
      </c>
      <c r="E435" s="1" t="n">
        <v>46232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51460-2025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45950</v>
      </c>
      <c r="E436" s="1" t="n">
        <v>46232</v>
      </c>
      <c r="F436" t="inlineStr">
        <is>
          <t>NORRBOTTENS LÄN</t>
        </is>
      </c>
      <c r="G436" t="inlineStr">
        <is>
          <t>BODEN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45884</v>
      </c>
      <c r="E437" s="1" t="n">
        <v>46232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45476</v>
      </c>
      <c r="E438" s="1" t="n">
        <v>46232</v>
      </c>
      <c r="F438" t="inlineStr">
        <is>
          <t>NORRBOTTENS LÄN</t>
        </is>
      </c>
      <c r="G438" t="inlineStr">
        <is>
          <t>BODEN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44490</v>
      </c>
      <c r="E439" s="1" t="n">
        <v>46232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46232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54935-2021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44474</v>
      </c>
      <c r="E441" s="1" t="n">
        <v>46232</v>
      </c>
      <c r="F441" t="inlineStr">
        <is>
          <t>NORRBOTTENS LÄN</t>
        </is>
      </c>
      <c r="G441" t="inlineStr">
        <is>
          <t>BODEN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708-2022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44566</v>
      </c>
      <c r="E442" s="1" t="n">
        <v>46232</v>
      </c>
      <c r="F442" t="inlineStr">
        <is>
          <t>NORRBOTTENS LÄN</t>
        </is>
      </c>
      <c r="G442" t="inlineStr">
        <is>
          <t>BODEN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52284-2025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45953</v>
      </c>
      <c r="E443" s="1" t="n">
        <v>46232</v>
      </c>
      <c r="F443" t="inlineStr">
        <is>
          <t>NORRBOTTENS LÄN</t>
        </is>
      </c>
      <c r="G443" t="inlineStr">
        <is>
          <t>BODEN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39272-2024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45551</v>
      </c>
      <c r="E444" s="1" t="n">
        <v>46232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46232</v>
      </c>
      <c r="F445" t="inlineStr">
        <is>
          <t>NORRBOTTENS LÄN</t>
        </is>
      </c>
      <c r="G445" t="inlineStr">
        <is>
          <t>BODEN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45953</v>
      </c>
      <c r="E446" s="1" t="n">
        <v>46232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8056-2026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46232</v>
      </c>
      <c r="F447" t="inlineStr">
        <is>
          <t>NORRBOTTENS LÄN</t>
        </is>
      </c>
      <c r="G447" t="inlineStr">
        <is>
          <t>BODEN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45707</v>
      </c>
      <c r="E448" s="1" t="n">
        <v>46232</v>
      </c>
      <c r="F448" t="inlineStr">
        <is>
          <t>NORRBOTTENS LÄN</t>
        </is>
      </c>
      <c r="G448" t="inlineStr">
        <is>
          <t>BODEN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45957</v>
      </c>
      <c r="E449" s="1" t="n">
        <v>46232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46232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46232</v>
      </c>
      <c r="F451" t="inlineStr">
        <is>
          <t>NORRBOTTENS LÄN</t>
        </is>
      </c>
      <c r="G451" t="inlineStr">
        <is>
          <t>BODEN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46232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56111-2021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44477</v>
      </c>
      <c r="E453" s="1" t="n">
        <v>46232</v>
      </c>
      <c r="F453" t="inlineStr">
        <is>
          <t>NORRBOTTENS LÄN</t>
        </is>
      </c>
      <c r="G453" t="inlineStr">
        <is>
          <t>BODEN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51525-2025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45950</v>
      </c>
      <c r="E454" s="1" t="n">
        <v>46232</v>
      </c>
      <c r="F454" t="inlineStr">
        <is>
          <t>NORRBOTTENS LÄN</t>
        </is>
      </c>
      <c r="G454" t="inlineStr">
        <is>
          <t>BODEN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45955</v>
      </c>
      <c r="E455" s="1" t="n">
        <v>46232</v>
      </c>
      <c r="F455" t="inlineStr">
        <is>
          <t>NORRBOTTENS LÄN</t>
        </is>
      </c>
      <c r="G455" t="inlineStr">
        <is>
          <t>BODEN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45955</v>
      </c>
      <c r="E456" s="1" t="n">
        <v>46232</v>
      </c>
      <c r="F456" t="inlineStr">
        <is>
          <t>NORRBOTTENS LÄN</t>
        </is>
      </c>
      <c r="G456" t="inlineStr">
        <is>
          <t>BODEN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45132</v>
      </c>
      <c r="E457" s="1" t="n">
        <v>46232</v>
      </c>
      <c r="F457" t="inlineStr">
        <is>
          <t>NORRBOTTENS LÄN</t>
        </is>
      </c>
      <c r="G457" t="inlineStr">
        <is>
          <t>BODEN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61771-2024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46232</v>
      </c>
      <c r="F458" t="inlineStr">
        <is>
          <t>NORRBOTTENS LÄN</t>
        </is>
      </c>
      <c r="G458" t="inlineStr">
        <is>
          <t>BODEN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46232</v>
      </c>
      <c r="F459" t="inlineStr">
        <is>
          <t>NORRBOTTENS LÄN</t>
        </is>
      </c>
      <c r="G459" t="inlineStr">
        <is>
          <t>BODEN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45649</v>
      </c>
      <c r="E460" s="1" t="n">
        <v>46232</v>
      </c>
      <c r="F460" t="inlineStr">
        <is>
          <t>NORRBOTTENS LÄN</t>
        </is>
      </c>
      <c r="G460" t="inlineStr">
        <is>
          <t>BODEN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53623-2025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45960</v>
      </c>
      <c r="E461" s="1" t="n">
        <v>46232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11.7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53893-2025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46232</v>
      </c>
      <c r="F462" t="inlineStr">
        <is>
          <t>NORRBOTTENS LÄN</t>
        </is>
      </c>
      <c r="G462" t="inlineStr">
        <is>
          <t>BODEN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54416-2025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45965</v>
      </c>
      <c r="E463" s="1" t="n">
        <v>46232</v>
      </c>
      <c r="F463" t="inlineStr">
        <is>
          <t>NORRBOTTENS LÄN</t>
        </is>
      </c>
      <c r="G463" t="inlineStr">
        <is>
          <t>BODEN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54417-2025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46232</v>
      </c>
      <c r="F464" t="inlineStr">
        <is>
          <t>NORRBOTTENS LÄN</t>
        </is>
      </c>
      <c r="G464" t="inlineStr">
        <is>
          <t>BODEN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45105</v>
      </c>
      <c r="E465" s="1" t="n">
        <v>46232</v>
      </c>
      <c r="F465" t="inlineStr">
        <is>
          <t>NORRBOTTENS LÄN</t>
        </is>
      </c>
      <c r="G465" t="inlineStr">
        <is>
          <t>BODEN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46232</v>
      </c>
      <c r="F466" t="inlineStr">
        <is>
          <t>NORRBOTTENS LÄN</t>
        </is>
      </c>
      <c r="G466" t="inlineStr">
        <is>
          <t>BODEN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45965</v>
      </c>
      <c r="E467" s="1" t="n">
        <v>46232</v>
      </c>
      <c r="F467" t="inlineStr">
        <is>
          <t>NORRBOTTENS LÄN</t>
        </is>
      </c>
      <c r="G467" t="inlineStr">
        <is>
          <t>BODEN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45964</v>
      </c>
      <c r="E468" s="1" t="n">
        <v>46232</v>
      </c>
      <c r="F468" t="inlineStr">
        <is>
          <t>NORRBOTTENS LÄN</t>
        </is>
      </c>
      <c r="G468" t="inlineStr">
        <is>
          <t>BODEN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47097-2023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46232</v>
      </c>
      <c r="F469" t="inlineStr">
        <is>
          <t>NORRBOTTENS LÄN</t>
        </is>
      </c>
      <c r="G469" t="inlineStr">
        <is>
          <t>BODEN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46232</v>
      </c>
      <c r="F470" t="inlineStr">
        <is>
          <t>NORRBOTTENS LÄN</t>
        </is>
      </c>
      <c r="G470" t="inlineStr">
        <is>
          <t>BODEN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54834-2025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45966</v>
      </c>
      <c r="E471" s="1" t="n">
        <v>46232</v>
      </c>
      <c r="F471" t="inlineStr">
        <is>
          <t>NORRBOTTENS LÄN</t>
        </is>
      </c>
      <c r="G471" t="inlineStr">
        <is>
          <t>BODEN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45966</v>
      </c>
      <c r="E472" s="1" t="n">
        <v>46232</v>
      </c>
      <c r="F472" t="inlineStr">
        <is>
          <t>NORRBOTTENS LÄN</t>
        </is>
      </c>
      <c r="G472" t="inlineStr">
        <is>
          <t>BODEN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46232</v>
      </c>
      <c r="F473" t="inlineStr">
        <is>
          <t>NORRBOTTENS LÄN</t>
        </is>
      </c>
      <c r="G473" t="inlineStr">
        <is>
          <t>BODEN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11647-2023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44994</v>
      </c>
      <c r="E474" s="1" t="n">
        <v>46232</v>
      </c>
      <c r="F474" t="inlineStr">
        <is>
          <t>NORRBOTTENS LÄN</t>
        </is>
      </c>
      <c r="G474" t="inlineStr">
        <is>
          <t>BODEN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57895-2021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44486</v>
      </c>
      <c r="E475" s="1" t="n">
        <v>46232</v>
      </c>
      <c r="F475" t="inlineStr">
        <is>
          <t>NORRBOTTENS LÄN</t>
        </is>
      </c>
      <c r="G475" t="inlineStr">
        <is>
          <t>BODEN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46232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Aktiebolag</t>
        </is>
      </c>
      <c r="I476" t="n">
        <v>10.6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46232</v>
      </c>
      <c r="F477" t="inlineStr">
        <is>
          <t>NORRBOTTENS LÄN</t>
        </is>
      </c>
      <c r="G477" t="inlineStr">
        <is>
          <t>BODEN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45972</v>
      </c>
      <c r="E478" s="1" t="n">
        <v>46232</v>
      </c>
      <c r="F478" t="inlineStr">
        <is>
          <t>NORRBOTTENS LÄN</t>
        </is>
      </c>
      <c r="G478" t="inlineStr">
        <is>
          <t>BODEN</t>
        </is>
      </c>
      <c r="I478" t="n">
        <v>11.9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10694-2026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46232</v>
      </c>
      <c r="F479" t="inlineStr">
        <is>
          <t>NORRBOTTENS LÄN</t>
        </is>
      </c>
      <c r="G479" t="inlineStr">
        <is>
          <t>BODEN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46232</v>
      </c>
      <c r="F480" t="inlineStr">
        <is>
          <t>NORRBOTTENS LÄN</t>
        </is>
      </c>
      <c r="G480" t="inlineStr">
        <is>
          <t>BODEN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46901-2024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45583</v>
      </c>
      <c r="E481" s="1" t="n">
        <v>46232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46232</v>
      </c>
      <c r="F482" t="inlineStr">
        <is>
          <t>NORRBOTTENS LÄN</t>
        </is>
      </c>
      <c r="G482" t="inlineStr">
        <is>
          <t>BODEN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46541-2021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44445</v>
      </c>
      <c r="E483" s="1" t="n">
        <v>46232</v>
      </c>
      <c r="F483" t="inlineStr">
        <is>
          <t>NORRBOTTENS LÄN</t>
        </is>
      </c>
      <c r="G483" t="inlineStr">
        <is>
          <t>BODEN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45975</v>
      </c>
      <c r="E484" s="1" t="n">
        <v>46232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46232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statliga verk och myndigheter</t>
        </is>
      </c>
      <c r="I485" t="n">
        <v>12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56560-2025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45975</v>
      </c>
      <c r="E486" s="1" t="n">
        <v>46232</v>
      </c>
      <c r="F486" t="inlineStr">
        <is>
          <t>NORRBOTTENS LÄN</t>
        </is>
      </c>
      <c r="G486" t="inlineStr">
        <is>
          <t>BODEN</t>
        </is>
      </c>
      <c r="H486" t="inlineStr">
        <is>
          <t>Naturvårdsverket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45975</v>
      </c>
      <c r="E487" s="1" t="n">
        <v>46232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41957-2024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45561</v>
      </c>
      <c r="E488" s="1" t="n">
        <v>46232</v>
      </c>
      <c r="F488" t="inlineStr">
        <is>
          <t>NORRBOTTENS LÄN</t>
        </is>
      </c>
      <c r="G488" t="inlineStr">
        <is>
          <t>BODEN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45257</v>
      </c>
      <c r="E489" s="1" t="n">
        <v>46232</v>
      </c>
      <c r="F489" t="inlineStr">
        <is>
          <t>NORRBOTTENS LÄN</t>
        </is>
      </c>
      <c r="G489" t="inlineStr">
        <is>
          <t>BODEN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46232</v>
      </c>
      <c r="F490" t="inlineStr">
        <is>
          <t>NORRBOTTENS LÄN</t>
        </is>
      </c>
      <c r="G490" t="inlineStr">
        <is>
          <t>BODEN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46076</v>
      </c>
      <c r="E491" s="1" t="n">
        <v>46232</v>
      </c>
      <c r="F491" t="inlineStr">
        <is>
          <t>NORRBOTTENS LÄN</t>
        </is>
      </c>
      <c r="G491" t="inlineStr">
        <is>
          <t>BODEN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10727-2025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45722</v>
      </c>
      <c r="E492" s="1" t="n">
        <v>46232</v>
      </c>
      <c r="F492" t="inlineStr">
        <is>
          <t>NORRBOTTENS LÄN</t>
        </is>
      </c>
      <c r="G492" t="inlineStr">
        <is>
          <t>BODEN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56947-2025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45978</v>
      </c>
      <c r="E493" s="1" t="n">
        <v>46232</v>
      </c>
      <c r="F493" t="inlineStr">
        <is>
          <t>NORRBOTTENS LÄN</t>
        </is>
      </c>
      <c r="G493" t="inlineStr">
        <is>
          <t>BODEN</t>
        </is>
      </c>
      <c r="H493" t="inlineStr">
        <is>
          <t>Naturvårdsverket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67068-2021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44522</v>
      </c>
      <c r="E494" s="1" t="n">
        <v>46232</v>
      </c>
      <c r="F494" t="inlineStr">
        <is>
          <t>NORRBOTTENS LÄN</t>
        </is>
      </c>
      <c r="G494" t="inlineStr">
        <is>
          <t>BODEN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57777-2025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45981</v>
      </c>
      <c r="E495" s="1" t="n">
        <v>46232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45981</v>
      </c>
      <c r="E496" s="1" t="n">
        <v>46232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49730-2024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45596</v>
      </c>
      <c r="E497" s="1" t="n">
        <v>46232</v>
      </c>
      <c r="F497" t="inlineStr">
        <is>
          <t>NORRBOTTENS LÄN</t>
        </is>
      </c>
      <c r="G497" t="inlineStr">
        <is>
          <t>BODEN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45587</v>
      </c>
      <c r="E498" s="1" t="n">
        <v>46232</v>
      </c>
      <c r="F498" t="inlineStr">
        <is>
          <t>NORRBOTTENS LÄN</t>
        </is>
      </c>
      <c r="G498" t="inlineStr">
        <is>
          <t>BODEN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46232</v>
      </c>
      <c r="F499" t="inlineStr">
        <is>
          <t>NORRBOTTENS LÄN</t>
        </is>
      </c>
      <c r="G499" t="inlineStr">
        <is>
          <t>BODEN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46084</v>
      </c>
      <c r="E500" s="1" t="n">
        <v>46232</v>
      </c>
      <c r="F500" t="inlineStr">
        <is>
          <t>NORRBOTTENS LÄN</t>
        </is>
      </c>
      <c r="G500" t="inlineStr">
        <is>
          <t>BODEN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46232</v>
      </c>
      <c r="F501" t="inlineStr">
        <is>
          <t>NORRBOTTENS LÄN</t>
        </is>
      </c>
      <c r="G501" t="inlineStr">
        <is>
          <t>BODEN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45984</v>
      </c>
      <c r="E502" s="1" t="n">
        <v>46232</v>
      </c>
      <c r="F502" t="inlineStr">
        <is>
          <t>NORRBOTTENS LÄN</t>
        </is>
      </c>
      <c r="G502" t="inlineStr">
        <is>
          <t>BODEN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46232</v>
      </c>
      <c r="F503" t="inlineStr">
        <is>
          <t>NORRBOTTENS LÄN</t>
        </is>
      </c>
      <c r="G503" t="inlineStr">
        <is>
          <t>BODEN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46084</v>
      </c>
      <c r="E504" s="1" t="n">
        <v>46232</v>
      </c>
      <c r="F504" t="inlineStr">
        <is>
          <t>NORRBOTTENS LÄN</t>
        </is>
      </c>
      <c r="G504" t="inlineStr">
        <is>
          <t>BODEN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46084</v>
      </c>
      <c r="E505" s="1" t="n">
        <v>46232</v>
      </c>
      <c r="F505" t="inlineStr">
        <is>
          <t>NORRBOTTENS LÄN</t>
        </is>
      </c>
      <c r="G505" t="inlineStr">
        <is>
          <t>BODEN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45685</v>
      </c>
      <c r="E506" s="1" t="n">
        <v>46232</v>
      </c>
      <c r="F506" t="inlineStr">
        <is>
          <t>NORRBOTTENS LÄN</t>
        </is>
      </c>
      <c r="G506" t="inlineStr">
        <is>
          <t>BODEN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58294-2025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45985</v>
      </c>
      <c r="E507" s="1" t="n">
        <v>46232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46232</v>
      </c>
      <c r="F508" t="inlineStr">
        <is>
          <t>NORRBOTTENS LÄN</t>
        </is>
      </c>
      <c r="G508" t="inlineStr">
        <is>
          <t>BODEN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46232</v>
      </c>
      <c r="F509" t="inlineStr">
        <is>
          <t>NORRBOTTENS LÄN</t>
        </is>
      </c>
      <c r="G509" t="inlineStr">
        <is>
          <t>BODEN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59263-2025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46232</v>
      </c>
      <c r="F510" t="inlineStr">
        <is>
          <t>NORRBOTTENS LÄN</t>
        </is>
      </c>
      <c r="G510" t="inlineStr">
        <is>
          <t>BODEN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11930-2023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44994</v>
      </c>
      <c r="E511" s="1" t="n">
        <v>46232</v>
      </c>
      <c r="F511" t="inlineStr">
        <is>
          <t>NORRBOTTENS LÄN</t>
        </is>
      </c>
      <c r="G511" t="inlineStr">
        <is>
          <t>BODEN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46232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46232</v>
      </c>
      <c r="F513" t="inlineStr">
        <is>
          <t>NORRBOTTENS LÄN</t>
        </is>
      </c>
      <c r="G513" t="inlineStr">
        <is>
          <t>BODEN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46232</v>
      </c>
      <c r="F514" t="inlineStr">
        <is>
          <t>NORRBOTTENS LÄN</t>
        </is>
      </c>
      <c r="G514" t="inlineStr">
        <is>
          <t>BODEN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45988</v>
      </c>
      <c r="E515" s="1" t="n">
        <v>46232</v>
      </c>
      <c r="F515" t="inlineStr">
        <is>
          <t>NORRBOTTENS LÄN</t>
        </is>
      </c>
      <c r="G515" t="inlineStr">
        <is>
          <t>BODEN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32276-2024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45512</v>
      </c>
      <c r="E516" s="1" t="n">
        <v>46232</v>
      </c>
      <c r="F516" t="inlineStr">
        <is>
          <t>NORRBOTTENS LÄN</t>
        </is>
      </c>
      <c r="G516" t="inlineStr">
        <is>
          <t>BODEN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46232</v>
      </c>
      <c r="F517" t="inlineStr">
        <is>
          <t>NORRBOTTENS LÄN</t>
        </is>
      </c>
      <c r="G517" t="inlineStr">
        <is>
          <t>BODEN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46232</v>
      </c>
      <c r="F518" t="inlineStr">
        <is>
          <t>NORRBOTTENS LÄN</t>
        </is>
      </c>
      <c r="G518" t="inlineStr">
        <is>
          <t>BODEN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46232</v>
      </c>
      <c r="F519" t="inlineStr">
        <is>
          <t>NORRBOTTENS LÄN</t>
        </is>
      </c>
      <c r="G519" t="inlineStr">
        <is>
          <t>BODEN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46232</v>
      </c>
      <c r="F520" t="inlineStr">
        <is>
          <t>NORRBOTTENS LÄN</t>
        </is>
      </c>
      <c r="G520" t="inlineStr">
        <is>
          <t>BODEN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60395-2025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46232</v>
      </c>
      <c r="F521" t="inlineStr">
        <is>
          <t>NORRBOTTENS LÄN</t>
        </is>
      </c>
      <c r="G521" t="inlineStr">
        <is>
          <t>BODEN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56163-2022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44889</v>
      </c>
      <c r="E522" s="1" t="n">
        <v>46232</v>
      </c>
      <c r="F522" t="inlineStr">
        <is>
          <t>NORRBOTTENS LÄN</t>
        </is>
      </c>
      <c r="G522" t="inlineStr">
        <is>
          <t>BODEN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46232</v>
      </c>
      <c r="F523" t="inlineStr">
        <is>
          <t>NORRBOTTENS LÄN</t>
        </is>
      </c>
      <c r="G523" t="inlineStr">
        <is>
          <t>BODEN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45995</v>
      </c>
      <c r="E524" s="1" t="n">
        <v>46232</v>
      </c>
      <c r="F524" t="inlineStr">
        <is>
          <t>NORRBOTTENS LÄN</t>
        </is>
      </c>
      <c r="G524" t="inlineStr">
        <is>
          <t>BODEN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60238-2025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45994</v>
      </c>
      <c r="E525" s="1" t="n">
        <v>46232</v>
      </c>
      <c r="F525" t="inlineStr">
        <is>
          <t>NORRBOTTENS LÄN</t>
        </is>
      </c>
      <c r="G525" t="inlineStr">
        <is>
          <t>BODEN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46232</v>
      </c>
      <c r="F526" t="inlineStr">
        <is>
          <t>NORRBOTTENS LÄN</t>
        </is>
      </c>
      <c r="G526" t="inlineStr">
        <is>
          <t>BODEN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45994</v>
      </c>
      <c r="E527" s="1" t="n">
        <v>46232</v>
      </c>
      <c r="F527" t="inlineStr">
        <is>
          <t>NORRBOTTENS LÄN</t>
        </is>
      </c>
      <c r="G527" t="inlineStr">
        <is>
          <t>BODEN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60613-2025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45996</v>
      </c>
      <c r="E528" s="1" t="n">
        <v>46232</v>
      </c>
      <c r="F528" t="inlineStr">
        <is>
          <t>NORRBOTTENS LÄN</t>
        </is>
      </c>
      <c r="G528" t="inlineStr">
        <is>
          <t>BODEN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45406</v>
      </c>
      <c r="E529" s="1" t="n">
        <v>46232</v>
      </c>
      <c r="F529" t="inlineStr">
        <is>
          <t>NORRBOTTENS LÄN</t>
        </is>
      </c>
      <c r="G529" t="inlineStr">
        <is>
          <t>BODEN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46232</v>
      </c>
      <c r="F530" t="inlineStr">
        <is>
          <t>NORRBOTTENS LÄN</t>
        </is>
      </c>
      <c r="G530" t="inlineStr">
        <is>
          <t>BODEN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54104-2022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46232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46232</v>
      </c>
      <c r="F532" t="inlineStr">
        <is>
          <t>NORRBOTTENS LÄN</t>
        </is>
      </c>
      <c r="G532" t="inlineStr">
        <is>
          <t>BODEN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45906</v>
      </c>
      <c r="E533" s="1" t="n">
        <v>46232</v>
      </c>
      <c r="F533" t="inlineStr">
        <is>
          <t>NORRBOTTENS LÄN</t>
        </is>
      </c>
      <c r="G533" t="inlineStr">
        <is>
          <t>BODEN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46232</v>
      </c>
      <c r="F534" t="inlineStr">
        <is>
          <t>NORRBOTTENS LÄN</t>
        </is>
      </c>
      <c r="G534" t="inlineStr">
        <is>
          <t>BODEN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61384-2025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46232</v>
      </c>
      <c r="F535" t="inlineStr">
        <is>
          <t>NORRBOTTENS LÄN</t>
        </is>
      </c>
      <c r="G535" t="inlineStr">
        <is>
          <t>BODEN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47423-2024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45587</v>
      </c>
      <c r="E536" s="1" t="n">
        <v>46232</v>
      </c>
      <c r="F536" t="inlineStr">
        <is>
          <t>NORRBOTTENS LÄN</t>
        </is>
      </c>
      <c r="G536" t="inlineStr">
        <is>
          <t>BODEN</t>
        </is>
      </c>
      <c r="I536" t="n">
        <v>17.2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46232</v>
      </c>
      <c r="F537" t="inlineStr">
        <is>
          <t>NORRBOTTENS LÄN</t>
        </is>
      </c>
      <c r="G537" t="inlineStr">
        <is>
          <t>BODEN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58099-2023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45248</v>
      </c>
      <c r="E538" s="1" t="n">
        <v>46232</v>
      </c>
      <c r="F538" t="inlineStr">
        <is>
          <t>NORRBOTTENS LÄN</t>
        </is>
      </c>
      <c r="G538" t="inlineStr">
        <is>
          <t>BODEN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46232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61959-2025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46003</v>
      </c>
      <c r="E540" s="1" t="n">
        <v>46232</v>
      </c>
      <c r="F540" t="inlineStr">
        <is>
          <t>NORRBOTTENS LÄN</t>
        </is>
      </c>
      <c r="G540" t="inlineStr">
        <is>
          <t>BODEN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46232</v>
      </c>
      <c r="F541" t="inlineStr">
        <is>
          <t>NORRBOTTENS LÄN</t>
        </is>
      </c>
      <c r="G541" t="inlineStr">
        <is>
          <t>BODEN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61559-2025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46001</v>
      </c>
      <c r="E542" s="1" t="n">
        <v>46232</v>
      </c>
      <c r="F542" t="inlineStr">
        <is>
          <t>NORRBOTTENS LÄN</t>
        </is>
      </c>
      <c r="G542" t="inlineStr">
        <is>
          <t>BODEN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45691</v>
      </c>
      <c r="E543" s="1" t="n">
        <v>46232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46232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46232</v>
      </c>
      <c r="F545" t="inlineStr">
        <is>
          <t>NORRBOTTENS LÄN</t>
        </is>
      </c>
      <c r="G545" t="inlineStr">
        <is>
          <t>BODEN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46232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46232</v>
      </c>
      <c r="F547" t="inlineStr">
        <is>
          <t>NORRBOTTENS LÄN</t>
        </is>
      </c>
      <c r="G547" t="inlineStr">
        <is>
          <t>BODEN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46232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467-2022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44565</v>
      </c>
      <c r="E549" s="1" t="n">
        <v>46232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62994-2025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46009</v>
      </c>
      <c r="E550" s="1" t="n">
        <v>46232</v>
      </c>
      <c r="F550" t="inlineStr">
        <is>
          <t>NORRBOTTENS LÄN</t>
        </is>
      </c>
      <c r="G550" t="inlineStr">
        <is>
          <t>BODEN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62673-2025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46008</v>
      </c>
      <c r="E551" s="1" t="n">
        <v>46232</v>
      </c>
      <c r="F551" t="inlineStr">
        <is>
          <t>NORRBOTTENS LÄN</t>
        </is>
      </c>
      <c r="G551" t="inlineStr">
        <is>
          <t>BODEN</t>
        </is>
      </c>
      <c r="I551" t="n">
        <v>18.6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46232</v>
      </c>
      <c r="F552" t="inlineStr">
        <is>
          <t>NORRBOTTENS LÄN</t>
        </is>
      </c>
      <c r="G552" t="inlineStr">
        <is>
          <t>BODEN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61743-2024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45649</v>
      </c>
      <c r="E553" s="1" t="n">
        <v>46232</v>
      </c>
      <c r="F553" t="inlineStr">
        <is>
          <t>NORRBOTTENS LÄN</t>
        </is>
      </c>
      <c r="G553" t="inlineStr">
        <is>
          <t>BODEN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45902</v>
      </c>
      <c r="E554" s="1" t="n">
        <v>46232</v>
      </c>
      <c r="F554" t="inlineStr">
        <is>
          <t>NORRBOTTENS LÄN</t>
        </is>
      </c>
      <c r="G554" t="inlineStr">
        <is>
          <t>BODEN</t>
        </is>
      </c>
      <c r="H554" t="inlineStr">
        <is>
          <t>Övriga statliga verk och myndigheter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44553-2024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46232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46012</v>
      </c>
      <c r="E556" s="1" t="n">
        <v>46232</v>
      </c>
      <c r="F556" t="inlineStr">
        <is>
          <t>NORRBOTTENS LÄN</t>
        </is>
      </c>
      <c r="G556" t="inlineStr">
        <is>
          <t>BODEN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46232</v>
      </c>
      <c r="F557" t="inlineStr">
        <is>
          <t>NORRBOTTENS LÄN</t>
        </is>
      </c>
      <c r="G557" t="inlineStr">
        <is>
          <t>BODEN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13717-2026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46097</v>
      </c>
      <c r="E558" s="1" t="n">
        <v>46232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46232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63398-2025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46012</v>
      </c>
      <c r="E560" s="1" t="n">
        <v>46232</v>
      </c>
      <c r="F560" t="inlineStr">
        <is>
          <t>NORRBOTTENS LÄN</t>
        </is>
      </c>
      <c r="G560" t="inlineStr">
        <is>
          <t>BODEN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45761</v>
      </c>
      <c r="E561" s="1" t="n">
        <v>46232</v>
      </c>
      <c r="F561" t="inlineStr">
        <is>
          <t>NORRBOTTENS LÄN</t>
        </is>
      </c>
      <c r="G561" t="inlineStr">
        <is>
          <t>BODEN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45750</v>
      </c>
      <c r="E562" s="1" t="n">
        <v>46232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Aktiebolag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45376-2025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45922</v>
      </c>
      <c r="E563" s="1" t="n">
        <v>46232</v>
      </c>
      <c r="F563" t="inlineStr">
        <is>
          <t>NORRBOTTENS LÄN</t>
        </is>
      </c>
      <c r="G563" t="inlineStr">
        <is>
          <t>BODEN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46232</v>
      </c>
      <c r="F564" t="inlineStr">
        <is>
          <t>NORRBOTTENS LÄN</t>
        </is>
      </c>
      <c r="G564" t="inlineStr">
        <is>
          <t>BODEN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45761</v>
      </c>
      <c r="E565" s="1" t="n">
        <v>46232</v>
      </c>
      <c r="F565" t="inlineStr">
        <is>
          <t>NORRBOTTENS LÄN</t>
        </is>
      </c>
      <c r="G565" t="inlineStr">
        <is>
          <t>BODEN</t>
        </is>
      </c>
      <c r="H565" t="inlineStr">
        <is>
          <t>Övriga statliga verk och myndigheter</t>
        </is>
      </c>
      <c r="I565" t="n">
        <v>11.5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14245-2026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46099</v>
      </c>
      <c r="E566" s="1" t="n">
        <v>46232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63891-2025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46020</v>
      </c>
      <c r="E567" s="1" t="n">
        <v>46232</v>
      </c>
      <c r="F567" t="inlineStr">
        <is>
          <t>NORRBOTTENS LÄN</t>
        </is>
      </c>
      <c r="G567" t="inlineStr">
        <is>
          <t>BODEN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46232</v>
      </c>
      <c r="F568" t="inlineStr">
        <is>
          <t>NORRBOTTENS LÄN</t>
        </is>
      </c>
      <c r="G568" t="inlineStr">
        <is>
          <t>BODEN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45692</v>
      </c>
      <c r="E569" s="1" t="n">
        <v>46232</v>
      </c>
      <c r="F569" t="inlineStr">
        <is>
          <t>NORRBOTTENS LÄN</t>
        </is>
      </c>
      <c r="G569" t="inlineStr">
        <is>
          <t>BODEN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46104</v>
      </c>
      <c r="E570" s="1" t="n">
        <v>46232</v>
      </c>
      <c r="F570" t="inlineStr">
        <is>
          <t>NORRBOTTENS LÄN</t>
        </is>
      </c>
      <c r="G570" t="inlineStr">
        <is>
          <t>BODEN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15342-2026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46232</v>
      </c>
      <c r="F571" t="inlineStr">
        <is>
          <t>NORRBOTTENS LÄN</t>
        </is>
      </c>
      <c r="G571" t="inlineStr">
        <is>
          <t>BODEN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44903</v>
      </c>
      <c r="E572" s="1" t="n">
        <v>46232</v>
      </c>
      <c r="F572" t="inlineStr">
        <is>
          <t>NORRBOTTENS LÄN</t>
        </is>
      </c>
      <c r="G572" t="inlineStr">
        <is>
          <t>BODEN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46232</v>
      </c>
      <c r="F573" t="inlineStr">
        <is>
          <t>NORRBOTTENS LÄN</t>
        </is>
      </c>
      <c r="G573" t="inlineStr">
        <is>
          <t>BODEN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45672</v>
      </c>
      <c r="E574" s="1" t="n">
        <v>46232</v>
      </c>
      <c r="F574" t="inlineStr">
        <is>
          <t>NORRBOTTENS LÄN</t>
        </is>
      </c>
      <c r="G574" t="inlineStr">
        <is>
          <t>BODEN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46232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48471-2024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45591</v>
      </c>
      <c r="E576" s="1" t="n">
        <v>46232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45591</v>
      </c>
      <c r="E577" s="1" t="n">
        <v>46232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18569-2024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45425</v>
      </c>
      <c r="E578" s="1" t="n">
        <v>46232</v>
      </c>
      <c r="F578" t="inlineStr">
        <is>
          <t>NORRBOTTENS LÄN</t>
        </is>
      </c>
      <c r="G578" t="inlineStr">
        <is>
          <t>BODEN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15017-2022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44657</v>
      </c>
      <c r="E579" s="1" t="n">
        <v>46232</v>
      </c>
      <c r="F579" t="inlineStr">
        <is>
          <t>NORRBOTTENS LÄN</t>
        </is>
      </c>
      <c r="G579" t="inlineStr">
        <is>
          <t>BODEN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44847</v>
      </c>
      <c r="E580" s="1" t="n">
        <v>46232</v>
      </c>
      <c r="F580" t="inlineStr">
        <is>
          <t>NORRBOTTENS LÄN</t>
        </is>
      </c>
      <c r="G580" t="inlineStr">
        <is>
          <t>BODEN</t>
        </is>
      </c>
      <c r="I580" t="n">
        <v>28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49162-2023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45210</v>
      </c>
      <c r="E581" s="1" t="n">
        <v>46232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45980</v>
      </c>
      <c r="E582" s="1" t="n">
        <v>46232</v>
      </c>
      <c r="F582" t="inlineStr">
        <is>
          <t>NORRBOTTENS LÄN</t>
        </is>
      </c>
      <c r="G582" t="inlineStr">
        <is>
          <t>BODEN</t>
        </is>
      </c>
      <c r="I582" t="n">
        <v>19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44573</v>
      </c>
      <c r="E583" s="1" t="n">
        <v>46232</v>
      </c>
      <c r="F583" t="inlineStr">
        <is>
          <t>NORRBOTTENS LÄN</t>
        </is>
      </c>
      <c r="G583" t="inlineStr">
        <is>
          <t>BODEN</t>
        </is>
      </c>
      <c r="H583" t="inlineStr">
        <is>
          <t>Övriga statliga verk och myndigheter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48950-2022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44859</v>
      </c>
      <c r="E584" s="1" t="n">
        <v>46232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46232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17810-2026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46232</v>
      </c>
      <c r="F586" t="inlineStr">
        <is>
          <t>NORRBOTTENS LÄN</t>
        </is>
      </c>
      <c r="G586" t="inlineStr">
        <is>
          <t>BODEN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45544</v>
      </c>
      <c r="E587" s="1" t="n">
        <v>46232</v>
      </c>
      <c r="F587" t="inlineStr">
        <is>
          <t>NORRBOTTENS LÄN</t>
        </is>
      </c>
      <c r="G587" t="inlineStr">
        <is>
          <t>BODEN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45314</v>
      </c>
      <c r="E588" s="1" t="n">
        <v>46232</v>
      </c>
      <c r="F588" t="inlineStr">
        <is>
          <t>NORRBOTTENS LÄN</t>
        </is>
      </c>
      <c r="G588" t="inlineStr">
        <is>
          <t>BODEN</t>
        </is>
      </c>
      <c r="I588" t="n">
        <v>17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46232</v>
      </c>
      <c r="F589" t="inlineStr">
        <is>
          <t>NORRBOTTENS LÄN</t>
        </is>
      </c>
      <c r="G589" t="inlineStr">
        <is>
          <t>BODEN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46126</v>
      </c>
      <c r="E590" s="1" t="n">
        <v>46232</v>
      </c>
      <c r="F590" t="inlineStr">
        <is>
          <t>NORRBOTTENS LÄN</t>
        </is>
      </c>
      <c r="G590" t="inlineStr">
        <is>
          <t>BODEN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46232</v>
      </c>
      <c r="F591" t="inlineStr">
        <is>
          <t>NORRBOTTENS LÄN</t>
        </is>
      </c>
      <c r="G591" t="inlineStr">
        <is>
          <t>BODEN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46232</v>
      </c>
      <c r="F592" t="inlineStr">
        <is>
          <t>NORRBOTTENS LÄN</t>
        </is>
      </c>
      <c r="G592" t="inlineStr">
        <is>
          <t>BODEN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44963</v>
      </c>
      <c r="E593" s="1" t="n">
        <v>46232</v>
      </c>
      <c r="F593" t="inlineStr">
        <is>
          <t>NORRBOTTENS LÄN</t>
        </is>
      </c>
      <c r="G593" t="inlineStr">
        <is>
          <t>BODEN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46183-2021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44441</v>
      </c>
      <c r="E594" s="1" t="n">
        <v>46232</v>
      </c>
      <c r="F594" t="inlineStr">
        <is>
          <t>NORRBOTTENS LÄN</t>
        </is>
      </c>
      <c r="G594" t="inlineStr">
        <is>
          <t>BODEN</t>
        </is>
      </c>
      <c r="I594" t="n">
        <v>13.6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45505</v>
      </c>
      <c r="E595" s="1" t="n">
        <v>46232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9969-2023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44979</v>
      </c>
      <c r="E596" s="1" t="n">
        <v>46232</v>
      </c>
      <c r="F596" t="inlineStr">
        <is>
          <t>NORRBOTTENS LÄN</t>
        </is>
      </c>
      <c r="G596" t="inlineStr">
        <is>
          <t>BODEN</t>
        </is>
      </c>
      <c r="H596" t="inlineStr">
        <is>
          <t>Övriga statliga verk och myndigheter</t>
        </is>
      </c>
      <c r="I596" t="n">
        <v>18.8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46232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46232</v>
      </c>
      <c r="F598" t="inlineStr">
        <is>
          <t>NORRBOTTENS LÄN</t>
        </is>
      </c>
      <c r="G598" t="inlineStr">
        <is>
          <t>BODEN</t>
        </is>
      </c>
      <c r="I598" t="n">
        <v>11.7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19200-2026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46232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45470</v>
      </c>
      <c r="E600" s="1" t="n">
        <v>46232</v>
      </c>
      <c r="F600" t="inlineStr">
        <is>
          <t>NORRBOTTENS LÄN</t>
        </is>
      </c>
      <c r="G600" t="inlineStr">
        <is>
          <t>BODEN</t>
        </is>
      </c>
      <c r="H600" t="inlineStr">
        <is>
          <t>Övriga Aktiebolag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46132</v>
      </c>
      <c r="E601" s="1" t="n">
        <v>46232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62589-2025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46007</v>
      </c>
      <c r="E602" s="1" t="n">
        <v>46232</v>
      </c>
      <c r="F602" t="inlineStr">
        <is>
          <t>NORRBOTTENS LÄN</t>
        </is>
      </c>
      <c r="G602" t="inlineStr">
        <is>
          <t>BODEN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68591-2021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44529</v>
      </c>
      <c r="E603" s="1" t="n">
        <v>46232</v>
      </c>
      <c r="F603" t="inlineStr">
        <is>
          <t>NORRBOTTENS LÄN</t>
        </is>
      </c>
      <c r="G603" t="inlineStr">
        <is>
          <t>BODEN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44567-2024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45574</v>
      </c>
      <c r="E604" s="1" t="n">
        <v>46232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20069-2026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46136</v>
      </c>
      <c r="E605" s="1" t="n">
        <v>46232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46232</v>
      </c>
      <c r="F606" t="inlineStr">
        <is>
          <t>NORRBOTTENS LÄN</t>
        </is>
      </c>
      <c r="G606" t="inlineStr">
        <is>
          <t>BODEN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45764</v>
      </c>
      <c r="E607" s="1" t="n">
        <v>46232</v>
      </c>
      <c r="F607" t="inlineStr">
        <is>
          <t>NORRBOTTENS LÄN</t>
        </is>
      </c>
      <c r="G607" t="inlineStr">
        <is>
          <t>BODEN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46003</v>
      </c>
      <c r="E608" s="1" t="n">
        <v>46232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57600-2021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44484</v>
      </c>
      <c r="E609" s="1" t="n">
        <v>46232</v>
      </c>
      <c r="F609" t="inlineStr">
        <is>
          <t>NORRBOTTENS LÄN</t>
        </is>
      </c>
      <c r="G609" t="inlineStr">
        <is>
          <t>BODEN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46232</v>
      </c>
      <c r="F610" t="inlineStr">
        <is>
          <t>NORRBOTTENS LÄN</t>
        </is>
      </c>
      <c r="G610" t="inlineStr">
        <is>
          <t>BODEN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14757-2023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45014</v>
      </c>
      <c r="E611" s="1" t="n">
        <v>46232</v>
      </c>
      <c r="F611" t="inlineStr">
        <is>
          <t>NORRBOTTENS LÄN</t>
        </is>
      </c>
      <c r="G611" t="inlineStr">
        <is>
          <t>BODEN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60776-2025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45999</v>
      </c>
      <c r="E612" s="1" t="n">
        <v>46232</v>
      </c>
      <c r="F612" t="inlineStr">
        <is>
          <t>NORRBOTTENS LÄN</t>
        </is>
      </c>
      <c r="G612" t="inlineStr">
        <is>
          <t>BODEN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61988-2025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46003</v>
      </c>
      <c r="E613" s="1" t="n">
        <v>46232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44964</v>
      </c>
      <c r="E614" s="1" t="n">
        <v>46232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46232</v>
      </c>
      <c r="F615" t="inlineStr">
        <is>
          <t>NORRBOTTENS LÄN</t>
        </is>
      </c>
      <c r="G615" t="inlineStr">
        <is>
          <t>BODEN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16700-2024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45408</v>
      </c>
      <c r="E616" s="1" t="n">
        <v>46232</v>
      </c>
      <c r="F616" t="inlineStr">
        <is>
          <t>NORRBOTTENS LÄN</t>
        </is>
      </c>
      <c r="G616" t="inlineStr">
        <is>
          <t>BODEN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59893-2023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45254</v>
      </c>
      <c r="E617" s="1" t="n">
        <v>46232</v>
      </c>
      <c r="F617" t="inlineStr">
        <is>
          <t>NORRBOTTENS LÄN</t>
        </is>
      </c>
      <c r="G617" t="inlineStr">
        <is>
          <t>BODEN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35040-2022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44796</v>
      </c>
      <c r="E618" s="1" t="n">
        <v>46232</v>
      </c>
      <c r="F618" t="inlineStr">
        <is>
          <t>NORRBOTTENS LÄN</t>
        </is>
      </c>
      <c r="G618" t="inlineStr">
        <is>
          <t>BODEN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50561-2025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45944</v>
      </c>
      <c r="E619" s="1" t="n">
        <v>46232</v>
      </c>
      <c r="F619" t="inlineStr">
        <is>
          <t>NORRBOTTENS LÄN</t>
        </is>
      </c>
      <c r="G619" t="inlineStr">
        <is>
          <t>BODEN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45694</v>
      </c>
      <c r="E620" s="1" t="n">
        <v>46232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35755-2025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45860</v>
      </c>
      <c r="E621" s="1" t="n">
        <v>46232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33915-2024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45523</v>
      </c>
      <c r="E622" s="1" t="n">
        <v>46232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36112-2023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45149</v>
      </c>
      <c r="E623" s="1" t="n">
        <v>46232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20505-2023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46232</v>
      </c>
      <c r="F624" t="inlineStr">
        <is>
          <t>NORRBOTTENS LÄN</t>
        </is>
      </c>
      <c r="G624" t="inlineStr">
        <is>
          <t>BODEN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45429</v>
      </c>
      <c r="E625" s="1" t="n">
        <v>46232</v>
      </c>
      <c r="F625" t="inlineStr">
        <is>
          <t>NORRBOTTENS LÄN</t>
        </is>
      </c>
      <c r="G625" t="inlineStr">
        <is>
          <t>BODEN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48459-2025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45935</v>
      </c>
      <c r="E626" s="1" t="n">
        <v>46232</v>
      </c>
      <c r="F626" t="inlineStr">
        <is>
          <t>NORRBOTTENS LÄN</t>
        </is>
      </c>
      <c r="G626" t="inlineStr">
        <is>
          <t>BODEN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25916-2023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45085</v>
      </c>
      <c r="E627" s="1" t="n">
        <v>46232</v>
      </c>
      <c r="F627" t="inlineStr">
        <is>
          <t>NORRBOTTENS LÄN</t>
        </is>
      </c>
      <c r="G627" t="inlineStr">
        <is>
          <t>BODEN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45839</v>
      </c>
      <c r="E628" s="1" t="n">
        <v>46232</v>
      </c>
      <c r="F628" t="inlineStr">
        <is>
          <t>NORRBOTTENS LÄN</t>
        </is>
      </c>
      <c r="G628" t="inlineStr">
        <is>
          <t>BODEN</t>
        </is>
      </c>
      <c r="I628" t="n">
        <v>13.6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46232</v>
      </c>
      <c r="F629" t="inlineStr">
        <is>
          <t>NORRBOTTENS LÄN</t>
        </is>
      </c>
      <c r="G629" t="inlineStr">
        <is>
          <t>BODEN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64649-2023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46232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46232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59028-2022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44903</v>
      </c>
      <c r="E632" s="1" t="n">
        <v>46232</v>
      </c>
      <c r="F632" t="inlineStr">
        <is>
          <t>NORRBOTTENS LÄN</t>
        </is>
      </c>
      <c r="G632" t="inlineStr">
        <is>
          <t>BODEN</t>
        </is>
      </c>
      <c r="I632" t="n">
        <v>16.1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49127-2023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45210</v>
      </c>
      <c r="E633" s="1" t="n">
        <v>46232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43007-2022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44833</v>
      </c>
      <c r="E634" s="1" t="n">
        <v>46232</v>
      </c>
      <c r="F634" t="inlineStr">
        <is>
          <t>NORRBOTTENS LÄN</t>
        </is>
      </c>
      <c r="G634" t="inlineStr">
        <is>
          <t>BODEN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11634-2026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46232</v>
      </c>
      <c r="F635" t="inlineStr">
        <is>
          <t>NORRBOTTENS LÄN</t>
        </is>
      </c>
      <c r="G635" t="inlineStr">
        <is>
          <t>BODEN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46076</v>
      </c>
      <c r="E636" s="1" t="n">
        <v>46232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45832</v>
      </c>
      <c r="E637" s="1" t="n">
        <v>46232</v>
      </c>
      <c r="F637" t="inlineStr">
        <is>
          <t>NORRBOTTENS LÄN</t>
        </is>
      </c>
      <c r="G637" t="inlineStr">
        <is>
          <t>BODEN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67438-2021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44524</v>
      </c>
      <c r="E638" s="1" t="n">
        <v>46232</v>
      </c>
      <c r="F638" t="inlineStr">
        <is>
          <t>NORRBOTTENS LÄN</t>
        </is>
      </c>
      <c r="G638" t="inlineStr">
        <is>
          <t>BODEN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45818</v>
      </c>
      <c r="E639" s="1" t="n">
        <v>46232</v>
      </c>
      <c r="F639" t="inlineStr">
        <is>
          <t>NORRBOTTENS LÄN</t>
        </is>
      </c>
      <c r="G639" t="inlineStr">
        <is>
          <t>BODEN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61214-2024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46232</v>
      </c>
      <c r="F640" t="inlineStr">
        <is>
          <t>NORRBOTTENS LÄN</t>
        </is>
      </c>
      <c r="G640" t="inlineStr">
        <is>
          <t>BODEN</t>
        </is>
      </c>
      <c r="H640" t="inlineStr">
        <is>
          <t>Sveaskog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46512-2021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44445</v>
      </c>
      <c r="E641" s="1" t="n">
        <v>46232</v>
      </c>
      <c r="F641" t="inlineStr">
        <is>
          <t>NORRBOTTENS LÄN</t>
        </is>
      </c>
      <c r="G641" t="inlineStr">
        <is>
          <t>BODEN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49859-2023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45212</v>
      </c>
      <c r="E642" s="1" t="n">
        <v>46232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21421-2022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44706</v>
      </c>
      <c r="E643" s="1" t="n">
        <v>46232</v>
      </c>
      <c r="F643" t="inlineStr">
        <is>
          <t>NORRBOTTENS LÄN</t>
        </is>
      </c>
      <c r="G643" t="inlineStr">
        <is>
          <t>BODEN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28432-2022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44747</v>
      </c>
      <c r="E644" s="1" t="n">
        <v>46232</v>
      </c>
      <c r="F644" t="inlineStr">
        <is>
          <t>NORRBOTTENS LÄN</t>
        </is>
      </c>
      <c r="G644" t="inlineStr">
        <is>
          <t>BODEN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16741-2022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44673</v>
      </c>
      <c r="E645" s="1" t="n">
        <v>46232</v>
      </c>
      <c r="F645" t="inlineStr">
        <is>
          <t>NORRBOTTENS LÄN</t>
        </is>
      </c>
      <c r="G645" t="inlineStr">
        <is>
          <t>BODEN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21279-2026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46232</v>
      </c>
      <c r="F646" t="inlineStr">
        <is>
          <t>NORRBOTTENS LÄN</t>
        </is>
      </c>
      <c r="G646" t="inlineStr">
        <is>
          <t>BODEN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38994-2024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45548</v>
      </c>
      <c r="E647" s="1" t="n">
        <v>46232</v>
      </c>
      <c r="F647" t="inlineStr">
        <is>
          <t>NORRBOTTENS LÄN</t>
        </is>
      </c>
      <c r="G647" t="inlineStr">
        <is>
          <t>BODEN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45893</v>
      </c>
      <c r="E648" s="1" t="n">
        <v>46232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statliga verk och myndigheter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14995-2022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44657</v>
      </c>
      <c r="E649" s="1" t="n">
        <v>46232</v>
      </c>
      <c r="F649" t="inlineStr">
        <is>
          <t>NORRBOTTENS LÄN</t>
        </is>
      </c>
      <c r="G649" t="inlineStr">
        <is>
          <t>BODEN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15000-2022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44657</v>
      </c>
      <c r="E650" s="1" t="n">
        <v>46232</v>
      </c>
      <c r="F650" t="inlineStr">
        <is>
          <t>NORRBOTTENS LÄN</t>
        </is>
      </c>
      <c r="G650" t="inlineStr">
        <is>
          <t>BODEN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33511-2025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46232</v>
      </c>
      <c r="F651" t="inlineStr">
        <is>
          <t>NORRBOTTENS LÄN</t>
        </is>
      </c>
      <c r="G651" t="inlineStr">
        <is>
          <t>BODEN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46232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27736-2026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46191</v>
      </c>
      <c r="E653" s="1" t="n">
        <v>46232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27698-2026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46232</v>
      </c>
      <c r="F654" t="inlineStr">
        <is>
          <t>NORRBOTTENS LÄN</t>
        </is>
      </c>
      <c r="G654" t="inlineStr">
        <is>
          <t>BODEN</t>
        </is>
      </c>
      <c r="I654" t="n">
        <v>22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6776-2023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44966</v>
      </c>
      <c r="E655" s="1" t="n">
        <v>46232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21688-2026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46149</v>
      </c>
      <c r="E656" s="1" t="n">
        <v>46232</v>
      </c>
      <c r="F656" t="inlineStr">
        <is>
          <t>NORRBOTTENS LÄN</t>
        </is>
      </c>
      <c r="G656" t="inlineStr">
        <is>
          <t>BODEN</t>
        </is>
      </c>
      <c r="I656" t="n">
        <v>11.6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46149</v>
      </c>
      <c r="E657" s="1" t="n">
        <v>46232</v>
      </c>
      <c r="F657" t="inlineStr">
        <is>
          <t>NORRBOTTENS LÄN</t>
        </is>
      </c>
      <c r="G657" t="inlineStr">
        <is>
          <t>BODEN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46232</v>
      </c>
      <c r="F658" t="inlineStr">
        <is>
          <t>NORRBOTTENS LÄN</t>
        </is>
      </c>
      <c r="G658" t="inlineStr">
        <is>
          <t>BODEN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27749-2026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46232</v>
      </c>
      <c r="F659" t="inlineStr">
        <is>
          <t>NORRBOTTENS LÄN</t>
        </is>
      </c>
      <c r="G659" t="inlineStr">
        <is>
          <t>BODEN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48592-2024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45593</v>
      </c>
      <c r="E660" s="1" t="n">
        <v>46232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22264-2026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46232</v>
      </c>
      <c r="F661" t="inlineStr">
        <is>
          <t>NORRBOTTENS LÄN</t>
        </is>
      </c>
      <c r="G661" t="inlineStr">
        <is>
          <t>BODEN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22259-2026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46150</v>
      </c>
      <c r="E662" s="1" t="n">
        <v>46232</v>
      </c>
      <c r="F662" t="inlineStr">
        <is>
          <t>NORRBOTTENS LÄN</t>
        </is>
      </c>
      <c r="G662" t="inlineStr">
        <is>
          <t>BODEN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21784-2026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46150</v>
      </c>
      <c r="E663" s="1" t="n">
        <v>46232</v>
      </c>
      <c r="F663" t="inlineStr">
        <is>
          <t>NORRBOTTENS LÄN</t>
        </is>
      </c>
      <c r="G663" t="inlineStr">
        <is>
          <t>BODEN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19528-2024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45429</v>
      </c>
      <c r="E664" s="1" t="n">
        <v>46232</v>
      </c>
      <c r="F664" t="inlineStr">
        <is>
          <t>NORRBOTTENS LÄN</t>
        </is>
      </c>
      <c r="G664" t="inlineStr">
        <is>
          <t>BODEN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19533-2024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45429</v>
      </c>
      <c r="E665" s="1" t="n">
        <v>46232</v>
      </c>
      <c r="F665" t="inlineStr">
        <is>
          <t>NORRBOTTENS LÄN</t>
        </is>
      </c>
      <c r="G665" t="inlineStr">
        <is>
          <t>BODEN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25920-2023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45085</v>
      </c>
      <c r="E666" s="1" t="n">
        <v>46232</v>
      </c>
      <c r="F666" t="inlineStr">
        <is>
          <t>NORRBOTTENS LÄN</t>
        </is>
      </c>
      <c r="G666" t="inlineStr">
        <is>
          <t>BODEN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16699-2024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45408</v>
      </c>
      <c r="E667" s="1" t="n">
        <v>46232</v>
      </c>
      <c r="F667" t="inlineStr">
        <is>
          <t>NORRBOTTENS LÄN</t>
        </is>
      </c>
      <c r="G667" t="inlineStr">
        <is>
          <t>BODEN</t>
        </is>
      </c>
      <c r="I667" t="n">
        <v>14.9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46232</v>
      </c>
      <c r="F668" t="inlineStr">
        <is>
          <t>NORRBOTTENS LÄN</t>
        </is>
      </c>
      <c r="G668" t="inlineStr">
        <is>
          <t>BODEN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61587-2024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45646</v>
      </c>
      <c r="E669" s="1" t="n">
        <v>46232</v>
      </c>
      <c r="F669" t="inlineStr">
        <is>
          <t>NORRBOTTENS LÄN</t>
        </is>
      </c>
      <c r="G669" t="inlineStr">
        <is>
          <t>BODEN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46232</v>
      </c>
      <c r="F670" t="inlineStr">
        <is>
          <t>NORRBOTTENS LÄN</t>
        </is>
      </c>
      <c r="G670" t="inlineStr">
        <is>
          <t>BODEN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60085-2024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45639</v>
      </c>
      <c r="E671" s="1" t="n">
        <v>46232</v>
      </c>
      <c r="F671" t="inlineStr">
        <is>
          <t>NORRBOTTENS LÄN</t>
        </is>
      </c>
      <c r="G671" t="inlineStr">
        <is>
          <t>BODEN</t>
        </is>
      </c>
      <c r="I671" t="n">
        <v>9.5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29377-2024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45483</v>
      </c>
      <c r="E672" s="1" t="n">
        <v>46232</v>
      </c>
      <c r="F672" t="inlineStr">
        <is>
          <t>NORRBOTTENS LÄN</t>
        </is>
      </c>
      <c r="G672" t="inlineStr">
        <is>
          <t>BODEN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36915-2023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45153</v>
      </c>
      <c r="E673" s="1" t="n">
        <v>46232</v>
      </c>
      <c r="F673" t="inlineStr">
        <is>
          <t>NORRBOTTENS LÄN</t>
        </is>
      </c>
      <c r="G673" t="inlineStr">
        <is>
          <t>BODEN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22239-2026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46232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28496-2026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46232</v>
      </c>
      <c r="F675" t="inlineStr">
        <is>
          <t>NORRBOTTENS LÄN</t>
        </is>
      </c>
      <c r="G675" t="inlineStr">
        <is>
          <t>BODEN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28509-2026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46232</v>
      </c>
      <c r="F676" t="inlineStr">
        <is>
          <t>NORRBOTTENS LÄN</t>
        </is>
      </c>
      <c r="G676" t="inlineStr">
        <is>
          <t>BODEN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31754-2024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46232</v>
      </c>
      <c r="F677" t="inlineStr">
        <is>
          <t>NORRBOTTENS LÄN</t>
        </is>
      </c>
      <c r="G677" t="inlineStr">
        <is>
          <t>BODEN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45988</v>
      </c>
      <c r="E678" s="1" t="n">
        <v>46232</v>
      </c>
      <c r="F678" t="inlineStr">
        <is>
          <t>NORRBOTTENS LÄN</t>
        </is>
      </c>
      <c r="G678" t="inlineStr">
        <is>
          <t>BODEN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46232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59688-2023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45256</v>
      </c>
      <c r="E680" s="1" t="n">
        <v>46232</v>
      </c>
      <c r="F680" t="inlineStr">
        <is>
          <t>NORRBOTTENS LÄN</t>
        </is>
      </c>
      <c r="G680" t="inlineStr">
        <is>
          <t>BODEN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19068-2024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45427</v>
      </c>
      <c r="E681" s="1" t="n">
        <v>46232</v>
      </c>
      <c r="F681" t="inlineStr">
        <is>
          <t>NORRBOTTENS LÄN</t>
        </is>
      </c>
      <c r="G681" t="inlineStr">
        <is>
          <t>BODEN</t>
        </is>
      </c>
      <c r="I681" t="n">
        <v>22.1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42196-2024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45562</v>
      </c>
      <c r="E682" s="1" t="n">
        <v>46232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61932-2024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45653</v>
      </c>
      <c r="E683" s="1" t="n">
        <v>46232</v>
      </c>
      <c r="F683" t="inlineStr">
        <is>
          <t>NORRBOTTENS LÄN</t>
        </is>
      </c>
      <c r="G683" t="inlineStr">
        <is>
          <t>BODEN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46232</v>
      </c>
      <c r="F684" t="inlineStr">
        <is>
          <t>NORRBOTTENS LÄN</t>
        </is>
      </c>
      <c r="G684" t="inlineStr">
        <is>
          <t>BODEN</t>
        </is>
      </c>
      <c r="I684" t="n">
        <v>10.8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21329-2024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45440</v>
      </c>
      <c r="E685" s="1" t="n">
        <v>46232</v>
      </c>
      <c r="F685" t="inlineStr">
        <is>
          <t>NORRBOTTENS LÄN</t>
        </is>
      </c>
      <c r="G685" t="inlineStr">
        <is>
          <t>BODEN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57968-2023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45247</v>
      </c>
      <c r="E686" s="1" t="n">
        <v>46232</v>
      </c>
      <c r="F686" t="inlineStr">
        <is>
          <t>NORRBOTTENS LÄN</t>
        </is>
      </c>
      <c r="G686" t="inlineStr">
        <is>
          <t>BODEN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46232</v>
      </c>
      <c r="F687" t="inlineStr">
        <is>
          <t>NORRBOTTENS LÄN</t>
        </is>
      </c>
      <c r="G687" t="inlineStr">
        <is>
          <t>BODEN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28490-2026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46197</v>
      </c>
      <c r="E688" s="1" t="n">
        <v>46232</v>
      </c>
      <c r="F688" t="inlineStr">
        <is>
          <t>NORRBOTTENS LÄN</t>
        </is>
      </c>
      <c r="G688" t="inlineStr">
        <is>
          <t>BODEN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46232</v>
      </c>
      <c r="F689" t="inlineStr">
        <is>
          <t>NORRBOTTENS LÄN</t>
        </is>
      </c>
      <c r="G689" t="inlineStr">
        <is>
          <t>BODEN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31007-2024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45499</v>
      </c>
      <c r="E690" s="1" t="n">
        <v>46232</v>
      </c>
      <c r="F690" t="inlineStr">
        <is>
          <t>NORRBOTTENS LÄN</t>
        </is>
      </c>
      <c r="G690" t="inlineStr">
        <is>
          <t>BODEN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37384-2023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46232</v>
      </c>
      <c r="F691" t="inlineStr">
        <is>
          <t>NORRBOTTENS LÄN</t>
        </is>
      </c>
      <c r="G691" t="inlineStr">
        <is>
          <t>BODEN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28615-2026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46197</v>
      </c>
      <c r="E692" s="1" t="n">
        <v>46232</v>
      </c>
      <c r="F692" t="inlineStr">
        <is>
          <t>NORRBOTTENS LÄN</t>
        </is>
      </c>
      <c r="G692" t="inlineStr">
        <is>
          <t>BODEN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12893-2022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44642</v>
      </c>
      <c r="E693" s="1" t="n">
        <v>46232</v>
      </c>
      <c r="F693" t="inlineStr">
        <is>
          <t>NORRBOTTENS LÄN</t>
        </is>
      </c>
      <c r="G693" t="inlineStr">
        <is>
          <t>BODEN</t>
        </is>
      </c>
      <c r="H693" t="inlineStr">
        <is>
          <t>Övriga statliga verk och myndigheter</t>
        </is>
      </c>
      <c r="I693" t="n">
        <v>15.8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45070</v>
      </c>
      <c r="E694" s="1" t="n">
        <v>46232</v>
      </c>
      <c r="F694" t="inlineStr">
        <is>
          <t>NORRBOTTENS LÄN</t>
        </is>
      </c>
      <c r="G694" t="inlineStr">
        <is>
          <t>BODEN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58373-2022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44901</v>
      </c>
      <c r="E695" s="1" t="n">
        <v>46232</v>
      </c>
      <c r="F695" t="inlineStr">
        <is>
          <t>NORRBOTTENS LÄN</t>
        </is>
      </c>
      <c r="G695" t="inlineStr">
        <is>
          <t>BODEN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29183-2026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46202</v>
      </c>
      <c r="E696" s="1" t="n">
        <v>46232</v>
      </c>
      <c r="F696" t="inlineStr">
        <is>
          <t>NORRBOTTENS LÄN</t>
        </is>
      </c>
      <c r="G696" t="inlineStr">
        <is>
          <t>BODEN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28139-2025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45818</v>
      </c>
      <c r="E697" s="1" t="n">
        <v>46232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11.3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15157-2025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45744</v>
      </c>
      <c r="E698" s="1" t="n">
        <v>46232</v>
      </c>
      <c r="F698" t="inlineStr">
        <is>
          <t>NORRBOTTENS LÄN</t>
        </is>
      </c>
      <c r="G698" t="inlineStr">
        <is>
          <t>BODEN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45929-2023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45195</v>
      </c>
      <c r="E699" s="1" t="n">
        <v>46232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45691</v>
      </c>
      <c r="E700" s="1" t="n">
        <v>46232</v>
      </c>
      <c r="F700" t="inlineStr">
        <is>
          <t>NORRBOTTENS LÄN</t>
        </is>
      </c>
      <c r="G700" t="inlineStr">
        <is>
          <t>BODEN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29394-2026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46232</v>
      </c>
      <c r="F701" t="inlineStr">
        <is>
          <t>NORRBOTTENS LÄN</t>
        </is>
      </c>
      <c r="G701" t="inlineStr">
        <is>
          <t>BODEN</t>
        </is>
      </c>
      <c r="I701" t="n">
        <v>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61750-2024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45649</v>
      </c>
      <c r="E702" s="1" t="n">
        <v>46232</v>
      </c>
      <c r="F702" t="inlineStr">
        <is>
          <t>NORRBOTTENS LÄN</t>
        </is>
      </c>
      <c r="G702" t="inlineStr">
        <is>
          <t>BODEN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47922-2024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45589</v>
      </c>
      <c r="E703" s="1" t="n">
        <v>46232</v>
      </c>
      <c r="F703" t="inlineStr">
        <is>
          <t>NORRBOTTENS LÄN</t>
        </is>
      </c>
      <c r="G703" t="inlineStr">
        <is>
          <t>BODEN</t>
        </is>
      </c>
      <c r="H703" t="inlineStr">
        <is>
          <t>Naturvårdsverket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47924-2024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45589</v>
      </c>
      <c r="E704" s="1" t="n">
        <v>46232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46232</v>
      </c>
      <c r="F705" t="inlineStr">
        <is>
          <t>NORRBOTTENS LÄN</t>
        </is>
      </c>
      <c r="G705" t="inlineStr">
        <is>
          <t>BODEN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37212-2025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45875</v>
      </c>
      <c r="E706" s="1" t="n">
        <v>46232</v>
      </c>
      <c r="F706" t="inlineStr">
        <is>
          <t>NORRBOTTENS LÄN</t>
        </is>
      </c>
      <c r="G706" t="inlineStr">
        <is>
          <t>BODEN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46202</v>
      </c>
      <c r="E707" s="1" t="n">
        <v>46232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46202</v>
      </c>
      <c r="E708" s="1" t="n">
        <v>46232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46232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46232</v>
      </c>
      <c r="F710" t="inlineStr">
        <is>
          <t>NORRBOTTENS LÄN</t>
        </is>
      </c>
      <c r="G710" t="inlineStr">
        <is>
          <t>BODEN</t>
        </is>
      </c>
      <c r="H710" t="inlineStr">
        <is>
          <t>Övriga Aktiebolag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46232</v>
      </c>
      <c r="F711" t="inlineStr">
        <is>
          <t>NORRBOTTENS LÄN</t>
        </is>
      </c>
      <c r="G711" t="inlineStr">
        <is>
          <t>BODEN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29555-2026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46232</v>
      </c>
      <c r="F712" t="inlineStr">
        <is>
          <t>NORRBOTTENS LÄN</t>
        </is>
      </c>
      <c r="G712" t="inlineStr">
        <is>
          <t>BODEN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8028-2024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45350</v>
      </c>
      <c r="E713" s="1" t="n">
        <v>46232</v>
      </c>
      <c r="F713" t="inlineStr">
        <is>
          <t>NORRBOTTENS LÄN</t>
        </is>
      </c>
      <c r="G713" t="inlineStr">
        <is>
          <t>BODEN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29759-2026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46204</v>
      </c>
      <c r="E714" s="1" t="n">
        <v>46232</v>
      </c>
      <c r="F714" t="inlineStr">
        <is>
          <t>NORRBOTTENS LÄN</t>
        </is>
      </c>
      <c r="G714" t="inlineStr">
        <is>
          <t>BODEN</t>
        </is>
      </c>
      <c r="I714" t="n">
        <v>38.7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25627-2022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44732</v>
      </c>
      <c r="E715" s="1" t="n">
        <v>46232</v>
      </c>
      <c r="F715" t="inlineStr">
        <is>
          <t>NORRBOTTENS LÄN</t>
        </is>
      </c>
      <c r="G715" t="inlineStr">
        <is>
          <t>BODEN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2732-2025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45677</v>
      </c>
      <c r="E716" s="1" t="n">
        <v>46232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61107-2022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44908</v>
      </c>
      <c r="E717" s="1" t="n">
        <v>46232</v>
      </c>
      <c r="F717" t="inlineStr">
        <is>
          <t>NORRBOTTENS LÄN</t>
        </is>
      </c>
      <c r="G717" t="inlineStr">
        <is>
          <t>BODEN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46232</v>
      </c>
      <c r="F718" t="inlineStr">
        <is>
          <t>NORRBOTTENS LÄN</t>
        </is>
      </c>
      <c r="G718" t="inlineStr">
        <is>
          <t>BODEN</t>
        </is>
      </c>
      <c r="I718" t="n">
        <v>12.2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50327-2023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45216</v>
      </c>
      <c r="E719" s="1" t="n">
        <v>46232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24400-2022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44726</v>
      </c>
      <c r="E720" s="1" t="n">
        <v>46232</v>
      </c>
      <c r="F720" t="inlineStr">
        <is>
          <t>NORRBOTTENS LÄN</t>
        </is>
      </c>
      <c r="G720" t="inlineStr">
        <is>
          <t>BODEN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44566</v>
      </c>
      <c r="E721" s="1" t="n">
        <v>46232</v>
      </c>
      <c r="F721" t="inlineStr">
        <is>
          <t>NORRBOTTENS LÄN</t>
        </is>
      </c>
      <c r="G721" t="inlineStr">
        <is>
          <t>BODEN</t>
        </is>
      </c>
      <c r="I721" t="n">
        <v>12.4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45035-2022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44841</v>
      </c>
      <c r="E722" s="1" t="n">
        <v>46232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8873-2024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45356</v>
      </c>
      <c r="E723" s="1" t="n">
        <v>46232</v>
      </c>
      <c r="F723" t="inlineStr">
        <is>
          <t>NORRBOTTENS LÄN</t>
        </is>
      </c>
      <c r="G723" t="inlineStr">
        <is>
          <t>BODEN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45674</v>
      </c>
      <c r="E724" s="1" t="n">
        <v>46232</v>
      </c>
      <c r="F724" t="inlineStr">
        <is>
          <t>NORRBOTTENS LÄN</t>
        </is>
      </c>
      <c r="G724" t="inlineStr">
        <is>
          <t>BODEN</t>
        </is>
      </c>
      <c r="I724" t="n">
        <v>7.2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30077-2026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46206</v>
      </c>
      <c r="E725" s="1" t="n">
        <v>46232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40157-2025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45894</v>
      </c>
      <c r="E726" s="1" t="n">
        <v>46232</v>
      </c>
      <c r="F726" t="inlineStr">
        <is>
          <t>NORRBOTTENS LÄN</t>
        </is>
      </c>
      <c r="G726" t="inlineStr">
        <is>
          <t>BODEN</t>
        </is>
      </c>
      <c r="H726" t="inlineStr">
        <is>
          <t>Övriga statliga verk och myndigheter</t>
        </is>
      </c>
      <c r="I726" t="n">
        <v>17.6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45115-2021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44438</v>
      </c>
      <c r="E727" s="1" t="n">
        <v>46232</v>
      </c>
      <c r="F727" t="inlineStr">
        <is>
          <t>NORRBOTTENS LÄN</t>
        </is>
      </c>
      <c r="G727" t="inlineStr">
        <is>
          <t>BODEN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30426-2026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46209</v>
      </c>
      <c r="E728" s="1" t="n">
        <v>46232</v>
      </c>
      <c r="F728" t="inlineStr">
        <is>
          <t>NORRBOTTENS LÄN</t>
        </is>
      </c>
      <c r="G728" t="inlineStr">
        <is>
          <t>BODEN</t>
        </is>
      </c>
      <c r="H728" t="inlineStr">
        <is>
          <t>Kommuner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46209</v>
      </c>
      <c r="E729" s="1" t="n">
        <v>46232</v>
      </c>
      <c r="F729" t="inlineStr">
        <is>
          <t>NORRBOTTENS LÄN</t>
        </is>
      </c>
      <c r="G729" t="inlineStr">
        <is>
          <t>BODEN</t>
        </is>
      </c>
      <c r="H729" t="inlineStr">
        <is>
          <t>Kommuner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23790-2026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46164</v>
      </c>
      <c r="E730" s="1" t="n">
        <v>46232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23792-2026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46164</v>
      </c>
      <c r="E731" s="1" t="n">
        <v>46232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30023-2026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46232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15.2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26022-2022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44734</v>
      </c>
      <c r="E733" s="1" t="n">
        <v>46232</v>
      </c>
      <c r="F733" t="inlineStr">
        <is>
          <t>NORRBOTTENS LÄN</t>
        </is>
      </c>
      <c r="G733" t="inlineStr">
        <is>
          <t>BODEN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61969-2024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45653</v>
      </c>
      <c r="E734" s="1" t="n">
        <v>46232</v>
      </c>
      <c r="F734" t="inlineStr">
        <is>
          <t>NORRBOTTENS LÄN</t>
        </is>
      </c>
      <c r="G734" t="inlineStr">
        <is>
          <t>BODEN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46164</v>
      </c>
      <c r="E735" s="1" t="n">
        <v>46232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19584-2025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45770</v>
      </c>
      <c r="E736" s="1" t="n">
        <v>46232</v>
      </c>
      <c r="F736" t="inlineStr">
        <is>
          <t>NORRBOTTENS LÄN</t>
        </is>
      </c>
      <c r="G736" t="inlineStr">
        <is>
          <t>BODEN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37866-2024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45544</v>
      </c>
      <c r="E737" s="1" t="n">
        <v>46232</v>
      </c>
      <c r="F737" t="inlineStr">
        <is>
          <t>NORRBOTTENS LÄN</t>
        </is>
      </c>
      <c r="G737" t="inlineStr">
        <is>
          <t>BODEN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30332-2026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46208</v>
      </c>
      <c r="E738" s="1" t="n">
        <v>46232</v>
      </c>
      <c r="F738" t="inlineStr">
        <is>
          <t>NORRBOTTENS LÄN</t>
        </is>
      </c>
      <c r="G738" t="inlineStr">
        <is>
          <t>BODEN</t>
        </is>
      </c>
      <c r="I738" t="n">
        <v>9.800000000000001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30430-2026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46232</v>
      </c>
      <c r="F739" t="inlineStr">
        <is>
          <t>NORRBOTTENS LÄN</t>
        </is>
      </c>
      <c r="G739" t="inlineStr">
        <is>
          <t>BODEN</t>
        </is>
      </c>
      <c r="H739" t="inlineStr">
        <is>
          <t>Kommuner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46232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46232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34760-2022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44795</v>
      </c>
      <c r="E742" s="1" t="n">
        <v>46232</v>
      </c>
      <c r="F742" t="inlineStr">
        <is>
          <t>NORRBOTTENS LÄN</t>
        </is>
      </c>
      <c r="G742" t="inlineStr">
        <is>
          <t>BODEN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16336-2026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46111</v>
      </c>
      <c r="E743" s="1" t="n">
        <v>46232</v>
      </c>
      <c r="F743" t="inlineStr">
        <is>
          <t>NORRBOTTENS LÄN</t>
        </is>
      </c>
      <c r="G743" t="inlineStr">
        <is>
          <t>BODEN</t>
        </is>
      </c>
      <c r="I743" t="n">
        <v>9.199999999999999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46168</v>
      </c>
      <c r="E744" s="1" t="n">
        <v>46232</v>
      </c>
      <c r="F744" t="inlineStr">
        <is>
          <t>NORRBOTTENS LÄN</t>
        </is>
      </c>
      <c r="G744" t="inlineStr">
        <is>
          <t>BODEN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45161</v>
      </c>
      <c r="E745" s="1" t="n">
        <v>46232</v>
      </c>
      <c r="F745" t="inlineStr">
        <is>
          <t>NORRBOTTENS LÄN</t>
        </is>
      </c>
      <c r="G745" t="inlineStr">
        <is>
          <t>BODEN</t>
        </is>
      </c>
      <c r="I745" t="n">
        <v>15.5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24427-2026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46232</v>
      </c>
      <c r="F746" t="inlineStr">
        <is>
          <t>NORRBOTTENS LÄN</t>
        </is>
      </c>
      <c r="G746" t="inlineStr">
        <is>
          <t>BODEN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46232</v>
      </c>
      <c r="F747" t="inlineStr">
        <is>
          <t>NORRBOTTENS LÄN</t>
        </is>
      </c>
      <c r="G747" t="inlineStr">
        <is>
          <t>BODEN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24235-2026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46232</v>
      </c>
      <c r="F748" t="inlineStr">
        <is>
          <t>NORRBOTTENS LÄN</t>
        </is>
      </c>
      <c r="G748" t="inlineStr">
        <is>
          <t>BODEN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60337-2024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45643</v>
      </c>
      <c r="E749" s="1" t="n">
        <v>46232</v>
      </c>
      <c r="F749" t="inlineStr">
        <is>
          <t>NORRBOTTENS LÄN</t>
        </is>
      </c>
      <c r="G749" t="inlineStr">
        <is>
          <t>BODEN</t>
        </is>
      </c>
      <c r="I749" t="n">
        <v>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24430-2026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46232</v>
      </c>
      <c r="F750" t="inlineStr">
        <is>
          <t>NORRBOTTENS LÄN</t>
        </is>
      </c>
      <c r="G750" t="inlineStr">
        <is>
          <t>BODEN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46232</v>
      </c>
      <c r="F751" t="inlineStr">
        <is>
          <t>NORRBOTTENS LÄN</t>
        </is>
      </c>
      <c r="G751" t="inlineStr">
        <is>
          <t>BODEN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24221-2026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46232</v>
      </c>
      <c r="F752" t="inlineStr">
        <is>
          <t>NORRBOTTENS LÄN</t>
        </is>
      </c>
      <c r="G752" t="inlineStr">
        <is>
          <t>BODEN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24227-2026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46232</v>
      </c>
      <c r="F753" t="inlineStr">
        <is>
          <t>NORRBOTTENS LÄN</t>
        </is>
      </c>
      <c r="G753" t="inlineStr">
        <is>
          <t>BODEN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30745-2026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46211</v>
      </c>
      <c r="E754" s="1" t="n">
        <v>46232</v>
      </c>
      <c r="F754" t="inlineStr">
        <is>
          <t>NORRBOTTENS LÄN</t>
        </is>
      </c>
      <c r="G754" t="inlineStr">
        <is>
          <t>BODEN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46232</v>
      </c>
      <c r="F755" t="inlineStr">
        <is>
          <t>NORRBOTTENS LÄN</t>
        </is>
      </c>
      <c r="G755" t="inlineStr">
        <is>
          <t>BODEN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45448-2023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46232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61103-2022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44908</v>
      </c>
      <c r="E757" s="1" t="n">
        <v>46232</v>
      </c>
      <c r="F757" t="inlineStr">
        <is>
          <t>NORRBOTTENS LÄN</t>
        </is>
      </c>
      <c r="G757" t="inlineStr">
        <is>
          <t>BODEN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9319-2024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45358</v>
      </c>
      <c r="E758" s="1" t="n">
        <v>46232</v>
      </c>
      <c r="F758" t="inlineStr">
        <is>
          <t>NORRBOTTENS LÄN</t>
        </is>
      </c>
      <c r="G758" t="inlineStr">
        <is>
          <t>BODEN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45680</v>
      </c>
      <c r="E759" s="1" t="n">
        <v>46232</v>
      </c>
      <c r="F759" t="inlineStr">
        <is>
          <t>NORRBOTTENS LÄN</t>
        </is>
      </c>
      <c r="G759" t="inlineStr">
        <is>
          <t>BODEN</t>
        </is>
      </c>
      <c r="H759" t="inlineStr">
        <is>
          <t>Naturvårdsverket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46172</v>
      </c>
      <c r="E760" s="1" t="n">
        <v>46232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43648-2023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45187</v>
      </c>
      <c r="E761" s="1" t="n">
        <v>46232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7.1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24717-2026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46171</v>
      </c>
      <c r="E762" s="1" t="n">
        <v>46232</v>
      </c>
      <c r="F762" t="inlineStr">
        <is>
          <t>NORRBOTTENS LÄN</t>
        </is>
      </c>
      <c r="G762" t="inlineStr">
        <is>
          <t>BODEN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55540-2022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44887</v>
      </c>
      <c r="E763" s="1" t="n">
        <v>46232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39463-2023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45166</v>
      </c>
      <c r="E764" s="1" t="n">
        <v>46232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31226-2026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46217</v>
      </c>
      <c r="E765" s="1" t="n">
        <v>46232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31217-2026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46217</v>
      </c>
      <c r="E766" s="1" t="n">
        <v>46232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46174</v>
      </c>
      <c r="E767" s="1" t="n">
        <v>46232</v>
      </c>
      <c r="F767" t="inlineStr">
        <is>
          <t>NORRBOTTENS LÄN</t>
        </is>
      </c>
      <c r="G767" t="inlineStr">
        <is>
          <t>BODEN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61921-2024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45653</v>
      </c>
      <c r="E768" s="1" t="n">
        <v>46232</v>
      </c>
      <c r="F768" t="inlineStr">
        <is>
          <t>NORRBOTTENS LÄN</t>
        </is>
      </c>
      <c r="G768" t="inlineStr">
        <is>
          <t>BODEN</t>
        </is>
      </c>
      <c r="I768" t="n">
        <v>47.3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41212-2023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45174</v>
      </c>
      <c r="E769" s="1" t="n">
        <v>46232</v>
      </c>
      <c r="F769" t="inlineStr">
        <is>
          <t>NORRBOTTENS LÄN</t>
        </is>
      </c>
      <c r="G769" t="inlineStr">
        <is>
          <t>BODEN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4055-2024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45323</v>
      </c>
      <c r="E770" s="1" t="n">
        <v>46232</v>
      </c>
      <c r="F770" t="inlineStr">
        <is>
          <t>NORRBOTTENS LÄN</t>
        </is>
      </c>
      <c r="G770" t="inlineStr">
        <is>
          <t>BODEN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46232</v>
      </c>
      <c r="F771" t="inlineStr">
        <is>
          <t>NORRBOTTENS LÄN</t>
        </is>
      </c>
      <c r="G771" t="inlineStr">
        <is>
          <t>BODEN</t>
        </is>
      </c>
      <c r="I771" t="n">
        <v>14.5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877-2023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44931</v>
      </c>
      <c r="E772" s="1" t="n">
        <v>46232</v>
      </c>
      <c r="F772" t="inlineStr">
        <is>
          <t>NORRBOTTENS LÄN</t>
        </is>
      </c>
      <c r="G772" t="inlineStr">
        <is>
          <t>BODEN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12801-2023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45001</v>
      </c>
      <c r="E773" s="1" t="n">
        <v>46232</v>
      </c>
      <c r="F773" t="inlineStr">
        <is>
          <t>NORRBOTTENS LÄN</t>
        </is>
      </c>
      <c r="G773" t="inlineStr">
        <is>
          <t>BODEN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31211-2026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46217</v>
      </c>
      <c r="E774" s="1" t="n">
        <v>46232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20041-2025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45772</v>
      </c>
      <c r="E775" s="1" t="n">
        <v>46232</v>
      </c>
      <c r="F775" t="inlineStr">
        <is>
          <t>NORRBOTTENS LÄN</t>
        </is>
      </c>
      <c r="G775" t="inlineStr">
        <is>
          <t>BODEN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19582-2025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45770</v>
      </c>
      <c r="E776" s="1" t="n">
        <v>46232</v>
      </c>
      <c r="F776" t="inlineStr">
        <is>
          <t>NORRBOTTENS LÄN</t>
        </is>
      </c>
      <c r="G776" t="inlineStr">
        <is>
          <t>BODEN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8170-2025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45708</v>
      </c>
      <c r="E777" s="1" t="n">
        <v>46232</v>
      </c>
      <c r="F777" t="inlineStr">
        <is>
          <t>NORRBOTTENS LÄN</t>
        </is>
      </c>
      <c r="G777" t="inlineStr">
        <is>
          <t>BODEN</t>
        </is>
      </c>
      <c r="H777" t="inlineStr">
        <is>
          <t>Övriga Aktiebolag</t>
        </is>
      </c>
      <c r="I777" t="n">
        <v>15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6242-2023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44964</v>
      </c>
      <c r="E778" s="1" t="n">
        <v>46232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25240-2026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46232</v>
      </c>
      <c r="F779" t="inlineStr">
        <is>
          <t>NORRBOTTENS LÄN</t>
        </is>
      </c>
      <c r="G779" t="inlineStr">
        <is>
          <t>BODEN</t>
        </is>
      </c>
      <c r="I779" t="n">
        <v>6.4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25817-2026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46232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7.5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45035</v>
      </c>
      <c r="E781" s="1" t="n">
        <v>46232</v>
      </c>
      <c r="F781" t="inlineStr">
        <is>
          <t>NORRBOTTENS LÄN</t>
        </is>
      </c>
      <c r="G781" t="inlineStr">
        <is>
          <t>BODEN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28074-2024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45476</v>
      </c>
      <c r="E782" s="1" t="n">
        <v>46232</v>
      </c>
      <c r="F782" t="inlineStr">
        <is>
          <t>NORRBOTTENS LÄN</t>
        </is>
      </c>
      <c r="G782" t="inlineStr">
        <is>
          <t>BODEN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26964-2023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45093</v>
      </c>
      <c r="E783" s="1" t="n">
        <v>46232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8869-2024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45356</v>
      </c>
      <c r="E784" s="1" t="n">
        <v>46232</v>
      </c>
      <c r="F784" t="inlineStr">
        <is>
          <t>NORRBOTTENS LÄN</t>
        </is>
      </c>
      <c r="G784" t="inlineStr">
        <is>
          <t>BODEN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54590-2022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44883</v>
      </c>
      <c r="E785" s="1" t="n">
        <v>46232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46232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45529</v>
      </c>
      <c r="E787" s="1" t="n">
        <v>46232</v>
      </c>
      <c r="F787" t="inlineStr">
        <is>
          <t>NORRBOTTENS LÄN</t>
        </is>
      </c>
      <c r="G787" t="inlineStr">
        <is>
          <t>BODEN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45099</v>
      </c>
      <c r="E788" s="1" t="n">
        <v>46232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57604-2021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44484</v>
      </c>
      <c r="E789" s="1" t="n">
        <v>46232</v>
      </c>
      <c r="F789" t="inlineStr">
        <is>
          <t>NORRBOTTENS LÄN</t>
        </is>
      </c>
      <c r="G789" t="inlineStr">
        <is>
          <t>BODEN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46232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23706-2024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45454</v>
      </c>
      <c r="E791" s="1" t="n">
        <v>46232</v>
      </c>
      <c r="F791" t="inlineStr">
        <is>
          <t>NORRBOTTENS LÄN</t>
        </is>
      </c>
      <c r="G791" t="inlineStr">
        <is>
          <t>BODEN</t>
        </is>
      </c>
      <c r="I791" t="n">
        <v>10.9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44614</v>
      </c>
      <c r="E792" s="1" t="n">
        <v>46232</v>
      </c>
      <c r="F792" t="inlineStr">
        <is>
          <t>NORRBOTTENS LÄN</t>
        </is>
      </c>
      <c r="G792" t="inlineStr">
        <is>
          <t>BODEN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25387-2023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45079</v>
      </c>
      <c r="E793" s="1" t="n">
        <v>46232</v>
      </c>
      <c r="F793" t="inlineStr">
        <is>
          <t>NORRBOTTENS LÄN</t>
        </is>
      </c>
      <c r="G793" t="inlineStr">
        <is>
          <t>BODEN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45762</v>
      </c>
      <c r="E794" s="1" t="n">
        <v>46232</v>
      </c>
      <c r="F794" t="inlineStr">
        <is>
          <t>NORRBOTTENS LÄN</t>
        </is>
      </c>
      <c r="G794" t="inlineStr">
        <is>
          <t>BODEN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24498-2026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46232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46225</v>
      </c>
      <c r="E796" s="1" t="n">
        <v>46232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46225</v>
      </c>
      <c r="E797" s="1" t="n">
        <v>46232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62140-2024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46232</v>
      </c>
      <c r="F798" t="inlineStr">
        <is>
          <t>NORRBOTTENS LÄN</t>
        </is>
      </c>
      <c r="G798" t="inlineStr">
        <is>
          <t>BODEN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48129-2023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46232</v>
      </c>
      <c r="F799" t="inlineStr">
        <is>
          <t>NORRBOTTENS LÄN</t>
        </is>
      </c>
      <c r="G799" t="inlineStr">
        <is>
          <t>BODEN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54616-2023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45233</v>
      </c>
      <c r="E800" s="1" t="n">
        <v>46232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26122-2026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46232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26182-2026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46182</v>
      </c>
      <c r="E802" s="1" t="n">
        <v>46232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26056-2026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46181</v>
      </c>
      <c r="E803" s="1" t="n">
        <v>46232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26448-2026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46183</v>
      </c>
      <c r="E804" s="1" t="n">
        <v>46232</v>
      </c>
      <c r="F804" t="inlineStr">
        <is>
          <t>NORRBOTTENS LÄN</t>
        </is>
      </c>
      <c r="G804" t="inlineStr">
        <is>
          <t>BODEN</t>
        </is>
      </c>
      <c r="I804" t="n">
        <v>7.7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12562-2024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45379</v>
      </c>
      <c r="E805" s="1" t="n">
        <v>46232</v>
      </c>
      <c r="F805" t="inlineStr">
        <is>
          <t>NORRBOTTENS LÄN</t>
        </is>
      </c>
      <c r="G805" t="inlineStr">
        <is>
          <t>BODEN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20260-2025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45773</v>
      </c>
      <c r="E806" s="1" t="n">
        <v>46232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26714-2026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46184</v>
      </c>
      <c r="E807" s="1" t="n">
        <v>46232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11651-2023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44994</v>
      </c>
      <c r="E808" s="1" t="n">
        <v>46232</v>
      </c>
      <c r="F808" t="inlineStr">
        <is>
          <t>NORRBOTTENS LÄN</t>
        </is>
      </c>
      <c r="G808" t="inlineStr">
        <is>
          <t>BODEN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26776-2026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46232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  <c r="Z809">
        <f>HYPERLINK("https://klasma.github.io/Logging_2582/knärot/A 26776-2026 karta knärot.png", "A 26776-2026")</f>
        <v/>
      </c>
      <c r="AA809">
        <f>HYPERLINK("https://klasma.github.io/Logging_2582/klagomål/A 26776-2026 FSC-klagomål.docx", "A 26776-2026")</f>
        <v/>
      </c>
      <c r="AB809">
        <f>HYPERLINK("https://klasma.github.io/Logging_2582/klagomålsmail/A 26776-2026 FSC-klagomål mail.docx", "A 26776-2026")</f>
        <v/>
      </c>
      <c r="AC809">
        <f>HYPERLINK("https://klasma.github.io/Logging_2582/tillsyn/A 26776-2026 tillsynsbegäran.docx", "A 26776-2026")</f>
        <v/>
      </c>
      <c r="AD809">
        <f>HYPERLINK("https://klasma.github.io/Logging_2582/tillsynsmail/A 26776-2026 tillsynsbegäran mail.docx", "A 26776-2026")</f>
        <v/>
      </c>
    </row>
    <row r="810" ht="15" customHeight="1">
      <c r="A810" t="inlineStr">
        <is>
          <t>A 26375-2026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46232</v>
      </c>
      <c r="F810" t="inlineStr">
        <is>
          <t>NORRBOTTENS LÄN</t>
        </is>
      </c>
      <c r="G810" t="inlineStr">
        <is>
          <t>BODEN</t>
        </is>
      </c>
      <c r="I810" t="n">
        <v>18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46232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718-2022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44568</v>
      </c>
      <c r="E812" s="1" t="n">
        <v>46232</v>
      </c>
      <c r="F812" t="inlineStr">
        <is>
          <t>NORRBOTTENS LÄN</t>
        </is>
      </c>
      <c r="G812" t="inlineStr">
        <is>
          <t>BODEN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43969-2024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45572</v>
      </c>
      <c r="E813" s="1" t="n">
        <v>46232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46232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42.2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45764</v>
      </c>
      <c r="E815" s="1" t="n">
        <v>46232</v>
      </c>
      <c r="F815" t="inlineStr">
        <is>
          <t>NORRBOTTENS LÄN</t>
        </is>
      </c>
      <c r="G815" t="inlineStr">
        <is>
          <t>BODEN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19050-2025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45764</v>
      </c>
      <c r="E816" s="1" t="n">
        <v>46232</v>
      </c>
      <c r="F816" t="inlineStr">
        <is>
          <t>NORRBOTTENS LÄN</t>
        </is>
      </c>
      <c r="G816" t="inlineStr">
        <is>
          <t>BODEN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54718-2024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45618</v>
      </c>
      <c r="E817" s="1" t="n">
        <v>46232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28357-2023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45099</v>
      </c>
      <c r="E818" s="1" t="n">
        <v>46232</v>
      </c>
      <c r="F818" t="inlineStr">
        <is>
          <t>NORRBOTTENS LÄN</t>
        </is>
      </c>
      <c r="G818" t="inlineStr">
        <is>
          <t>BODEN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31209-2026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46217</v>
      </c>
      <c r="E819" s="1" t="n">
        <v>46232</v>
      </c>
      <c r="F819" t="inlineStr">
        <is>
          <t>NORRBOTTENS LÄN</t>
        </is>
      </c>
      <c r="G819" t="inlineStr">
        <is>
          <t>BODEN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38219-2022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44812</v>
      </c>
      <c r="E820" s="1" t="n">
        <v>46232</v>
      </c>
      <c r="F820" t="inlineStr">
        <is>
          <t>NORRBOTTENS LÄN</t>
        </is>
      </c>
      <c r="G820" t="inlineStr">
        <is>
          <t>BODEN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40624-2022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44823</v>
      </c>
      <c r="E821" s="1" t="n">
        <v>46232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56457-2024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45625</v>
      </c>
      <c r="E822" s="1" t="n">
        <v>46232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26996-2026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46232</v>
      </c>
      <c r="F823" t="inlineStr">
        <is>
          <t>NORRBOTTENS LÄN</t>
        </is>
      </c>
      <c r="G823" t="inlineStr">
        <is>
          <t>BODEN</t>
        </is>
      </c>
      <c r="I823" t="n">
        <v>5.8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48107-2022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44856</v>
      </c>
      <c r="E824" s="1" t="n">
        <v>46232</v>
      </c>
      <c r="F824" t="inlineStr">
        <is>
          <t>NORRBOTTENS LÄN</t>
        </is>
      </c>
      <c r="G824" t="inlineStr">
        <is>
          <t>BODEN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14743-2023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45013</v>
      </c>
      <c r="E825" s="1" t="n">
        <v>46232</v>
      </c>
      <c r="F825" t="inlineStr">
        <is>
          <t>NORRBOTTENS LÄN</t>
        </is>
      </c>
      <c r="G825" t="inlineStr">
        <is>
          <t>BODEN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3462-2022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44585</v>
      </c>
      <c r="E826" s="1" t="n">
        <v>46232</v>
      </c>
      <c r="F826" t="inlineStr">
        <is>
          <t>NORRBOTTENS LÄN</t>
        </is>
      </c>
      <c r="G826" t="inlineStr">
        <is>
          <t>BODEN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49113-2023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45204</v>
      </c>
      <c r="E827" s="1" t="n">
        <v>46232</v>
      </c>
      <c r="F827" t="inlineStr">
        <is>
          <t>NORRBOTTENS LÄN</t>
        </is>
      </c>
      <c r="G827" t="inlineStr">
        <is>
          <t>BODEN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45687</v>
      </c>
      <c r="E828" s="1" t="n">
        <v>46232</v>
      </c>
      <c r="F828" t="inlineStr">
        <is>
          <t>NORRBOTTENS LÄN</t>
        </is>
      </c>
      <c r="G828" t="inlineStr">
        <is>
          <t>BODEN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44935</v>
      </c>
      <c r="E829" s="1" t="n">
        <v>46232</v>
      </c>
      <c r="F829" t="inlineStr">
        <is>
          <t>NORRBOTTENS LÄN</t>
        </is>
      </c>
      <c r="G829" t="inlineStr">
        <is>
          <t>BODEN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23232-2024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45453</v>
      </c>
      <c r="E830" s="1" t="n">
        <v>46232</v>
      </c>
      <c r="F830" t="inlineStr">
        <is>
          <t>NORRBOTTENS LÄN</t>
        </is>
      </c>
      <c r="G830" t="inlineStr">
        <is>
          <t>BODEN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61588-2024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45646</v>
      </c>
      <c r="E831" s="1" t="n">
        <v>46232</v>
      </c>
      <c r="F831" t="inlineStr">
        <is>
          <t>NORRBOTTENS LÄN</t>
        </is>
      </c>
      <c r="G831" t="inlineStr">
        <is>
          <t>BODEN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28758-2024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45478</v>
      </c>
      <c r="E832" s="1" t="n">
        <v>46232</v>
      </c>
      <c r="F832" t="inlineStr">
        <is>
          <t>NORRBOTTENS LÄN</t>
        </is>
      </c>
      <c r="G832" t="inlineStr">
        <is>
          <t>BODEN</t>
        </is>
      </c>
      <c r="I832" t="n">
        <v>7.5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13925-2024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45391</v>
      </c>
      <c r="E833" s="1" t="n">
        <v>46232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21128-2025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45778</v>
      </c>
      <c r="E834" s="1" t="n">
        <v>46232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21349-2025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45782</v>
      </c>
      <c r="E835" s="1" t="n">
        <v>46232</v>
      </c>
      <c r="F835" t="inlineStr">
        <is>
          <t>NORRBOTTENS LÄN</t>
        </is>
      </c>
      <c r="G835" t="inlineStr">
        <is>
          <t>BODEN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36115-2023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46232</v>
      </c>
      <c r="F836" t="inlineStr">
        <is>
          <t>NORRBOTTENS LÄN</t>
        </is>
      </c>
      <c r="G836" t="inlineStr">
        <is>
          <t>BODEN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22372-2025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45786</v>
      </c>
      <c r="E837" s="1" t="n">
        <v>46232</v>
      </c>
      <c r="F837" t="inlineStr">
        <is>
          <t>NORRBOTTENS LÄN</t>
        </is>
      </c>
      <c r="G837" t="inlineStr">
        <is>
          <t>BODEN</t>
        </is>
      </c>
      <c r="H837" t="inlineStr">
        <is>
          <t>Kommuner</t>
        </is>
      </c>
      <c r="I837" t="n">
        <v>16.3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46232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12558-2024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45379</v>
      </c>
      <c r="E839" s="1" t="n">
        <v>46232</v>
      </c>
      <c r="F839" t="inlineStr">
        <is>
          <t>NORRBOTTENS LÄN</t>
        </is>
      </c>
      <c r="G839" t="inlineStr">
        <is>
          <t>BODEN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23761-2025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45793</v>
      </c>
      <c r="E840" s="1" t="n">
        <v>46232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23763-2025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46232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23724-2025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46232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48420-2024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46232</v>
      </c>
      <c r="F843" t="inlineStr">
        <is>
          <t>NORRBOTTENS LÄN</t>
        </is>
      </c>
      <c r="G843" t="inlineStr">
        <is>
          <t>BODEN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48427-2024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45590</v>
      </c>
      <c r="E844" s="1" t="n">
        <v>46232</v>
      </c>
      <c r="F844" t="inlineStr">
        <is>
          <t>NORRBOTTENS LÄN</t>
        </is>
      </c>
      <c r="G844" t="inlineStr">
        <is>
          <t>BODEN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24358-2025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45797</v>
      </c>
      <c r="E845" s="1" t="n">
        <v>46232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24733-2025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45799</v>
      </c>
      <c r="E846" s="1" t="n">
        <v>46232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24545-2025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45798</v>
      </c>
      <c r="E847" s="1" t="n">
        <v>46232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46232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46232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46232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46232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46232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46232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46232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46232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46232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46232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46232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46232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46232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46232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46232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46232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46232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46232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46232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46232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46232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46232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2026-07-29T01:48:55Z</dcterms:created>
  <dcterms:modified xmlns:dcterms="http://purl.org/dc/terms/" xmlns:xsi="http://www.w3.org/2001/XMLSchema-instance" xsi:type="dcterms:W3CDTF">2026-07-29T01:48:56Z</dcterms:modified>
</cp:coreProperties>
</file>