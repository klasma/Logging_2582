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45803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45803</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45803</v>
      </c>
      <c r="D4" t="inlineStr">
        <is>
          <t>NORRBOTTENS LÄN</t>
        </is>
      </c>
      <c r="E4" t="inlineStr">
        <is>
          <t>BODEN</t>
        </is>
      </c>
      <c r="F4" t="inlineStr">
        <is>
          <t>Sveaskog</t>
        </is>
      </c>
      <c r="G4" t="n">
        <v>24.6</v>
      </c>
      <c r="H4" t="n">
        <v>4</v>
      </c>
      <c r="I4" t="n">
        <v>4</v>
      </c>
      <c r="J4" t="n">
        <v>15</v>
      </c>
      <c r="K4" t="n">
        <v>2</v>
      </c>
      <c r="L4" t="n">
        <v>0</v>
      </c>
      <c r="M4" t="n">
        <v>0</v>
      </c>
      <c r="N4" t="n">
        <v>0</v>
      </c>
      <c r="O4" t="n">
        <v>17</v>
      </c>
      <c r="P4" t="n">
        <v>2</v>
      </c>
      <c r="Q4" t="n">
        <v>23</v>
      </c>
      <c r="R4" s="2" t="inlineStr">
        <is>
          <t>Gräddporing
Knärot
Blanksvart spiklav
Blågrå svartspik
Brunpudrad nållav
Dvärgbägarlav
Garnlav
Kolflarnlav
Mörk kolflarnlav
Nordtagging
Rosenticka
Svart taggsvamp
Tallticka
Tretåig hackspett
Ullticka
Vaddporing
Vedskivlav
Blodticka
Bronshjon
Dropptaggsvamp
Nästlav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45803</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45803</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45803</v>
      </c>
      <c r="D7" t="inlineStr">
        <is>
          <t>NORRBOTTENS LÄN</t>
        </is>
      </c>
      <c r="E7" t="inlineStr">
        <is>
          <t>BODEN</t>
        </is>
      </c>
      <c r="F7" t="inlineStr">
        <is>
          <t>SCA</t>
        </is>
      </c>
      <c r="G7" t="n">
        <v>7.2</v>
      </c>
      <c r="H7" t="n">
        <v>3</v>
      </c>
      <c r="I7" t="n">
        <v>2</v>
      </c>
      <c r="J7" t="n">
        <v>9</v>
      </c>
      <c r="K7" t="n">
        <v>0</v>
      </c>
      <c r="L7" t="n">
        <v>0</v>
      </c>
      <c r="M7" t="n">
        <v>0</v>
      </c>
      <c r="N7" t="n">
        <v>0</v>
      </c>
      <c r="O7" t="n">
        <v>9</v>
      </c>
      <c r="P7" t="n">
        <v>0</v>
      </c>
      <c r="Q7" t="n">
        <v>13</v>
      </c>
      <c r="R7" s="2" t="inlineStr">
        <is>
          <t>Gammelgransskål
Garnlav
Granticka
Knottrig blåslav
Nordlig nållav
Ullticka
Vedskivlav
Vitgrynig nållav
Äggvaxskivling
Plattlummer
Skinnlav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45803</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45803</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45803</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45803</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45803</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45803</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45803</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45803</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45803</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45803</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45803</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12522-2020</t>
        </is>
      </c>
      <c r="B19" s="1" t="n">
        <v>43896</v>
      </c>
      <c r="C19" s="1" t="n">
        <v>45803</v>
      </c>
      <c r="D19" t="inlineStr">
        <is>
          <t>NORRBOTTENS LÄN</t>
        </is>
      </c>
      <c r="E19" t="inlineStr">
        <is>
          <t>BODEN</t>
        </is>
      </c>
      <c r="F19" t="inlineStr">
        <is>
          <t>SCA</t>
        </is>
      </c>
      <c r="G19" t="n">
        <v>11.3</v>
      </c>
      <c r="H19" t="n">
        <v>0</v>
      </c>
      <c r="I19" t="n">
        <v>3</v>
      </c>
      <c r="J19" t="n">
        <v>5</v>
      </c>
      <c r="K19" t="n">
        <v>0</v>
      </c>
      <c r="L19" t="n">
        <v>0</v>
      </c>
      <c r="M19" t="n">
        <v>0</v>
      </c>
      <c r="N19" t="n">
        <v>0</v>
      </c>
      <c r="O19" t="n">
        <v>5</v>
      </c>
      <c r="P19" t="n">
        <v>0</v>
      </c>
      <c r="Q19" t="n">
        <v>8</v>
      </c>
      <c r="R19" s="2" t="inlineStr">
        <is>
          <t>Garnlav
Granticka
Lunglav
Stiftgelélav
Violettgrå tagellav
Luddlav
Skinnlav
Stuplav</t>
        </is>
      </c>
      <c r="S19">
        <f>HYPERLINK("https://klasma.github.io/Logging_2582/artfynd/A 12522-2020 artfynd.xlsx", "A 12522-2020")</f>
        <v/>
      </c>
      <c r="T19">
        <f>HYPERLINK("https://klasma.github.io/Logging_2582/kartor/A 12522-2020 karta.png", "A 12522-2020")</f>
        <v/>
      </c>
      <c r="V19">
        <f>HYPERLINK("https://klasma.github.io/Logging_2582/klagomål/A 12522-2020 FSC-klagomål.docx", "A 12522-2020")</f>
        <v/>
      </c>
      <c r="W19">
        <f>HYPERLINK("https://klasma.github.io/Logging_2582/klagomålsmail/A 12522-2020 FSC-klagomål mail.docx", "A 12522-2020")</f>
        <v/>
      </c>
      <c r="X19">
        <f>HYPERLINK("https://klasma.github.io/Logging_2582/tillsyn/A 12522-2020 tillsynsbegäran.docx", "A 12522-2020")</f>
        <v/>
      </c>
      <c r="Y19">
        <f>HYPERLINK("https://klasma.github.io/Logging_2582/tillsynsmail/A 12522-2020 tillsynsbegäran mail.docx", "A 12522-2020")</f>
        <v/>
      </c>
    </row>
    <row r="20" ht="15" customHeight="1">
      <c r="A20" t="inlineStr">
        <is>
          <t>A 54297-2020</t>
        </is>
      </c>
      <c r="B20" s="1" t="n">
        <v>44124</v>
      </c>
      <c r="C20" s="1" t="n">
        <v>45803</v>
      </c>
      <c r="D20" t="inlineStr">
        <is>
          <t>NORRBOTTENS LÄN</t>
        </is>
      </c>
      <c r="E20" t="inlineStr">
        <is>
          <t>BODEN</t>
        </is>
      </c>
      <c r="G20" t="n">
        <v>15</v>
      </c>
      <c r="H20" t="n">
        <v>7</v>
      </c>
      <c r="I20" t="n">
        <v>0</v>
      </c>
      <c r="J20" t="n">
        <v>5</v>
      </c>
      <c r="K20" t="n">
        <v>0</v>
      </c>
      <c r="L20" t="n">
        <v>0</v>
      </c>
      <c r="M20" t="n">
        <v>0</v>
      </c>
      <c r="N20" t="n">
        <v>0</v>
      </c>
      <c r="O20" t="n">
        <v>5</v>
      </c>
      <c r="P20" t="n">
        <v>0</v>
      </c>
      <c r="Q20" t="n">
        <v>8</v>
      </c>
      <c r="R20" s="2" t="inlineStr">
        <is>
          <t>Järpe
Spillkråka
Svartvit taggsvamp
Talltita
Videsparv
Lavskrika
Orre
Revlummer</t>
        </is>
      </c>
      <c r="S20">
        <f>HYPERLINK("https://klasma.github.io/Logging_2582/artfynd/A 54297-2020 artfynd.xlsx", "A 54297-2020")</f>
        <v/>
      </c>
      <c r="T20">
        <f>HYPERLINK("https://klasma.github.io/Logging_2582/kartor/A 54297-2020 karta.png", "A 54297-2020")</f>
        <v/>
      </c>
      <c r="V20">
        <f>HYPERLINK("https://klasma.github.io/Logging_2582/klagomål/A 54297-2020 FSC-klagomål.docx", "A 54297-2020")</f>
        <v/>
      </c>
      <c r="W20">
        <f>HYPERLINK("https://klasma.github.io/Logging_2582/klagomålsmail/A 54297-2020 FSC-klagomål mail.docx", "A 54297-2020")</f>
        <v/>
      </c>
      <c r="X20">
        <f>HYPERLINK("https://klasma.github.io/Logging_2582/tillsyn/A 54297-2020 tillsynsbegäran.docx", "A 54297-2020")</f>
        <v/>
      </c>
      <c r="Y20">
        <f>HYPERLINK("https://klasma.github.io/Logging_2582/tillsynsmail/A 54297-2020 tillsynsbegäran mail.docx", "A 54297-2020")</f>
        <v/>
      </c>
      <c r="Z20">
        <f>HYPERLINK("https://klasma.github.io/Logging_2582/fåglar/A 54297-2020 prioriterade fågelarter.docx", "A 54297-2020")</f>
        <v/>
      </c>
    </row>
    <row r="21" ht="15" customHeight="1">
      <c r="A21" t="inlineStr">
        <is>
          <t>A 1408-2022</t>
        </is>
      </c>
      <c r="B21" s="1" t="n">
        <v>44573</v>
      </c>
      <c r="C21" s="1" t="n">
        <v>45803</v>
      </c>
      <c r="D21" t="inlineStr">
        <is>
          <t>NORRBOTTENS LÄN</t>
        </is>
      </c>
      <c r="E21" t="inlineStr">
        <is>
          <t>BODEN</t>
        </is>
      </c>
      <c r="F21" t="inlineStr">
        <is>
          <t>Övriga statliga verk och myndigheter</t>
        </is>
      </c>
      <c r="G21" t="n">
        <v>21.5</v>
      </c>
      <c r="H21" t="n">
        <v>6</v>
      </c>
      <c r="I21" t="n">
        <v>1</v>
      </c>
      <c r="J21" t="n">
        <v>4</v>
      </c>
      <c r="K21" t="n">
        <v>0</v>
      </c>
      <c r="L21" t="n">
        <v>0</v>
      </c>
      <c r="M21" t="n">
        <v>0</v>
      </c>
      <c r="N21" t="n">
        <v>0</v>
      </c>
      <c r="O21" t="n">
        <v>4</v>
      </c>
      <c r="P21" t="n">
        <v>0</v>
      </c>
      <c r="Q21" t="n">
        <v>8</v>
      </c>
      <c r="R21" s="2" t="inlineStr">
        <is>
          <t>Järpe
Lunglav
Talltita
Tretåig hackspett
Stuplav
Gråspett
Sparvuggla
Tjäder</t>
        </is>
      </c>
      <c r="S21">
        <f>HYPERLINK("https://klasma.github.io/Logging_2582/artfynd/A 1408-2022 artfynd.xlsx", "A 1408-2022")</f>
        <v/>
      </c>
      <c r="T21">
        <f>HYPERLINK("https://klasma.github.io/Logging_2582/kartor/A 1408-2022 karta.png", "A 1408-2022")</f>
        <v/>
      </c>
      <c r="V21">
        <f>HYPERLINK("https://klasma.github.io/Logging_2582/klagomål/A 1408-2022 FSC-klagomål.docx", "A 1408-2022")</f>
        <v/>
      </c>
      <c r="W21">
        <f>HYPERLINK("https://klasma.github.io/Logging_2582/klagomålsmail/A 1408-2022 FSC-klagomål mail.docx", "A 1408-2022")</f>
        <v/>
      </c>
      <c r="X21">
        <f>HYPERLINK("https://klasma.github.io/Logging_2582/tillsyn/A 1408-2022 tillsynsbegäran.docx", "A 1408-2022")</f>
        <v/>
      </c>
      <c r="Y21">
        <f>HYPERLINK("https://klasma.github.io/Logging_2582/tillsynsmail/A 1408-2022 tillsynsbegäran mail.docx", "A 1408-2022")</f>
        <v/>
      </c>
      <c r="Z21">
        <f>HYPERLINK("https://klasma.github.io/Logging_2582/fåglar/A 1408-2022 prioriterade fågelarter.docx", "A 1408-2022")</f>
        <v/>
      </c>
    </row>
    <row r="22" ht="15" customHeight="1">
      <c r="A22" t="inlineStr">
        <is>
          <t>A 49753-2022</t>
        </is>
      </c>
      <c r="B22" s="1" t="n">
        <v>44859</v>
      </c>
      <c r="C22" s="1" t="n">
        <v>45803</v>
      </c>
      <c r="D22" t="inlineStr">
        <is>
          <t>NORRBOTTENS LÄN</t>
        </is>
      </c>
      <c r="E22" t="inlineStr">
        <is>
          <t>BODEN</t>
        </is>
      </c>
      <c r="F22" t="inlineStr">
        <is>
          <t>Övriga statliga verk och myndigheter</t>
        </is>
      </c>
      <c r="G22" t="n">
        <v>21.2</v>
      </c>
      <c r="H22" t="n">
        <v>4</v>
      </c>
      <c r="I22" t="n">
        <v>2</v>
      </c>
      <c r="J22" t="n">
        <v>4</v>
      </c>
      <c r="K22" t="n">
        <v>0</v>
      </c>
      <c r="L22" t="n">
        <v>0</v>
      </c>
      <c r="M22" t="n">
        <v>0</v>
      </c>
      <c r="N22" t="n">
        <v>0</v>
      </c>
      <c r="O22" t="n">
        <v>5</v>
      </c>
      <c r="P22" t="n">
        <v>0</v>
      </c>
      <c r="Q22" t="n">
        <v>8</v>
      </c>
      <c r="R22" s="2" t="inlineStr">
        <is>
          <t>Garnlav
Järpe
Motaggsvamp
Talltita
Mandarinfingersvamp
Norrlandslav
Plattlummer
Revlummer</t>
        </is>
      </c>
      <c r="S22">
        <f>HYPERLINK("https://klasma.github.io/Logging_2582/artfynd/A 49753-2022 artfynd.xlsx", "A 49753-2022")</f>
        <v/>
      </c>
      <c r="T22">
        <f>HYPERLINK("https://klasma.github.io/Logging_2582/kartor/A 49753-2022 karta.png", "A 49753-2022")</f>
        <v/>
      </c>
      <c r="V22">
        <f>HYPERLINK("https://klasma.github.io/Logging_2582/klagomål/A 49753-2022 FSC-klagomål.docx", "A 49753-2022")</f>
        <v/>
      </c>
      <c r="W22">
        <f>HYPERLINK("https://klasma.github.io/Logging_2582/klagomålsmail/A 49753-2022 FSC-klagomål mail.docx", "A 49753-2022")</f>
        <v/>
      </c>
      <c r="X22">
        <f>HYPERLINK("https://klasma.github.io/Logging_2582/tillsyn/A 49753-2022 tillsynsbegäran.docx", "A 49753-2022")</f>
        <v/>
      </c>
      <c r="Y22">
        <f>HYPERLINK("https://klasma.github.io/Logging_2582/tillsynsmail/A 49753-2022 tillsynsbegäran mail.docx", "A 49753-2022")</f>
        <v/>
      </c>
      <c r="Z22">
        <f>HYPERLINK("https://klasma.github.io/Logging_2582/fåglar/A 49753-2022 prioriterade fågelarter.docx", "A 49753-2022")</f>
        <v/>
      </c>
    </row>
    <row r="23" ht="15" customHeight="1">
      <c r="A23" t="inlineStr">
        <is>
          <t>A 56172-2022</t>
        </is>
      </c>
      <c r="B23" s="1" t="n">
        <v>44889</v>
      </c>
      <c r="C23" s="1" t="n">
        <v>45803</v>
      </c>
      <c r="D23" t="inlineStr">
        <is>
          <t>NORRBOTTENS LÄN</t>
        </is>
      </c>
      <c r="E23" t="inlineStr">
        <is>
          <t>BODEN</t>
        </is>
      </c>
      <c r="F23" t="inlineStr">
        <is>
          <t>SCA</t>
        </is>
      </c>
      <c r="G23" t="n">
        <v>4</v>
      </c>
      <c r="H23" t="n">
        <v>0</v>
      </c>
      <c r="I23" t="n">
        <v>3</v>
      </c>
      <c r="J23" t="n">
        <v>5</v>
      </c>
      <c r="K23" t="n">
        <v>0</v>
      </c>
      <c r="L23" t="n">
        <v>0</v>
      </c>
      <c r="M23" t="n">
        <v>0</v>
      </c>
      <c r="N23" t="n">
        <v>0</v>
      </c>
      <c r="O23" t="n">
        <v>5</v>
      </c>
      <c r="P23" t="n">
        <v>0</v>
      </c>
      <c r="Q23" t="n">
        <v>8</v>
      </c>
      <c r="R23" s="2" t="inlineStr">
        <is>
          <t>Garnlav
Granticka
Lunglav
Stiftgelélav
Violettgrå tagellav
Luddlav
Skinnlav
Stuplav</t>
        </is>
      </c>
      <c r="S23">
        <f>HYPERLINK("https://klasma.github.io/Logging_2582/artfynd/A 56172-2022 artfynd.xlsx", "A 56172-2022")</f>
        <v/>
      </c>
      <c r="T23">
        <f>HYPERLINK("https://klasma.github.io/Logging_2582/kartor/A 56172-2022 karta.png", "A 56172-2022")</f>
        <v/>
      </c>
      <c r="V23">
        <f>HYPERLINK("https://klasma.github.io/Logging_2582/klagomål/A 56172-2022 FSC-klagomål.docx", "A 56172-2022")</f>
        <v/>
      </c>
      <c r="W23">
        <f>HYPERLINK("https://klasma.github.io/Logging_2582/klagomålsmail/A 56172-2022 FSC-klagomål mail.docx", "A 56172-2022")</f>
        <v/>
      </c>
      <c r="X23">
        <f>HYPERLINK("https://klasma.github.io/Logging_2582/tillsyn/A 56172-2022 tillsynsbegäran.docx", "A 56172-2022")</f>
        <v/>
      </c>
      <c r="Y23">
        <f>HYPERLINK("https://klasma.github.io/Logging_2582/tillsynsmail/A 56172-2022 tillsynsbegäran mail.docx", "A 56172-2022")</f>
        <v/>
      </c>
    </row>
    <row r="24" ht="15" customHeight="1">
      <c r="A24" t="inlineStr">
        <is>
          <t>A 44130-2023</t>
        </is>
      </c>
      <c r="B24" s="1" t="n">
        <v>45182</v>
      </c>
      <c r="C24" s="1" t="n">
        <v>45803</v>
      </c>
      <c r="D24" t="inlineStr">
        <is>
          <t>NORRBOTTENS LÄN</t>
        </is>
      </c>
      <c r="E24" t="inlineStr">
        <is>
          <t>BODEN</t>
        </is>
      </c>
      <c r="G24" t="n">
        <v>11.8</v>
      </c>
      <c r="H24" t="n">
        <v>7</v>
      </c>
      <c r="I24" t="n">
        <v>0</v>
      </c>
      <c r="J24" t="n">
        <v>5</v>
      </c>
      <c r="K24" t="n">
        <v>0</v>
      </c>
      <c r="L24" t="n">
        <v>0</v>
      </c>
      <c r="M24" t="n">
        <v>0</v>
      </c>
      <c r="N24" t="n">
        <v>0</v>
      </c>
      <c r="O24" t="n">
        <v>5</v>
      </c>
      <c r="P24" t="n">
        <v>0</v>
      </c>
      <c r="Q24" t="n">
        <v>8</v>
      </c>
      <c r="R24" s="2" t="inlineStr">
        <is>
          <t>Järpe
Spillkråka
Svartvit taggsvamp
Talltita
Videsparv
Lavskrika
Orre
Revlummer</t>
        </is>
      </c>
      <c r="S24">
        <f>HYPERLINK("https://klasma.github.io/Logging_2582/artfynd/A 44130-2023 artfynd.xlsx", "A 44130-2023")</f>
        <v/>
      </c>
      <c r="T24">
        <f>HYPERLINK("https://klasma.github.io/Logging_2582/kartor/A 44130-2023 karta.png", "A 44130-2023")</f>
        <v/>
      </c>
      <c r="V24">
        <f>HYPERLINK("https://klasma.github.io/Logging_2582/klagomål/A 44130-2023 FSC-klagomål.docx", "A 44130-2023")</f>
        <v/>
      </c>
      <c r="W24">
        <f>HYPERLINK("https://klasma.github.io/Logging_2582/klagomålsmail/A 44130-2023 FSC-klagomål mail.docx", "A 44130-2023")</f>
        <v/>
      </c>
      <c r="X24">
        <f>HYPERLINK("https://klasma.github.io/Logging_2582/tillsyn/A 44130-2023 tillsynsbegäran.docx", "A 44130-2023")</f>
        <v/>
      </c>
      <c r="Y24">
        <f>HYPERLINK("https://klasma.github.io/Logging_2582/tillsynsmail/A 44130-2023 tillsynsbegäran mail.docx", "A 44130-2023")</f>
        <v/>
      </c>
      <c r="Z24">
        <f>HYPERLINK("https://klasma.github.io/Logging_2582/fåglar/A 44130-2023 prioriterade fågelarter.docx", "A 44130-2023")</f>
        <v/>
      </c>
    </row>
    <row r="25" ht="15" customHeight="1">
      <c r="A25" t="inlineStr">
        <is>
          <t>A 49809-2023</t>
        </is>
      </c>
      <c r="B25" s="1" t="n">
        <v>45212</v>
      </c>
      <c r="C25" s="1" t="n">
        <v>45803</v>
      </c>
      <c r="D25" t="inlineStr">
        <is>
          <t>NORRBOTTENS LÄN</t>
        </is>
      </c>
      <c r="E25" t="inlineStr">
        <is>
          <t>BODEN</t>
        </is>
      </c>
      <c r="F25" t="inlineStr">
        <is>
          <t>Sveaskog</t>
        </is>
      </c>
      <c r="G25" t="n">
        <v>5.7</v>
      </c>
      <c r="H25" t="n">
        <v>1</v>
      </c>
      <c r="I25" t="n">
        <v>2</v>
      </c>
      <c r="J25" t="n">
        <v>5</v>
      </c>
      <c r="K25" t="n">
        <v>1</v>
      </c>
      <c r="L25" t="n">
        <v>0</v>
      </c>
      <c r="M25" t="n">
        <v>0</v>
      </c>
      <c r="N25" t="n">
        <v>0</v>
      </c>
      <c r="O25" t="n">
        <v>6</v>
      </c>
      <c r="P25" t="n">
        <v>1</v>
      </c>
      <c r="Q25" t="n">
        <v>8</v>
      </c>
      <c r="R25" s="2" t="inlineStr">
        <is>
          <t>Goliatmusseron
Blå taggsvamp
Gammelgransskål
Orange taggsvamp
Svartvit taggsvamp
Talltaggsvamp
Skarp dropptaggsvamp
Spindelblomster</t>
        </is>
      </c>
      <c r="S25">
        <f>HYPERLINK("https://klasma.github.io/Logging_2582/artfynd/A 49809-2023 artfynd.xlsx", "A 49809-2023")</f>
        <v/>
      </c>
      <c r="T25">
        <f>HYPERLINK("https://klasma.github.io/Logging_2582/kartor/A 49809-2023 karta.png", "A 49809-2023")</f>
        <v/>
      </c>
      <c r="U25">
        <f>HYPERLINK("https://klasma.github.io/Logging_2582/knärot/A 49809-2023 karta knärot.png", "A 49809-2023")</f>
        <v/>
      </c>
      <c r="V25">
        <f>HYPERLINK("https://klasma.github.io/Logging_2582/klagomål/A 49809-2023 FSC-klagomål.docx", "A 49809-2023")</f>
        <v/>
      </c>
      <c r="W25">
        <f>HYPERLINK("https://klasma.github.io/Logging_2582/klagomålsmail/A 49809-2023 FSC-klagomål mail.docx", "A 49809-2023")</f>
        <v/>
      </c>
      <c r="X25">
        <f>HYPERLINK("https://klasma.github.io/Logging_2582/tillsyn/A 49809-2023 tillsynsbegäran.docx", "A 49809-2023")</f>
        <v/>
      </c>
      <c r="Y25">
        <f>HYPERLINK("https://klasma.github.io/Logging_2582/tillsynsmail/A 49809-2023 tillsynsbegäran mail.docx", "A 49809-2023")</f>
        <v/>
      </c>
    </row>
    <row r="26" ht="15" customHeight="1">
      <c r="A26" t="inlineStr">
        <is>
          <t>A 47921-2024</t>
        </is>
      </c>
      <c r="B26" s="1" t="n">
        <v>45589</v>
      </c>
      <c r="C26" s="1" t="n">
        <v>45803</v>
      </c>
      <c r="D26" t="inlineStr">
        <is>
          <t>NORRBOTTENS LÄN</t>
        </is>
      </c>
      <c r="E26" t="inlineStr">
        <is>
          <t>BODEN</t>
        </is>
      </c>
      <c r="F26" t="inlineStr">
        <is>
          <t>Naturvårdsverket</t>
        </is>
      </c>
      <c r="G26" t="n">
        <v>16.8</v>
      </c>
      <c r="H26" t="n">
        <v>5</v>
      </c>
      <c r="I26" t="n">
        <v>3</v>
      </c>
      <c r="J26" t="n">
        <v>3</v>
      </c>
      <c r="K26" t="n">
        <v>1</v>
      </c>
      <c r="L26" t="n">
        <v>0</v>
      </c>
      <c r="M26" t="n">
        <v>0</v>
      </c>
      <c r="N26" t="n">
        <v>0</v>
      </c>
      <c r="O26" t="n">
        <v>4</v>
      </c>
      <c r="P26" t="n">
        <v>1</v>
      </c>
      <c r="Q26" t="n">
        <v>8</v>
      </c>
      <c r="R26" s="2" t="inlineStr">
        <is>
          <t>Doftticka
Gammelgransskål
Garnlav
Spillkråka
Plattlummer
Spindelblomster
Stuplav
Fläcknycklar</t>
        </is>
      </c>
      <c r="S26">
        <f>HYPERLINK("https://klasma.github.io/Logging_2582/artfynd/A 47921-2024 artfynd.xlsx", "A 47921-2024")</f>
        <v/>
      </c>
      <c r="T26">
        <f>HYPERLINK("https://klasma.github.io/Logging_2582/kartor/A 47921-2024 karta.png", "A 47921-2024")</f>
        <v/>
      </c>
      <c r="V26">
        <f>HYPERLINK("https://klasma.github.io/Logging_2582/klagomål/A 47921-2024 FSC-klagomål.docx", "A 47921-2024")</f>
        <v/>
      </c>
      <c r="W26">
        <f>HYPERLINK("https://klasma.github.io/Logging_2582/klagomålsmail/A 47921-2024 FSC-klagomål mail.docx", "A 47921-2024")</f>
        <v/>
      </c>
      <c r="X26">
        <f>HYPERLINK("https://klasma.github.io/Logging_2582/tillsyn/A 47921-2024 tillsynsbegäran.docx", "A 47921-2024")</f>
        <v/>
      </c>
      <c r="Y26">
        <f>HYPERLINK("https://klasma.github.io/Logging_2582/tillsynsmail/A 47921-2024 tillsynsbegäran mail.docx", "A 47921-2024")</f>
        <v/>
      </c>
      <c r="Z26">
        <f>HYPERLINK("https://klasma.github.io/Logging_2582/fåglar/A 47921-2024 prioriterade fågelarter.docx", "A 47921-2024")</f>
        <v/>
      </c>
    </row>
    <row r="27" ht="15" customHeight="1">
      <c r="A27" t="inlineStr">
        <is>
          <t>A 2930-2025</t>
        </is>
      </c>
      <c r="B27" s="1" t="n">
        <v>45678</v>
      </c>
      <c r="C27" s="1" t="n">
        <v>45803</v>
      </c>
      <c r="D27" t="inlineStr">
        <is>
          <t>NORRBOTTENS LÄN</t>
        </is>
      </c>
      <c r="E27" t="inlineStr">
        <is>
          <t>BODEN</t>
        </is>
      </c>
      <c r="F27" t="inlineStr">
        <is>
          <t>SCA</t>
        </is>
      </c>
      <c r="G27" t="n">
        <v>5.6</v>
      </c>
      <c r="H27" t="n">
        <v>2</v>
      </c>
      <c r="I27" t="n">
        <v>1</v>
      </c>
      <c r="J27" t="n">
        <v>7</v>
      </c>
      <c r="K27" t="n">
        <v>0</v>
      </c>
      <c r="L27" t="n">
        <v>0</v>
      </c>
      <c r="M27" t="n">
        <v>0</v>
      </c>
      <c r="N27" t="n">
        <v>0</v>
      </c>
      <c r="O27" t="n">
        <v>7</v>
      </c>
      <c r="P27" t="n">
        <v>0</v>
      </c>
      <c r="Q27" t="n">
        <v>8</v>
      </c>
      <c r="R27" s="2" t="inlineStr">
        <is>
          <t>Garnlav
Granticka
Harticka
Järpe
Skrovlig taggsvamp
Tretåig hackspett
Ullticka
Dropptaggsvamp</t>
        </is>
      </c>
      <c r="S27">
        <f>HYPERLINK("https://klasma.github.io/Logging_2582/artfynd/A 2930-2025 artfynd.xlsx", "A 2930-2025")</f>
        <v/>
      </c>
      <c r="T27">
        <f>HYPERLINK("https://klasma.github.io/Logging_2582/kartor/A 2930-2025 karta.png", "A 2930-2025")</f>
        <v/>
      </c>
      <c r="V27">
        <f>HYPERLINK("https://klasma.github.io/Logging_2582/klagomål/A 2930-2025 FSC-klagomål.docx", "A 2930-2025")</f>
        <v/>
      </c>
      <c r="W27">
        <f>HYPERLINK("https://klasma.github.io/Logging_2582/klagomålsmail/A 2930-2025 FSC-klagomål mail.docx", "A 2930-2025")</f>
        <v/>
      </c>
      <c r="X27">
        <f>HYPERLINK("https://klasma.github.io/Logging_2582/tillsyn/A 2930-2025 tillsynsbegäran.docx", "A 2930-2025")</f>
        <v/>
      </c>
      <c r="Y27">
        <f>HYPERLINK("https://klasma.github.io/Logging_2582/tillsynsmail/A 2930-2025 tillsynsbegäran mail.docx", "A 2930-2025")</f>
        <v/>
      </c>
      <c r="Z27">
        <f>HYPERLINK("https://klasma.github.io/Logging_2582/fåglar/A 2930-2025 prioriterade fågelarter.docx", "A 2930-2025")</f>
        <v/>
      </c>
    </row>
    <row r="28" ht="15" customHeight="1">
      <c r="A28" t="inlineStr">
        <is>
          <t>A 43738-2020</t>
        </is>
      </c>
      <c r="B28" s="1" t="n">
        <v>44082</v>
      </c>
      <c r="C28" s="1" t="n">
        <v>45803</v>
      </c>
      <c r="D28" t="inlineStr">
        <is>
          <t>NORRBOTTENS LÄN</t>
        </is>
      </c>
      <c r="E28" t="inlineStr">
        <is>
          <t>BODEN</t>
        </is>
      </c>
      <c r="F28" t="inlineStr">
        <is>
          <t>Sveaskog</t>
        </is>
      </c>
      <c r="G28" t="n">
        <v>4.7</v>
      </c>
      <c r="H28" t="n">
        <v>0</v>
      </c>
      <c r="I28" t="n">
        <v>4</v>
      </c>
      <c r="J28" t="n">
        <v>3</v>
      </c>
      <c r="K28" t="n">
        <v>0</v>
      </c>
      <c r="L28" t="n">
        <v>0</v>
      </c>
      <c r="M28" t="n">
        <v>0</v>
      </c>
      <c r="N28" t="n">
        <v>0</v>
      </c>
      <c r="O28" t="n">
        <v>3</v>
      </c>
      <c r="P28" t="n">
        <v>0</v>
      </c>
      <c r="Q28" t="n">
        <v>7</v>
      </c>
      <c r="R28" s="2" t="inlineStr">
        <is>
          <t>Gammelgransskål
Garnlav
Lunglav
Luddlav
Skinnlav
Stor revmossa
Stuplav</t>
        </is>
      </c>
      <c r="S28">
        <f>HYPERLINK("https://klasma.github.io/Logging_2582/artfynd/A 43738-2020 artfynd.xlsx", "A 43738-2020")</f>
        <v/>
      </c>
      <c r="T28">
        <f>HYPERLINK("https://klasma.github.io/Logging_2582/kartor/A 43738-2020 karta.png", "A 43738-2020")</f>
        <v/>
      </c>
      <c r="V28">
        <f>HYPERLINK("https://klasma.github.io/Logging_2582/klagomål/A 43738-2020 FSC-klagomål.docx", "A 43738-2020")</f>
        <v/>
      </c>
      <c r="W28">
        <f>HYPERLINK("https://klasma.github.io/Logging_2582/klagomålsmail/A 43738-2020 FSC-klagomål mail.docx", "A 43738-2020")</f>
        <v/>
      </c>
      <c r="X28">
        <f>HYPERLINK("https://klasma.github.io/Logging_2582/tillsyn/A 43738-2020 tillsynsbegäran.docx", "A 43738-2020")</f>
        <v/>
      </c>
      <c r="Y28">
        <f>HYPERLINK("https://klasma.github.io/Logging_2582/tillsynsmail/A 43738-2020 tillsynsbegäran mail.docx", "A 43738-2020")</f>
        <v/>
      </c>
    </row>
    <row r="29" ht="15" customHeight="1">
      <c r="A29" t="inlineStr">
        <is>
          <t>A 47549-2022</t>
        </is>
      </c>
      <c r="B29" s="1" t="n">
        <v>44853</v>
      </c>
      <c r="C29" s="1" t="n">
        <v>45803</v>
      </c>
      <c r="D29" t="inlineStr">
        <is>
          <t>NORRBOTTENS LÄN</t>
        </is>
      </c>
      <c r="E29" t="inlineStr">
        <is>
          <t>BODEN</t>
        </is>
      </c>
      <c r="G29" t="n">
        <v>9</v>
      </c>
      <c r="H29" t="n">
        <v>1</v>
      </c>
      <c r="I29" t="n">
        <v>1</v>
      </c>
      <c r="J29" t="n">
        <v>5</v>
      </c>
      <c r="K29" t="n">
        <v>0</v>
      </c>
      <c r="L29" t="n">
        <v>0</v>
      </c>
      <c r="M29" t="n">
        <v>0</v>
      </c>
      <c r="N29" t="n">
        <v>0</v>
      </c>
      <c r="O29" t="n">
        <v>5</v>
      </c>
      <c r="P29" t="n">
        <v>0</v>
      </c>
      <c r="Q29" t="n">
        <v>6</v>
      </c>
      <c r="R29" s="2" t="inlineStr">
        <is>
          <t>Gammelgransskål
Garnlav
Kolflarnlav
Spillkråka
Vedskivlav
Dropptaggsvamp</t>
        </is>
      </c>
      <c r="S29">
        <f>HYPERLINK("https://klasma.github.io/Logging_2582/artfynd/A 47549-2022 artfynd.xlsx", "A 47549-2022")</f>
        <v/>
      </c>
      <c r="T29">
        <f>HYPERLINK("https://klasma.github.io/Logging_2582/kartor/A 47549-2022 karta.png", "A 47549-2022")</f>
        <v/>
      </c>
      <c r="V29">
        <f>HYPERLINK("https://klasma.github.io/Logging_2582/klagomål/A 47549-2022 FSC-klagomål.docx", "A 47549-2022")</f>
        <v/>
      </c>
      <c r="W29">
        <f>HYPERLINK("https://klasma.github.io/Logging_2582/klagomålsmail/A 47549-2022 FSC-klagomål mail.docx", "A 47549-2022")</f>
        <v/>
      </c>
      <c r="X29">
        <f>HYPERLINK("https://klasma.github.io/Logging_2582/tillsyn/A 47549-2022 tillsynsbegäran.docx", "A 47549-2022")</f>
        <v/>
      </c>
      <c r="Y29">
        <f>HYPERLINK("https://klasma.github.io/Logging_2582/tillsynsmail/A 47549-2022 tillsynsbegäran mail.docx", "A 47549-2022")</f>
        <v/>
      </c>
      <c r="Z29">
        <f>HYPERLINK("https://klasma.github.io/Logging_2582/fåglar/A 47549-2022 prioriterade fågelarter.docx", "A 47549-2022")</f>
        <v/>
      </c>
    </row>
    <row r="30" ht="15" customHeight="1">
      <c r="A30" t="inlineStr">
        <is>
          <t>A 55429-2024</t>
        </is>
      </c>
      <c r="B30" s="1" t="n">
        <v>45622</v>
      </c>
      <c r="C30" s="1" t="n">
        <v>45803</v>
      </c>
      <c r="D30" t="inlineStr">
        <is>
          <t>NORRBOTTENS LÄN</t>
        </is>
      </c>
      <c r="E30" t="inlineStr">
        <is>
          <t>BODEN</t>
        </is>
      </c>
      <c r="F30" t="inlineStr">
        <is>
          <t>Sveaskog</t>
        </is>
      </c>
      <c r="G30" t="n">
        <v>22.3</v>
      </c>
      <c r="H30" t="n">
        <v>0</v>
      </c>
      <c r="I30" t="n">
        <v>1</v>
      </c>
      <c r="J30" t="n">
        <v>4</v>
      </c>
      <c r="K30" t="n">
        <v>1</v>
      </c>
      <c r="L30" t="n">
        <v>0</v>
      </c>
      <c r="M30" t="n">
        <v>0</v>
      </c>
      <c r="N30" t="n">
        <v>0</v>
      </c>
      <c r="O30" t="n">
        <v>5</v>
      </c>
      <c r="P30" t="n">
        <v>1</v>
      </c>
      <c r="Q30" t="n">
        <v>6</v>
      </c>
      <c r="R30" s="2" t="inlineStr">
        <is>
          <t>Smalfotad taggsvamp
Blå taggsvamp
Kolflarnlav
Motaggsvamp
Skrovlig taggsvamp
Dropptaggsvamp</t>
        </is>
      </c>
      <c r="S30">
        <f>HYPERLINK("https://klasma.github.io/Logging_2582/artfynd/A 55429-2024 artfynd.xlsx", "A 55429-2024")</f>
        <v/>
      </c>
      <c r="T30">
        <f>HYPERLINK("https://klasma.github.io/Logging_2582/kartor/A 55429-2024 karta.png", "A 55429-2024")</f>
        <v/>
      </c>
      <c r="V30">
        <f>HYPERLINK("https://klasma.github.io/Logging_2582/klagomål/A 55429-2024 FSC-klagomål.docx", "A 55429-2024")</f>
        <v/>
      </c>
      <c r="W30">
        <f>HYPERLINK("https://klasma.github.io/Logging_2582/klagomålsmail/A 55429-2024 FSC-klagomål mail.docx", "A 55429-2024")</f>
        <v/>
      </c>
      <c r="X30">
        <f>HYPERLINK("https://klasma.github.io/Logging_2582/tillsyn/A 55429-2024 tillsynsbegäran.docx", "A 55429-2024")</f>
        <v/>
      </c>
      <c r="Y30">
        <f>HYPERLINK("https://klasma.github.io/Logging_2582/tillsynsmail/A 55429-2024 tillsynsbegäran mail.docx", "A 55429-2024")</f>
        <v/>
      </c>
    </row>
    <row r="31" ht="15" customHeight="1">
      <c r="A31" t="inlineStr">
        <is>
          <t>A 61211-2024</t>
        </is>
      </c>
      <c r="B31" s="1" t="n">
        <v>45645</v>
      </c>
      <c r="C31" s="1" t="n">
        <v>45803</v>
      </c>
      <c r="D31" t="inlineStr">
        <is>
          <t>NORRBOTTENS LÄN</t>
        </is>
      </c>
      <c r="E31" t="inlineStr">
        <is>
          <t>BODEN</t>
        </is>
      </c>
      <c r="F31" t="inlineStr">
        <is>
          <t>Sveaskog</t>
        </is>
      </c>
      <c r="G31" t="n">
        <v>2.7</v>
      </c>
      <c r="H31" t="n">
        <v>0</v>
      </c>
      <c r="I31" t="n">
        <v>2</v>
      </c>
      <c r="J31" t="n">
        <v>4</v>
      </c>
      <c r="K31" t="n">
        <v>0</v>
      </c>
      <c r="L31" t="n">
        <v>0</v>
      </c>
      <c r="M31" t="n">
        <v>0</v>
      </c>
      <c r="N31" t="n">
        <v>0</v>
      </c>
      <c r="O31" t="n">
        <v>4</v>
      </c>
      <c r="P31" t="n">
        <v>0</v>
      </c>
      <c r="Q31" t="n">
        <v>6</v>
      </c>
      <c r="R31" s="2" t="inlineStr">
        <is>
          <t>Blå taggsvamp
Garnlav
Orange taggsvamp
Skrovlig taggsvamp
Bronshjon
Dropptaggsvamp</t>
        </is>
      </c>
      <c r="S31">
        <f>HYPERLINK("https://klasma.github.io/Logging_2582/artfynd/A 61211-2024 artfynd.xlsx", "A 61211-2024")</f>
        <v/>
      </c>
      <c r="T31">
        <f>HYPERLINK("https://klasma.github.io/Logging_2582/kartor/A 61211-2024 karta.png", "A 61211-2024")</f>
        <v/>
      </c>
      <c r="V31">
        <f>HYPERLINK("https://klasma.github.io/Logging_2582/klagomål/A 61211-2024 FSC-klagomål.docx", "A 61211-2024")</f>
        <v/>
      </c>
      <c r="W31">
        <f>HYPERLINK("https://klasma.github.io/Logging_2582/klagomålsmail/A 61211-2024 FSC-klagomål mail.docx", "A 61211-2024")</f>
        <v/>
      </c>
      <c r="X31">
        <f>HYPERLINK("https://klasma.github.io/Logging_2582/tillsyn/A 61211-2024 tillsynsbegäran.docx", "A 61211-2024")</f>
        <v/>
      </c>
      <c r="Y31">
        <f>HYPERLINK("https://klasma.github.io/Logging_2582/tillsynsmail/A 61211-2024 tillsynsbegäran mail.docx", "A 61211-2024")</f>
        <v/>
      </c>
    </row>
    <row r="32" ht="15" customHeight="1">
      <c r="A32" t="inlineStr">
        <is>
          <t>A 19812-2025</t>
        </is>
      </c>
      <c r="B32" s="1" t="n">
        <v>45771</v>
      </c>
      <c r="C32" s="1" t="n">
        <v>45803</v>
      </c>
      <c r="D32" t="inlineStr">
        <is>
          <t>NORRBOTTENS LÄN</t>
        </is>
      </c>
      <c r="E32" t="inlineStr">
        <is>
          <t>BODEN</t>
        </is>
      </c>
      <c r="F32" t="inlineStr">
        <is>
          <t>Sveaskog</t>
        </is>
      </c>
      <c r="G32" t="n">
        <v>18.4</v>
      </c>
      <c r="H32" t="n">
        <v>2</v>
      </c>
      <c r="I32" t="n">
        <v>2</v>
      </c>
      <c r="J32" t="n">
        <v>3</v>
      </c>
      <c r="K32" t="n">
        <v>1</v>
      </c>
      <c r="L32" t="n">
        <v>0</v>
      </c>
      <c r="M32" t="n">
        <v>0</v>
      </c>
      <c r="N32" t="n">
        <v>0</v>
      </c>
      <c r="O32" t="n">
        <v>4</v>
      </c>
      <c r="P32" t="n">
        <v>1</v>
      </c>
      <c r="Q32" t="n">
        <v>6</v>
      </c>
      <c r="R32" s="2" t="inlineStr">
        <is>
          <t>Knärot
Höstlåsbräken
Orange taggsvamp
Svart taggsvamp
Dropptaggsvamp
Grönpyrola</t>
        </is>
      </c>
      <c r="S32">
        <f>HYPERLINK("https://klasma.github.io/Logging_252582/artfynd/A 19812-2025 artfynd.xlsx", "A 19812-2025")</f>
        <v/>
      </c>
      <c r="T32">
        <f>HYPERLINK("https://klasma.github.io/Logging_252582/kartor/A 19812-2025 karta.png", "A 19812-2025")</f>
        <v/>
      </c>
      <c r="U32">
        <f>HYPERLINK("https://klasma.github.io/Logging_252582/knärot/A 19812-2025 karta knärot.png", "A 19812-2025")</f>
        <v/>
      </c>
      <c r="V32">
        <f>HYPERLINK("https://klasma.github.io/Logging_252582/klagomål/A 19812-2025 FSC-klagomål.docx", "A 19812-2025")</f>
        <v/>
      </c>
      <c r="W32">
        <f>HYPERLINK("https://klasma.github.io/Logging_252582/klagomålsmail/A 19812-2025 FSC-klagomål mail.docx", "A 19812-2025")</f>
        <v/>
      </c>
      <c r="X32">
        <f>HYPERLINK("https://klasma.github.io/Logging_252582/tillsyn/A 19812-2025 tillsynsbegäran.docx", "A 19812-2025")</f>
        <v/>
      </c>
      <c r="Y32">
        <f>HYPERLINK("https://klasma.github.io/Logging_252582/tillsynsmail/A 19812-2025 tillsynsbegäran mail.docx", "A 19812-2025")</f>
        <v/>
      </c>
    </row>
    <row r="33" ht="15" customHeight="1">
      <c r="A33" t="inlineStr">
        <is>
          <t>A 52585-2019</t>
        </is>
      </c>
      <c r="B33" s="1" t="n">
        <v>43745</v>
      </c>
      <c r="C33" s="1" t="n">
        <v>45803</v>
      </c>
      <c r="D33" t="inlineStr">
        <is>
          <t>NORRBOTTENS LÄN</t>
        </is>
      </c>
      <c r="E33" t="inlineStr">
        <is>
          <t>BODEN</t>
        </is>
      </c>
      <c r="F33" t="inlineStr">
        <is>
          <t>SCA</t>
        </is>
      </c>
      <c r="G33" t="n">
        <v>4.9</v>
      </c>
      <c r="H33" t="n">
        <v>0</v>
      </c>
      <c r="I33" t="n">
        <v>0</v>
      </c>
      <c r="J33" t="n">
        <v>5</v>
      </c>
      <c r="K33" t="n">
        <v>0</v>
      </c>
      <c r="L33" t="n">
        <v>0</v>
      </c>
      <c r="M33" t="n">
        <v>0</v>
      </c>
      <c r="N33" t="n">
        <v>0</v>
      </c>
      <c r="O33" t="n">
        <v>5</v>
      </c>
      <c r="P33" t="n">
        <v>0</v>
      </c>
      <c r="Q33" t="n">
        <v>5</v>
      </c>
      <c r="R33" s="2" t="inlineStr">
        <is>
          <t>Garnlav
Kolflarnlav
Mörk kolflarnlav
Tallticka
Äggvaxskivling</t>
        </is>
      </c>
      <c r="S33">
        <f>HYPERLINK("https://klasma.github.io/Logging_2582/artfynd/A 52585-2019 artfynd.xlsx", "A 52585-2019")</f>
        <v/>
      </c>
      <c r="T33">
        <f>HYPERLINK("https://klasma.github.io/Logging_2582/kartor/A 52585-2019 karta.png", "A 52585-2019")</f>
        <v/>
      </c>
      <c r="V33">
        <f>HYPERLINK("https://klasma.github.io/Logging_2582/klagomål/A 52585-2019 FSC-klagomål.docx", "A 52585-2019")</f>
        <v/>
      </c>
      <c r="W33">
        <f>HYPERLINK("https://klasma.github.io/Logging_2582/klagomålsmail/A 52585-2019 FSC-klagomål mail.docx", "A 52585-2019")</f>
        <v/>
      </c>
      <c r="X33">
        <f>HYPERLINK("https://klasma.github.io/Logging_2582/tillsyn/A 52585-2019 tillsynsbegäran.docx", "A 52585-2019")</f>
        <v/>
      </c>
      <c r="Y33">
        <f>HYPERLINK("https://klasma.github.io/Logging_2582/tillsynsmail/A 52585-2019 tillsynsbegäran mail.docx", "A 52585-2019")</f>
        <v/>
      </c>
    </row>
    <row r="34" ht="15" customHeight="1">
      <c r="A34" t="inlineStr">
        <is>
          <t>A 52577-2019</t>
        </is>
      </c>
      <c r="B34" s="1" t="n">
        <v>43745</v>
      </c>
      <c r="C34" s="1" t="n">
        <v>45803</v>
      </c>
      <c r="D34" t="inlineStr">
        <is>
          <t>NORRBOTTENS LÄN</t>
        </is>
      </c>
      <c r="E34" t="inlineStr">
        <is>
          <t>BODEN</t>
        </is>
      </c>
      <c r="F34" t="inlineStr">
        <is>
          <t>SCA</t>
        </is>
      </c>
      <c r="G34" t="n">
        <v>4.9</v>
      </c>
      <c r="H34" t="n">
        <v>0</v>
      </c>
      <c r="I34" t="n">
        <v>0</v>
      </c>
      <c r="J34" t="n">
        <v>5</v>
      </c>
      <c r="K34" t="n">
        <v>0</v>
      </c>
      <c r="L34" t="n">
        <v>0</v>
      </c>
      <c r="M34" t="n">
        <v>0</v>
      </c>
      <c r="N34" t="n">
        <v>0</v>
      </c>
      <c r="O34" t="n">
        <v>5</v>
      </c>
      <c r="P34" t="n">
        <v>0</v>
      </c>
      <c r="Q34" t="n">
        <v>5</v>
      </c>
      <c r="R34" s="2" t="inlineStr">
        <is>
          <t>Gammelgransskål
Koralltaggsvamp
Lunglav
Ullticka
Vitgrynig nållav</t>
        </is>
      </c>
      <c r="S34">
        <f>HYPERLINK("https://klasma.github.io/Logging_2582/artfynd/A 52577-2019 artfynd.xlsx", "A 52577-2019")</f>
        <v/>
      </c>
      <c r="T34">
        <f>HYPERLINK("https://klasma.github.io/Logging_2582/kartor/A 52577-2019 karta.png", "A 52577-2019")</f>
        <v/>
      </c>
      <c r="V34">
        <f>HYPERLINK("https://klasma.github.io/Logging_2582/klagomål/A 52577-2019 FSC-klagomål.docx", "A 52577-2019")</f>
        <v/>
      </c>
      <c r="W34">
        <f>HYPERLINK("https://klasma.github.io/Logging_2582/klagomålsmail/A 52577-2019 FSC-klagomål mail.docx", "A 52577-2019")</f>
        <v/>
      </c>
      <c r="X34">
        <f>HYPERLINK("https://klasma.github.io/Logging_2582/tillsyn/A 52577-2019 tillsynsbegäran.docx", "A 52577-2019")</f>
        <v/>
      </c>
      <c r="Y34">
        <f>HYPERLINK("https://klasma.github.io/Logging_2582/tillsynsmail/A 52577-2019 tillsynsbegäran mail.docx", "A 52577-2019")</f>
        <v/>
      </c>
    </row>
    <row r="35" ht="15" customHeight="1">
      <c r="A35" t="inlineStr">
        <is>
          <t>A 54602-2019</t>
        </is>
      </c>
      <c r="B35" s="1" t="n">
        <v>43754</v>
      </c>
      <c r="C35" s="1" t="n">
        <v>45803</v>
      </c>
      <c r="D35" t="inlineStr">
        <is>
          <t>NORRBOTTENS LÄN</t>
        </is>
      </c>
      <c r="E35" t="inlineStr">
        <is>
          <t>BODEN</t>
        </is>
      </c>
      <c r="G35" t="n">
        <v>32.9</v>
      </c>
      <c r="H35" t="n">
        <v>2</v>
      </c>
      <c r="I35" t="n">
        <v>0</v>
      </c>
      <c r="J35" t="n">
        <v>4</v>
      </c>
      <c r="K35" t="n">
        <v>0</v>
      </c>
      <c r="L35" t="n">
        <v>0</v>
      </c>
      <c r="M35" t="n">
        <v>0</v>
      </c>
      <c r="N35" t="n">
        <v>0</v>
      </c>
      <c r="O35" t="n">
        <v>4</v>
      </c>
      <c r="P35" t="n">
        <v>0</v>
      </c>
      <c r="Q35" t="n">
        <v>5</v>
      </c>
      <c r="R35" s="2" t="inlineStr">
        <is>
          <t>Gammelgransskål
Granticka
Talltita
Violmussling
Revlummer</t>
        </is>
      </c>
      <c r="S35">
        <f>HYPERLINK("https://klasma.github.io/Logging_2582/artfynd/A 54602-2019 artfynd.xlsx", "A 54602-2019")</f>
        <v/>
      </c>
      <c r="T35">
        <f>HYPERLINK("https://klasma.github.io/Logging_2582/kartor/A 54602-2019 karta.png", "A 54602-2019")</f>
        <v/>
      </c>
      <c r="V35">
        <f>HYPERLINK("https://klasma.github.io/Logging_2582/klagomål/A 54602-2019 FSC-klagomål.docx", "A 54602-2019")</f>
        <v/>
      </c>
      <c r="W35">
        <f>HYPERLINK("https://klasma.github.io/Logging_2582/klagomålsmail/A 54602-2019 FSC-klagomål mail.docx", "A 54602-2019")</f>
        <v/>
      </c>
      <c r="X35">
        <f>HYPERLINK("https://klasma.github.io/Logging_2582/tillsyn/A 54602-2019 tillsynsbegäran.docx", "A 54602-2019")</f>
        <v/>
      </c>
      <c r="Y35">
        <f>HYPERLINK("https://klasma.github.io/Logging_2582/tillsynsmail/A 54602-2019 tillsynsbegäran mail.docx", "A 54602-2019")</f>
        <v/>
      </c>
      <c r="Z35">
        <f>HYPERLINK("https://klasma.github.io/Logging_2582/fåglar/A 54602-2019 prioriterade fågelarter.docx", "A 54602-2019")</f>
        <v/>
      </c>
    </row>
    <row r="36" ht="15" customHeight="1">
      <c r="A36" t="inlineStr">
        <is>
          <t>A 56916-2019</t>
        </is>
      </c>
      <c r="B36" s="1" t="n">
        <v>43766</v>
      </c>
      <c r="C36" s="1" t="n">
        <v>45803</v>
      </c>
      <c r="D36" t="inlineStr">
        <is>
          <t>NORRBOTTENS LÄN</t>
        </is>
      </c>
      <c r="E36" t="inlineStr">
        <is>
          <t>BODEN</t>
        </is>
      </c>
      <c r="G36" t="n">
        <v>43.9</v>
      </c>
      <c r="H36" t="n">
        <v>5</v>
      </c>
      <c r="I36" t="n">
        <v>1</v>
      </c>
      <c r="J36" t="n">
        <v>4</v>
      </c>
      <c r="K36" t="n">
        <v>0</v>
      </c>
      <c r="L36" t="n">
        <v>0</v>
      </c>
      <c r="M36" t="n">
        <v>0</v>
      </c>
      <c r="N36" t="n">
        <v>0</v>
      </c>
      <c r="O36" t="n">
        <v>4</v>
      </c>
      <c r="P36" t="n">
        <v>0</v>
      </c>
      <c r="Q36" t="n">
        <v>5</v>
      </c>
      <c r="R36" s="2" t="inlineStr">
        <is>
          <t>Buskskvätta
Gulsparv
Nordfladdermus
Ärtsångare
Korallrot</t>
        </is>
      </c>
      <c r="S36">
        <f>HYPERLINK("https://klasma.github.io/Logging_2582/artfynd/A 56916-2019 artfynd.xlsx", "A 56916-2019")</f>
        <v/>
      </c>
      <c r="T36">
        <f>HYPERLINK("https://klasma.github.io/Logging_2582/kartor/A 56916-2019 karta.png", "A 56916-2019")</f>
        <v/>
      </c>
      <c r="V36">
        <f>HYPERLINK("https://klasma.github.io/Logging_2582/klagomål/A 56916-2019 FSC-klagomål.docx", "A 56916-2019")</f>
        <v/>
      </c>
      <c r="W36">
        <f>HYPERLINK("https://klasma.github.io/Logging_2582/klagomålsmail/A 56916-2019 FSC-klagomål mail.docx", "A 56916-2019")</f>
        <v/>
      </c>
      <c r="X36">
        <f>HYPERLINK("https://klasma.github.io/Logging_2582/tillsyn/A 56916-2019 tillsynsbegäran.docx", "A 56916-2019")</f>
        <v/>
      </c>
      <c r="Y36">
        <f>HYPERLINK("https://klasma.github.io/Logging_2582/tillsynsmail/A 56916-2019 tillsynsbegäran mail.docx", "A 56916-2019")</f>
        <v/>
      </c>
      <c r="Z36">
        <f>HYPERLINK("https://klasma.github.io/Logging_2582/fåglar/A 56916-2019 prioriterade fågelarter.docx", "A 56916-2019")</f>
        <v/>
      </c>
    </row>
    <row r="37" ht="15" customHeight="1">
      <c r="A37" t="inlineStr">
        <is>
          <t>A 59082-2019</t>
        </is>
      </c>
      <c r="B37" s="1" t="n">
        <v>43774</v>
      </c>
      <c r="C37" s="1" t="n">
        <v>45803</v>
      </c>
      <c r="D37" t="inlineStr">
        <is>
          <t>NORRBOTTENS LÄN</t>
        </is>
      </c>
      <c r="E37" t="inlineStr">
        <is>
          <t>BODEN</t>
        </is>
      </c>
      <c r="F37" t="inlineStr">
        <is>
          <t>SCA</t>
        </is>
      </c>
      <c r="G37" t="n">
        <v>17</v>
      </c>
      <c r="H37" t="n">
        <v>0</v>
      </c>
      <c r="I37" t="n">
        <v>4</v>
      </c>
      <c r="J37" t="n">
        <v>1</v>
      </c>
      <c r="K37" t="n">
        <v>0</v>
      </c>
      <c r="L37" t="n">
        <v>0</v>
      </c>
      <c r="M37" t="n">
        <v>0</v>
      </c>
      <c r="N37" t="n">
        <v>0</v>
      </c>
      <c r="O37" t="n">
        <v>1</v>
      </c>
      <c r="P37" t="n">
        <v>0</v>
      </c>
      <c r="Q37" t="n">
        <v>5</v>
      </c>
      <c r="R37" s="2" t="inlineStr">
        <is>
          <t>Garnlav
Björksplintborre
Bollvitmossa
Källpraktmossa
Vågbandad barkbock</t>
        </is>
      </c>
      <c r="S37">
        <f>HYPERLINK("https://klasma.github.io/Logging_2582/artfynd/A 59082-2019 artfynd.xlsx", "A 59082-2019")</f>
        <v/>
      </c>
      <c r="T37">
        <f>HYPERLINK("https://klasma.github.io/Logging_2582/kartor/A 59082-2019 karta.png", "A 59082-2019")</f>
        <v/>
      </c>
      <c r="V37">
        <f>HYPERLINK("https://klasma.github.io/Logging_2582/klagomål/A 59082-2019 FSC-klagomål.docx", "A 59082-2019")</f>
        <v/>
      </c>
      <c r="W37">
        <f>HYPERLINK("https://klasma.github.io/Logging_2582/klagomålsmail/A 59082-2019 FSC-klagomål mail.docx", "A 59082-2019")</f>
        <v/>
      </c>
      <c r="X37">
        <f>HYPERLINK("https://klasma.github.io/Logging_2582/tillsyn/A 59082-2019 tillsynsbegäran.docx", "A 59082-2019")</f>
        <v/>
      </c>
      <c r="Y37">
        <f>HYPERLINK("https://klasma.github.io/Logging_2582/tillsynsmail/A 59082-2019 tillsynsbegäran mail.docx", "A 59082-2019")</f>
        <v/>
      </c>
    </row>
    <row r="38" ht="15" customHeight="1">
      <c r="A38" t="inlineStr">
        <is>
          <t>A 43653-2021</t>
        </is>
      </c>
      <c r="B38" s="1" t="n">
        <v>44433</v>
      </c>
      <c r="C38" s="1" t="n">
        <v>45803</v>
      </c>
      <c r="D38" t="inlineStr">
        <is>
          <t>NORRBOTTENS LÄN</t>
        </is>
      </c>
      <c r="E38" t="inlineStr">
        <is>
          <t>BODEN</t>
        </is>
      </c>
      <c r="F38" t="inlineStr">
        <is>
          <t>Sveaskog</t>
        </is>
      </c>
      <c r="G38" t="n">
        <v>5.2</v>
      </c>
      <c r="H38" t="n">
        <v>2</v>
      </c>
      <c r="I38" t="n">
        <v>2</v>
      </c>
      <c r="J38" t="n">
        <v>2</v>
      </c>
      <c r="K38" t="n">
        <v>1</v>
      </c>
      <c r="L38" t="n">
        <v>0</v>
      </c>
      <c r="M38" t="n">
        <v>0</v>
      </c>
      <c r="N38" t="n">
        <v>0</v>
      </c>
      <c r="O38" t="n">
        <v>3</v>
      </c>
      <c r="P38" t="n">
        <v>1</v>
      </c>
      <c r="Q38" t="n">
        <v>5</v>
      </c>
      <c r="R38" s="2" t="inlineStr">
        <is>
          <t>Knärot
Gammelgransskål
Lunglav
Spindelblomster
Ögonpyrola</t>
        </is>
      </c>
      <c r="S38">
        <f>HYPERLINK("https://klasma.github.io/Logging_2582/artfynd/A 43653-2021 artfynd.xlsx", "A 43653-2021")</f>
        <v/>
      </c>
      <c r="T38">
        <f>HYPERLINK("https://klasma.github.io/Logging_2582/kartor/A 43653-2021 karta.png", "A 43653-2021")</f>
        <v/>
      </c>
      <c r="U38">
        <f>HYPERLINK("https://klasma.github.io/Logging_2582/knärot/A 43653-2021 karta knärot.png", "A 43653-2021")</f>
        <v/>
      </c>
      <c r="V38">
        <f>HYPERLINK("https://klasma.github.io/Logging_2582/klagomål/A 43653-2021 FSC-klagomål.docx", "A 43653-2021")</f>
        <v/>
      </c>
      <c r="W38">
        <f>HYPERLINK("https://klasma.github.io/Logging_2582/klagomålsmail/A 43653-2021 FSC-klagomål mail.docx", "A 43653-2021")</f>
        <v/>
      </c>
      <c r="X38">
        <f>HYPERLINK("https://klasma.github.io/Logging_2582/tillsyn/A 43653-2021 tillsynsbegäran.docx", "A 43653-2021")</f>
        <v/>
      </c>
      <c r="Y38">
        <f>HYPERLINK("https://klasma.github.io/Logging_2582/tillsynsmail/A 43653-2021 tillsynsbegäran mail.docx", "A 43653-2021")</f>
        <v/>
      </c>
    </row>
    <row r="39" ht="15" customHeight="1">
      <c r="A39" t="inlineStr">
        <is>
          <t>A 34792-2022</t>
        </is>
      </c>
      <c r="B39" s="1" t="n">
        <v>44795</v>
      </c>
      <c r="C39" s="1" t="n">
        <v>45803</v>
      </c>
      <c r="D39" t="inlineStr">
        <is>
          <t>NORRBOTTENS LÄN</t>
        </is>
      </c>
      <c r="E39" t="inlineStr">
        <is>
          <t>BODEN</t>
        </is>
      </c>
      <c r="F39" t="inlineStr">
        <is>
          <t>SCA</t>
        </is>
      </c>
      <c r="G39" t="n">
        <v>6.7</v>
      </c>
      <c r="H39" t="n">
        <v>1</v>
      </c>
      <c r="I39" t="n">
        <v>1</v>
      </c>
      <c r="J39" t="n">
        <v>3</v>
      </c>
      <c r="K39" t="n">
        <v>1</v>
      </c>
      <c r="L39" t="n">
        <v>0</v>
      </c>
      <c r="M39" t="n">
        <v>0</v>
      </c>
      <c r="N39" t="n">
        <v>0</v>
      </c>
      <c r="O39" t="n">
        <v>4</v>
      </c>
      <c r="P39" t="n">
        <v>1</v>
      </c>
      <c r="Q39" t="n">
        <v>5</v>
      </c>
      <c r="R39" s="2" t="inlineStr">
        <is>
          <t>Knärot
Gammelgransskål
Granticka
Lunglav
Grönpyrola</t>
        </is>
      </c>
      <c r="S39">
        <f>HYPERLINK("https://klasma.github.io/Logging_2582/artfynd/A 34792-2022 artfynd.xlsx", "A 34792-2022")</f>
        <v/>
      </c>
      <c r="T39">
        <f>HYPERLINK("https://klasma.github.io/Logging_2582/kartor/A 34792-2022 karta.png", "A 34792-2022")</f>
        <v/>
      </c>
      <c r="U39">
        <f>HYPERLINK("https://klasma.github.io/Logging_2582/knärot/A 34792-2022 karta knärot.png", "A 34792-2022")</f>
        <v/>
      </c>
      <c r="V39">
        <f>HYPERLINK("https://klasma.github.io/Logging_2582/klagomål/A 34792-2022 FSC-klagomål.docx", "A 34792-2022")</f>
        <v/>
      </c>
      <c r="W39">
        <f>HYPERLINK("https://klasma.github.io/Logging_2582/klagomålsmail/A 34792-2022 FSC-klagomål mail.docx", "A 34792-2022")</f>
        <v/>
      </c>
      <c r="X39">
        <f>HYPERLINK("https://klasma.github.io/Logging_2582/tillsyn/A 34792-2022 tillsynsbegäran.docx", "A 34792-2022")</f>
        <v/>
      </c>
      <c r="Y39">
        <f>HYPERLINK("https://klasma.github.io/Logging_2582/tillsynsmail/A 34792-2022 tillsynsbegäran mail.docx", "A 34792-2022")</f>
        <v/>
      </c>
    </row>
    <row r="40" ht="15" customHeight="1">
      <c r="A40" t="inlineStr">
        <is>
          <t>A 51389-2022</t>
        </is>
      </c>
      <c r="B40" s="1" t="n">
        <v>44869</v>
      </c>
      <c r="C40" s="1" t="n">
        <v>45803</v>
      </c>
      <c r="D40" t="inlineStr">
        <is>
          <t>NORRBOTTENS LÄN</t>
        </is>
      </c>
      <c r="E40" t="inlineStr">
        <is>
          <t>BODEN</t>
        </is>
      </c>
      <c r="F40" t="inlineStr">
        <is>
          <t>Övriga statliga verk och myndigheter</t>
        </is>
      </c>
      <c r="G40" t="n">
        <v>15.6</v>
      </c>
      <c r="H40" t="n">
        <v>5</v>
      </c>
      <c r="I40" t="n">
        <v>0</v>
      </c>
      <c r="J40" t="n">
        <v>3</v>
      </c>
      <c r="K40" t="n">
        <v>1</v>
      </c>
      <c r="L40" t="n">
        <v>0</v>
      </c>
      <c r="M40" t="n">
        <v>0</v>
      </c>
      <c r="N40" t="n">
        <v>0</v>
      </c>
      <c r="O40" t="n">
        <v>4</v>
      </c>
      <c r="P40" t="n">
        <v>1</v>
      </c>
      <c r="Q40" t="n">
        <v>5</v>
      </c>
      <c r="R40" s="2" t="inlineStr">
        <is>
          <t>Tallbit
Grönsångare
Järpe
Talltita
Orre</t>
        </is>
      </c>
      <c r="S40">
        <f>HYPERLINK("https://klasma.github.io/Logging_2582/artfynd/A 51389-2022 artfynd.xlsx", "A 51389-2022")</f>
        <v/>
      </c>
      <c r="T40">
        <f>HYPERLINK("https://klasma.github.io/Logging_2582/kartor/A 51389-2022 karta.png", "A 51389-2022")</f>
        <v/>
      </c>
      <c r="V40">
        <f>HYPERLINK("https://klasma.github.io/Logging_2582/klagomål/A 51389-2022 FSC-klagomål.docx", "A 51389-2022")</f>
        <v/>
      </c>
      <c r="W40">
        <f>HYPERLINK("https://klasma.github.io/Logging_2582/klagomålsmail/A 51389-2022 FSC-klagomål mail.docx", "A 51389-2022")</f>
        <v/>
      </c>
      <c r="X40">
        <f>HYPERLINK("https://klasma.github.io/Logging_2582/tillsyn/A 51389-2022 tillsynsbegäran.docx", "A 51389-2022")</f>
        <v/>
      </c>
      <c r="Y40">
        <f>HYPERLINK("https://klasma.github.io/Logging_2582/tillsynsmail/A 51389-2022 tillsynsbegäran mail.docx", "A 51389-2022")</f>
        <v/>
      </c>
      <c r="Z40">
        <f>HYPERLINK("https://klasma.github.io/Logging_2582/fåglar/A 51389-2022 prioriterade fågelarter.docx", "A 51389-2022")</f>
        <v/>
      </c>
    </row>
    <row r="41" ht="15" customHeight="1">
      <c r="A41" t="inlineStr">
        <is>
          <t>A 19598-2023</t>
        </is>
      </c>
      <c r="B41" s="1" t="n">
        <v>45049</v>
      </c>
      <c r="C41" s="1" t="n">
        <v>45803</v>
      </c>
      <c r="D41" t="inlineStr">
        <is>
          <t>NORRBOTTENS LÄN</t>
        </is>
      </c>
      <c r="E41" t="inlineStr">
        <is>
          <t>BODEN</t>
        </is>
      </c>
      <c r="G41" t="n">
        <v>1.8</v>
      </c>
      <c r="H41" t="n">
        <v>1</v>
      </c>
      <c r="I41" t="n">
        <v>2</v>
      </c>
      <c r="J41" t="n">
        <v>2</v>
      </c>
      <c r="K41" t="n">
        <v>1</v>
      </c>
      <c r="L41" t="n">
        <v>0</v>
      </c>
      <c r="M41" t="n">
        <v>0</v>
      </c>
      <c r="N41" t="n">
        <v>0</v>
      </c>
      <c r="O41" t="n">
        <v>3</v>
      </c>
      <c r="P41" t="n">
        <v>1</v>
      </c>
      <c r="Q41" t="n">
        <v>5</v>
      </c>
      <c r="R41" s="2" t="inlineStr">
        <is>
          <t>Grenlav
Garnlav
Granticka
Källpraktmossa
Lappranunkel</t>
        </is>
      </c>
      <c r="S41">
        <f>HYPERLINK("https://klasma.github.io/Logging_2582/artfynd/A 19598-2023 artfynd.xlsx", "A 19598-2023")</f>
        <v/>
      </c>
      <c r="T41">
        <f>HYPERLINK("https://klasma.github.io/Logging_2582/kartor/A 19598-2023 karta.png", "A 19598-2023")</f>
        <v/>
      </c>
      <c r="V41">
        <f>HYPERLINK("https://klasma.github.io/Logging_2582/klagomål/A 19598-2023 FSC-klagomål.docx", "A 19598-2023")</f>
        <v/>
      </c>
      <c r="W41">
        <f>HYPERLINK("https://klasma.github.io/Logging_2582/klagomålsmail/A 19598-2023 FSC-klagomål mail.docx", "A 19598-2023")</f>
        <v/>
      </c>
      <c r="X41">
        <f>HYPERLINK("https://klasma.github.io/Logging_2582/tillsyn/A 19598-2023 tillsynsbegäran.docx", "A 19598-2023")</f>
        <v/>
      </c>
      <c r="Y41">
        <f>HYPERLINK("https://klasma.github.io/Logging_2582/tillsynsmail/A 19598-2023 tillsynsbegäran mail.docx", "A 19598-2023")</f>
        <v/>
      </c>
    </row>
    <row r="42" ht="15" customHeight="1">
      <c r="A42" t="inlineStr">
        <is>
          <t>A 32325-2024</t>
        </is>
      </c>
      <c r="B42" s="1" t="n">
        <v>45512</v>
      </c>
      <c r="C42" s="1" t="n">
        <v>45803</v>
      </c>
      <c r="D42" t="inlineStr">
        <is>
          <t>NORRBOTTENS LÄN</t>
        </is>
      </c>
      <c r="E42" t="inlineStr">
        <is>
          <t>BODEN</t>
        </is>
      </c>
      <c r="F42" t="inlineStr">
        <is>
          <t>Övriga Aktiebolag</t>
        </is>
      </c>
      <c r="G42" t="n">
        <v>36.5</v>
      </c>
      <c r="H42" t="n">
        <v>1</v>
      </c>
      <c r="I42" t="n">
        <v>2</v>
      </c>
      <c r="J42" t="n">
        <v>2</v>
      </c>
      <c r="K42" t="n">
        <v>1</v>
      </c>
      <c r="L42" t="n">
        <v>0</v>
      </c>
      <c r="M42" t="n">
        <v>0</v>
      </c>
      <c r="N42" t="n">
        <v>0</v>
      </c>
      <c r="O42" t="n">
        <v>3</v>
      </c>
      <c r="P42" t="n">
        <v>1</v>
      </c>
      <c r="Q42" t="n">
        <v>5</v>
      </c>
      <c r="R42" s="2" t="inlineStr">
        <is>
          <t>Knärot
Gammelgransskål
Garnlav
Luddlav
Skinnlav</t>
        </is>
      </c>
      <c r="S42">
        <f>HYPERLINK("https://klasma.github.io/Logging_2582/artfynd/A 32325-2024 artfynd.xlsx", "A 32325-2024")</f>
        <v/>
      </c>
      <c r="T42">
        <f>HYPERLINK("https://klasma.github.io/Logging_2582/kartor/A 32325-2024 karta.png", "A 32325-2024")</f>
        <v/>
      </c>
      <c r="U42">
        <f>HYPERLINK("https://klasma.github.io/Logging_2582/knärot/A 32325-2024 karta knärot.png", "A 32325-2024")</f>
        <v/>
      </c>
      <c r="V42">
        <f>HYPERLINK("https://klasma.github.io/Logging_2582/klagomål/A 32325-2024 FSC-klagomål.docx", "A 32325-2024")</f>
        <v/>
      </c>
      <c r="W42">
        <f>HYPERLINK("https://klasma.github.io/Logging_2582/klagomålsmail/A 32325-2024 FSC-klagomål mail.docx", "A 32325-2024")</f>
        <v/>
      </c>
      <c r="X42">
        <f>HYPERLINK("https://klasma.github.io/Logging_2582/tillsyn/A 32325-2024 tillsynsbegäran.docx", "A 32325-2024")</f>
        <v/>
      </c>
      <c r="Y42">
        <f>HYPERLINK("https://klasma.github.io/Logging_2582/tillsynsmail/A 32325-2024 tillsynsbegäran mail.docx", "A 32325-2024")</f>
        <v/>
      </c>
    </row>
    <row r="43" ht="15" customHeight="1">
      <c r="A43" t="inlineStr">
        <is>
          <t>A 39991-2024</t>
        </is>
      </c>
      <c r="B43" s="1" t="n">
        <v>45553</v>
      </c>
      <c r="C43" s="1" t="n">
        <v>45803</v>
      </c>
      <c r="D43" t="inlineStr">
        <is>
          <t>NORRBOTTENS LÄN</t>
        </is>
      </c>
      <c r="E43" t="inlineStr">
        <is>
          <t>BODEN</t>
        </is>
      </c>
      <c r="F43" t="inlineStr">
        <is>
          <t>Sveaskog</t>
        </is>
      </c>
      <c r="G43" t="n">
        <v>10.8</v>
      </c>
      <c r="H43" t="n">
        <v>0</v>
      </c>
      <c r="I43" t="n">
        <v>2</v>
      </c>
      <c r="J43" t="n">
        <v>3</v>
      </c>
      <c r="K43" t="n">
        <v>0</v>
      </c>
      <c r="L43" t="n">
        <v>0</v>
      </c>
      <c r="M43" t="n">
        <v>0</v>
      </c>
      <c r="N43" t="n">
        <v>0</v>
      </c>
      <c r="O43" t="n">
        <v>3</v>
      </c>
      <c r="P43" t="n">
        <v>0</v>
      </c>
      <c r="Q43" t="n">
        <v>5</v>
      </c>
      <c r="R43" s="2" t="inlineStr">
        <is>
          <t>Blå taggsvamp
Orange taggsvamp
Svart taggsvamp
Dropptaggsvamp
Skarp dropptaggsvamp</t>
        </is>
      </c>
      <c r="S43">
        <f>HYPERLINK("https://klasma.github.io/Logging_2582/artfynd/A 39991-2024 artfynd.xlsx", "A 39991-2024")</f>
        <v/>
      </c>
      <c r="T43">
        <f>HYPERLINK("https://klasma.github.io/Logging_2582/kartor/A 39991-2024 karta.png", "A 39991-2024")</f>
        <v/>
      </c>
      <c r="V43">
        <f>HYPERLINK("https://klasma.github.io/Logging_2582/klagomål/A 39991-2024 FSC-klagomål.docx", "A 39991-2024")</f>
        <v/>
      </c>
      <c r="W43">
        <f>HYPERLINK("https://klasma.github.io/Logging_2582/klagomålsmail/A 39991-2024 FSC-klagomål mail.docx", "A 39991-2024")</f>
        <v/>
      </c>
      <c r="X43">
        <f>HYPERLINK("https://klasma.github.io/Logging_2582/tillsyn/A 39991-2024 tillsynsbegäran.docx", "A 39991-2024")</f>
        <v/>
      </c>
      <c r="Y43">
        <f>HYPERLINK("https://klasma.github.io/Logging_2582/tillsynsmail/A 39991-2024 tillsynsbegäran mail.docx", "A 39991-2024")</f>
        <v/>
      </c>
    </row>
    <row r="44" ht="15" customHeight="1">
      <c r="A44" t="inlineStr">
        <is>
          <t>A 20477-2019</t>
        </is>
      </c>
      <c r="B44" s="1" t="n">
        <v>43572</v>
      </c>
      <c r="C44" s="1" t="n">
        <v>45803</v>
      </c>
      <c r="D44" t="inlineStr">
        <is>
          <t>NORRBOTTENS LÄN</t>
        </is>
      </c>
      <c r="E44" t="inlineStr">
        <is>
          <t>BODEN</t>
        </is>
      </c>
      <c r="F44" t="inlineStr">
        <is>
          <t>Sveaskog</t>
        </is>
      </c>
      <c r="G44" t="n">
        <v>56.2</v>
      </c>
      <c r="H44" t="n">
        <v>1</v>
      </c>
      <c r="I44" t="n">
        <v>0</v>
      </c>
      <c r="J44" t="n">
        <v>3</v>
      </c>
      <c r="K44" t="n">
        <v>1</v>
      </c>
      <c r="L44" t="n">
        <v>0</v>
      </c>
      <c r="M44" t="n">
        <v>0</v>
      </c>
      <c r="N44" t="n">
        <v>0</v>
      </c>
      <c r="O44" t="n">
        <v>4</v>
      </c>
      <c r="P44" t="n">
        <v>1</v>
      </c>
      <c r="Q44" t="n">
        <v>4</v>
      </c>
      <c r="R44" s="2" t="inlineStr">
        <is>
          <t>Doftticka
Garnlav
Lunglav
Mörk kolflarnlav</t>
        </is>
      </c>
      <c r="S44">
        <f>HYPERLINK("https://klasma.github.io/Logging_2582/artfynd/A 20477-2019 artfynd.xlsx", "A 20477-2019")</f>
        <v/>
      </c>
      <c r="T44">
        <f>HYPERLINK("https://klasma.github.io/Logging_2582/kartor/A 20477-2019 karta.png", "A 20477-2019")</f>
        <v/>
      </c>
      <c r="V44">
        <f>HYPERLINK("https://klasma.github.io/Logging_2582/klagomål/A 20477-2019 FSC-klagomål.docx", "A 20477-2019")</f>
        <v/>
      </c>
      <c r="W44">
        <f>HYPERLINK("https://klasma.github.io/Logging_2582/klagomålsmail/A 20477-2019 FSC-klagomål mail.docx", "A 20477-2019")</f>
        <v/>
      </c>
      <c r="X44">
        <f>HYPERLINK("https://klasma.github.io/Logging_2582/tillsyn/A 20477-2019 tillsynsbegäran.docx", "A 20477-2019")</f>
        <v/>
      </c>
      <c r="Y44">
        <f>HYPERLINK("https://klasma.github.io/Logging_2582/tillsynsmail/A 20477-2019 tillsynsbegäran mail.docx", "A 20477-2019")</f>
        <v/>
      </c>
    </row>
    <row r="45" ht="15" customHeight="1">
      <c r="A45" t="inlineStr">
        <is>
          <t>A 56355-2019</t>
        </is>
      </c>
      <c r="B45" s="1" t="n">
        <v>43762</v>
      </c>
      <c r="C45" s="1" t="n">
        <v>45803</v>
      </c>
      <c r="D45" t="inlineStr">
        <is>
          <t>NORRBOTTENS LÄN</t>
        </is>
      </c>
      <c r="E45" t="inlineStr">
        <is>
          <t>BODEN</t>
        </is>
      </c>
      <c r="F45" t="inlineStr">
        <is>
          <t>Sveaskog</t>
        </is>
      </c>
      <c r="G45" t="n">
        <v>34.5</v>
      </c>
      <c r="H45" t="n">
        <v>4</v>
      </c>
      <c r="I45" t="n">
        <v>0</v>
      </c>
      <c r="J45" t="n">
        <v>3</v>
      </c>
      <c r="K45" t="n">
        <v>0</v>
      </c>
      <c r="L45" t="n">
        <v>0</v>
      </c>
      <c r="M45" t="n">
        <v>0</v>
      </c>
      <c r="N45" t="n">
        <v>0</v>
      </c>
      <c r="O45" t="n">
        <v>3</v>
      </c>
      <c r="P45" t="n">
        <v>0</v>
      </c>
      <c r="Q45" t="n">
        <v>4</v>
      </c>
      <c r="R45" s="2" t="inlineStr">
        <is>
          <t>Järpe
Spillkråka
Talltita
Kungsfågel</t>
        </is>
      </c>
      <c r="S45">
        <f>HYPERLINK("https://klasma.github.io/Logging_2582/artfynd/A 56355-2019 artfynd.xlsx", "A 56355-2019")</f>
        <v/>
      </c>
      <c r="T45">
        <f>HYPERLINK("https://klasma.github.io/Logging_2582/kartor/A 56355-2019 karta.png", "A 56355-2019")</f>
        <v/>
      </c>
      <c r="V45">
        <f>HYPERLINK("https://klasma.github.io/Logging_2582/klagomål/A 56355-2019 FSC-klagomål.docx", "A 56355-2019")</f>
        <v/>
      </c>
      <c r="W45">
        <f>HYPERLINK("https://klasma.github.io/Logging_2582/klagomålsmail/A 56355-2019 FSC-klagomål mail.docx", "A 56355-2019")</f>
        <v/>
      </c>
      <c r="X45">
        <f>HYPERLINK("https://klasma.github.io/Logging_2582/tillsyn/A 56355-2019 tillsynsbegäran.docx", "A 56355-2019")</f>
        <v/>
      </c>
      <c r="Y45">
        <f>HYPERLINK("https://klasma.github.io/Logging_2582/tillsynsmail/A 56355-2019 tillsynsbegäran mail.docx", "A 56355-2019")</f>
        <v/>
      </c>
      <c r="Z45">
        <f>HYPERLINK("https://klasma.github.io/Logging_2582/fåglar/A 56355-2019 prioriterade fågelarter.docx", "A 56355-2019")</f>
        <v/>
      </c>
    </row>
    <row r="46" ht="15" customHeight="1">
      <c r="A46" t="inlineStr">
        <is>
          <t>A 27084-2020</t>
        </is>
      </c>
      <c r="B46" s="1" t="n">
        <v>43991</v>
      </c>
      <c r="C46" s="1" t="n">
        <v>45803</v>
      </c>
      <c r="D46" t="inlineStr">
        <is>
          <t>NORRBOTTENS LÄN</t>
        </is>
      </c>
      <c r="E46" t="inlineStr">
        <is>
          <t>BODEN</t>
        </is>
      </c>
      <c r="F46" t="inlineStr">
        <is>
          <t>Sveaskog</t>
        </is>
      </c>
      <c r="G46" t="n">
        <v>1.2</v>
      </c>
      <c r="H46" t="n">
        <v>0</v>
      </c>
      <c r="I46" t="n">
        <v>1</v>
      </c>
      <c r="J46" t="n">
        <v>3</v>
      </c>
      <c r="K46" t="n">
        <v>0</v>
      </c>
      <c r="L46" t="n">
        <v>0</v>
      </c>
      <c r="M46" t="n">
        <v>0</v>
      </c>
      <c r="N46" t="n">
        <v>0</v>
      </c>
      <c r="O46" t="n">
        <v>3</v>
      </c>
      <c r="P46" t="n">
        <v>0</v>
      </c>
      <c r="Q46" t="n">
        <v>4</v>
      </c>
      <c r="R46" s="2" t="inlineStr">
        <is>
          <t>Garnlav
Knottrig blåslav
Vedskivlav
Vedticka</t>
        </is>
      </c>
      <c r="S46">
        <f>HYPERLINK("https://klasma.github.io/Logging_2582/artfynd/A 27084-2020 artfynd.xlsx", "A 27084-2020")</f>
        <v/>
      </c>
      <c r="T46">
        <f>HYPERLINK("https://klasma.github.io/Logging_2582/kartor/A 27084-2020 karta.png", "A 27084-2020")</f>
        <v/>
      </c>
      <c r="V46">
        <f>HYPERLINK("https://klasma.github.io/Logging_2582/klagomål/A 27084-2020 FSC-klagomål.docx", "A 27084-2020")</f>
        <v/>
      </c>
      <c r="W46">
        <f>HYPERLINK("https://klasma.github.io/Logging_2582/klagomålsmail/A 27084-2020 FSC-klagomål mail.docx", "A 27084-2020")</f>
        <v/>
      </c>
      <c r="X46">
        <f>HYPERLINK("https://klasma.github.io/Logging_2582/tillsyn/A 27084-2020 tillsynsbegäran.docx", "A 27084-2020")</f>
        <v/>
      </c>
      <c r="Y46">
        <f>HYPERLINK("https://klasma.github.io/Logging_2582/tillsynsmail/A 27084-2020 tillsynsbegäran mail.docx", "A 27084-2020")</f>
        <v/>
      </c>
    </row>
    <row r="47" ht="15" customHeight="1">
      <c r="A47" t="inlineStr">
        <is>
          <t>A 30786-2020</t>
        </is>
      </c>
      <c r="B47" s="1" t="n">
        <v>44010</v>
      </c>
      <c r="C47" s="1" t="n">
        <v>45803</v>
      </c>
      <c r="D47" t="inlineStr">
        <is>
          <t>NORRBOTTENS LÄN</t>
        </is>
      </c>
      <c r="E47" t="inlineStr">
        <is>
          <t>BODEN</t>
        </is>
      </c>
      <c r="F47" t="inlineStr">
        <is>
          <t>Sveaskog</t>
        </is>
      </c>
      <c r="G47" t="n">
        <v>3.5</v>
      </c>
      <c r="H47" t="n">
        <v>0</v>
      </c>
      <c r="I47" t="n">
        <v>1</v>
      </c>
      <c r="J47" t="n">
        <v>2</v>
      </c>
      <c r="K47" t="n">
        <v>1</v>
      </c>
      <c r="L47" t="n">
        <v>0</v>
      </c>
      <c r="M47" t="n">
        <v>0</v>
      </c>
      <c r="N47" t="n">
        <v>0</v>
      </c>
      <c r="O47" t="n">
        <v>3</v>
      </c>
      <c r="P47" t="n">
        <v>1</v>
      </c>
      <c r="Q47" t="n">
        <v>4</v>
      </c>
      <c r="R47" s="2" t="inlineStr">
        <is>
          <t>Rynkskinn
Rosenticka
Ullticka
Stuplav</t>
        </is>
      </c>
      <c r="S47">
        <f>HYPERLINK("https://klasma.github.io/Logging_2582/artfynd/A 30786-2020 artfynd.xlsx", "A 30786-2020")</f>
        <v/>
      </c>
      <c r="T47">
        <f>HYPERLINK("https://klasma.github.io/Logging_2582/kartor/A 30786-2020 karta.png", "A 30786-2020")</f>
        <v/>
      </c>
      <c r="V47">
        <f>HYPERLINK("https://klasma.github.io/Logging_2582/klagomål/A 30786-2020 FSC-klagomål.docx", "A 30786-2020")</f>
        <v/>
      </c>
      <c r="W47">
        <f>HYPERLINK("https://klasma.github.io/Logging_2582/klagomålsmail/A 30786-2020 FSC-klagomål mail.docx", "A 30786-2020")</f>
        <v/>
      </c>
      <c r="X47">
        <f>HYPERLINK("https://klasma.github.io/Logging_2582/tillsyn/A 30786-2020 tillsynsbegäran.docx", "A 30786-2020")</f>
        <v/>
      </c>
      <c r="Y47">
        <f>HYPERLINK("https://klasma.github.io/Logging_2582/tillsynsmail/A 30786-2020 tillsynsbegäran mail.docx", "A 30786-2020")</f>
        <v/>
      </c>
    </row>
    <row r="48" ht="15" customHeight="1">
      <c r="A48" t="inlineStr">
        <is>
          <t>A 62075-2020</t>
        </is>
      </c>
      <c r="B48" s="1" t="n">
        <v>44158</v>
      </c>
      <c r="C48" s="1" t="n">
        <v>45803</v>
      </c>
      <c r="D48" t="inlineStr">
        <is>
          <t>NORRBOTTENS LÄN</t>
        </is>
      </c>
      <c r="E48" t="inlineStr">
        <is>
          <t>BODEN</t>
        </is>
      </c>
      <c r="G48" t="n">
        <v>6.9</v>
      </c>
      <c r="H48" t="n">
        <v>0</v>
      </c>
      <c r="I48" t="n">
        <v>0</v>
      </c>
      <c r="J48" t="n">
        <v>3</v>
      </c>
      <c r="K48" t="n">
        <v>1</v>
      </c>
      <c r="L48" t="n">
        <v>0</v>
      </c>
      <c r="M48" t="n">
        <v>0</v>
      </c>
      <c r="N48" t="n">
        <v>0</v>
      </c>
      <c r="O48" t="n">
        <v>4</v>
      </c>
      <c r="P48" t="n">
        <v>1</v>
      </c>
      <c r="Q48" t="n">
        <v>4</v>
      </c>
      <c r="R48" s="2" t="inlineStr">
        <is>
          <t>Liten hornflikmossa
Veckticka
Vedflikmossa
Vedtrappmossa</t>
        </is>
      </c>
      <c r="S48">
        <f>HYPERLINK("https://klasma.github.io/Logging_2582/artfynd/A 62075-2020 artfynd.xlsx", "A 62075-2020")</f>
        <v/>
      </c>
      <c r="T48">
        <f>HYPERLINK("https://klasma.github.io/Logging_2582/kartor/A 62075-2020 karta.png", "A 62075-2020")</f>
        <v/>
      </c>
      <c r="V48">
        <f>HYPERLINK("https://klasma.github.io/Logging_2582/klagomål/A 62075-2020 FSC-klagomål.docx", "A 62075-2020")</f>
        <v/>
      </c>
      <c r="W48">
        <f>HYPERLINK("https://klasma.github.io/Logging_2582/klagomålsmail/A 62075-2020 FSC-klagomål mail.docx", "A 62075-2020")</f>
        <v/>
      </c>
      <c r="X48">
        <f>HYPERLINK("https://klasma.github.io/Logging_2582/tillsyn/A 62075-2020 tillsynsbegäran.docx", "A 62075-2020")</f>
        <v/>
      </c>
      <c r="Y48">
        <f>HYPERLINK("https://klasma.github.io/Logging_2582/tillsynsmail/A 62075-2020 tillsynsbegäran mail.docx", "A 62075-2020")</f>
        <v/>
      </c>
    </row>
    <row r="49" ht="15" customHeight="1">
      <c r="A49" t="inlineStr">
        <is>
          <t>A 30541-2021</t>
        </is>
      </c>
      <c r="B49" s="1" t="n">
        <v>44364</v>
      </c>
      <c r="C49" s="1" t="n">
        <v>45803</v>
      </c>
      <c r="D49" t="inlineStr">
        <is>
          <t>NORRBOTTENS LÄN</t>
        </is>
      </c>
      <c r="E49" t="inlineStr">
        <is>
          <t>BODEN</t>
        </is>
      </c>
      <c r="G49" t="n">
        <v>5</v>
      </c>
      <c r="H49" t="n">
        <v>2</v>
      </c>
      <c r="I49" t="n">
        <v>1</v>
      </c>
      <c r="J49" t="n">
        <v>1</v>
      </c>
      <c r="K49" t="n">
        <v>0</v>
      </c>
      <c r="L49" t="n">
        <v>0</v>
      </c>
      <c r="M49" t="n">
        <v>0</v>
      </c>
      <c r="N49" t="n">
        <v>0</v>
      </c>
      <c r="O49" t="n">
        <v>1</v>
      </c>
      <c r="P49" t="n">
        <v>0</v>
      </c>
      <c r="Q49" t="n">
        <v>4</v>
      </c>
      <c r="R49" s="2" t="inlineStr">
        <is>
          <t>Älvstarr
Bollvitmossa
Vanlig padda
Revlummer</t>
        </is>
      </c>
      <c r="S49">
        <f>HYPERLINK("https://klasma.github.io/Logging_2582/artfynd/A 30541-2021 artfynd.xlsx", "A 30541-2021")</f>
        <v/>
      </c>
      <c r="T49">
        <f>HYPERLINK("https://klasma.github.io/Logging_2582/kartor/A 30541-2021 karta.png", "A 30541-2021")</f>
        <v/>
      </c>
      <c r="V49">
        <f>HYPERLINK("https://klasma.github.io/Logging_2582/klagomål/A 30541-2021 FSC-klagomål.docx", "A 30541-2021")</f>
        <v/>
      </c>
      <c r="W49">
        <f>HYPERLINK("https://klasma.github.io/Logging_2582/klagomålsmail/A 30541-2021 FSC-klagomål mail.docx", "A 30541-2021")</f>
        <v/>
      </c>
      <c r="X49">
        <f>HYPERLINK("https://klasma.github.io/Logging_2582/tillsyn/A 30541-2021 tillsynsbegäran.docx", "A 30541-2021")</f>
        <v/>
      </c>
      <c r="Y49">
        <f>HYPERLINK("https://klasma.github.io/Logging_2582/tillsynsmail/A 30541-2021 tillsynsbegäran mail.docx", "A 30541-2021")</f>
        <v/>
      </c>
    </row>
    <row r="50" ht="15" customHeight="1">
      <c r="A50" t="inlineStr">
        <is>
          <t>A 49803-2023</t>
        </is>
      </c>
      <c r="B50" s="1" t="n">
        <v>45212</v>
      </c>
      <c r="C50" s="1" t="n">
        <v>45803</v>
      </c>
      <c r="D50" t="inlineStr">
        <is>
          <t>NORRBOTTENS LÄN</t>
        </is>
      </c>
      <c r="E50" t="inlineStr">
        <is>
          <t>BODEN</t>
        </is>
      </c>
      <c r="F50" t="inlineStr">
        <is>
          <t>Sveaskog</t>
        </is>
      </c>
      <c r="G50" t="n">
        <v>2.1</v>
      </c>
      <c r="H50" t="n">
        <v>1</v>
      </c>
      <c r="I50" t="n">
        <v>2</v>
      </c>
      <c r="J50" t="n">
        <v>2</v>
      </c>
      <c r="K50" t="n">
        <v>0</v>
      </c>
      <c r="L50" t="n">
        <v>0</v>
      </c>
      <c r="M50" t="n">
        <v>0</v>
      </c>
      <c r="N50" t="n">
        <v>0</v>
      </c>
      <c r="O50" t="n">
        <v>2</v>
      </c>
      <c r="P50" t="n">
        <v>0</v>
      </c>
      <c r="Q50" t="n">
        <v>4</v>
      </c>
      <c r="R50" s="2" t="inlineStr">
        <is>
          <t>Kolflarnlav
Skrovlig taggsvamp
Dropptaggsvamp
Plattlummer</t>
        </is>
      </c>
      <c r="S50">
        <f>HYPERLINK("https://klasma.github.io/Logging_2582/artfynd/A 49803-2023 artfynd.xlsx", "A 49803-2023")</f>
        <v/>
      </c>
      <c r="T50">
        <f>HYPERLINK("https://klasma.github.io/Logging_2582/kartor/A 49803-2023 karta.png", "A 49803-2023")</f>
        <v/>
      </c>
      <c r="V50">
        <f>HYPERLINK("https://klasma.github.io/Logging_2582/klagomål/A 49803-2023 FSC-klagomål.docx", "A 49803-2023")</f>
        <v/>
      </c>
      <c r="W50">
        <f>HYPERLINK("https://klasma.github.io/Logging_2582/klagomålsmail/A 49803-2023 FSC-klagomål mail.docx", "A 49803-2023")</f>
        <v/>
      </c>
      <c r="X50">
        <f>HYPERLINK("https://klasma.github.io/Logging_2582/tillsyn/A 49803-2023 tillsynsbegäran.docx", "A 49803-2023")</f>
        <v/>
      </c>
      <c r="Y50">
        <f>HYPERLINK("https://klasma.github.io/Logging_2582/tillsynsmail/A 49803-2023 tillsynsbegäran mail.docx", "A 49803-2023")</f>
        <v/>
      </c>
    </row>
    <row r="51" ht="15" customHeight="1">
      <c r="A51" t="inlineStr">
        <is>
          <t>A 1879-2024</t>
        </is>
      </c>
      <c r="B51" s="1" t="n">
        <v>45307</v>
      </c>
      <c r="C51" s="1" t="n">
        <v>45803</v>
      </c>
      <c r="D51" t="inlineStr">
        <is>
          <t>NORRBOTTENS LÄN</t>
        </is>
      </c>
      <c r="E51" t="inlineStr">
        <is>
          <t>BODEN</t>
        </is>
      </c>
      <c r="F51" t="inlineStr">
        <is>
          <t>SCA</t>
        </is>
      </c>
      <c r="G51" t="n">
        <v>4.5</v>
      </c>
      <c r="H51" t="n">
        <v>0</v>
      </c>
      <c r="I51" t="n">
        <v>1</v>
      </c>
      <c r="J51" t="n">
        <v>2</v>
      </c>
      <c r="K51" t="n">
        <v>1</v>
      </c>
      <c r="L51" t="n">
        <v>0</v>
      </c>
      <c r="M51" t="n">
        <v>0</v>
      </c>
      <c r="N51" t="n">
        <v>0</v>
      </c>
      <c r="O51" t="n">
        <v>3</v>
      </c>
      <c r="P51" t="n">
        <v>1</v>
      </c>
      <c r="Q51" t="n">
        <v>4</v>
      </c>
      <c r="R51" s="2" t="inlineStr">
        <is>
          <t>Ringlav
Garnlav
Skogshare
Bårdlav</t>
        </is>
      </c>
      <c r="S51">
        <f>HYPERLINK("https://klasma.github.io/Logging_2582/artfynd/A 1879-2024 artfynd.xlsx", "A 1879-2024")</f>
        <v/>
      </c>
      <c r="T51">
        <f>HYPERLINK("https://klasma.github.io/Logging_2582/kartor/A 1879-2024 karta.png", "A 1879-2024")</f>
        <v/>
      </c>
      <c r="V51">
        <f>HYPERLINK("https://klasma.github.io/Logging_2582/klagomål/A 1879-2024 FSC-klagomål.docx", "A 1879-2024")</f>
        <v/>
      </c>
      <c r="W51">
        <f>HYPERLINK("https://klasma.github.io/Logging_2582/klagomålsmail/A 1879-2024 FSC-klagomål mail.docx", "A 1879-2024")</f>
        <v/>
      </c>
      <c r="X51">
        <f>HYPERLINK("https://klasma.github.io/Logging_2582/tillsyn/A 1879-2024 tillsynsbegäran.docx", "A 1879-2024")</f>
        <v/>
      </c>
      <c r="Y51">
        <f>HYPERLINK("https://klasma.github.io/Logging_2582/tillsynsmail/A 1879-2024 tillsynsbegäran mail.docx", "A 1879-2024")</f>
        <v/>
      </c>
    </row>
    <row r="52" ht="15" customHeight="1">
      <c r="A52" t="inlineStr">
        <is>
          <t>A 51295-2024</t>
        </is>
      </c>
      <c r="B52" s="1" t="n">
        <v>45603</v>
      </c>
      <c r="C52" s="1" t="n">
        <v>45803</v>
      </c>
      <c r="D52" t="inlineStr">
        <is>
          <t>NORRBOTTENS LÄN</t>
        </is>
      </c>
      <c r="E52" t="inlineStr">
        <is>
          <t>BODEN</t>
        </is>
      </c>
      <c r="G52" t="n">
        <v>10.3</v>
      </c>
      <c r="H52" t="n">
        <v>4</v>
      </c>
      <c r="I52" t="n">
        <v>0</v>
      </c>
      <c r="J52" t="n">
        <v>3</v>
      </c>
      <c r="K52" t="n">
        <v>0</v>
      </c>
      <c r="L52" t="n">
        <v>0</v>
      </c>
      <c r="M52" t="n">
        <v>0</v>
      </c>
      <c r="N52" t="n">
        <v>0</v>
      </c>
      <c r="O52" t="n">
        <v>3</v>
      </c>
      <c r="P52" t="n">
        <v>0</v>
      </c>
      <c r="Q52" t="n">
        <v>4</v>
      </c>
      <c r="R52" s="2" t="inlineStr">
        <is>
          <t>Gulsparv
Spillkråka
Talltita
Järnsparv</t>
        </is>
      </c>
      <c r="S52">
        <f>HYPERLINK("https://klasma.github.io/Logging_2582/artfynd/A 51295-2024 artfynd.xlsx", "A 51295-2024")</f>
        <v/>
      </c>
      <c r="T52">
        <f>HYPERLINK("https://klasma.github.io/Logging_2582/kartor/A 51295-2024 karta.png", "A 51295-2024")</f>
        <v/>
      </c>
      <c r="V52">
        <f>HYPERLINK("https://klasma.github.io/Logging_2582/klagomål/A 51295-2024 FSC-klagomål.docx", "A 51295-2024")</f>
        <v/>
      </c>
      <c r="W52">
        <f>HYPERLINK("https://klasma.github.io/Logging_2582/klagomålsmail/A 51295-2024 FSC-klagomål mail.docx", "A 51295-2024")</f>
        <v/>
      </c>
      <c r="X52">
        <f>HYPERLINK("https://klasma.github.io/Logging_2582/tillsyn/A 51295-2024 tillsynsbegäran.docx", "A 51295-2024")</f>
        <v/>
      </c>
      <c r="Y52">
        <f>HYPERLINK("https://klasma.github.io/Logging_2582/tillsynsmail/A 51295-2024 tillsynsbegäran mail.docx", "A 51295-2024")</f>
        <v/>
      </c>
      <c r="Z52">
        <f>HYPERLINK("https://klasma.github.io/Logging_2582/fåglar/A 51295-2024 prioriterade fågelarter.docx", "A 51295-2024")</f>
        <v/>
      </c>
    </row>
    <row r="53" ht="15" customHeight="1">
      <c r="A53" t="inlineStr">
        <is>
          <t>A 62167-2019</t>
        </is>
      </c>
      <c r="B53" s="1" t="n">
        <v>43787</v>
      </c>
      <c r="C53" s="1" t="n">
        <v>45803</v>
      </c>
      <c r="D53" t="inlineStr">
        <is>
          <t>NORRBOTTENS LÄN</t>
        </is>
      </c>
      <c r="E53" t="inlineStr">
        <is>
          <t>BODEN</t>
        </is>
      </c>
      <c r="F53" t="inlineStr">
        <is>
          <t>SCA</t>
        </is>
      </c>
      <c r="G53" t="n">
        <v>14.8</v>
      </c>
      <c r="H53" t="n">
        <v>1</v>
      </c>
      <c r="I53" t="n">
        <v>0</v>
      </c>
      <c r="J53" t="n">
        <v>2</v>
      </c>
      <c r="K53" t="n">
        <v>1</v>
      </c>
      <c r="L53" t="n">
        <v>0</v>
      </c>
      <c r="M53" t="n">
        <v>0</v>
      </c>
      <c r="N53" t="n">
        <v>0</v>
      </c>
      <c r="O53" t="n">
        <v>3</v>
      </c>
      <c r="P53" t="n">
        <v>1</v>
      </c>
      <c r="Q53" t="n">
        <v>3</v>
      </c>
      <c r="R53" s="2" t="inlineStr">
        <is>
          <t>Knärot
Blågrå svartspik
Kolflarnlav</t>
        </is>
      </c>
      <c r="S53">
        <f>HYPERLINK("https://klasma.github.io/Logging_2582/artfynd/A 62167-2019 artfynd.xlsx", "A 62167-2019")</f>
        <v/>
      </c>
      <c r="T53">
        <f>HYPERLINK("https://klasma.github.io/Logging_2582/kartor/A 62167-2019 karta.png", "A 62167-2019")</f>
        <v/>
      </c>
      <c r="U53">
        <f>HYPERLINK("https://klasma.github.io/Logging_2582/knärot/A 62167-2019 karta knärot.png", "A 62167-2019")</f>
        <v/>
      </c>
      <c r="V53">
        <f>HYPERLINK("https://klasma.github.io/Logging_2582/klagomål/A 62167-2019 FSC-klagomål.docx", "A 62167-2019")</f>
        <v/>
      </c>
      <c r="W53">
        <f>HYPERLINK("https://klasma.github.io/Logging_2582/klagomålsmail/A 62167-2019 FSC-klagomål mail.docx", "A 62167-2019")</f>
        <v/>
      </c>
      <c r="X53">
        <f>HYPERLINK("https://klasma.github.io/Logging_2582/tillsyn/A 62167-2019 tillsynsbegäran.docx", "A 62167-2019")</f>
        <v/>
      </c>
      <c r="Y53">
        <f>HYPERLINK("https://klasma.github.io/Logging_2582/tillsynsmail/A 62167-2019 tillsynsbegäran mail.docx", "A 62167-2019")</f>
        <v/>
      </c>
    </row>
    <row r="54" ht="15" customHeight="1">
      <c r="A54" t="inlineStr">
        <is>
          <t>A 62172-2019</t>
        </is>
      </c>
      <c r="B54" s="1" t="n">
        <v>43787</v>
      </c>
      <c r="C54" s="1" t="n">
        <v>45803</v>
      </c>
      <c r="D54" t="inlineStr">
        <is>
          <t>NORRBOTTENS LÄN</t>
        </is>
      </c>
      <c r="E54" t="inlineStr">
        <is>
          <t>BODEN</t>
        </is>
      </c>
      <c r="F54" t="inlineStr">
        <is>
          <t>SCA</t>
        </is>
      </c>
      <c r="G54" t="n">
        <v>1.8</v>
      </c>
      <c r="H54" t="n">
        <v>0</v>
      </c>
      <c r="I54" t="n">
        <v>0</v>
      </c>
      <c r="J54" t="n">
        <v>3</v>
      </c>
      <c r="K54" t="n">
        <v>0</v>
      </c>
      <c r="L54" t="n">
        <v>0</v>
      </c>
      <c r="M54" t="n">
        <v>0</v>
      </c>
      <c r="N54" t="n">
        <v>0</v>
      </c>
      <c r="O54" t="n">
        <v>3</v>
      </c>
      <c r="P54" t="n">
        <v>0</v>
      </c>
      <c r="Q54" t="n">
        <v>3</v>
      </c>
      <c r="R54" s="2" t="inlineStr">
        <is>
          <t>Brunpudrad nållav
Garnlav
Vitgrynig nållav</t>
        </is>
      </c>
      <c r="S54">
        <f>HYPERLINK("https://klasma.github.io/Logging_2582/artfynd/A 62172-2019 artfynd.xlsx", "A 62172-2019")</f>
        <v/>
      </c>
      <c r="T54">
        <f>HYPERLINK("https://klasma.github.io/Logging_2582/kartor/A 62172-2019 karta.png", "A 62172-2019")</f>
        <v/>
      </c>
      <c r="V54">
        <f>HYPERLINK("https://klasma.github.io/Logging_2582/klagomål/A 62172-2019 FSC-klagomål.docx", "A 62172-2019")</f>
        <v/>
      </c>
      <c r="W54">
        <f>HYPERLINK("https://klasma.github.io/Logging_2582/klagomålsmail/A 62172-2019 FSC-klagomål mail.docx", "A 62172-2019")</f>
        <v/>
      </c>
      <c r="X54">
        <f>HYPERLINK("https://klasma.github.io/Logging_2582/tillsyn/A 62172-2019 tillsynsbegäran.docx", "A 62172-2019")</f>
        <v/>
      </c>
      <c r="Y54">
        <f>HYPERLINK("https://klasma.github.io/Logging_2582/tillsynsmail/A 62172-2019 tillsynsbegäran mail.docx", "A 62172-2019")</f>
        <v/>
      </c>
    </row>
    <row r="55" ht="15" customHeight="1">
      <c r="A55" t="inlineStr">
        <is>
          <t>A 65081-2019</t>
        </is>
      </c>
      <c r="B55" s="1" t="n">
        <v>43802</v>
      </c>
      <c r="C55" s="1" t="n">
        <v>45803</v>
      </c>
      <c r="D55" t="inlineStr">
        <is>
          <t>NORRBOTTENS LÄN</t>
        </is>
      </c>
      <c r="E55" t="inlineStr">
        <is>
          <t>BODEN</t>
        </is>
      </c>
      <c r="F55" t="inlineStr">
        <is>
          <t>Kommuner</t>
        </is>
      </c>
      <c r="G55" t="n">
        <v>31.7</v>
      </c>
      <c r="H55" t="n">
        <v>2</v>
      </c>
      <c r="I55" t="n">
        <v>1</v>
      </c>
      <c r="J55" t="n">
        <v>2</v>
      </c>
      <c r="K55" t="n">
        <v>0</v>
      </c>
      <c r="L55" t="n">
        <v>0</v>
      </c>
      <c r="M55" t="n">
        <v>0</v>
      </c>
      <c r="N55" t="n">
        <v>0</v>
      </c>
      <c r="O55" t="n">
        <v>2</v>
      </c>
      <c r="P55" t="n">
        <v>0</v>
      </c>
      <c r="Q55" t="n">
        <v>3</v>
      </c>
      <c r="R55" s="2" t="inlineStr">
        <is>
          <t>Spillkråka
Tretåig hackspett
Strutbräken</t>
        </is>
      </c>
      <c r="S55">
        <f>HYPERLINK("https://klasma.github.io/Logging_2582/artfynd/A 65081-2019 artfynd.xlsx", "A 65081-2019")</f>
        <v/>
      </c>
      <c r="T55">
        <f>HYPERLINK("https://klasma.github.io/Logging_2582/kartor/A 65081-2019 karta.png", "A 65081-2019")</f>
        <v/>
      </c>
      <c r="V55">
        <f>HYPERLINK("https://klasma.github.io/Logging_2582/klagomål/A 65081-2019 FSC-klagomål.docx", "A 65081-2019")</f>
        <v/>
      </c>
      <c r="W55">
        <f>HYPERLINK("https://klasma.github.io/Logging_2582/klagomålsmail/A 65081-2019 FSC-klagomål mail.docx", "A 65081-2019")</f>
        <v/>
      </c>
      <c r="X55">
        <f>HYPERLINK("https://klasma.github.io/Logging_2582/tillsyn/A 65081-2019 tillsynsbegäran.docx", "A 65081-2019")</f>
        <v/>
      </c>
      <c r="Y55">
        <f>HYPERLINK("https://klasma.github.io/Logging_2582/tillsynsmail/A 65081-2019 tillsynsbegäran mail.docx", "A 65081-2019")</f>
        <v/>
      </c>
      <c r="Z55">
        <f>HYPERLINK("https://klasma.github.io/Logging_2582/fåglar/A 65081-2019 prioriterade fågelarter.docx", "A 65081-2019")</f>
        <v/>
      </c>
    </row>
    <row r="56" ht="15" customHeight="1">
      <c r="A56" t="inlineStr">
        <is>
          <t>A 43640-2020</t>
        </is>
      </c>
      <c r="B56" s="1" t="n">
        <v>44082</v>
      </c>
      <c r="C56" s="1" t="n">
        <v>45803</v>
      </c>
      <c r="D56" t="inlineStr">
        <is>
          <t>NORRBOTTENS LÄN</t>
        </is>
      </c>
      <c r="E56" t="inlineStr">
        <is>
          <t>BODEN</t>
        </is>
      </c>
      <c r="F56" t="inlineStr">
        <is>
          <t>Sveaskog</t>
        </is>
      </c>
      <c r="G56" t="n">
        <v>0.9</v>
      </c>
      <c r="H56" t="n">
        <v>0</v>
      </c>
      <c r="I56" t="n">
        <v>1</v>
      </c>
      <c r="J56" t="n">
        <v>2</v>
      </c>
      <c r="K56" t="n">
        <v>0</v>
      </c>
      <c r="L56" t="n">
        <v>0</v>
      </c>
      <c r="M56" t="n">
        <v>0</v>
      </c>
      <c r="N56" t="n">
        <v>0</v>
      </c>
      <c r="O56" t="n">
        <v>2</v>
      </c>
      <c r="P56" t="n">
        <v>0</v>
      </c>
      <c r="Q56" t="n">
        <v>3</v>
      </c>
      <c r="R56" s="2" t="inlineStr">
        <is>
          <t>Blå taggsvamp
Garnlav
Dropptaggsvamp</t>
        </is>
      </c>
      <c r="S56">
        <f>HYPERLINK("https://klasma.github.io/Logging_2582/artfynd/A 43640-2020 artfynd.xlsx", "A 43640-2020")</f>
        <v/>
      </c>
      <c r="T56">
        <f>HYPERLINK("https://klasma.github.io/Logging_2582/kartor/A 43640-2020 karta.png", "A 43640-2020")</f>
        <v/>
      </c>
      <c r="V56">
        <f>HYPERLINK("https://klasma.github.io/Logging_2582/klagomål/A 43640-2020 FSC-klagomål.docx", "A 43640-2020")</f>
        <v/>
      </c>
      <c r="W56">
        <f>HYPERLINK("https://klasma.github.io/Logging_2582/klagomålsmail/A 43640-2020 FSC-klagomål mail.docx", "A 43640-2020")</f>
        <v/>
      </c>
      <c r="X56">
        <f>HYPERLINK("https://klasma.github.io/Logging_2582/tillsyn/A 43640-2020 tillsynsbegäran.docx", "A 43640-2020")</f>
        <v/>
      </c>
      <c r="Y56">
        <f>HYPERLINK("https://klasma.github.io/Logging_2582/tillsynsmail/A 43640-2020 tillsynsbegäran mail.docx", "A 43640-2020")</f>
        <v/>
      </c>
    </row>
    <row r="57" ht="15" customHeight="1">
      <c r="A57" t="inlineStr">
        <is>
          <t>A 44419-2020</t>
        </is>
      </c>
      <c r="B57" s="1" t="n">
        <v>44084</v>
      </c>
      <c r="C57" s="1" t="n">
        <v>45803</v>
      </c>
      <c r="D57" t="inlineStr">
        <is>
          <t>NORRBOTTENS LÄN</t>
        </is>
      </c>
      <c r="E57" t="inlineStr">
        <is>
          <t>BODEN</t>
        </is>
      </c>
      <c r="F57" t="inlineStr">
        <is>
          <t>Sveaskog</t>
        </is>
      </c>
      <c r="G57" t="n">
        <v>3.1</v>
      </c>
      <c r="H57" t="n">
        <v>1</v>
      </c>
      <c r="I57" t="n">
        <v>0</v>
      </c>
      <c r="J57" t="n">
        <v>3</v>
      </c>
      <c r="K57" t="n">
        <v>0</v>
      </c>
      <c r="L57" t="n">
        <v>0</v>
      </c>
      <c r="M57" t="n">
        <v>0</v>
      </c>
      <c r="N57" t="n">
        <v>0</v>
      </c>
      <c r="O57" t="n">
        <v>3</v>
      </c>
      <c r="P57" t="n">
        <v>0</v>
      </c>
      <c r="Q57" t="n">
        <v>3</v>
      </c>
      <c r="R57" s="2" t="inlineStr">
        <is>
          <t>Garnlav
Tretåig hackspett
Vedskivlav</t>
        </is>
      </c>
      <c r="S57">
        <f>HYPERLINK("https://klasma.github.io/Logging_2582/artfynd/A 44419-2020 artfynd.xlsx", "A 44419-2020")</f>
        <v/>
      </c>
      <c r="T57">
        <f>HYPERLINK("https://klasma.github.io/Logging_2582/kartor/A 44419-2020 karta.png", "A 44419-2020")</f>
        <v/>
      </c>
      <c r="V57">
        <f>HYPERLINK("https://klasma.github.io/Logging_2582/klagomål/A 44419-2020 FSC-klagomål.docx", "A 44419-2020")</f>
        <v/>
      </c>
      <c r="W57">
        <f>HYPERLINK("https://klasma.github.io/Logging_2582/klagomålsmail/A 44419-2020 FSC-klagomål mail.docx", "A 44419-2020")</f>
        <v/>
      </c>
      <c r="X57">
        <f>HYPERLINK("https://klasma.github.io/Logging_2582/tillsyn/A 44419-2020 tillsynsbegäran.docx", "A 44419-2020")</f>
        <v/>
      </c>
      <c r="Y57">
        <f>HYPERLINK("https://klasma.github.io/Logging_2582/tillsynsmail/A 44419-2020 tillsynsbegäran mail.docx", "A 44419-2020")</f>
        <v/>
      </c>
      <c r="Z57">
        <f>HYPERLINK("https://klasma.github.io/Logging_2582/fåglar/A 44419-2020 prioriterade fågelarter.docx", "A 44419-2020")</f>
        <v/>
      </c>
    </row>
    <row r="58" ht="15" customHeight="1">
      <c r="A58" t="inlineStr">
        <is>
          <t>A 55246-2020</t>
        </is>
      </c>
      <c r="B58" s="1" t="n">
        <v>44130</v>
      </c>
      <c r="C58" s="1" t="n">
        <v>45803</v>
      </c>
      <c r="D58" t="inlineStr">
        <is>
          <t>NORRBOTTENS LÄN</t>
        </is>
      </c>
      <c r="E58" t="inlineStr">
        <is>
          <t>BODEN</t>
        </is>
      </c>
      <c r="F58" t="inlineStr">
        <is>
          <t>Sveaskog</t>
        </is>
      </c>
      <c r="G58" t="n">
        <v>4.5</v>
      </c>
      <c r="H58" t="n">
        <v>0</v>
      </c>
      <c r="I58" t="n">
        <v>1</v>
      </c>
      <c r="J58" t="n">
        <v>2</v>
      </c>
      <c r="K58" t="n">
        <v>0</v>
      </c>
      <c r="L58" t="n">
        <v>0</v>
      </c>
      <c r="M58" t="n">
        <v>0</v>
      </c>
      <c r="N58" t="n">
        <v>0</v>
      </c>
      <c r="O58" t="n">
        <v>2</v>
      </c>
      <c r="P58" t="n">
        <v>0</v>
      </c>
      <c r="Q58" t="n">
        <v>3</v>
      </c>
      <c r="R58" s="2" t="inlineStr">
        <is>
          <t>Gammelgransskål
Lunglav
Bronshjon</t>
        </is>
      </c>
      <c r="S58">
        <f>HYPERLINK("https://klasma.github.io/Logging_2582/artfynd/A 55246-2020 artfynd.xlsx", "A 55246-2020")</f>
        <v/>
      </c>
      <c r="T58">
        <f>HYPERLINK("https://klasma.github.io/Logging_2582/kartor/A 55246-2020 karta.png", "A 55246-2020")</f>
        <v/>
      </c>
      <c r="V58">
        <f>HYPERLINK("https://klasma.github.io/Logging_2582/klagomål/A 55246-2020 FSC-klagomål.docx", "A 55246-2020")</f>
        <v/>
      </c>
      <c r="W58">
        <f>HYPERLINK("https://klasma.github.io/Logging_2582/klagomålsmail/A 55246-2020 FSC-klagomål mail.docx", "A 55246-2020")</f>
        <v/>
      </c>
      <c r="X58">
        <f>HYPERLINK("https://klasma.github.io/Logging_2582/tillsyn/A 55246-2020 tillsynsbegäran.docx", "A 55246-2020")</f>
        <v/>
      </c>
      <c r="Y58">
        <f>HYPERLINK("https://klasma.github.io/Logging_2582/tillsynsmail/A 55246-2020 tillsynsbegäran mail.docx", "A 55246-2020")</f>
        <v/>
      </c>
    </row>
    <row r="59" ht="15" customHeight="1">
      <c r="A59" t="inlineStr">
        <is>
          <t>A 24447-2021</t>
        </is>
      </c>
      <c r="B59" s="1" t="n">
        <v>44337</v>
      </c>
      <c r="C59" s="1" t="n">
        <v>45803</v>
      </c>
      <c r="D59" t="inlineStr">
        <is>
          <t>NORRBOTTENS LÄN</t>
        </is>
      </c>
      <c r="E59" t="inlineStr">
        <is>
          <t>BODEN</t>
        </is>
      </c>
      <c r="F59" t="inlineStr">
        <is>
          <t>Sveaskog</t>
        </is>
      </c>
      <c r="G59" t="n">
        <v>3.7</v>
      </c>
      <c r="H59" t="n">
        <v>0</v>
      </c>
      <c r="I59" t="n">
        <v>2</v>
      </c>
      <c r="J59" t="n">
        <v>1</v>
      </c>
      <c r="K59" t="n">
        <v>0</v>
      </c>
      <c r="L59" t="n">
        <v>0</v>
      </c>
      <c r="M59" t="n">
        <v>0</v>
      </c>
      <c r="N59" t="n">
        <v>0</v>
      </c>
      <c r="O59" t="n">
        <v>1</v>
      </c>
      <c r="P59" t="n">
        <v>0</v>
      </c>
      <c r="Q59" t="n">
        <v>3</v>
      </c>
      <c r="R59" s="2" t="inlineStr">
        <is>
          <t>Lunglav
Bårdlav
Stuplav</t>
        </is>
      </c>
      <c r="S59">
        <f>HYPERLINK("https://klasma.github.io/Logging_2582/artfynd/A 24447-2021 artfynd.xlsx", "A 24447-2021")</f>
        <v/>
      </c>
      <c r="T59">
        <f>HYPERLINK("https://klasma.github.io/Logging_2582/kartor/A 24447-2021 karta.png", "A 24447-2021")</f>
        <v/>
      </c>
      <c r="V59">
        <f>HYPERLINK("https://klasma.github.io/Logging_2582/klagomål/A 24447-2021 FSC-klagomål.docx", "A 24447-2021")</f>
        <v/>
      </c>
      <c r="W59">
        <f>HYPERLINK("https://klasma.github.io/Logging_2582/klagomålsmail/A 24447-2021 FSC-klagomål mail.docx", "A 24447-2021")</f>
        <v/>
      </c>
      <c r="X59">
        <f>HYPERLINK("https://klasma.github.io/Logging_2582/tillsyn/A 24447-2021 tillsynsbegäran.docx", "A 24447-2021")</f>
        <v/>
      </c>
      <c r="Y59">
        <f>HYPERLINK("https://klasma.github.io/Logging_2582/tillsynsmail/A 24447-2021 tillsynsbegäran mail.docx", "A 24447-2021")</f>
        <v/>
      </c>
    </row>
    <row r="60" ht="15" customHeight="1">
      <c r="A60" t="inlineStr">
        <is>
          <t>A 52078-2021</t>
        </is>
      </c>
      <c r="B60" s="1" t="n">
        <v>44463</v>
      </c>
      <c r="C60" s="1" t="n">
        <v>45803</v>
      </c>
      <c r="D60" t="inlineStr">
        <is>
          <t>NORRBOTTENS LÄN</t>
        </is>
      </c>
      <c r="E60" t="inlineStr">
        <is>
          <t>BODEN</t>
        </is>
      </c>
      <c r="F60" t="inlineStr">
        <is>
          <t>Sveaskog</t>
        </is>
      </c>
      <c r="G60" t="n">
        <v>0.5</v>
      </c>
      <c r="H60" t="n">
        <v>1</v>
      </c>
      <c r="I60" t="n">
        <v>0</v>
      </c>
      <c r="J60" t="n">
        <v>2</v>
      </c>
      <c r="K60" t="n">
        <v>1</v>
      </c>
      <c r="L60" t="n">
        <v>0</v>
      </c>
      <c r="M60" t="n">
        <v>0</v>
      </c>
      <c r="N60" t="n">
        <v>0</v>
      </c>
      <c r="O60" t="n">
        <v>3</v>
      </c>
      <c r="P60" t="n">
        <v>1</v>
      </c>
      <c r="Q60" t="n">
        <v>3</v>
      </c>
      <c r="R60" s="2" t="inlineStr">
        <is>
          <t>Knärot
Granticka
Lunglav</t>
        </is>
      </c>
      <c r="S60">
        <f>HYPERLINK("https://klasma.github.io/Logging_2582/artfynd/A 52078-2021 artfynd.xlsx", "A 52078-2021")</f>
        <v/>
      </c>
      <c r="T60">
        <f>HYPERLINK("https://klasma.github.io/Logging_2582/kartor/A 52078-2021 karta.png", "A 52078-2021")</f>
        <v/>
      </c>
      <c r="U60">
        <f>HYPERLINK("https://klasma.github.io/Logging_2582/knärot/A 52078-2021 karta knärot.png", "A 52078-2021")</f>
        <v/>
      </c>
      <c r="V60">
        <f>HYPERLINK("https://klasma.github.io/Logging_2582/klagomål/A 52078-2021 FSC-klagomål.docx", "A 52078-2021")</f>
        <v/>
      </c>
      <c r="W60">
        <f>HYPERLINK("https://klasma.github.io/Logging_2582/klagomålsmail/A 52078-2021 FSC-klagomål mail.docx", "A 52078-2021")</f>
        <v/>
      </c>
      <c r="X60">
        <f>HYPERLINK("https://klasma.github.io/Logging_2582/tillsyn/A 52078-2021 tillsynsbegäran.docx", "A 52078-2021")</f>
        <v/>
      </c>
      <c r="Y60">
        <f>HYPERLINK("https://klasma.github.io/Logging_2582/tillsynsmail/A 52078-2021 tillsynsbegäran mail.docx", "A 52078-2021")</f>
        <v/>
      </c>
    </row>
    <row r="61" ht="15" customHeight="1">
      <c r="A61" t="inlineStr">
        <is>
          <t>A 51247-2022</t>
        </is>
      </c>
      <c r="B61" s="1" t="n">
        <v>44868</v>
      </c>
      <c r="C61" s="1" t="n">
        <v>45803</v>
      </c>
      <c r="D61" t="inlineStr">
        <is>
          <t>NORRBOTTENS LÄN</t>
        </is>
      </c>
      <c r="E61" t="inlineStr">
        <is>
          <t>BODEN</t>
        </is>
      </c>
      <c r="F61" t="inlineStr">
        <is>
          <t>Sveaskog</t>
        </is>
      </c>
      <c r="G61" t="n">
        <v>9.800000000000001</v>
      </c>
      <c r="H61" t="n">
        <v>1</v>
      </c>
      <c r="I61" t="n">
        <v>0</v>
      </c>
      <c r="J61" t="n">
        <v>2</v>
      </c>
      <c r="K61" t="n">
        <v>1</v>
      </c>
      <c r="L61" t="n">
        <v>0</v>
      </c>
      <c r="M61" t="n">
        <v>0</v>
      </c>
      <c r="N61" t="n">
        <v>0</v>
      </c>
      <c r="O61" t="n">
        <v>3</v>
      </c>
      <c r="P61" t="n">
        <v>1</v>
      </c>
      <c r="Q61" t="n">
        <v>3</v>
      </c>
      <c r="R61" s="2" t="inlineStr">
        <is>
          <t>Doftticka
Koralltaggsvamp
Lunglav</t>
        </is>
      </c>
      <c r="S61">
        <f>HYPERLINK("https://klasma.github.io/Logging_2582/artfynd/A 51247-2022 artfynd.xlsx", "A 51247-2022")</f>
        <v/>
      </c>
      <c r="T61">
        <f>HYPERLINK("https://klasma.github.io/Logging_2582/kartor/A 51247-2022 karta.png", "A 51247-2022")</f>
        <v/>
      </c>
      <c r="V61">
        <f>HYPERLINK("https://klasma.github.io/Logging_2582/klagomål/A 51247-2022 FSC-klagomål.docx", "A 51247-2022")</f>
        <v/>
      </c>
      <c r="W61">
        <f>HYPERLINK("https://klasma.github.io/Logging_2582/klagomålsmail/A 51247-2022 FSC-klagomål mail.docx", "A 51247-2022")</f>
        <v/>
      </c>
      <c r="X61">
        <f>HYPERLINK("https://klasma.github.io/Logging_2582/tillsyn/A 51247-2022 tillsynsbegäran.docx", "A 51247-2022")</f>
        <v/>
      </c>
      <c r="Y61">
        <f>HYPERLINK("https://klasma.github.io/Logging_2582/tillsynsmail/A 51247-2022 tillsynsbegäran mail.docx", "A 51247-2022")</f>
        <v/>
      </c>
    </row>
    <row r="62" ht="15" customHeight="1">
      <c r="A62" t="inlineStr">
        <is>
          <t>A 53005-2022</t>
        </is>
      </c>
      <c r="B62" s="1" t="n">
        <v>44875</v>
      </c>
      <c r="C62" s="1" t="n">
        <v>45803</v>
      </c>
      <c r="D62" t="inlineStr">
        <is>
          <t>NORRBOTTENS LÄN</t>
        </is>
      </c>
      <c r="E62" t="inlineStr">
        <is>
          <t>BODEN</t>
        </is>
      </c>
      <c r="F62" t="inlineStr">
        <is>
          <t>SCA</t>
        </is>
      </c>
      <c r="G62" t="n">
        <v>5.7</v>
      </c>
      <c r="H62" t="n">
        <v>0</v>
      </c>
      <c r="I62" t="n">
        <v>1</v>
      </c>
      <c r="J62" t="n">
        <v>2</v>
      </c>
      <c r="K62" t="n">
        <v>0</v>
      </c>
      <c r="L62" t="n">
        <v>0</v>
      </c>
      <c r="M62" t="n">
        <v>0</v>
      </c>
      <c r="N62" t="n">
        <v>0</v>
      </c>
      <c r="O62" t="n">
        <v>2</v>
      </c>
      <c r="P62" t="n">
        <v>0</v>
      </c>
      <c r="Q62" t="n">
        <v>3</v>
      </c>
      <c r="R62" s="2" t="inlineStr">
        <is>
          <t>Blå taggsvamp
Orange taggsvamp
Dropptaggsvamp</t>
        </is>
      </c>
      <c r="S62">
        <f>HYPERLINK("https://klasma.github.io/Logging_2582/artfynd/A 53005-2022 artfynd.xlsx", "A 53005-2022")</f>
        <v/>
      </c>
      <c r="T62">
        <f>HYPERLINK("https://klasma.github.io/Logging_2582/kartor/A 53005-2022 karta.png", "A 53005-2022")</f>
        <v/>
      </c>
      <c r="V62">
        <f>HYPERLINK("https://klasma.github.io/Logging_2582/klagomål/A 53005-2022 FSC-klagomål.docx", "A 53005-2022")</f>
        <v/>
      </c>
      <c r="W62">
        <f>HYPERLINK("https://klasma.github.io/Logging_2582/klagomålsmail/A 53005-2022 FSC-klagomål mail.docx", "A 53005-2022")</f>
        <v/>
      </c>
      <c r="X62">
        <f>HYPERLINK("https://klasma.github.io/Logging_2582/tillsyn/A 53005-2022 tillsynsbegäran.docx", "A 53005-2022")</f>
        <v/>
      </c>
      <c r="Y62">
        <f>HYPERLINK("https://klasma.github.io/Logging_2582/tillsynsmail/A 53005-2022 tillsynsbegäran mail.docx", "A 53005-2022")</f>
        <v/>
      </c>
    </row>
    <row r="63" ht="15" customHeight="1">
      <c r="A63" t="inlineStr">
        <is>
          <t>A 59358-2022</t>
        </is>
      </c>
      <c r="B63" s="1" t="n">
        <v>44904</v>
      </c>
      <c r="C63" s="1" t="n">
        <v>45803</v>
      </c>
      <c r="D63" t="inlineStr">
        <is>
          <t>NORRBOTTENS LÄN</t>
        </is>
      </c>
      <c r="E63" t="inlineStr">
        <is>
          <t>BODEN</t>
        </is>
      </c>
      <c r="G63" t="n">
        <v>1.5</v>
      </c>
      <c r="H63" t="n">
        <v>2</v>
      </c>
      <c r="I63" t="n">
        <v>1</v>
      </c>
      <c r="J63" t="n">
        <v>1</v>
      </c>
      <c r="K63" t="n">
        <v>1</v>
      </c>
      <c r="L63" t="n">
        <v>0</v>
      </c>
      <c r="M63" t="n">
        <v>0</v>
      </c>
      <c r="N63" t="n">
        <v>0</v>
      </c>
      <c r="O63" t="n">
        <v>2</v>
      </c>
      <c r="P63" t="n">
        <v>1</v>
      </c>
      <c r="Q63" t="n">
        <v>3</v>
      </c>
      <c r="R63" s="2" t="inlineStr">
        <is>
          <t>Stare
Rosenfink
Rävticka</t>
        </is>
      </c>
      <c r="S63">
        <f>HYPERLINK("https://klasma.github.io/Logging_2582/artfynd/A 59358-2022 artfynd.xlsx", "A 59358-2022")</f>
        <v/>
      </c>
      <c r="T63">
        <f>HYPERLINK("https://klasma.github.io/Logging_2582/kartor/A 59358-2022 karta.png", "A 59358-2022")</f>
        <v/>
      </c>
      <c r="V63">
        <f>HYPERLINK("https://klasma.github.io/Logging_2582/klagomål/A 59358-2022 FSC-klagomål.docx", "A 59358-2022")</f>
        <v/>
      </c>
      <c r="W63">
        <f>HYPERLINK("https://klasma.github.io/Logging_2582/klagomålsmail/A 59358-2022 FSC-klagomål mail.docx", "A 59358-2022")</f>
        <v/>
      </c>
      <c r="X63">
        <f>HYPERLINK("https://klasma.github.io/Logging_2582/tillsyn/A 59358-2022 tillsynsbegäran.docx", "A 59358-2022")</f>
        <v/>
      </c>
      <c r="Y63">
        <f>HYPERLINK("https://klasma.github.io/Logging_2582/tillsynsmail/A 59358-2022 tillsynsbegäran mail.docx", "A 59358-2022")</f>
        <v/>
      </c>
      <c r="Z63">
        <f>HYPERLINK("https://klasma.github.io/Logging_2582/fåglar/A 59358-2022 prioriterade fågelarter.docx", "A 59358-2022")</f>
        <v/>
      </c>
    </row>
    <row r="64" ht="15" customHeight="1">
      <c r="A64" t="inlineStr">
        <is>
          <t>A 43507-2023</t>
        </is>
      </c>
      <c r="B64" s="1" t="n">
        <v>45184</v>
      </c>
      <c r="C64" s="1" t="n">
        <v>45803</v>
      </c>
      <c r="D64" t="inlineStr">
        <is>
          <t>NORRBOTTENS LÄN</t>
        </is>
      </c>
      <c r="E64" t="inlineStr">
        <is>
          <t>BODEN</t>
        </is>
      </c>
      <c r="F64" t="inlineStr">
        <is>
          <t>Sveaskog</t>
        </is>
      </c>
      <c r="G64" t="n">
        <v>4.5</v>
      </c>
      <c r="H64" t="n">
        <v>1</v>
      </c>
      <c r="I64" t="n">
        <v>3</v>
      </c>
      <c r="J64" t="n">
        <v>0</v>
      </c>
      <c r="K64" t="n">
        <v>0</v>
      </c>
      <c r="L64" t="n">
        <v>0</v>
      </c>
      <c r="M64" t="n">
        <v>0</v>
      </c>
      <c r="N64" t="n">
        <v>0</v>
      </c>
      <c r="O64" t="n">
        <v>0</v>
      </c>
      <c r="P64" t="n">
        <v>0</v>
      </c>
      <c r="Q64" t="n">
        <v>3</v>
      </c>
      <c r="R64" s="2" t="inlineStr">
        <is>
          <t>Bollvitmossa
Lappranunkel
Ögonpyrola</t>
        </is>
      </c>
      <c r="S64">
        <f>HYPERLINK("https://klasma.github.io/Logging_2582/artfynd/A 43507-2023 artfynd.xlsx", "A 43507-2023")</f>
        <v/>
      </c>
      <c r="T64">
        <f>HYPERLINK("https://klasma.github.io/Logging_2582/kartor/A 43507-2023 karta.png", "A 43507-2023")</f>
        <v/>
      </c>
      <c r="V64">
        <f>HYPERLINK("https://klasma.github.io/Logging_2582/klagomål/A 43507-2023 FSC-klagomål.docx", "A 43507-2023")</f>
        <v/>
      </c>
      <c r="W64">
        <f>HYPERLINK("https://klasma.github.io/Logging_2582/klagomålsmail/A 43507-2023 FSC-klagomål mail.docx", "A 43507-2023")</f>
        <v/>
      </c>
      <c r="X64">
        <f>HYPERLINK("https://klasma.github.io/Logging_2582/tillsyn/A 43507-2023 tillsynsbegäran.docx", "A 43507-2023")</f>
        <v/>
      </c>
      <c r="Y64">
        <f>HYPERLINK("https://klasma.github.io/Logging_2582/tillsynsmail/A 43507-2023 tillsynsbegäran mail.docx", "A 43507-2023")</f>
        <v/>
      </c>
    </row>
    <row r="65" ht="15" customHeight="1">
      <c r="A65" t="inlineStr">
        <is>
          <t>A 19324-2024</t>
        </is>
      </c>
      <c r="B65" s="1" t="n">
        <v>45428</v>
      </c>
      <c r="C65" s="1" t="n">
        <v>45803</v>
      </c>
      <c r="D65" t="inlineStr">
        <is>
          <t>NORRBOTTENS LÄN</t>
        </is>
      </c>
      <c r="E65" t="inlineStr">
        <is>
          <t>BODEN</t>
        </is>
      </c>
      <c r="G65" t="n">
        <v>3.8</v>
      </c>
      <c r="H65" t="n">
        <v>2</v>
      </c>
      <c r="I65" t="n">
        <v>1</v>
      </c>
      <c r="J65" t="n">
        <v>0</v>
      </c>
      <c r="K65" t="n">
        <v>2</v>
      </c>
      <c r="L65" t="n">
        <v>0</v>
      </c>
      <c r="M65" t="n">
        <v>0</v>
      </c>
      <c r="N65" t="n">
        <v>0</v>
      </c>
      <c r="O65" t="n">
        <v>2</v>
      </c>
      <c r="P65" t="n">
        <v>2</v>
      </c>
      <c r="Q65" t="n">
        <v>3</v>
      </c>
      <c r="R65" s="2" t="inlineStr">
        <is>
          <t>Knärot
Norna
Ögonpyrola</t>
        </is>
      </c>
      <c r="S65">
        <f>HYPERLINK("https://klasma.github.io/Logging_2582/artfynd/A 19324-2024 artfynd.xlsx", "A 19324-2024")</f>
        <v/>
      </c>
      <c r="T65">
        <f>HYPERLINK("https://klasma.github.io/Logging_2582/kartor/A 19324-2024 karta.png", "A 19324-2024")</f>
        <v/>
      </c>
      <c r="U65">
        <f>HYPERLINK("https://klasma.github.io/Logging_2582/knärot/A 19324-2024 karta knärot.png", "A 19324-2024")</f>
        <v/>
      </c>
      <c r="V65">
        <f>HYPERLINK("https://klasma.github.io/Logging_2582/klagomål/A 19324-2024 FSC-klagomål.docx", "A 19324-2024")</f>
        <v/>
      </c>
      <c r="W65">
        <f>HYPERLINK("https://klasma.github.io/Logging_2582/klagomålsmail/A 19324-2024 FSC-klagomål mail.docx", "A 19324-2024")</f>
        <v/>
      </c>
      <c r="X65">
        <f>HYPERLINK("https://klasma.github.io/Logging_2582/tillsyn/A 19324-2024 tillsynsbegäran.docx", "A 19324-2024")</f>
        <v/>
      </c>
      <c r="Y65">
        <f>HYPERLINK("https://klasma.github.io/Logging_2582/tillsynsmail/A 19324-2024 tillsynsbegäran mail.docx", "A 19324-2024")</f>
        <v/>
      </c>
    </row>
    <row r="66" ht="15" customHeight="1">
      <c r="A66" t="inlineStr">
        <is>
          <t>A 47250-2024</t>
        </is>
      </c>
      <c r="B66" s="1" t="n">
        <v>45586</v>
      </c>
      <c r="C66" s="1" t="n">
        <v>45803</v>
      </c>
      <c r="D66" t="inlineStr">
        <is>
          <t>NORRBOTTENS LÄN</t>
        </is>
      </c>
      <c r="E66" t="inlineStr">
        <is>
          <t>BODEN</t>
        </is>
      </c>
      <c r="F66" t="inlineStr">
        <is>
          <t>Kyrkan</t>
        </is>
      </c>
      <c r="G66" t="n">
        <v>5</v>
      </c>
      <c r="H66" t="n">
        <v>0</v>
      </c>
      <c r="I66" t="n">
        <v>0</v>
      </c>
      <c r="J66" t="n">
        <v>3</v>
      </c>
      <c r="K66" t="n">
        <v>0</v>
      </c>
      <c r="L66" t="n">
        <v>0</v>
      </c>
      <c r="M66" t="n">
        <v>0</v>
      </c>
      <c r="N66" t="n">
        <v>0</v>
      </c>
      <c r="O66" t="n">
        <v>3</v>
      </c>
      <c r="P66" t="n">
        <v>0</v>
      </c>
      <c r="Q66" t="n">
        <v>3</v>
      </c>
      <c r="R66" s="2" t="inlineStr">
        <is>
          <t>Gammelgransskål
Garnlav
Myskmåra</t>
        </is>
      </c>
      <c r="S66">
        <f>HYPERLINK("https://klasma.github.io/Logging_2582/artfynd/A 47250-2024 artfynd.xlsx", "A 47250-2024")</f>
        <v/>
      </c>
      <c r="T66">
        <f>HYPERLINK("https://klasma.github.io/Logging_2582/kartor/A 47250-2024 karta.png", "A 47250-2024")</f>
        <v/>
      </c>
      <c r="V66">
        <f>HYPERLINK("https://klasma.github.io/Logging_2582/klagomål/A 47250-2024 FSC-klagomål.docx", "A 47250-2024")</f>
        <v/>
      </c>
      <c r="W66">
        <f>HYPERLINK("https://klasma.github.io/Logging_2582/klagomålsmail/A 47250-2024 FSC-klagomål mail.docx", "A 47250-2024")</f>
        <v/>
      </c>
      <c r="X66">
        <f>HYPERLINK("https://klasma.github.io/Logging_2582/tillsyn/A 47250-2024 tillsynsbegäran.docx", "A 47250-2024")</f>
        <v/>
      </c>
      <c r="Y66">
        <f>HYPERLINK("https://klasma.github.io/Logging_2582/tillsynsmail/A 47250-2024 tillsynsbegäran mail.docx", "A 47250-2024")</f>
        <v/>
      </c>
    </row>
    <row r="67" ht="15" customHeight="1">
      <c r="A67" t="inlineStr">
        <is>
          <t>A 21123-2019</t>
        </is>
      </c>
      <c r="B67" s="1" t="n">
        <v>43579</v>
      </c>
      <c r="C67" s="1" t="n">
        <v>45803</v>
      </c>
      <c r="D67" t="inlineStr">
        <is>
          <t>NORRBOTTENS LÄN</t>
        </is>
      </c>
      <c r="E67" t="inlineStr">
        <is>
          <t>BODEN</t>
        </is>
      </c>
      <c r="F67" t="inlineStr">
        <is>
          <t>Sveaskog</t>
        </is>
      </c>
      <c r="G67" t="n">
        <v>11.3</v>
      </c>
      <c r="H67" t="n">
        <v>0</v>
      </c>
      <c r="I67" t="n">
        <v>1</v>
      </c>
      <c r="J67" t="n">
        <v>1</v>
      </c>
      <c r="K67" t="n">
        <v>0</v>
      </c>
      <c r="L67" t="n">
        <v>0</v>
      </c>
      <c r="M67" t="n">
        <v>0</v>
      </c>
      <c r="N67" t="n">
        <v>0</v>
      </c>
      <c r="O67" t="n">
        <v>1</v>
      </c>
      <c r="P67" t="n">
        <v>0</v>
      </c>
      <c r="Q67" t="n">
        <v>2</v>
      </c>
      <c r="R67" s="2" t="inlineStr">
        <is>
          <t>Lunglav
Stor aspticka</t>
        </is>
      </c>
      <c r="S67">
        <f>HYPERLINK("https://klasma.github.io/Logging_2582/artfynd/A 21123-2019 artfynd.xlsx", "A 21123-2019")</f>
        <v/>
      </c>
      <c r="T67">
        <f>HYPERLINK("https://klasma.github.io/Logging_2582/kartor/A 21123-2019 karta.png", "A 21123-2019")</f>
        <v/>
      </c>
      <c r="V67">
        <f>HYPERLINK("https://klasma.github.io/Logging_2582/klagomål/A 21123-2019 FSC-klagomål.docx", "A 21123-2019")</f>
        <v/>
      </c>
      <c r="W67">
        <f>HYPERLINK("https://klasma.github.io/Logging_2582/klagomålsmail/A 21123-2019 FSC-klagomål mail.docx", "A 21123-2019")</f>
        <v/>
      </c>
      <c r="X67">
        <f>HYPERLINK("https://klasma.github.io/Logging_2582/tillsyn/A 21123-2019 tillsynsbegäran.docx", "A 21123-2019")</f>
        <v/>
      </c>
      <c r="Y67">
        <f>HYPERLINK("https://klasma.github.io/Logging_2582/tillsynsmail/A 21123-2019 tillsynsbegäran mail.docx", "A 21123-2019")</f>
        <v/>
      </c>
    </row>
    <row r="68" ht="15" customHeight="1">
      <c r="A68" t="inlineStr">
        <is>
          <t>A 21127-2019</t>
        </is>
      </c>
      <c r="B68" s="1" t="n">
        <v>43579</v>
      </c>
      <c r="C68" s="1" t="n">
        <v>45803</v>
      </c>
      <c r="D68" t="inlineStr">
        <is>
          <t>NORRBOTTENS LÄN</t>
        </is>
      </c>
      <c r="E68" t="inlineStr">
        <is>
          <t>BODEN</t>
        </is>
      </c>
      <c r="F68" t="inlineStr">
        <is>
          <t>Sveaskog</t>
        </is>
      </c>
      <c r="G68" t="n">
        <v>32</v>
      </c>
      <c r="H68" t="n">
        <v>0</v>
      </c>
      <c r="I68" t="n">
        <v>0</v>
      </c>
      <c r="J68" t="n">
        <v>2</v>
      </c>
      <c r="K68" t="n">
        <v>0</v>
      </c>
      <c r="L68" t="n">
        <v>0</v>
      </c>
      <c r="M68" t="n">
        <v>0</v>
      </c>
      <c r="N68" t="n">
        <v>0</v>
      </c>
      <c r="O68" t="n">
        <v>2</v>
      </c>
      <c r="P68" t="n">
        <v>0</v>
      </c>
      <c r="Q68" t="n">
        <v>2</v>
      </c>
      <c r="R68" s="2" t="inlineStr">
        <is>
          <t>Lunglav
Nordtagging</t>
        </is>
      </c>
      <c r="S68">
        <f>HYPERLINK("https://klasma.github.io/Logging_2582/artfynd/A 21127-2019 artfynd.xlsx", "A 21127-2019")</f>
        <v/>
      </c>
      <c r="T68">
        <f>HYPERLINK("https://klasma.github.io/Logging_2582/kartor/A 21127-2019 karta.png", "A 21127-2019")</f>
        <v/>
      </c>
      <c r="V68">
        <f>HYPERLINK("https://klasma.github.io/Logging_2582/klagomål/A 21127-2019 FSC-klagomål.docx", "A 21127-2019")</f>
        <v/>
      </c>
      <c r="W68">
        <f>HYPERLINK("https://klasma.github.io/Logging_2582/klagomålsmail/A 21127-2019 FSC-klagomål mail.docx", "A 21127-2019")</f>
        <v/>
      </c>
      <c r="X68">
        <f>HYPERLINK("https://klasma.github.io/Logging_2582/tillsyn/A 21127-2019 tillsynsbegäran.docx", "A 21127-2019")</f>
        <v/>
      </c>
      <c r="Y68">
        <f>HYPERLINK("https://klasma.github.io/Logging_2582/tillsynsmail/A 21127-2019 tillsynsbegäran mail.docx", "A 21127-2019")</f>
        <v/>
      </c>
    </row>
    <row r="69" ht="15" customHeight="1">
      <c r="A69" t="inlineStr">
        <is>
          <t>A 24672-2019</t>
        </is>
      </c>
      <c r="B69" s="1" t="n">
        <v>43601</v>
      </c>
      <c r="C69" s="1" t="n">
        <v>45803</v>
      </c>
      <c r="D69" t="inlineStr">
        <is>
          <t>NORRBOTTENS LÄN</t>
        </is>
      </c>
      <c r="E69" t="inlineStr">
        <is>
          <t>BODEN</t>
        </is>
      </c>
      <c r="F69" t="inlineStr">
        <is>
          <t>Sveaskog</t>
        </is>
      </c>
      <c r="G69" t="n">
        <v>12.8</v>
      </c>
      <c r="H69" t="n">
        <v>0</v>
      </c>
      <c r="I69" t="n">
        <v>0</v>
      </c>
      <c r="J69" t="n">
        <v>1</v>
      </c>
      <c r="K69" t="n">
        <v>1</v>
      </c>
      <c r="L69" t="n">
        <v>0</v>
      </c>
      <c r="M69" t="n">
        <v>0</v>
      </c>
      <c r="N69" t="n">
        <v>0</v>
      </c>
      <c r="O69" t="n">
        <v>2</v>
      </c>
      <c r="P69" t="n">
        <v>1</v>
      </c>
      <c r="Q69" t="n">
        <v>2</v>
      </c>
      <c r="R69" s="2" t="inlineStr">
        <is>
          <t>Gräddporing
Vaddporing</t>
        </is>
      </c>
      <c r="S69">
        <f>HYPERLINK("https://klasma.github.io/Logging_2582/artfynd/A 24672-2019 artfynd.xlsx", "A 24672-2019")</f>
        <v/>
      </c>
      <c r="T69">
        <f>HYPERLINK("https://klasma.github.io/Logging_2582/kartor/A 24672-2019 karta.png", "A 24672-2019")</f>
        <v/>
      </c>
      <c r="V69">
        <f>HYPERLINK("https://klasma.github.io/Logging_2582/klagomål/A 24672-2019 FSC-klagomål.docx", "A 24672-2019")</f>
        <v/>
      </c>
      <c r="W69">
        <f>HYPERLINK("https://klasma.github.io/Logging_2582/klagomålsmail/A 24672-2019 FSC-klagomål mail.docx", "A 24672-2019")</f>
        <v/>
      </c>
      <c r="X69">
        <f>HYPERLINK("https://klasma.github.io/Logging_2582/tillsyn/A 24672-2019 tillsynsbegäran.docx", "A 24672-2019")</f>
        <v/>
      </c>
      <c r="Y69">
        <f>HYPERLINK("https://klasma.github.io/Logging_2582/tillsynsmail/A 24672-2019 tillsynsbegäran mail.docx", "A 24672-2019")</f>
        <v/>
      </c>
    </row>
    <row r="70" ht="15" customHeight="1">
      <c r="A70" t="inlineStr">
        <is>
          <t>A 52586-2019</t>
        </is>
      </c>
      <c r="B70" s="1" t="n">
        <v>43745</v>
      </c>
      <c r="C70" s="1" t="n">
        <v>45803</v>
      </c>
      <c r="D70" t="inlineStr">
        <is>
          <t>NORRBOTTENS LÄN</t>
        </is>
      </c>
      <c r="E70" t="inlineStr">
        <is>
          <t>BODEN</t>
        </is>
      </c>
      <c r="F70" t="inlineStr">
        <is>
          <t>SCA</t>
        </is>
      </c>
      <c r="G70" t="n">
        <v>3.5</v>
      </c>
      <c r="H70" t="n">
        <v>0</v>
      </c>
      <c r="I70" t="n">
        <v>1</v>
      </c>
      <c r="J70" t="n">
        <v>1</v>
      </c>
      <c r="K70" t="n">
        <v>0</v>
      </c>
      <c r="L70" t="n">
        <v>0</v>
      </c>
      <c r="M70" t="n">
        <v>0</v>
      </c>
      <c r="N70" t="n">
        <v>0</v>
      </c>
      <c r="O70" t="n">
        <v>1</v>
      </c>
      <c r="P70" t="n">
        <v>0</v>
      </c>
      <c r="Q70" t="n">
        <v>2</v>
      </c>
      <c r="R70" s="2" t="inlineStr">
        <is>
          <t>Äggvaxskivling
Grönpyrola</t>
        </is>
      </c>
      <c r="S70">
        <f>HYPERLINK("https://klasma.github.io/Logging_2582/artfynd/A 52586-2019 artfynd.xlsx", "A 52586-2019")</f>
        <v/>
      </c>
      <c r="T70">
        <f>HYPERLINK("https://klasma.github.io/Logging_2582/kartor/A 52586-2019 karta.png", "A 52586-2019")</f>
        <v/>
      </c>
      <c r="V70">
        <f>HYPERLINK("https://klasma.github.io/Logging_2582/klagomål/A 52586-2019 FSC-klagomål.docx", "A 52586-2019")</f>
        <v/>
      </c>
      <c r="W70">
        <f>HYPERLINK("https://klasma.github.io/Logging_2582/klagomålsmail/A 52586-2019 FSC-klagomål mail.docx", "A 52586-2019")</f>
        <v/>
      </c>
      <c r="X70">
        <f>HYPERLINK("https://klasma.github.io/Logging_2582/tillsyn/A 52586-2019 tillsynsbegäran.docx", "A 52586-2019")</f>
        <v/>
      </c>
      <c r="Y70">
        <f>HYPERLINK("https://klasma.github.io/Logging_2582/tillsynsmail/A 52586-2019 tillsynsbegäran mail.docx", "A 52586-2019")</f>
        <v/>
      </c>
    </row>
    <row r="71" ht="15" customHeight="1">
      <c r="A71" t="inlineStr">
        <is>
          <t>A 23103-2020</t>
        </is>
      </c>
      <c r="B71" s="1" t="n">
        <v>43965</v>
      </c>
      <c r="C71" s="1" t="n">
        <v>45803</v>
      </c>
      <c r="D71" t="inlineStr">
        <is>
          <t>NORRBOTTENS LÄN</t>
        </is>
      </c>
      <c r="E71" t="inlineStr">
        <is>
          <t>BODEN</t>
        </is>
      </c>
      <c r="F71" t="inlineStr">
        <is>
          <t>Sveaskog</t>
        </is>
      </c>
      <c r="G71" t="n">
        <v>4.2</v>
      </c>
      <c r="H71" t="n">
        <v>0</v>
      </c>
      <c r="I71" t="n">
        <v>2</v>
      </c>
      <c r="J71" t="n">
        <v>0</v>
      </c>
      <c r="K71" t="n">
        <v>0</v>
      </c>
      <c r="L71" t="n">
        <v>0</v>
      </c>
      <c r="M71" t="n">
        <v>0</v>
      </c>
      <c r="N71" t="n">
        <v>0</v>
      </c>
      <c r="O71" t="n">
        <v>0</v>
      </c>
      <c r="P71" t="n">
        <v>0</v>
      </c>
      <c r="Q71" t="n">
        <v>2</v>
      </c>
      <c r="R71" s="2" t="inlineStr">
        <is>
          <t>Dropptaggsvamp
Skarp dropptaggsvamp</t>
        </is>
      </c>
      <c r="S71">
        <f>HYPERLINK("https://klasma.github.io/Logging_2582/artfynd/A 23103-2020 artfynd.xlsx", "A 23103-2020")</f>
        <v/>
      </c>
      <c r="T71">
        <f>HYPERLINK("https://klasma.github.io/Logging_2582/kartor/A 23103-2020 karta.png", "A 23103-2020")</f>
        <v/>
      </c>
      <c r="V71">
        <f>HYPERLINK("https://klasma.github.io/Logging_2582/klagomål/A 23103-2020 FSC-klagomål.docx", "A 23103-2020")</f>
        <v/>
      </c>
      <c r="W71">
        <f>HYPERLINK("https://klasma.github.io/Logging_2582/klagomålsmail/A 23103-2020 FSC-klagomål mail.docx", "A 23103-2020")</f>
        <v/>
      </c>
      <c r="X71">
        <f>HYPERLINK("https://klasma.github.io/Logging_2582/tillsyn/A 23103-2020 tillsynsbegäran.docx", "A 23103-2020")</f>
        <v/>
      </c>
      <c r="Y71">
        <f>HYPERLINK("https://klasma.github.io/Logging_2582/tillsynsmail/A 23103-2020 tillsynsbegäran mail.docx", "A 23103-2020")</f>
        <v/>
      </c>
    </row>
    <row r="72" ht="15" customHeight="1">
      <c r="A72" t="inlineStr">
        <is>
          <t>A 39595-2020</t>
        </is>
      </c>
      <c r="B72" s="1" t="n">
        <v>44064</v>
      </c>
      <c r="C72" s="1" t="n">
        <v>45803</v>
      </c>
      <c r="D72" t="inlineStr">
        <is>
          <t>NORRBOTTENS LÄN</t>
        </is>
      </c>
      <c r="E72" t="inlineStr">
        <is>
          <t>BODEN</t>
        </is>
      </c>
      <c r="F72" t="inlineStr">
        <is>
          <t>Sveaskog</t>
        </is>
      </c>
      <c r="G72" t="n">
        <v>7</v>
      </c>
      <c r="H72" t="n">
        <v>1</v>
      </c>
      <c r="I72" t="n">
        <v>0</v>
      </c>
      <c r="J72" t="n">
        <v>1</v>
      </c>
      <c r="K72" t="n">
        <v>1</v>
      </c>
      <c r="L72" t="n">
        <v>0</v>
      </c>
      <c r="M72" t="n">
        <v>0</v>
      </c>
      <c r="N72" t="n">
        <v>0</v>
      </c>
      <c r="O72" t="n">
        <v>2</v>
      </c>
      <c r="P72" t="n">
        <v>1</v>
      </c>
      <c r="Q72" t="n">
        <v>2</v>
      </c>
      <c r="R72" s="2" t="inlineStr">
        <is>
          <t>Knärot
Vedskivlav</t>
        </is>
      </c>
      <c r="S72">
        <f>HYPERLINK("https://klasma.github.io/Logging_2582/artfynd/A 39595-2020 artfynd.xlsx", "A 39595-2020")</f>
        <v/>
      </c>
      <c r="T72">
        <f>HYPERLINK("https://klasma.github.io/Logging_2582/kartor/A 39595-2020 karta.png", "A 39595-2020")</f>
        <v/>
      </c>
      <c r="U72">
        <f>HYPERLINK("https://klasma.github.io/Logging_2582/knärot/A 39595-2020 karta knärot.png", "A 39595-2020")</f>
        <v/>
      </c>
      <c r="V72">
        <f>HYPERLINK("https://klasma.github.io/Logging_2582/klagomål/A 39595-2020 FSC-klagomål.docx", "A 39595-2020")</f>
        <v/>
      </c>
      <c r="W72">
        <f>HYPERLINK("https://klasma.github.io/Logging_2582/klagomålsmail/A 39595-2020 FSC-klagomål mail.docx", "A 39595-2020")</f>
        <v/>
      </c>
      <c r="X72">
        <f>HYPERLINK("https://klasma.github.io/Logging_2582/tillsyn/A 39595-2020 tillsynsbegäran.docx", "A 39595-2020")</f>
        <v/>
      </c>
      <c r="Y72">
        <f>HYPERLINK("https://klasma.github.io/Logging_2582/tillsynsmail/A 39595-2020 tillsynsbegäran mail.docx", "A 39595-2020")</f>
        <v/>
      </c>
    </row>
    <row r="73" ht="15" customHeight="1">
      <c r="A73" t="inlineStr">
        <is>
          <t>A 43635-2020</t>
        </is>
      </c>
      <c r="B73" s="1" t="n">
        <v>44082</v>
      </c>
      <c r="C73" s="1" t="n">
        <v>45803</v>
      </c>
      <c r="D73" t="inlineStr">
        <is>
          <t>NORRBOTTENS LÄN</t>
        </is>
      </c>
      <c r="E73" t="inlineStr">
        <is>
          <t>BODEN</t>
        </is>
      </c>
      <c r="F73" t="inlineStr">
        <is>
          <t>Sveaskog</t>
        </is>
      </c>
      <c r="G73" t="n">
        <v>1.7</v>
      </c>
      <c r="H73" t="n">
        <v>0</v>
      </c>
      <c r="I73" t="n">
        <v>0</v>
      </c>
      <c r="J73" t="n">
        <v>2</v>
      </c>
      <c r="K73" t="n">
        <v>0</v>
      </c>
      <c r="L73" t="n">
        <v>0</v>
      </c>
      <c r="M73" t="n">
        <v>0</v>
      </c>
      <c r="N73" t="n">
        <v>0</v>
      </c>
      <c r="O73" t="n">
        <v>2</v>
      </c>
      <c r="P73" t="n">
        <v>0</v>
      </c>
      <c r="Q73" t="n">
        <v>2</v>
      </c>
      <c r="R73" s="2" t="inlineStr">
        <is>
          <t>Mörk kolflarnlav
Vedskivlav</t>
        </is>
      </c>
      <c r="S73">
        <f>HYPERLINK("https://klasma.github.io/Logging_2582/artfynd/A 43635-2020 artfynd.xlsx", "A 43635-2020")</f>
        <v/>
      </c>
      <c r="T73">
        <f>HYPERLINK("https://klasma.github.io/Logging_2582/kartor/A 43635-2020 karta.png", "A 43635-2020")</f>
        <v/>
      </c>
      <c r="V73">
        <f>HYPERLINK("https://klasma.github.io/Logging_2582/klagomål/A 43635-2020 FSC-klagomål.docx", "A 43635-2020")</f>
        <v/>
      </c>
      <c r="W73">
        <f>HYPERLINK("https://klasma.github.io/Logging_2582/klagomålsmail/A 43635-2020 FSC-klagomål mail.docx", "A 43635-2020")</f>
        <v/>
      </c>
      <c r="X73">
        <f>HYPERLINK("https://klasma.github.io/Logging_2582/tillsyn/A 43635-2020 tillsynsbegäran.docx", "A 43635-2020")</f>
        <v/>
      </c>
      <c r="Y73">
        <f>HYPERLINK("https://klasma.github.io/Logging_2582/tillsynsmail/A 43635-2020 tillsynsbegäran mail.docx", "A 43635-2020")</f>
        <v/>
      </c>
    </row>
    <row r="74" ht="15" customHeight="1">
      <c r="A74" t="inlineStr">
        <is>
          <t>A 63621-2020</t>
        </is>
      </c>
      <c r="B74" s="1" t="n">
        <v>44165</v>
      </c>
      <c r="C74" s="1" t="n">
        <v>45803</v>
      </c>
      <c r="D74" t="inlineStr">
        <is>
          <t>NORRBOTTENS LÄN</t>
        </is>
      </c>
      <c r="E74" t="inlineStr">
        <is>
          <t>BODEN</t>
        </is>
      </c>
      <c r="F74" t="inlineStr">
        <is>
          <t>SCA</t>
        </is>
      </c>
      <c r="G74" t="n">
        <v>6.3</v>
      </c>
      <c r="H74" t="n">
        <v>0</v>
      </c>
      <c r="I74" t="n">
        <v>0</v>
      </c>
      <c r="J74" t="n">
        <v>2</v>
      </c>
      <c r="K74" t="n">
        <v>0</v>
      </c>
      <c r="L74" t="n">
        <v>0</v>
      </c>
      <c r="M74" t="n">
        <v>0</v>
      </c>
      <c r="N74" t="n">
        <v>0</v>
      </c>
      <c r="O74" t="n">
        <v>2</v>
      </c>
      <c r="P74" t="n">
        <v>0</v>
      </c>
      <c r="Q74" t="n">
        <v>2</v>
      </c>
      <c r="R74" s="2" t="inlineStr">
        <is>
          <t>Gammelgransskål
Ullticka</t>
        </is>
      </c>
      <c r="S74">
        <f>HYPERLINK("https://klasma.github.io/Logging_2582/artfynd/A 63621-2020 artfynd.xlsx", "A 63621-2020")</f>
        <v/>
      </c>
      <c r="T74">
        <f>HYPERLINK("https://klasma.github.io/Logging_2582/kartor/A 63621-2020 karta.png", "A 63621-2020")</f>
        <v/>
      </c>
      <c r="V74">
        <f>HYPERLINK("https://klasma.github.io/Logging_2582/klagomål/A 63621-2020 FSC-klagomål.docx", "A 63621-2020")</f>
        <v/>
      </c>
      <c r="W74">
        <f>HYPERLINK("https://klasma.github.io/Logging_2582/klagomålsmail/A 63621-2020 FSC-klagomål mail.docx", "A 63621-2020")</f>
        <v/>
      </c>
      <c r="X74">
        <f>HYPERLINK("https://klasma.github.io/Logging_2582/tillsyn/A 63621-2020 tillsynsbegäran.docx", "A 63621-2020")</f>
        <v/>
      </c>
      <c r="Y74">
        <f>HYPERLINK("https://klasma.github.io/Logging_2582/tillsynsmail/A 63621-2020 tillsynsbegäran mail.docx", "A 63621-2020")</f>
        <v/>
      </c>
    </row>
    <row r="75" ht="15" customHeight="1">
      <c r="A75" t="inlineStr">
        <is>
          <t>A 64565-2020</t>
        </is>
      </c>
      <c r="B75" s="1" t="n">
        <v>44166</v>
      </c>
      <c r="C75" s="1" t="n">
        <v>45803</v>
      </c>
      <c r="D75" t="inlineStr">
        <is>
          <t>NORRBOTTENS LÄN</t>
        </is>
      </c>
      <c r="E75" t="inlineStr">
        <is>
          <t>BODEN</t>
        </is>
      </c>
      <c r="G75" t="n">
        <v>1.3</v>
      </c>
      <c r="H75" t="n">
        <v>1</v>
      </c>
      <c r="I75" t="n">
        <v>1</v>
      </c>
      <c r="J75" t="n">
        <v>0</v>
      </c>
      <c r="K75" t="n">
        <v>0</v>
      </c>
      <c r="L75" t="n">
        <v>0</v>
      </c>
      <c r="M75" t="n">
        <v>0</v>
      </c>
      <c r="N75" t="n">
        <v>0</v>
      </c>
      <c r="O75" t="n">
        <v>0</v>
      </c>
      <c r="P75" t="n">
        <v>0</v>
      </c>
      <c r="Q75" t="n">
        <v>2</v>
      </c>
      <c r="R75" s="2" t="inlineStr">
        <is>
          <t>Bårdlav
Revlummer</t>
        </is>
      </c>
      <c r="S75">
        <f>HYPERLINK("https://klasma.github.io/Logging_2582/artfynd/A 64565-2020 artfynd.xlsx", "A 64565-2020")</f>
        <v/>
      </c>
      <c r="T75">
        <f>HYPERLINK("https://klasma.github.io/Logging_2582/kartor/A 64565-2020 karta.png", "A 64565-2020")</f>
        <v/>
      </c>
      <c r="V75">
        <f>HYPERLINK("https://klasma.github.io/Logging_2582/klagomål/A 64565-2020 FSC-klagomål.docx", "A 64565-2020")</f>
        <v/>
      </c>
      <c r="W75">
        <f>HYPERLINK("https://klasma.github.io/Logging_2582/klagomålsmail/A 64565-2020 FSC-klagomål mail.docx", "A 64565-2020")</f>
        <v/>
      </c>
      <c r="X75">
        <f>HYPERLINK("https://klasma.github.io/Logging_2582/tillsyn/A 64565-2020 tillsynsbegäran.docx", "A 64565-2020")</f>
        <v/>
      </c>
      <c r="Y75">
        <f>HYPERLINK("https://klasma.github.io/Logging_2582/tillsynsmail/A 64565-2020 tillsynsbegäran mail.docx", "A 64565-2020")</f>
        <v/>
      </c>
    </row>
    <row r="76" ht="15" customHeight="1">
      <c r="A76" t="inlineStr">
        <is>
          <t>A 58196-2021</t>
        </is>
      </c>
      <c r="B76" s="1" t="n">
        <v>44487</v>
      </c>
      <c r="C76" s="1" t="n">
        <v>45803</v>
      </c>
      <c r="D76" t="inlineStr">
        <is>
          <t>NORRBOTTENS LÄN</t>
        </is>
      </c>
      <c r="E76" t="inlineStr">
        <is>
          <t>BODEN</t>
        </is>
      </c>
      <c r="F76" t="inlineStr">
        <is>
          <t>Sveaskog</t>
        </is>
      </c>
      <c r="G76" t="n">
        <v>3.6</v>
      </c>
      <c r="H76" t="n">
        <v>0</v>
      </c>
      <c r="I76" t="n">
        <v>0</v>
      </c>
      <c r="J76" t="n">
        <v>2</v>
      </c>
      <c r="K76" t="n">
        <v>0</v>
      </c>
      <c r="L76" t="n">
        <v>0</v>
      </c>
      <c r="M76" t="n">
        <v>0</v>
      </c>
      <c r="N76" t="n">
        <v>0</v>
      </c>
      <c r="O76" t="n">
        <v>2</v>
      </c>
      <c r="P76" t="n">
        <v>0</v>
      </c>
      <c r="Q76" t="n">
        <v>2</v>
      </c>
      <c r="R76" s="2" t="inlineStr">
        <is>
          <t>Gammelgransskål
Lunglav</t>
        </is>
      </c>
      <c r="S76">
        <f>HYPERLINK("https://klasma.github.io/Logging_2582/artfynd/A 58196-2021 artfynd.xlsx", "A 58196-2021")</f>
        <v/>
      </c>
      <c r="T76">
        <f>HYPERLINK("https://klasma.github.io/Logging_2582/kartor/A 58196-2021 karta.png", "A 58196-2021")</f>
        <v/>
      </c>
      <c r="V76">
        <f>HYPERLINK("https://klasma.github.io/Logging_2582/klagomål/A 58196-2021 FSC-klagomål.docx", "A 58196-2021")</f>
        <v/>
      </c>
      <c r="W76">
        <f>HYPERLINK("https://klasma.github.io/Logging_2582/klagomålsmail/A 58196-2021 FSC-klagomål mail.docx", "A 58196-2021")</f>
        <v/>
      </c>
      <c r="X76">
        <f>HYPERLINK("https://klasma.github.io/Logging_2582/tillsyn/A 58196-2021 tillsynsbegäran.docx", "A 58196-2021")</f>
        <v/>
      </c>
      <c r="Y76">
        <f>HYPERLINK("https://klasma.github.io/Logging_2582/tillsynsmail/A 58196-2021 tillsynsbegäran mail.docx", "A 58196-2021")</f>
        <v/>
      </c>
    </row>
    <row r="77" ht="15" customHeight="1">
      <c r="A77" t="inlineStr">
        <is>
          <t>A 58902-2021</t>
        </is>
      </c>
      <c r="B77" s="1" t="n">
        <v>44489</v>
      </c>
      <c r="C77" s="1" t="n">
        <v>45803</v>
      </c>
      <c r="D77" t="inlineStr">
        <is>
          <t>NORRBOTTENS LÄN</t>
        </is>
      </c>
      <c r="E77" t="inlineStr">
        <is>
          <t>BODEN</t>
        </is>
      </c>
      <c r="G77" t="n">
        <v>4.5</v>
      </c>
      <c r="H77" t="n">
        <v>0</v>
      </c>
      <c r="I77" t="n">
        <v>0</v>
      </c>
      <c r="J77" t="n">
        <v>2</v>
      </c>
      <c r="K77" t="n">
        <v>0</v>
      </c>
      <c r="L77" t="n">
        <v>0</v>
      </c>
      <c r="M77" t="n">
        <v>0</v>
      </c>
      <c r="N77" t="n">
        <v>0</v>
      </c>
      <c r="O77" t="n">
        <v>2</v>
      </c>
      <c r="P77" t="n">
        <v>0</v>
      </c>
      <c r="Q77" t="n">
        <v>2</v>
      </c>
      <c r="R77" s="2" t="inlineStr">
        <is>
          <t>Brunpudrad nållav
Gammelgransskål</t>
        </is>
      </c>
      <c r="S77">
        <f>HYPERLINK("https://klasma.github.io/Logging_2582/artfynd/A 58902-2021 artfynd.xlsx", "A 58902-2021")</f>
        <v/>
      </c>
      <c r="T77">
        <f>HYPERLINK("https://klasma.github.io/Logging_2582/kartor/A 58902-2021 karta.png", "A 58902-2021")</f>
        <v/>
      </c>
      <c r="V77">
        <f>HYPERLINK("https://klasma.github.io/Logging_2582/klagomål/A 58902-2021 FSC-klagomål.docx", "A 58902-2021")</f>
        <v/>
      </c>
      <c r="W77">
        <f>HYPERLINK("https://klasma.github.io/Logging_2582/klagomålsmail/A 58902-2021 FSC-klagomål mail.docx", "A 58902-2021")</f>
        <v/>
      </c>
      <c r="X77">
        <f>HYPERLINK("https://klasma.github.io/Logging_2582/tillsyn/A 58902-2021 tillsynsbegäran.docx", "A 58902-2021")</f>
        <v/>
      </c>
      <c r="Y77">
        <f>HYPERLINK("https://klasma.github.io/Logging_2582/tillsynsmail/A 58902-2021 tillsynsbegäran mail.docx", "A 58902-2021")</f>
        <v/>
      </c>
    </row>
    <row r="78" ht="15" customHeight="1">
      <c r="A78" t="inlineStr">
        <is>
          <t>A 63854-2021</t>
        </is>
      </c>
      <c r="B78" s="1" t="n">
        <v>44505</v>
      </c>
      <c r="C78" s="1" t="n">
        <v>45803</v>
      </c>
      <c r="D78" t="inlineStr">
        <is>
          <t>NORRBOTTENS LÄN</t>
        </is>
      </c>
      <c r="E78" t="inlineStr">
        <is>
          <t>BODEN</t>
        </is>
      </c>
      <c r="G78" t="n">
        <v>5</v>
      </c>
      <c r="H78" t="n">
        <v>0</v>
      </c>
      <c r="I78" t="n">
        <v>1</v>
      </c>
      <c r="J78" t="n">
        <v>1</v>
      </c>
      <c r="K78" t="n">
        <v>0</v>
      </c>
      <c r="L78" t="n">
        <v>0</v>
      </c>
      <c r="M78" t="n">
        <v>0</v>
      </c>
      <c r="N78" t="n">
        <v>0</v>
      </c>
      <c r="O78" t="n">
        <v>1</v>
      </c>
      <c r="P78" t="n">
        <v>0</v>
      </c>
      <c r="Q78" t="n">
        <v>2</v>
      </c>
      <c r="R78" s="2" t="inlineStr">
        <is>
          <t>Gammelgransskål
Bollvitmossa</t>
        </is>
      </c>
      <c r="S78">
        <f>HYPERLINK("https://klasma.github.io/Logging_2582/artfynd/A 63854-2021 artfynd.xlsx", "A 63854-2021")</f>
        <v/>
      </c>
      <c r="T78">
        <f>HYPERLINK("https://klasma.github.io/Logging_2582/kartor/A 63854-2021 karta.png", "A 63854-2021")</f>
        <v/>
      </c>
      <c r="V78">
        <f>HYPERLINK("https://klasma.github.io/Logging_2582/klagomål/A 63854-2021 FSC-klagomål.docx", "A 63854-2021")</f>
        <v/>
      </c>
      <c r="W78">
        <f>HYPERLINK("https://klasma.github.io/Logging_2582/klagomålsmail/A 63854-2021 FSC-klagomål mail.docx", "A 63854-2021")</f>
        <v/>
      </c>
      <c r="X78">
        <f>HYPERLINK("https://klasma.github.io/Logging_2582/tillsyn/A 63854-2021 tillsynsbegäran.docx", "A 63854-2021")</f>
        <v/>
      </c>
      <c r="Y78">
        <f>HYPERLINK("https://klasma.github.io/Logging_2582/tillsynsmail/A 63854-2021 tillsynsbegäran mail.docx", "A 63854-2021")</f>
        <v/>
      </c>
    </row>
    <row r="79" ht="15" customHeight="1">
      <c r="A79" t="inlineStr">
        <is>
          <t>A 70382-2021</t>
        </is>
      </c>
      <c r="B79" s="1" t="n">
        <v>44536</v>
      </c>
      <c r="C79" s="1" t="n">
        <v>45803</v>
      </c>
      <c r="D79" t="inlineStr">
        <is>
          <t>NORRBOTTENS LÄN</t>
        </is>
      </c>
      <c r="E79" t="inlineStr">
        <is>
          <t>BODEN</t>
        </is>
      </c>
      <c r="F79" t="inlineStr">
        <is>
          <t>Sveaskog</t>
        </is>
      </c>
      <c r="G79" t="n">
        <v>37.8</v>
      </c>
      <c r="H79" t="n">
        <v>0</v>
      </c>
      <c r="I79" t="n">
        <v>0</v>
      </c>
      <c r="J79" t="n">
        <v>2</v>
      </c>
      <c r="K79" t="n">
        <v>0</v>
      </c>
      <c r="L79" t="n">
        <v>0</v>
      </c>
      <c r="M79" t="n">
        <v>0</v>
      </c>
      <c r="N79" t="n">
        <v>0</v>
      </c>
      <c r="O79" t="n">
        <v>2</v>
      </c>
      <c r="P79" t="n">
        <v>0</v>
      </c>
      <c r="Q79" t="n">
        <v>2</v>
      </c>
      <c r="R79" s="2" t="inlineStr">
        <is>
          <t>Lunglav
Nordtagging</t>
        </is>
      </c>
      <c r="S79">
        <f>HYPERLINK("https://klasma.github.io/Logging_2582/artfynd/A 70382-2021 artfynd.xlsx", "A 70382-2021")</f>
        <v/>
      </c>
      <c r="T79">
        <f>HYPERLINK("https://klasma.github.io/Logging_2582/kartor/A 70382-2021 karta.png", "A 70382-2021")</f>
        <v/>
      </c>
      <c r="V79">
        <f>HYPERLINK("https://klasma.github.io/Logging_2582/klagomål/A 70382-2021 FSC-klagomål.docx", "A 70382-2021")</f>
        <v/>
      </c>
      <c r="W79">
        <f>HYPERLINK("https://klasma.github.io/Logging_2582/klagomålsmail/A 70382-2021 FSC-klagomål mail.docx", "A 70382-2021")</f>
        <v/>
      </c>
      <c r="X79">
        <f>HYPERLINK("https://klasma.github.io/Logging_2582/tillsyn/A 70382-2021 tillsynsbegäran.docx", "A 70382-2021")</f>
        <v/>
      </c>
      <c r="Y79">
        <f>HYPERLINK("https://klasma.github.io/Logging_2582/tillsynsmail/A 70382-2021 tillsynsbegäran mail.docx", "A 70382-2021")</f>
        <v/>
      </c>
    </row>
    <row r="80" ht="15" customHeight="1">
      <c r="A80" t="inlineStr">
        <is>
          <t>A 8137-2022</t>
        </is>
      </c>
      <c r="B80" s="1" t="n">
        <v>44609</v>
      </c>
      <c r="C80" s="1" t="n">
        <v>45803</v>
      </c>
      <c r="D80" t="inlineStr">
        <is>
          <t>NORRBOTTENS LÄN</t>
        </is>
      </c>
      <c r="E80" t="inlineStr">
        <is>
          <t>BODEN</t>
        </is>
      </c>
      <c r="G80" t="n">
        <v>8.300000000000001</v>
      </c>
      <c r="H80" t="n">
        <v>0</v>
      </c>
      <c r="I80" t="n">
        <v>0</v>
      </c>
      <c r="J80" t="n">
        <v>1</v>
      </c>
      <c r="K80" t="n">
        <v>1</v>
      </c>
      <c r="L80" t="n">
        <v>0</v>
      </c>
      <c r="M80" t="n">
        <v>0</v>
      </c>
      <c r="N80" t="n">
        <v>0</v>
      </c>
      <c r="O80" t="n">
        <v>2</v>
      </c>
      <c r="P80" t="n">
        <v>1</v>
      </c>
      <c r="Q80" t="n">
        <v>2</v>
      </c>
      <c r="R80" s="2" t="inlineStr">
        <is>
          <t>Lappticka
Rosenticka</t>
        </is>
      </c>
      <c r="S80">
        <f>HYPERLINK("https://klasma.github.io/Logging_2582/artfynd/A 8137-2022 artfynd.xlsx", "A 8137-2022")</f>
        <v/>
      </c>
      <c r="T80">
        <f>HYPERLINK("https://klasma.github.io/Logging_2582/kartor/A 8137-2022 karta.png", "A 8137-2022")</f>
        <v/>
      </c>
      <c r="V80">
        <f>HYPERLINK("https://klasma.github.io/Logging_2582/klagomål/A 8137-2022 FSC-klagomål.docx", "A 8137-2022")</f>
        <v/>
      </c>
      <c r="W80">
        <f>HYPERLINK("https://klasma.github.io/Logging_2582/klagomålsmail/A 8137-2022 FSC-klagomål mail.docx", "A 8137-2022")</f>
        <v/>
      </c>
      <c r="X80">
        <f>HYPERLINK("https://klasma.github.io/Logging_2582/tillsyn/A 8137-2022 tillsynsbegäran.docx", "A 8137-2022")</f>
        <v/>
      </c>
      <c r="Y80">
        <f>HYPERLINK("https://klasma.github.io/Logging_2582/tillsynsmail/A 8137-2022 tillsynsbegäran mail.docx", "A 8137-2022")</f>
        <v/>
      </c>
    </row>
    <row r="81" ht="15" customHeight="1">
      <c r="A81" t="inlineStr">
        <is>
          <t>A 17292-2022</t>
        </is>
      </c>
      <c r="B81" s="1" t="n">
        <v>44678</v>
      </c>
      <c r="C81" s="1" t="n">
        <v>45803</v>
      </c>
      <c r="D81" t="inlineStr">
        <is>
          <t>NORRBOTTENS LÄN</t>
        </is>
      </c>
      <c r="E81" t="inlineStr">
        <is>
          <t>BODEN</t>
        </is>
      </c>
      <c r="F81" t="inlineStr">
        <is>
          <t>Kyrkan</t>
        </is>
      </c>
      <c r="G81" t="n">
        <v>0.8</v>
      </c>
      <c r="H81" t="n">
        <v>1</v>
      </c>
      <c r="I81" t="n">
        <v>0</v>
      </c>
      <c r="J81" t="n">
        <v>1</v>
      </c>
      <c r="K81" t="n">
        <v>0</v>
      </c>
      <c r="L81" t="n">
        <v>0</v>
      </c>
      <c r="M81" t="n">
        <v>0</v>
      </c>
      <c r="N81" t="n">
        <v>0</v>
      </c>
      <c r="O81" t="n">
        <v>1</v>
      </c>
      <c r="P81" t="n">
        <v>0</v>
      </c>
      <c r="Q81" t="n">
        <v>2</v>
      </c>
      <c r="R81" s="2" t="inlineStr">
        <is>
          <t>Garnlav
Revlummer</t>
        </is>
      </c>
      <c r="S81">
        <f>HYPERLINK("https://klasma.github.io/Logging_2582/artfynd/A 17292-2022 artfynd.xlsx", "A 17292-2022")</f>
        <v/>
      </c>
      <c r="T81">
        <f>HYPERLINK("https://klasma.github.io/Logging_2582/kartor/A 17292-2022 karta.png", "A 17292-2022")</f>
        <v/>
      </c>
      <c r="V81">
        <f>HYPERLINK("https://klasma.github.io/Logging_2582/klagomål/A 17292-2022 FSC-klagomål.docx", "A 17292-2022")</f>
        <v/>
      </c>
      <c r="W81">
        <f>HYPERLINK("https://klasma.github.io/Logging_2582/klagomålsmail/A 17292-2022 FSC-klagomål mail.docx", "A 17292-2022")</f>
        <v/>
      </c>
      <c r="X81">
        <f>HYPERLINK("https://klasma.github.io/Logging_2582/tillsyn/A 17292-2022 tillsynsbegäran.docx", "A 17292-2022")</f>
        <v/>
      </c>
      <c r="Y81">
        <f>HYPERLINK("https://klasma.github.io/Logging_2582/tillsynsmail/A 17292-2022 tillsynsbegäran mail.docx", "A 17292-2022")</f>
        <v/>
      </c>
    </row>
    <row r="82" ht="15" customHeight="1">
      <c r="A82" t="inlineStr">
        <is>
          <t>A 26346-2022</t>
        </is>
      </c>
      <c r="B82" s="1" t="n">
        <v>44735</v>
      </c>
      <c r="C82" s="1" t="n">
        <v>45803</v>
      </c>
      <c r="D82" t="inlineStr">
        <is>
          <t>NORRBOTTENS LÄN</t>
        </is>
      </c>
      <c r="E82" t="inlineStr">
        <is>
          <t>BODEN</t>
        </is>
      </c>
      <c r="F82" t="inlineStr">
        <is>
          <t>Sveaskog</t>
        </is>
      </c>
      <c r="G82" t="n">
        <v>5.6</v>
      </c>
      <c r="H82" t="n">
        <v>0</v>
      </c>
      <c r="I82" t="n">
        <v>0</v>
      </c>
      <c r="J82" t="n">
        <v>2</v>
      </c>
      <c r="K82" t="n">
        <v>0</v>
      </c>
      <c r="L82" t="n">
        <v>0</v>
      </c>
      <c r="M82" t="n">
        <v>0</v>
      </c>
      <c r="N82" t="n">
        <v>0</v>
      </c>
      <c r="O82" t="n">
        <v>2</v>
      </c>
      <c r="P82" t="n">
        <v>0</v>
      </c>
      <c r="Q82" t="n">
        <v>2</v>
      </c>
      <c r="R82" s="2" t="inlineStr">
        <is>
          <t>Blå taggsvamp
Ullticka</t>
        </is>
      </c>
      <c r="S82">
        <f>HYPERLINK("https://klasma.github.io/Logging_2582/artfynd/A 26346-2022 artfynd.xlsx", "A 26346-2022")</f>
        <v/>
      </c>
      <c r="T82">
        <f>HYPERLINK("https://klasma.github.io/Logging_2582/kartor/A 26346-2022 karta.png", "A 26346-2022")</f>
        <v/>
      </c>
      <c r="V82">
        <f>HYPERLINK("https://klasma.github.io/Logging_2582/klagomål/A 26346-2022 FSC-klagomål.docx", "A 26346-2022")</f>
        <v/>
      </c>
      <c r="W82">
        <f>HYPERLINK("https://klasma.github.io/Logging_2582/klagomålsmail/A 26346-2022 FSC-klagomål mail.docx", "A 26346-2022")</f>
        <v/>
      </c>
      <c r="X82">
        <f>HYPERLINK("https://klasma.github.io/Logging_2582/tillsyn/A 26346-2022 tillsynsbegäran.docx", "A 26346-2022")</f>
        <v/>
      </c>
      <c r="Y82">
        <f>HYPERLINK("https://klasma.github.io/Logging_2582/tillsynsmail/A 26346-2022 tillsynsbegäran mail.docx", "A 26346-2022")</f>
        <v/>
      </c>
    </row>
    <row r="83" ht="15" customHeight="1">
      <c r="A83" t="inlineStr">
        <is>
          <t>A 36629-2022</t>
        </is>
      </c>
      <c r="B83" s="1" t="n">
        <v>44804</v>
      </c>
      <c r="C83" s="1" t="n">
        <v>45803</v>
      </c>
      <c r="D83" t="inlineStr">
        <is>
          <t>NORRBOTTENS LÄN</t>
        </is>
      </c>
      <c r="E83" t="inlineStr">
        <is>
          <t>BODEN</t>
        </is>
      </c>
      <c r="F83" t="inlineStr">
        <is>
          <t>Sveaskog</t>
        </is>
      </c>
      <c r="G83" t="n">
        <v>3</v>
      </c>
      <c r="H83" t="n">
        <v>0</v>
      </c>
      <c r="I83" t="n">
        <v>2</v>
      </c>
      <c r="J83" t="n">
        <v>0</v>
      </c>
      <c r="K83" t="n">
        <v>0</v>
      </c>
      <c r="L83" t="n">
        <v>0</v>
      </c>
      <c r="M83" t="n">
        <v>0</v>
      </c>
      <c r="N83" t="n">
        <v>0</v>
      </c>
      <c r="O83" t="n">
        <v>0</v>
      </c>
      <c r="P83" t="n">
        <v>0</v>
      </c>
      <c r="Q83" t="n">
        <v>2</v>
      </c>
      <c r="R83" s="2" t="inlineStr">
        <is>
          <t>Dropptaggsvamp
Skarp dropptaggsvamp</t>
        </is>
      </c>
      <c r="S83">
        <f>HYPERLINK("https://klasma.github.io/Logging_2582/artfynd/A 36629-2022 artfynd.xlsx", "A 36629-2022")</f>
        <v/>
      </c>
      <c r="T83">
        <f>HYPERLINK("https://klasma.github.io/Logging_2582/kartor/A 36629-2022 karta.png", "A 36629-2022")</f>
        <v/>
      </c>
      <c r="V83">
        <f>HYPERLINK("https://klasma.github.io/Logging_2582/klagomål/A 36629-2022 FSC-klagomål.docx", "A 36629-2022")</f>
        <v/>
      </c>
      <c r="W83">
        <f>HYPERLINK("https://klasma.github.io/Logging_2582/klagomålsmail/A 36629-2022 FSC-klagomål mail.docx", "A 36629-2022")</f>
        <v/>
      </c>
      <c r="X83">
        <f>HYPERLINK("https://klasma.github.io/Logging_2582/tillsyn/A 36629-2022 tillsynsbegäran.docx", "A 36629-2022")</f>
        <v/>
      </c>
      <c r="Y83">
        <f>HYPERLINK("https://klasma.github.io/Logging_2582/tillsynsmail/A 36629-2022 tillsynsbegäran mail.docx", "A 36629-2022")</f>
        <v/>
      </c>
    </row>
    <row r="84" ht="15" customHeight="1">
      <c r="A84" t="inlineStr">
        <is>
          <t>A 42233-2022</t>
        </is>
      </c>
      <c r="B84" s="1" t="n">
        <v>44830</v>
      </c>
      <c r="C84" s="1" t="n">
        <v>45803</v>
      </c>
      <c r="D84" t="inlineStr">
        <is>
          <t>NORRBOTTENS LÄN</t>
        </is>
      </c>
      <c r="E84" t="inlineStr">
        <is>
          <t>BODEN</t>
        </is>
      </c>
      <c r="G84" t="n">
        <v>3.6</v>
      </c>
      <c r="H84" t="n">
        <v>2</v>
      </c>
      <c r="I84" t="n">
        <v>0</v>
      </c>
      <c r="J84" t="n">
        <v>1</v>
      </c>
      <c r="K84" t="n">
        <v>0</v>
      </c>
      <c r="L84" t="n">
        <v>0</v>
      </c>
      <c r="M84" t="n">
        <v>0</v>
      </c>
      <c r="N84" t="n">
        <v>0</v>
      </c>
      <c r="O84" t="n">
        <v>1</v>
      </c>
      <c r="P84" t="n">
        <v>0</v>
      </c>
      <c r="Q84" t="n">
        <v>2</v>
      </c>
      <c r="R84" s="2" t="inlineStr">
        <is>
          <t>Svartvit flugsnappare
Enkelbeckasin</t>
        </is>
      </c>
      <c r="S84">
        <f>HYPERLINK("https://klasma.github.io/Logging_2582/artfynd/A 42233-2022 artfynd.xlsx", "A 42233-2022")</f>
        <v/>
      </c>
      <c r="T84">
        <f>HYPERLINK("https://klasma.github.io/Logging_2582/kartor/A 42233-2022 karta.png", "A 42233-2022")</f>
        <v/>
      </c>
      <c r="V84">
        <f>HYPERLINK("https://klasma.github.io/Logging_2582/klagomål/A 42233-2022 FSC-klagomål.docx", "A 42233-2022")</f>
        <v/>
      </c>
      <c r="W84">
        <f>HYPERLINK("https://klasma.github.io/Logging_2582/klagomålsmail/A 42233-2022 FSC-klagomål mail.docx", "A 42233-2022")</f>
        <v/>
      </c>
      <c r="X84">
        <f>HYPERLINK("https://klasma.github.io/Logging_2582/tillsyn/A 42233-2022 tillsynsbegäran.docx", "A 42233-2022")</f>
        <v/>
      </c>
      <c r="Y84">
        <f>HYPERLINK("https://klasma.github.io/Logging_2582/tillsynsmail/A 42233-2022 tillsynsbegäran mail.docx", "A 42233-2022")</f>
        <v/>
      </c>
      <c r="Z84">
        <f>HYPERLINK("https://klasma.github.io/Logging_2582/fåglar/A 42233-2022 prioriterade fågelarter.docx", "A 42233-2022")</f>
        <v/>
      </c>
    </row>
    <row r="85" ht="15" customHeight="1">
      <c r="A85" t="inlineStr">
        <is>
          <t>A 54178-2022</t>
        </is>
      </c>
      <c r="B85" s="1" t="n">
        <v>44881</v>
      </c>
      <c r="C85" s="1" t="n">
        <v>45803</v>
      </c>
      <c r="D85" t="inlineStr">
        <is>
          <t>NORRBOTTENS LÄN</t>
        </is>
      </c>
      <c r="E85" t="inlineStr">
        <is>
          <t>BODEN</t>
        </is>
      </c>
      <c r="F85" t="inlineStr">
        <is>
          <t>Sveaskog</t>
        </is>
      </c>
      <c r="G85" t="n">
        <v>3.1</v>
      </c>
      <c r="H85" t="n">
        <v>1</v>
      </c>
      <c r="I85" t="n">
        <v>0</v>
      </c>
      <c r="J85" t="n">
        <v>1</v>
      </c>
      <c r="K85" t="n">
        <v>0</v>
      </c>
      <c r="L85" t="n">
        <v>0</v>
      </c>
      <c r="M85" t="n">
        <v>0</v>
      </c>
      <c r="N85" t="n">
        <v>0</v>
      </c>
      <c r="O85" t="n">
        <v>1</v>
      </c>
      <c r="P85" t="n">
        <v>0</v>
      </c>
      <c r="Q85" t="n">
        <v>2</v>
      </c>
      <c r="R85" s="2" t="inlineStr">
        <is>
          <t>Granticka
Blåsippa</t>
        </is>
      </c>
      <c r="S85">
        <f>HYPERLINK("https://klasma.github.io/Logging_2582/artfynd/A 54178-2022 artfynd.xlsx", "A 54178-2022")</f>
        <v/>
      </c>
      <c r="T85">
        <f>HYPERLINK("https://klasma.github.io/Logging_2582/kartor/A 54178-2022 karta.png", "A 54178-2022")</f>
        <v/>
      </c>
      <c r="V85">
        <f>HYPERLINK("https://klasma.github.io/Logging_2582/klagomål/A 54178-2022 FSC-klagomål.docx", "A 54178-2022")</f>
        <v/>
      </c>
      <c r="W85">
        <f>HYPERLINK("https://klasma.github.io/Logging_2582/klagomålsmail/A 54178-2022 FSC-klagomål mail.docx", "A 54178-2022")</f>
        <v/>
      </c>
      <c r="X85">
        <f>HYPERLINK("https://klasma.github.io/Logging_2582/tillsyn/A 54178-2022 tillsynsbegäran.docx", "A 54178-2022")</f>
        <v/>
      </c>
      <c r="Y85">
        <f>HYPERLINK("https://klasma.github.io/Logging_2582/tillsynsmail/A 54178-2022 tillsynsbegäran mail.docx", "A 54178-2022")</f>
        <v/>
      </c>
    </row>
    <row r="86" ht="15" customHeight="1">
      <c r="A86" t="inlineStr">
        <is>
          <t>A 22906-2023</t>
        </is>
      </c>
      <c r="B86" s="1" t="n">
        <v>45072</v>
      </c>
      <c r="C86" s="1" t="n">
        <v>45803</v>
      </c>
      <c r="D86" t="inlineStr">
        <is>
          <t>NORRBOTTENS LÄN</t>
        </is>
      </c>
      <c r="E86" t="inlineStr">
        <is>
          <t>BODEN</t>
        </is>
      </c>
      <c r="F86" t="inlineStr">
        <is>
          <t>Sveaskog</t>
        </is>
      </c>
      <c r="G86" t="n">
        <v>3.5</v>
      </c>
      <c r="H86" t="n">
        <v>2</v>
      </c>
      <c r="I86" t="n">
        <v>0</v>
      </c>
      <c r="J86" t="n">
        <v>2</v>
      </c>
      <c r="K86" t="n">
        <v>0</v>
      </c>
      <c r="L86" t="n">
        <v>0</v>
      </c>
      <c r="M86" t="n">
        <v>0</v>
      </c>
      <c r="N86" t="n">
        <v>0</v>
      </c>
      <c r="O86" t="n">
        <v>2</v>
      </c>
      <c r="P86" t="n">
        <v>0</v>
      </c>
      <c r="Q86" t="n">
        <v>2</v>
      </c>
      <c r="R86" s="2" t="inlineStr">
        <is>
          <t>Talltita
Utter</t>
        </is>
      </c>
      <c r="S86">
        <f>HYPERLINK("https://klasma.github.io/Logging_2582/artfynd/A 22906-2023 artfynd.xlsx", "A 22906-2023")</f>
        <v/>
      </c>
      <c r="T86">
        <f>HYPERLINK("https://klasma.github.io/Logging_2582/kartor/A 22906-2023 karta.png", "A 22906-2023")</f>
        <v/>
      </c>
      <c r="V86">
        <f>HYPERLINK("https://klasma.github.io/Logging_2582/klagomål/A 22906-2023 FSC-klagomål.docx", "A 22906-2023")</f>
        <v/>
      </c>
      <c r="W86">
        <f>HYPERLINK("https://klasma.github.io/Logging_2582/klagomålsmail/A 22906-2023 FSC-klagomål mail.docx", "A 22906-2023")</f>
        <v/>
      </c>
      <c r="X86">
        <f>HYPERLINK("https://klasma.github.io/Logging_2582/tillsyn/A 22906-2023 tillsynsbegäran.docx", "A 22906-2023")</f>
        <v/>
      </c>
      <c r="Y86">
        <f>HYPERLINK("https://klasma.github.io/Logging_2582/tillsynsmail/A 22906-2023 tillsynsbegäran mail.docx", "A 22906-2023")</f>
        <v/>
      </c>
      <c r="Z86">
        <f>HYPERLINK("https://klasma.github.io/Logging_2582/fåglar/A 22906-2023 prioriterade fågelarter.docx", "A 22906-2023")</f>
        <v/>
      </c>
    </row>
    <row r="87" ht="15" customHeight="1">
      <c r="A87" t="inlineStr">
        <is>
          <t>A 34164-2023</t>
        </is>
      </c>
      <c r="B87" s="1" t="n">
        <v>45137</v>
      </c>
      <c r="C87" s="1" t="n">
        <v>45803</v>
      </c>
      <c r="D87" t="inlineStr">
        <is>
          <t>NORRBOTTENS LÄN</t>
        </is>
      </c>
      <c r="E87" t="inlineStr">
        <is>
          <t>BODEN</t>
        </is>
      </c>
      <c r="F87" t="inlineStr">
        <is>
          <t>SCA</t>
        </is>
      </c>
      <c r="G87" t="n">
        <v>2.2</v>
      </c>
      <c r="H87" t="n">
        <v>1</v>
      </c>
      <c r="I87" t="n">
        <v>0</v>
      </c>
      <c r="J87" t="n">
        <v>2</v>
      </c>
      <c r="K87" t="n">
        <v>0</v>
      </c>
      <c r="L87" t="n">
        <v>0</v>
      </c>
      <c r="M87" t="n">
        <v>0</v>
      </c>
      <c r="N87" t="n">
        <v>0</v>
      </c>
      <c r="O87" t="n">
        <v>2</v>
      </c>
      <c r="P87" t="n">
        <v>0</v>
      </c>
      <c r="Q87" t="n">
        <v>2</v>
      </c>
      <c r="R87" s="2" t="inlineStr">
        <is>
          <t>Garnlav
Tretåig hackspett</t>
        </is>
      </c>
      <c r="S87">
        <f>HYPERLINK("https://klasma.github.io/Logging_2582/artfynd/A 34164-2023 artfynd.xlsx", "A 34164-2023")</f>
        <v/>
      </c>
      <c r="T87">
        <f>HYPERLINK("https://klasma.github.io/Logging_2582/kartor/A 34164-2023 karta.png", "A 34164-2023")</f>
        <v/>
      </c>
      <c r="V87">
        <f>HYPERLINK("https://klasma.github.io/Logging_2582/klagomål/A 34164-2023 FSC-klagomål.docx", "A 34164-2023")</f>
        <v/>
      </c>
      <c r="W87">
        <f>HYPERLINK("https://klasma.github.io/Logging_2582/klagomålsmail/A 34164-2023 FSC-klagomål mail.docx", "A 34164-2023")</f>
        <v/>
      </c>
      <c r="X87">
        <f>HYPERLINK("https://klasma.github.io/Logging_2582/tillsyn/A 34164-2023 tillsynsbegäran.docx", "A 34164-2023")</f>
        <v/>
      </c>
      <c r="Y87">
        <f>HYPERLINK("https://klasma.github.io/Logging_2582/tillsynsmail/A 34164-2023 tillsynsbegäran mail.docx", "A 34164-2023")</f>
        <v/>
      </c>
      <c r="Z87">
        <f>HYPERLINK("https://klasma.github.io/Logging_2582/fåglar/A 34164-2023 prioriterade fågelarter.docx", "A 34164-2023")</f>
        <v/>
      </c>
    </row>
    <row r="88" ht="15" customHeight="1">
      <c r="A88" t="inlineStr">
        <is>
          <t>A 39974-2023</t>
        </is>
      </c>
      <c r="B88" s="1" t="n">
        <v>45168</v>
      </c>
      <c r="C88" s="1" t="n">
        <v>45803</v>
      </c>
      <c r="D88" t="inlineStr">
        <is>
          <t>NORRBOTTENS LÄN</t>
        </is>
      </c>
      <c r="E88" t="inlineStr">
        <is>
          <t>BODEN</t>
        </is>
      </c>
      <c r="F88" t="inlineStr">
        <is>
          <t>Sveaskog</t>
        </is>
      </c>
      <c r="G88" t="n">
        <v>12.9</v>
      </c>
      <c r="H88" t="n">
        <v>0</v>
      </c>
      <c r="I88" t="n">
        <v>1</v>
      </c>
      <c r="J88" t="n">
        <v>1</v>
      </c>
      <c r="K88" t="n">
        <v>0</v>
      </c>
      <c r="L88" t="n">
        <v>0</v>
      </c>
      <c r="M88" t="n">
        <v>0</v>
      </c>
      <c r="N88" t="n">
        <v>0</v>
      </c>
      <c r="O88" t="n">
        <v>1</v>
      </c>
      <c r="P88" t="n">
        <v>0</v>
      </c>
      <c r="Q88" t="n">
        <v>2</v>
      </c>
      <c r="R88" s="2" t="inlineStr">
        <is>
          <t>Garnlav
Bronshjon</t>
        </is>
      </c>
      <c r="S88">
        <f>HYPERLINK("https://klasma.github.io/Logging_2582/artfynd/A 39974-2023 artfynd.xlsx", "A 39974-2023")</f>
        <v/>
      </c>
      <c r="T88">
        <f>HYPERLINK("https://klasma.github.io/Logging_2582/kartor/A 39974-2023 karta.png", "A 39974-2023")</f>
        <v/>
      </c>
      <c r="V88">
        <f>HYPERLINK("https://klasma.github.io/Logging_2582/klagomål/A 39974-2023 FSC-klagomål.docx", "A 39974-2023")</f>
        <v/>
      </c>
      <c r="W88">
        <f>HYPERLINK("https://klasma.github.io/Logging_2582/klagomålsmail/A 39974-2023 FSC-klagomål mail.docx", "A 39974-2023")</f>
        <v/>
      </c>
      <c r="X88">
        <f>HYPERLINK("https://klasma.github.io/Logging_2582/tillsyn/A 39974-2023 tillsynsbegäran.docx", "A 39974-2023")</f>
        <v/>
      </c>
      <c r="Y88">
        <f>HYPERLINK("https://klasma.github.io/Logging_2582/tillsynsmail/A 39974-2023 tillsynsbegäran mail.docx", "A 39974-2023")</f>
        <v/>
      </c>
    </row>
    <row r="89" ht="15" customHeight="1">
      <c r="A89" t="inlineStr">
        <is>
          <t>A 40467-2023</t>
        </is>
      </c>
      <c r="B89" s="1" t="n">
        <v>45170</v>
      </c>
      <c r="C89" s="1" t="n">
        <v>45803</v>
      </c>
      <c r="D89" t="inlineStr">
        <is>
          <t>NORRBOTTENS LÄN</t>
        </is>
      </c>
      <c r="E89" t="inlineStr">
        <is>
          <t>BODEN</t>
        </is>
      </c>
      <c r="F89" t="inlineStr">
        <is>
          <t>Sveaskog</t>
        </is>
      </c>
      <c r="G89" t="n">
        <v>22.7</v>
      </c>
      <c r="H89" t="n">
        <v>1</v>
      </c>
      <c r="I89" t="n">
        <v>0</v>
      </c>
      <c r="J89" t="n">
        <v>1</v>
      </c>
      <c r="K89" t="n">
        <v>1</v>
      </c>
      <c r="L89" t="n">
        <v>0</v>
      </c>
      <c r="M89" t="n">
        <v>0</v>
      </c>
      <c r="N89" t="n">
        <v>0</v>
      </c>
      <c r="O89" t="n">
        <v>2</v>
      </c>
      <c r="P89" t="n">
        <v>1</v>
      </c>
      <c r="Q89" t="n">
        <v>2</v>
      </c>
      <c r="R89" s="2" t="inlineStr">
        <is>
          <t>Knärot
Mörk kolflarnlav</t>
        </is>
      </c>
      <c r="S89">
        <f>HYPERLINK("https://klasma.github.io/Logging_2582/artfynd/A 40467-2023 artfynd.xlsx", "A 40467-2023")</f>
        <v/>
      </c>
      <c r="T89">
        <f>HYPERLINK("https://klasma.github.io/Logging_2582/kartor/A 40467-2023 karta.png", "A 40467-2023")</f>
        <v/>
      </c>
      <c r="U89">
        <f>HYPERLINK("https://klasma.github.io/Logging_2582/knärot/A 40467-2023 karta knärot.png", "A 40467-2023")</f>
        <v/>
      </c>
      <c r="V89">
        <f>HYPERLINK("https://klasma.github.io/Logging_2582/klagomål/A 40467-2023 FSC-klagomål.docx", "A 40467-2023")</f>
        <v/>
      </c>
      <c r="W89">
        <f>HYPERLINK("https://klasma.github.io/Logging_2582/klagomålsmail/A 40467-2023 FSC-klagomål mail.docx", "A 40467-2023")</f>
        <v/>
      </c>
      <c r="X89">
        <f>HYPERLINK("https://klasma.github.io/Logging_2582/tillsyn/A 40467-2023 tillsynsbegäran.docx", "A 40467-2023")</f>
        <v/>
      </c>
      <c r="Y89">
        <f>HYPERLINK("https://klasma.github.io/Logging_2582/tillsynsmail/A 40467-2023 tillsynsbegäran mail.docx", "A 40467-2023")</f>
        <v/>
      </c>
    </row>
    <row r="90" ht="15" customHeight="1">
      <c r="A90" t="inlineStr">
        <is>
          <t>A 44185-2023</t>
        </is>
      </c>
      <c r="B90" s="1" t="n">
        <v>45188</v>
      </c>
      <c r="C90" s="1" t="n">
        <v>45803</v>
      </c>
      <c r="D90" t="inlineStr">
        <is>
          <t>NORRBOTTENS LÄN</t>
        </is>
      </c>
      <c r="E90" t="inlineStr">
        <is>
          <t>BODEN</t>
        </is>
      </c>
      <c r="F90" t="inlineStr">
        <is>
          <t>Sveaskog</t>
        </is>
      </c>
      <c r="G90" t="n">
        <v>22</v>
      </c>
      <c r="H90" t="n">
        <v>1</v>
      </c>
      <c r="I90" t="n">
        <v>1</v>
      </c>
      <c r="J90" t="n">
        <v>0</v>
      </c>
      <c r="K90" t="n">
        <v>1</v>
      </c>
      <c r="L90" t="n">
        <v>0</v>
      </c>
      <c r="M90" t="n">
        <v>0</v>
      </c>
      <c r="N90" t="n">
        <v>0</v>
      </c>
      <c r="O90" t="n">
        <v>1</v>
      </c>
      <c r="P90" t="n">
        <v>1</v>
      </c>
      <c r="Q90" t="n">
        <v>2</v>
      </c>
      <c r="R90" s="2" t="inlineStr">
        <is>
          <t>Doftticka
Stuplav</t>
        </is>
      </c>
      <c r="S90">
        <f>HYPERLINK("https://klasma.github.io/Logging_2582/artfynd/A 44185-2023 artfynd.xlsx", "A 44185-2023")</f>
        <v/>
      </c>
      <c r="T90">
        <f>HYPERLINK("https://klasma.github.io/Logging_2582/kartor/A 44185-2023 karta.png", "A 44185-2023")</f>
        <v/>
      </c>
      <c r="V90">
        <f>HYPERLINK("https://klasma.github.io/Logging_2582/klagomål/A 44185-2023 FSC-klagomål.docx", "A 44185-2023")</f>
        <v/>
      </c>
      <c r="W90">
        <f>HYPERLINK("https://klasma.github.io/Logging_2582/klagomålsmail/A 44185-2023 FSC-klagomål mail.docx", "A 44185-2023")</f>
        <v/>
      </c>
      <c r="X90">
        <f>HYPERLINK("https://klasma.github.io/Logging_2582/tillsyn/A 44185-2023 tillsynsbegäran.docx", "A 44185-2023")</f>
        <v/>
      </c>
      <c r="Y90">
        <f>HYPERLINK("https://klasma.github.io/Logging_2582/tillsynsmail/A 44185-2023 tillsynsbegäran mail.docx", "A 44185-2023")</f>
        <v/>
      </c>
    </row>
    <row r="91" ht="15" customHeight="1">
      <c r="A91" t="inlineStr">
        <is>
          <t>A 900-2024</t>
        </is>
      </c>
      <c r="B91" s="1" t="n">
        <v>45301</v>
      </c>
      <c r="C91" s="1" t="n">
        <v>45803</v>
      </c>
      <c r="D91" t="inlineStr">
        <is>
          <t>NORRBOTTENS LÄN</t>
        </is>
      </c>
      <c r="E91" t="inlineStr">
        <is>
          <t>BODEN</t>
        </is>
      </c>
      <c r="G91" t="n">
        <v>5.2</v>
      </c>
      <c r="H91" t="n">
        <v>2</v>
      </c>
      <c r="I91" t="n">
        <v>0</v>
      </c>
      <c r="J91" t="n">
        <v>0</v>
      </c>
      <c r="K91" t="n">
        <v>1</v>
      </c>
      <c r="L91" t="n">
        <v>0</v>
      </c>
      <c r="M91" t="n">
        <v>0</v>
      </c>
      <c r="N91" t="n">
        <v>0</v>
      </c>
      <c r="O91" t="n">
        <v>1</v>
      </c>
      <c r="P91" t="n">
        <v>1</v>
      </c>
      <c r="Q91" t="n">
        <v>2</v>
      </c>
      <c r="R91" s="2" t="inlineStr">
        <is>
          <t>Knärot
Revlummer</t>
        </is>
      </c>
      <c r="S91">
        <f>HYPERLINK("https://klasma.github.io/Logging_2582/artfynd/A 900-2024 artfynd.xlsx", "A 900-2024")</f>
        <v/>
      </c>
      <c r="T91">
        <f>HYPERLINK("https://klasma.github.io/Logging_2582/kartor/A 900-2024 karta.png", "A 900-2024")</f>
        <v/>
      </c>
      <c r="U91">
        <f>HYPERLINK("https://klasma.github.io/Logging_2582/knärot/A 900-2024 karta knärot.png", "A 900-2024")</f>
        <v/>
      </c>
      <c r="V91">
        <f>HYPERLINK("https://klasma.github.io/Logging_2582/klagomål/A 900-2024 FSC-klagomål.docx", "A 900-2024")</f>
        <v/>
      </c>
      <c r="W91">
        <f>HYPERLINK("https://klasma.github.io/Logging_2582/klagomålsmail/A 900-2024 FSC-klagomål mail.docx", "A 900-2024")</f>
        <v/>
      </c>
      <c r="X91">
        <f>HYPERLINK("https://klasma.github.io/Logging_2582/tillsyn/A 900-2024 tillsynsbegäran.docx", "A 900-2024")</f>
        <v/>
      </c>
      <c r="Y91">
        <f>HYPERLINK("https://klasma.github.io/Logging_2582/tillsynsmail/A 900-2024 tillsynsbegäran mail.docx", "A 900-2024")</f>
        <v/>
      </c>
    </row>
    <row r="92" ht="15" customHeight="1">
      <c r="A92" t="inlineStr">
        <is>
          <t>A 6639-2024</t>
        </is>
      </c>
      <c r="B92" s="1" t="n">
        <v>45341</v>
      </c>
      <c r="C92" s="1" t="n">
        <v>45803</v>
      </c>
      <c r="D92" t="inlineStr">
        <is>
          <t>NORRBOTTENS LÄN</t>
        </is>
      </c>
      <c r="E92" t="inlineStr">
        <is>
          <t>BODEN</t>
        </is>
      </c>
      <c r="F92" t="inlineStr">
        <is>
          <t>Övriga statliga verk och myndigheter</t>
        </is>
      </c>
      <c r="G92" t="n">
        <v>23.8</v>
      </c>
      <c r="H92" t="n">
        <v>0</v>
      </c>
      <c r="I92" t="n">
        <v>0</v>
      </c>
      <c r="J92" t="n">
        <v>2</v>
      </c>
      <c r="K92" t="n">
        <v>0</v>
      </c>
      <c r="L92" t="n">
        <v>0</v>
      </c>
      <c r="M92" t="n">
        <v>0</v>
      </c>
      <c r="N92" t="n">
        <v>0</v>
      </c>
      <c r="O92" t="n">
        <v>2</v>
      </c>
      <c r="P92" t="n">
        <v>0</v>
      </c>
      <c r="Q92" t="n">
        <v>2</v>
      </c>
      <c r="R92" s="2" t="inlineStr">
        <is>
          <t>Granticka
Lunglav</t>
        </is>
      </c>
      <c r="S92">
        <f>HYPERLINK("https://klasma.github.io/Logging_2582/artfynd/A 6639-2024 artfynd.xlsx", "A 6639-2024")</f>
        <v/>
      </c>
      <c r="T92">
        <f>HYPERLINK("https://klasma.github.io/Logging_2582/kartor/A 6639-2024 karta.png", "A 6639-2024")</f>
        <v/>
      </c>
      <c r="V92">
        <f>HYPERLINK("https://klasma.github.io/Logging_2582/klagomål/A 6639-2024 FSC-klagomål.docx", "A 6639-2024")</f>
        <v/>
      </c>
      <c r="W92">
        <f>HYPERLINK("https://klasma.github.io/Logging_2582/klagomålsmail/A 6639-2024 FSC-klagomål mail.docx", "A 6639-2024")</f>
        <v/>
      </c>
      <c r="X92">
        <f>HYPERLINK("https://klasma.github.io/Logging_2582/tillsyn/A 6639-2024 tillsynsbegäran.docx", "A 6639-2024")</f>
        <v/>
      </c>
      <c r="Y92">
        <f>HYPERLINK("https://klasma.github.io/Logging_2582/tillsynsmail/A 6639-2024 tillsynsbegäran mail.docx", "A 6639-2024")</f>
        <v/>
      </c>
    </row>
    <row r="93" ht="15" customHeight="1">
      <c r="A93" t="inlineStr">
        <is>
          <t>A 15605-2024</t>
        </is>
      </c>
      <c r="B93" s="1" t="n">
        <v>45402</v>
      </c>
      <c r="C93" s="1" t="n">
        <v>45803</v>
      </c>
      <c r="D93" t="inlineStr">
        <is>
          <t>NORRBOTTENS LÄN</t>
        </is>
      </c>
      <c r="E93" t="inlineStr">
        <is>
          <t>BODEN</t>
        </is>
      </c>
      <c r="G93" t="n">
        <v>6</v>
      </c>
      <c r="H93" t="n">
        <v>0</v>
      </c>
      <c r="I93" t="n">
        <v>1</v>
      </c>
      <c r="J93" t="n">
        <v>1</v>
      </c>
      <c r="K93" t="n">
        <v>0</v>
      </c>
      <c r="L93" t="n">
        <v>0</v>
      </c>
      <c r="M93" t="n">
        <v>0</v>
      </c>
      <c r="N93" t="n">
        <v>0</v>
      </c>
      <c r="O93" t="n">
        <v>1</v>
      </c>
      <c r="P93" t="n">
        <v>0</v>
      </c>
      <c r="Q93" t="n">
        <v>2</v>
      </c>
      <c r="R93" s="2" t="inlineStr">
        <is>
          <t>Gammelgransskål
Bollvitmossa</t>
        </is>
      </c>
      <c r="S93">
        <f>HYPERLINK("https://klasma.github.io/Logging_2582/artfynd/A 15605-2024 artfynd.xlsx", "A 15605-2024")</f>
        <v/>
      </c>
      <c r="T93">
        <f>HYPERLINK("https://klasma.github.io/Logging_2582/kartor/A 15605-2024 karta.png", "A 15605-2024")</f>
        <v/>
      </c>
      <c r="V93">
        <f>HYPERLINK("https://klasma.github.io/Logging_2582/klagomål/A 15605-2024 FSC-klagomål.docx", "A 15605-2024")</f>
        <v/>
      </c>
      <c r="W93">
        <f>HYPERLINK("https://klasma.github.io/Logging_2582/klagomålsmail/A 15605-2024 FSC-klagomål mail.docx", "A 15605-2024")</f>
        <v/>
      </c>
      <c r="X93">
        <f>HYPERLINK("https://klasma.github.io/Logging_2582/tillsyn/A 15605-2024 tillsynsbegäran.docx", "A 15605-2024")</f>
        <v/>
      </c>
      <c r="Y93">
        <f>HYPERLINK("https://klasma.github.io/Logging_2582/tillsynsmail/A 15605-2024 tillsynsbegäran mail.docx", "A 15605-2024")</f>
        <v/>
      </c>
    </row>
    <row r="94" ht="15" customHeight="1">
      <c r="A94" t="inlineStr">
        <is>
          <t>A 26822-2024</t>
        </is>
      </c>
      <c r="B94" s="1" t="n">
        <v>45470</v>
      </c>
      <c r="C94" s="1" t="n">
        <v>45803</v>
      </c>
      <c r="D94" t="inlineStr">
        <is>
          <t>NORRBOTTENS LÄN</t>
        </is>
      </c>
      <c r="E94" t="inlineStr">
        <is>
          <t>BODEN</t>
        </is>
      </c>
      <c r="F94" t="inlineStr">
        <is>
          <t>Sveaskog</t>
        </is>
      </c>
      <c r="G94" t="n">
        <v>10.9</v>
      </c>
      <c r="H94" t="n">
        <v>1</v>
      </c>
      <c r="I94" t="n">
        <v>0</v>
      </c>
      <c r="J94" t="n">
        <v>1</v>
      </c>
      <c r="K94" t="n">
        <v>0</v>
      </c>
      <c r="L94" t="n">
        <v>0</v>
      </c>
      <c r="M94" t="n">
        <v>0</v>
      </c>
      <c r="N94" t="n">
        <v>0</v>
      </c>
      <c r="O94" t="n">
        <v>1</v>
      </c>
      <c r="P94" t="n">
        <v>0</v>
      </c>
      <c r="Q94" t="n">
        <v>2</v>
      </c>
      <c r="R94" s="2" t="inlineStr">
        <is>
          <t>Lunglav
Fläcknycklar</t>
        </is>
      </c>
      <c r="S94">
        <f>HYPERLINK("https://klasma.github.io/Logging_2582/artfynd/A 26822-2024 artfynd.xlsx", "A 26822-2024")</f>
        <v/>
      </c>
      <c r="T94">
        <f>HYPERLINK("https://klasma.github.io/Logging_2582/kartor/A 26822-2024 karta.png", "A 26822-2024")</f>
        <v/>
      </c>
      <c r="V94">
        <f>HYPERLINK("https://klasma.github.io/Logging_2582/klagomål/A 26822-2024 FSC-klagomål.docx", "A 26822-2024")</f>
        <v/>
      </c>
      <c r="W94">
        <f>HYPERLINK("https://klasma.github.io/Logging_2582/klagomålsmail/A 26822-2024 FSC-klagomål mail.docx", "A 26822-2024")</f>
        <v/>
      </c>
      <c r="X94">
        <f>HYPERLINK("https://klasma.github.io/Logging_2582/tillsyn/A 26822-2024 tillsynsbegäran.docx", "A 26822-2024")</f>
        <v/>
      </c>
      <c r="Y94">
        <f>HYPERLINK("https://klasma.github.io/Logging_2582/tillsynsmail/A 26822-2024 tillsynsbegäran mail.docx", "A 26822-2024")</f>
        <v/>
      </c>
    </row>
    <row r="95" ht="15" customHeight="1">
      <c r="A95" t="inlineStr">
        <is>
          <t>A 32971-2024</t>
        </is>
      </c>
      <c r="B95" s="1" t="n">
        <v>45517</v>
      </c>
      <c r="C95" s="1" t="n">
        <v>45803</v>
      </c>
      <c r="D95" t="inlineStr">
        <is>
          <t>NORRBOTTENS LÄN</t>
        </is>
      </c>
      <c r="E95" t="inlineStr">
        <is>
          <t>BODEN</t>
        </is>
      </c>
      <c r="F95" t="inlineStr">
        <is>
          <t>Sveaskog</t>
        </is>
      </c>
      <c r="G95" t="n">
        <v>10</v>
      </c>
      <c r="H95" t="n">
        <v>1</v>
      </c>
      <c r="I95" t="n">
        <v>0</v>
      </c>
      <c r="J95" t="n">
        <v>1</v>
      </c>
      <c r="K95" t="n">
        <v>0</v>
      </c>
      <c r="L95" t="n">
        <v>0</v>
      </c>
      <c r="M95" t="n">
        <v>0</v>
      </c>
      <c r="N95" t="n">
        <v>0</v>
      </c>
      <c r="O95" t="n">
        <v>1</v>
      </c>
      <c r="P95" t="n">
        <v>0</v>
      </c>
      <c r="Q95" t="n">
        <v>2</v>
      </c>
      <c r="R95" s="2" t="inlineStr">
        <is>
          <t>Lunglav
Fläcknycklar</t>
        </is>
      </c>
      <c r="S95">
        <f>HYPERLINK("https://klasma.github.io/Logging_2582/artfynd/A 32971-2024 artfynd.xlsx", "A 32971-2024")</f>
        <v/>
      </c>
      <c r="T95">
        <f>HYPERLINK("https://klasma.github.io/Logging_2582/kartor/A 32971-2024 karta.png", "A 32971-2024")</f>
        <v/>
      </c>
      <c r="V95">
        <f>HYPERLINK("https://klasma.github.io/Logging_2582/klagomål/A 32971-2024 FSC-klagomål.docx", "A 32971-2024")</f>
        <v/>
      </c>
      <c r="W95">
        <f>HYPERLINK("https://klasma.github.io/Logging_2582/klagomålsmail/A 32971-2024 FSC-klagomål mail.docx", "A 32971-2024")</f>
        <v/>
      </c>
      <c r="X95">
        <f>HYPERLINK("https://klasma.github.io/Logging_2582/tillsyn/A 32971-2024 tillsynsbegäran.docx", "A 32971-2024")</f>
        <v/>
      </c>
      <c r="Y95">
        <f>HYPERLINK("https://klasma.github.io/Logging_2582/tillsynsmail/A 32971-2024 tillsynsbegäran mail.docx", "A 32971-2024")</f>
        <v/>
      </c>
    </row>
    <row r="96" ht="15" customHeight="1">
      <c r="A96" t="inlineStr">
        <is>
          <t>A 34737-2024</t>
        </is>
      </c>
      <c r="B96" s="1" t="n">
        <v>45526</v>
      </c>
      <c r="C96" s="1" t="n">
        <v>45803</v>
      </c>
      <c r="D96" t="inlineStr">
        <is>
          <t>NORRBOTTENS LÄN</t>
        </is>
      </c>
      <c r="E96" t="inlineStr">
        <is>
          <t>BODEN</t>
        </is>
      </c>
      <c r="F96" t="inlineStr">
        <is>
          <t>Sveaskog</t>
        </is>
      </c>
      <c r="G96" t="n">
        <v>6</v>
      </c>
      <c r="H96" t="n">
        <v>1</v>
      </c>
      <c r="I96" t="n">
        <v>0</v>
      </c>
      <c r="J96" t="n">
        <v>1</v>
      </c>
      <c r="K96" t="n">
        <v>0</v>
      </c>
      <c r="L96" t="n">
        <v>0</v>
      </c>
      <c r="M96" t="n">
        <v>0</v>
      </c>
      <c r="N96" t="n">
        <v>0</v>
      </c>
      <c r="O96" t="n">
        <v>1</v>
      </c>
      <c r="P96" t="n">
        <v>0</v>
      </c>
      <c r="Q96" t="n">
        <v>2</v>
      </c>
      <c r="R96" s="2" t="inlineStr">
        <is>
          <t>Lunglav
Fläcknycklar</t>
        </is>
      </c>
      <c r="S96">
        <f>HYPERLINK("https://klasma.github.io/Logging_2582/artfynd/A 34737-2024 artfynd.xlsx", "A 34737-2024")</f>
        <v/>
      </c>
      <c r="T96">
        <f>HYPERLINK("https://klasma.github.io/Logging_2582/kartor/A 34737-2024 karta.png", "A 34737-2024")</f>
        <v/>
      </c>
      <c r="V96">
        <f>HYPERLINK("https://klasma.github.io/Logging_2582/klagomål/A 34737-2024 FSC-klagomål.docx", "A 34737-2024")</f>
        <v/>
      </c>
      <c r="W96">
        <f>HYPERLINK("https://klasma.github.io/Logging_2582/klagomålsmail/A 34737-2024 FSC-klagomål mail.docx", "A 34737-2024")</f>
        <v/>
      </c>
      <c r="X96">
        <f>HYPERLINK("https://klasma.github.io/Logging_2582/tillsyn/A 34737-2024 tillsynsbegäran.docx", "A 34737-2024")</f>
        <v/>
      </c>
      <c r="Y96">
        <f>HYPERLINK("https://klasma.github.io/Logging_2582/tillsynsmail/A 34737-2024 tillsynsbegäran mail.docx", "A 34737-2024")</f>
        <v/>
      </c>
    </row>
    <row r="97" ht="15" customHeight="1">
      <c r="A97" t="inlineStr">
        <is>
          <t>A 41087-2024</t>
        </is>
      </c>
      <c r="B97" s="1" t="n">
        <v>45559</v>
      </c>
      <c r="C97" s="1" t="n">
        <v>45803</v>
      </c>
      <c r="D97" t="inlineStr">
        <is>
          <t>NORRBOTTENS LÄN</t>
        </is>
      </c>
      <c r="E97" t="inlineStr">
        <is>
          <t>BODEN</t>
        </is>
      </c>
      <c r="F97" t="inlineStr">
        <is>
          <t>Sveaskog</t>
        </is>
      </c>
      <c r="G97" t="n">
        <v>7.5</v>
      </c>
      <c r="H97" t="n">
        <v>1</v>
      </c>
      <c r="I97" t="n">
        <v>1</v>
      </c>
      <c r="J97" t="n">
        <v>1</v>
      </c>
      <c r="K97" t="n">
        <v>0</v>
      </c>
      <c r="L97" t="n">
        <v>0</v>
      </c>
      <c r="M97" t="n">
        <v>0</v>
      </c>
      <c r="N97" t="n">
        <v>0</v>
      </c>
      <c r="O97" t="n">
        <v>1</v>
      </c>
      <c r="P97" t="n">
        <v>0</v>
      </c>
      <c r="Q97" t="n">
        <v>2</v>
      </c>
      <c r="R97" s="2" t="inlineStr">
        <is>
          <t>Garnlav
Spindelblomster</t>
        </is>
      </c>
      <c r="S97">
        <f>HYPERLINK("https://klasma.github.io/Logging_2582/artfynd/A 41087-2024 artfynd.xlsx", "A 41087-2024")</f>
        <v/>
      </c>
      <c r="T97">
        <f>HYPERLINK("https://klasma.github.io/Logging_2582/kartor/A 41087-2024 karta.png", "A 41087-2024")</f>
        <v/>
      </c>
      <c r="V97">
        <f>HYPERLINK("https://klasma.github.io/Logging_2582/klagomål/A 41087-2024 FSC-klagomål.docx", "A 41087-2024")</f>
        <v/>
      </c>
      <c r="W97">
        <f>HYPERLINK("https://klasma.github.io/Logging_2582/klagomålsmail/A 41087-2024 FSC-klagomål mail.docx", "A 41087-2024")</f>
        <v/>
      </c>
      <c r="X97">
        <f>HYPERLINK("https://klasma.github.io/Logging_2582/tillsyn/A 41087-2024 tillsynsbegäran.docx", "A 41087-2024")</f>
        <v/>
      </c>
      <c r="Y97">
        <f>HYPERLINK("https://klasma.github.io/Logging_2582/tillsynsmail/A 41087-2024 tillsynsbegäran mail.docx", "A 41087-2024")</f>
        <v/>
      </c>
    </row>
    <row r="98" ht="15" customHeight="1">
      <c r="A98" t="inlineStr">
        <is>
          <t>A 6895-2025</t>
        </is>
      </c>
      <c r="B98" s="1" t="n">
        <v>45701</v>
      </c>
      <c r="C98" s="1" t="n">
        <v>45803</v>
      </c>
      <c r="D98" t="inlineStr">
        <is>
          <t>NORRBOTTENS LÄN</t>
        </is>
      </c>
      <c r="E98" t="inlineStr">
        <is>
          <t>BODEN</t>
        </is>
      </c>
      <c r="G98" t="n">
        <v>1.5</v>
      </c>
      <c r="H98" t="n">
        <v>1</v>
      </c>
      <c r="I98" t="n">
        <v>1</v>
      </c>
      <c r="J98" t="n">
        <v>1</v>
      </c>
      <c r="K98" t="n">
        <v>0</v>
      </c>
      <c r="L98" t="n">
        <v>0</v>
      </c>
      <c r="M98" t="n">
        <v>0</v>
      </c>
      <c r="N98" t="n">
        <v>0</v>
      </c>
      <c r="O98" t="n">
        <v>1</v>
      </c>
      <c r="P98" t="n">
        <v>0</v>
      </c>
      <c r="Q98" t="n">
        <v>2</v>
      </c>
      <c r="R98" s="2" t="inlineStr">
        <is>
          <t>Kolflarnlav
Plattlummer</t>
        </is>
      </c>
      <c r="S98">
        <f>HYPERLINK("https://klasma.github.io/Logging_2582/artfynd/A 6895-2025 artfynd.xlsx", "A 6895-2025")</f>
        <v/>
      </c>
      <c r="T98">
        <f>HYPERLINK("https://klasma.github.io/Logging_2582/kartor/A 6895-2025 karta.png", "A 6895-2025")</f>
        <v/>
      </c>
      <c r="V98">
        <f>HYPERLINK("https://klasma.github.io/Logging_2582/klagomål/A 6895-2025 FSC-klagomål.docx", "A 6895-2025")</f>
        <v/>
      </c>
      <c r="W98">
        <f>HYPERLINK("https://klasma.github.io/Logging_2582/klagomålsmail/A 6895-2025 FSC-klagomål mail.docx", "A 6895-2025")</f>
        <v/>
      </c>
      <c r="X98">
        <f>HYPERLINK("https://klasma.github.io/Logging_2582/tillsyn/A 6895-2025 tillsynsbegäran.docx", "A 6895-2025")</f>
        <v/>
      </c>
      <c r="Y98">
        <f>HYPERLINK("https://klasma.github.io/Logging_2582/tillsynsmail/A 6895-2025 tillsynsbegäran mail.docx", "A 6895-2025")</f>
        <v/>
      </c>
    </row>
    <row r="99" ht="15" customHeight="1">
      <c r="A99" t="inlineStr">
        <is>
          <t>A 9306-2025</t>
        </is>
      </c>
      <c r="B99" s="1" t="n">
        <v>45714</v>
      </c>
      <c r="C99" s="1" t="n">
        <v>45803</v>
      </c>
      <c r="D99" t="inlineStr">
        <is>
          <t>NORRBOTTENS LÄN</t>
        </is>
      </c>
      <c r="E99" t="inlineStr">
        <is>
          <t>BODEN</t>
        </is>
      </c>
      <c r="F99" t="inlineStr">
        <is>
          <t>SCA</t>
        </is>
      </c>
      <c r="G99" t="n">
        <v>11.7</v>
      </c>
      <c r="H99" t="n">
        <v>0</v>
      </c>
      <c r="I99" t="n">
        <v>0</v>
      </c>
      <c r="J99" t="n">
        <v>1</v>
      </c>
      <c r="K99" t="n">
        <v>1</v>
      </c>
      <c r="L99" t="n">
        <v>0</v>
      </c>
      <c r="M99" t="n">
        <v>0</v>
      </c>
      <c r="N99" t="n">
        <v>0</v>
      </c>
      <c r="O99" t="n">
        <v>2</v>
      </c>
      <c r="P99" t="n">
        <v>1</v>
      </c>
      <c r="Q99" t="n">
        <v>2</v>
      </c>
      <c r="R99" s="2" t="inlineStr">
        <is>
          <t>Rynkskinn
Lunglav</t>
        </is>
      </c>
      <c r="S99">
        <f>HYPERLINK("https://klasma.github.io/Logging_2582/artfynd/A 9306-2025 artfynd.xlsx", "A 9306-2025")</f>
        <v/>
      </c>
      <c r="T99">
        <f>HYPERLINK("https://klasma.github.io/Logging_2582/kartor/A 9306-2025 karta.png", "A 9306-2025")</f>
        <v/>
      </c>
      <c r="V99">
        <f>HYPERLINK("https://klasma.github.io/Logging_2582/klagomål/A 9306-2025 FSC-klagomål.docx", "A 9306-2025")</f>
        <v/>
      </c>
      <c r="W99">
        <f>HYPERLINK("https://klasma.github.io/Logging_2582/klagomålsmail/A 9306-2025 FSC-klagomål mail.docx", "A 9306-2025")</f>
        <v/>
      </c>
      <c r="X99">
        <f>HYPERLINK("https://klasma.github.io/Logging_2582/tillsyn/A 9306-2025 tillsynsbegäran.docx", "A 9306-2025")</f>
        <v/>
      </c>
      <c r="Y99">
        <f>HYPERLINK("https://klasma.github.io/Logging_2582/tillsynsmail/A 9306-2025 tillsynsbegäran mail.docx", "A 9306-2025")</f>
        <v/>
      </c>
    </row>
    <row r="100" ht="15" customHeight="1">
      <c r="A100" t="inlineStr">
        <is>
          <t>A 35824-2019</t>
        </is>
      </c>
      <c r="B100" s="1" t="n">
        <v>43665</v>
      </c>
      <c r="C100" s="1" t="n">
        <v>45803</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Gammelgransskål</t>
        </is>
      </c>
      <c r="S100">
        <f>HYPERLINK("https://klasma.github.io/Logging_2582/artfynd/A 35824-2019 artfynd.xlsx", "A 35824-2019")</f>
        <v/>
      </c>
      <c r="T100">
        <f>HYPERLINK("https://klasma.github.io/Logging_2582/kartor/A 35824-2019 karta.png", "A 35824-2019")</f>
        <v/>
      </c>
      <c r="V100">
        <f>HYPERLINK("https://klasma.github.io/Logging_2582/klagomål/A 35824-2019 FSC-klagomål.docx", "A 35824-2019")</f>
        <v/>
      </c>
      <c r="W100">
        <f>HYPERLINK("https://klasma.github.io/Logging_2582/klagomålsmail/A 35824-2019 FSC-klagomål mail.docx", "A 35824-2019")</f>
        <v/>
      </c>
      <c r="X100">
        <f>HYPERLINK("https://klasma.github.io/Logging_2582/tillsyn/A 35824-2019 tillsynsbegäran.docx", "A 35824-2019")</f>
        <v/>
      </c>
      <c r="Y100">
        <f>HYPERLINK("https://klasma.github.io/Logging_2582/tillsynsmail/A 35824-2019 tillsynsbegäran mail.docx", "A 35824-2019")</f>
        <v/>
      </c>
    </row>
    <row r="101" ht="15" customHeight="1">
      <c r="A101" t="inlineStr">
        <is>
          <t>A 54126-2019</t>
        </is>
      </c>
      <c r="B101" s="1" t="n">
        <v>43752</v>
      </c>
      <c r="C101" s="1" t="n">
        <v>45803</v>
      </c>
      <c r="D101" t="inlineStr">
        <is>
          <t>NORRBOTTENS LÄN</t>
        </is>
      </c>
      <c r="E101" t="inlineStr">
        <is>
          <t>BODEN</t>
        </is>
      </c>
      <c r="F101" t="inlineStr">
        <is>
          <t>SCA</t>
        </is>
      </c>
      <c r="G101" t="n">
        <v>7.6</v>
      </c>
      <c r="H101" t="n">
        <v>1</v>
      </c>
      <c r="I101" t="n">
        <v>0</v>
      </c>
      <c r="J101" t="n">
        <v>0</v>
      </c>
      <c r="K101" t="n">
        <v>1</v>
      </c>
      <c r="L101" t="n">
        <v>0</v>
      </c>
      <c r="M101" t="n">
        <v>0</v>
      </c>
      <c r="N101" t="n">
        <v>0</v>
      </c>
      <c r="O101" t="n">
        <v>1</v>
      </c>
      <c r="P101" t="n">
        <v>1</v>
      </c>
      <c r="Q101" t="n">
        <v>1</v>
      </c>
      <c r="R101" s="2" t="inlineStr">
        <is>
          <t>Knärot</t>
        </is>
      </c>
      <c r="S101">
        <f>HYPERLINK("https://klasma.github.io/Logging_2582/artfynd/A 54126-2019 artfynd.xlsx", "A 54126-2019")</f>
        <v/>
      </c>
      <c r="T101">
        <f>HYPERLINK("https://klasma.github.io/Logging_2582/kartor/A 54126-2019 karta.png", "A 54126-2019")</f>
        <v/>
      </c>
      <c r="U101">
        <f>HYPERLINK("https://klasma.github.io/Logging_2582/knärot/A 54126-2019 karta knärot.png", "A 54126-2019")</f>
        <v/>
      </c>
      <c r="V101">
        <f>HYPERLINK("https://klasma.github.io/Logging_2582/klagomål/A 54126-2019 FSC-klagomål.docx", "A 54126-2019")</f>
        <v/>
      </c>
      <c r="W101">
        <f>HYPERLINK("https://klasma.github.io/Logging_2582/klagomålsmail/A 54126-2019 FSC-klagomål mail.docx", "A 54126-2019")</f>
        <v/>
      </c>
      <c r="X101">
        <f>HYPERLINK("https://klasma.github.io/Logging_2582/tillsyn/A 54126-2019 tillsynsbegäran.docx", "A 54126-2019")</f>
        <v/>
      </c>
      <c r="Y101">
        <f>HYPERLINK("https://klasma.github.io/Logging_2582/tillsynsmail/A 54126-2019 tillsynsbegäran mail.docx", "A 54126-2019")</f>
        <v/>
      </c>
    </row>
    <row r="102" ht="15" customHeight="1">
      <c r="A102" t="inlineStr">
        <is>
          <t>A 56937-2019</t>
        </is>
      </c>
      <c r="B102" s="1" t="n">
        <v>43759</v>
      </c>
      <c r="C102" s="1" t="n">
        <v>45803</v>
      </c>
      <c r="D102" t="inlineStr">
        <is>
          <t>NORRBOTTENS LÄN</t>
        </is>
      </c>
      <c r="E102" t="inlineStr">
        <is>
          <t>BODEN</t>
        </is>
      </c>
      <c r="G102" t="n">
        <v>11.2</v>
      </c>
      <c r="H102" t="n">
        <v>1</v>
      </c>
      <c r="I102" t="n">
        <v>0</v>
      </c>
      <c r="J102" t="n">
        <v>1</v>
      </c>
      <c r="K102" t="n">
        <v>0</v>
      </c>
      <c r="L102" t="n">
        <v>0</v>
      </c>
      <c r="M102" t="n">
        <v>0</v>
      </c>
      <c r="N102" t="n">
        <v>0</v>
      </c>
      <c r="O102" t="n">
        <v>1</v>
      </c>
      <c r="P102" t="n">
        <v>0</v>
      </c>
      <c r="Q102" t="n">
        <v>1</v>
      </c>
      <c r="R102" s="2" t="inlineStr">
        <is>
          <t>Rödvingetrast</t>
        </is>
      </c>
      <c r="S102">
        <f>HYPERLINK("https://klasma.github.io/Logging_2582/artfynd/A 56937-2019 artfynd.xlsx", "A 56937-2019")</f>
        <v/>
      </c>
      <c r="T102">
        <f>HYPERLINK("https://klasma.github.io/Logging_2582/kartor/A 56937-2019 karta.png", "A 56937-2019")</f>
        <v/>
      </c>
      <c r="V102">
        <f>HYPERLINK("https://klasma.github.io/Logging_2582/klagomål/A 56937-2019 FSC-klagomål.docx", "A 56937-2019")</f>
        <v/>
      </c>
      <c r="W102">
        <f>HYPERLINK("https://klasma.github.io/Logging_2582/klagomålsmail/A 56937-2019 FSC-klagomål mail.docx", "A 56937-2019")</f>
        <v/>
      </c>
      <c r="X102">
        <f>HYPERLINK("https://klasma.github.io/Logging_2582/tillsyn/A 56937-2019 tillsynsbegäran.docx", "A 56937-2019")</f>
        <v/>
      </c>
      <c r="Y102">
        <f>HYPERLINK("https://klasma.github.io/Logging_2582/tillsynsmail/A 56937-2019 tillsynsbegäran mail.docx", "A 56937-2019")</f>
        <v/>
      </c>
      <c r="Z102">
        <f>HYPERLINK("https://klasma.github.io/Logging_2582/fåglar/A 56937-2019 prioriterade fågelarter.docx", "A 56937-2019")</f>
        <v/>
      </c>
    </row>
    <row r="103" ht="15" customHeight="1">
      <c r="A103" t="inlineStr">
        <is>
          <t>A 62168-2019</t>
        </is>
      </c>
      <c r="B103" s="1" t="n">
        <v>43787</v>
      </c>
      <c r="C103" s="1" t="n">
        <v>45803</v>
      </c>
      <c r="D103" t="inlineStr">
        <is>
          <t>NORRBOTTENS LÄN</t>
        </is>
      </c>
      <c r="E103" t="inlineStr">
        <is>
          <t>BODEN</t>
        </is>
      </c>
      <c r="F103" t="inlineStr">
        <is>
          <t>SCA</t>
        </is>
      </c>
      <c r="G103" t="n">
        <v>1.3</v>
      </c>
      <c r="H103" t="n">
        <v>1</v>
      </c>
      <c r="I103" t="n">
        <v>0</v>
      </c>
      <c r="J103" t="n">
        <v>0</v>
      </c>
      <c r="K103" t="n">
        <v>1</v>
      </c>
      <c r="L103" t="n">
        <v>0</v>
      </c>
      <c r="M103" t="n">
        <v>0</v>
      </c>
      <c r="N103" t="n">
        <v>0</v>
      </c>
      <c r="O103" t="n">
        <v>1</v>
      </c>
      <c r="P103" t="n">
        <v>1</v>
      </c>
      <c r="Q103" t="n">
        <v>1</v>
      </c>
      <c r="R103" s="2" t="inlineStr">
        <is>
          <t>Knärot</t>
        </is>
      </c>
      <c r="S103">
        <f>HYPERLINK("https://klasma.github.io/Logging_2582/artfynd/A 62168-2019 artfynd.xlsx", "A 62168-2019")</f>
        <v/>
      </c>
      <c r="T103">
        <f>HYPERLINK("https://klasma.github.io/Logging_2582/kartor/A 62168-2019 karta.png", "A 62168-2019")</f>
        <v/>
      </c>
      <c r="U103">
        <f>HYPERLINK("https://klasma.github.io/Logging_2582/knärot/A 62168-2019 karta knärot.png", "A 62168-2019")</f>
        <v/>
      </c>
      <c r="V103">
        <f>HYPERLINK("https://klasma.github.io/Logging_2582/klagomål/A 62168-2019 FSC-klagomål.docx", "A 62168-2019")</f>
        <v/>
      </c>
      <c r="W103">
        <f>HYPERLINK("https://klasma.github.io/Logging_2582/klagomålsmail/A 62168-2019 FSC-klagomål mail.docx", "A 62168-2019")</f>
        <v/>
      </c>
      <c r="X103">
        <f>HYPERLINK("https://klasma.github.io/Logging_2582/tillsyn/A 62168-2019 tillsynsbegäran.docx", "A 62168-2019")</f>
        <v/>
      </c>
      <c r="Y103">
        <f>HYPERLINK("https://klasma.github.io/Logging_2582/tillsynsmail/A 62168-2019 tillsynsbegäran mail.docx", "A 62168-2019")</f>
        <v/>
      </c>
    </row>
    <row r="104" ht="15" customHeight="1">
      <c r="A104" t="inlineStr">
        <is>
          <t>A 64251-2019</t>
        </is>
      </c>
      <c r="B104" s="1" t="n">
        <v>43797</v>
      </c>
      <c r="C104" s="1" t="n">
        <v>45803</v>
      </c>
      <c r="D104" t="inlineStr">
        <is>
          <t>NORRBOTTENS LÄN</t>
        </is>
      </c>
      <c r="E104" t="inlineStr">
        <is>
          <t>BODEN</t>
        </is>
      </c>
      <c r="F104" t="inlineStr">
        <is>
          <t>Övriga Aktiebolag</t>
        </is>
      </c>
      <c r="G104" t="n">
        <v>10.7</v>
      </c>
      <c r="H104" t="n">
        <v>0</v>
      </c>
      <c r="I104" t="n">
        <v>0</v>
      </c>
      <c r="J104" t="n">
        <v>1</v>
      </c>
      <c r="K104" t="n">
        <v>0</v>
      </c>
      <c r="L104" t="n">
        <v>0</v>
      </c>
      <c r="M104" t="n">
        <v>0</v>
      </c>
      <c r="N104" t="n">
        <v>0</v>
      </c>
      <c r="O104" t="n">
        <v>1</v>
      </c>
      <c r="P104" t="n">
        <v>0</v>
      </c>
      <c r="Q104" t="n">
        <v>1</v>
      </c>
      <c r="R104" s="2" t="inlineStr">
        <is>
          <t>Garnlav</t>
        </is>
      </c>
      <c r="S104">
        <f>HYPERLINK("https://klasma.github.io/Logging_2582/artfynd/A 64251-2019 artfynd.xlsx", "A 64251-2019")</f>
        <v/>
      </c>
      <c r="T104">
        <f>HYPERLINK("https://klasma.github.io/Logging_2582/kartor/A 64251-2019 karta.png", "A 64251-2019")</f>
        <v/>
      </c>
      <c r="V104">
        <f>HYPERLINK("https://klasma.github.io/Logging_2582/klagomål/A 64251-2019 FSC-klagomål.docx", "A 64251-2019")</f>
        <v/>
      </c>
      <c r="W104">
        <f>HYPERLINK("https://klasma.github.io/Logging_2582/klagomålsmail/A 64251-2019 FSC-klagomål mail.docx", "A 64251-2019")</f>
        <v/>
      </c>
      <c r="X104">
        <f>HYPERLINK("https://klasma.github.io/Logging_2582/tillsyn/A 64251-2019 tillsynsbegäran.docx", "A 64251-2019")</f>
        <v/>
      </c>
      <c r="Y104">
        <f>HYPERLINK("https://klasma.github.io/Logging_2582/tillsynsmail/A 64251-2019 tillsynsbegäran mail.docx", "A 64251-2019")</f>
        <v/>
      </c>
    </row>
    <row r="105" ht="15" customHeight="1">
      <c r="A105" t="inlineStr">
        <is>
          <t>A 23473-2020</t>
        </is>
      </c>
      <c r="B105" s="1" t="n">
        <v>43966</v>
      </c>
      <c r="C105" s="1" t="n">
        <v>45803</v>
      </c>
      <c r="D105" t="inlineStr">
        <is>
          <t>NORRBOTTENS LÄN</t>
        </is>
      </c>
      <c r="E105" t="inlineStr">
        <is>
          <t>BODEN</t>
        </is>
      </c>
      <c r="G105" t="n">
        <v>24.7</v>
      </c>
      <c r="H105" t="n">
        <v>0</v>
      </c>
      <c r="I105" t="n">
        <v>0</v>
      </c>
      <c r="J105" t="n">
        <v>1</v>
      </c>
      <c r="K105" t="n">
        <v>0</v>
      </c>
      <c r="L105" t="n">
        <v>0</v>
      </c>
      <c r="M105" t="n">
        <v>0</v>
      </c>
      <c r="N105" t="n">
        <v>0</v>
      </c>
      <c r="O105" t="n">
        <v>1</v>
      </c>
      <c r="P105" t="n">
        <v>0</v>
      </c>
      <c r="Q105" t="n">
        <v>1</v>
      </c>
      <c r="R105" s="2" t="inlineStr">
        <is>
          <t>Lunglav</t>
        </is>
      </c>
      <c r="S105">
        <f>HYPERLINK("https://klasma.github.io/Logging_2582/artfynd/A 23473-2020 artfynd.xlsx", "A 23473-2020")</f>
        <v/>
      </c>
      <c r="T105">
        <f>HYPERLINK("https://klasma.github.io/Logging_2582/kartor/A 23473-2020 karta.png", "A 23473-2020")</f>
        <v/>
      </c>
      <c r="V105">
        <f>HYPERLINK("https://klasma.github.io/Logging_2582/klagomål/A 23473-2020 FSC-klagomål.docx", "A 23473-2020")</f>
        <v/>
      </c>
      <c r="W105">
        <f>HYPERLINK("https://klasma.github.io/Logging_2582/klagomålsmail/A 23473-2020 FSC-klagomål mail.docx", "A 23473-2020")</f>
        <v/>
      </c>
      <c r="X105">
        <f>HYPERLINK("https://klasma.github.io/Logging_2582/tillsyn/A 23473-2020 tillsynsbegäran.docx", "A 23473-2020")</f>
        <v/>
      </c>
      <c r="Y105">
        <f>HYPERLINK("https://klasma.github.io/Logging_2582/tillsynsmail/A 23473-2020 tillsynsbegäran mail.docx", "A 23473-2020")</f>
        <v/>
      </c>
    </row>
    <row r="106" ht="15" customHeight="1">
      <c r="A106" t="inlineStr">
        <is>
          <t>A 39034-2020</t>
        </is>
      </c>
      <c r="B106" s="1" t="n">
        <v>44062</v>
      </c>
      <c r="C106" s="1" t="n">
        <v>45803</v>
      </c>
      <c r="D106" t="inlineStr">
        <is>
          <t>NORRBOTTENS LÄN</t>
        </is>
      </c>
      <c r="E106" t="inlineStr">
        <is>
          <t>BODEN</t>
        </is>
      </c>
      <c r="F106" t="inlineStr">
        <is>
          <t>Sveaskog</t>
        </is>
      </c>
      <c r="G106" t="n">
        <v>17.7</v>
      </c>
      <c r="H106" t="n">
        <v>0</v>
      </c>
      <c r="I106" t="n">
        <v>0</v>
      </c>
      <c r="J106" t="n">
        <v>1</v>
      </c>
      <c r="K106" t="n">
        <v>0</v>
      </c>
      <c r="L106" t="n">
        <v>0</v>
      </c>
      <c r="M106" t="n">
        <v>0</v>
      </c>
      <c r="N106" t="n">
        <v>0</v>
      </c>
      <c r="O106" t="n">
        <v>1</v>
      </c>
      <c r="P106" t="n">
        <v>0</v>
      </c>
      <c r="Q106" t="n">
        <v>1</v>
      </c>
      <c r="R106" s="2" t="inlineStr">
        <is>
          <t>Kolflarnlav</t>
        </is>
      </c>
      <c r="S106">
        <f>HYPERLINK("https://klasma.github.io/Logging_2582/artfynd/A 39034-2020 artfynd.xlsx", "A 39034-2020")</f>
        <v/>
      </c>
      <c r="T106">
        <f>HYPERLINK("https://klasma.github.io/Logging_2582/kartor/A 39034-2020 karta.png", "A 39034-2020")</f>
        <v/>
      </c>
      <c r="V106">
        <f>HYPERLINK("https://klasma.github.io/Logging_2582/klagomål/A 39034-2020 FSC-klagomål.docx", "A 39034-2020")</f>
        <v/>
      </c>
      <c r="W106">
        <f>HYPERLINK("https://klasma.github.io/Logging_2582/klagomålsmail/A 39034-2020 FSC-klagomål mail.docx", "A 39034-2020")</f>
        <v/>
      </c>
      <c r="X106">
        <f>HYPERLINK("https://klasma.github.io/Logging_2582/tillsyn/A 39034-2020 tillsynsbegäran.docx", "A 39034-2020")</f>
        <v/>
      </c>
      <c r="Y106">
        <f>HYPERLINK("https://klasma.github.io/Logging_2582/tillsynsmail/A 39034-2020 tillsynsbegäran mail.docx", "A 39034-2020")</f>
        <v/>
      </c>
    </row>
    <row r="107" ht="15" customHeight="1">
      <c r="A107" t="inlineStr">
        <is>
          <t>A 39599-2020</t>
        </is>
      </c>
      <c r="B107" s="1" t="n">
        <v>44064</v>
      </c>
      <c r="C107" s="1" t="n">
        <v>45803</v>
      </c>
      <c r="D107" t="inlineStr">
        <is>
          <t>NORRBOTTENS LÄN</t>
        </is>
      </c>
      <c r="E107" t="inlineStr">
        <is>
          <t>BODEN</t>
        </is>
      </c>
      <c r="F107" t="inlineStr">
        <is>
          <t>Sveaskog</t>
        </is>
      </c>
      <c r="G107" t="n">
        <v>12.6</v>
      </c>
      <c r="H107" t="n">
        <v>1</v>
      </c>
      <c r="I107" t="n">
        <v>0</v>
      </c>
      <c r="J107" t="n">
        <v>0</v>
      </c>
      <c r="K107" t="n">
        <v>1</v>
      </c>
      <c r="L107" t="n">
        <v>0</v>
      </c>
      <c r="M107" t="n">
        <v>0</v>
      </c>
      <c r="N107" t="n">
        <v>0</v>
      </c>
      <c r="O107" t="n">
        <v>1</v>
      </c>
      <c r="P107" t="n">
        <v>1</v>
      </c>
      <c r="Q107" t="n">
        <v>1</v>
      </c>
      <c r="R107" s="2" t="inlineStr">
        <is>
          <t>Knärot</t>
        </is>
      </c>
      <c r="S107">
        <f>HYPERLINK("https://klasma.github.io/Logging_2582/artfynd/A 39599-2020 artfynd.xlsx", "A 39599-2020")</f>
        <v/>
      </c>
      <c r="T107">
        <f>HYPERLINK("https://klasma.github.io/Logging_2582/kartor/A 39599-2020 karta.png", "A 39599-2020")</f>
        <v/>
      </c>
      <c r="U107">
        <f>HYPERLINK("https://klasma.github.io/Logging_2582/knärot/A 39599-2020 karta knärot.png", "A 39599-2020")</f>
        <v/>
      </c>
      <c r="V107">
        <f>HYPERLINK("https://klasma.github.io/Logging_2582/klagomål/A 39599-2020 FSC-klagomål.docx", "A 39599-2020")</f>
        <v/>
      </c>
      <c r="W107">
        <f>HYPERLINK("https://klasma.github.io/Logging_2582/klagomålsmail/A 39599-2020 FSC-klagomål mail.docx", "A 39599-2020")</f>
        <v/>
      </c>
      <c r="X107">
        <f>HYPERLINK("https://klasma.github.io/Logging_2582/tillsyn/A 39599-2020 tillsynsbegäran.docx", "A 39599-2020")</f>
        <v/>
      </c>
      <c r="Y107">
        <f>HYPERLINK("https://klasma.github.io/Logging_2582/tillsynsmail/A 39599-2020 tillsynsbegäran mail.docx", "A 39599-2020")</f>
        <v/>
      </c>
    </row>
    <row r="108" ht="15" customHeight="1">
      <c r="A108" t="inlineStr">
        <is>
          <t>A 43643-2020</t>
        </is>
      </c>
      <c r="B108" s="1" t="n">
        <v>44082</v>
      </c>
      <c r="C108" s="1" t="n">
        <v>45803</v>
      </c>
      <c r="D108" t="inlineStr">
        <is>
          <t>NORRBOTTENS LÄN</t>
        </is>
      </c>
      <c r="E108" t="inlineStr">
        <is>
          <t>BODEN</t>
        </is>
      </c>
      <c r="F108" t="inlineStr">
        <is>
          <t>Sveaskog</t>
        </is>
      </c>
      <c r="G108" t="n">
        <v>3.2</v>
      </c>
      <c r="H108" t="n">
        <v>0</v>
      </c>
      <c r="I108" t="n">
        <v>0</v>
      </c>
      <c r="J108" t="n">
        <v>1</v>
      </c>
      <c r="K108" t="n">
        <v>0</v>
      </c>
      <c r="L108" t="n">
        <v>0</v>
      </c>
      <c r="M108" t="n">
        <v>0</v>
      </c>
      <c r="N108" t="n">
        <v>0</v>
      </c>
      <c r="O108" t="n">
        <v>1</v>
      </c>
      <c r="P108" t="n">
        <v>0</v>
      </c>
      <c r="Q108" t="n">
        <v>1</v>
      </c>
      <c r="R108" s="2" t="inlineStr">
        <is>
          <t>Blå taggsvamp</t>
        </is>
      </c>
      <c r="S108">
        <f>HYPERLINK("https://klasma.github.io/Logging_2582/artfynd/A 43643-2020 artfynd.xlsx", "A 43643-2020")</f>
        <v/>
      </c>
      <c r="T108">
        <f>HYPERLINK("https://klasma.github.io/Logging_2582/kartor/A 43643-2020 karta.png", "A 43643-2020")</f>
        <v/>
      </c>
      <c r="V108">
        <f>HYPERLINK("https://klasma.github.io/Logging_2582/klagomål/A 43643-2020 FSC-klagomål.docx", "A 43643-2020")</f>
        <v/>
      </c>
      <c r="W108">
        <f>HYPERLINK("https://klasma.github.io/Logging_2582/klagomålsmail/A 43643-2020 FSC-klagomål mail.docx", "A 43643-2020")</f>
        <v/>
      </c>
      <c r="X108">
        <f>HYPERLINK("https://klasma.github.io/Logging_2582/tillsyn/A 43643-2020 tillsynsbegäran.docx", "A 43643-2020")</f>
        <v/>
      </c>
      <c r="Y108">
        <f>HYPERLINK("https://klasma.github.io/Logging_2582/tillsynsmail/A 43643-2020 tillsynsbegäran mail.docx", "A 43643-2020")</f>
        <v/>
      </c>
    </row>
    <row r="109" ht="15" customHeight="1">
      <c r="A109" t="inlineStr">
        <is>
          <t>A 45184-2020</t>
        </is>
      </c>
      <c r="B109" s="1" t="n">
        <v>44088</v>
      </c>
      <c r="C109" s="1" t="n">
        <v>45803</v>
      </c>
      <c r="D109" t="inlineStr">
        <is>
          <t>NORRBOTTENS LÄN</t>
        </is>
      </c>
      <c r="E109" t="inlineStr">
        <is>
          <t>BODEN</t>
        </is>
      </c>
      <c r="F109" t="inlineStr">
        <is>
          <t>Sveaskog</t>
        </is>
      </c>
      <c r="G109" t="n">
        <v>4.6</v>
      </c>
      <c r="H109" t="n">
        <v>0</v>
      </c>
      <c r="I109" t="n">
        <v>0</v>
      </c>
      <c r="J109" t="n">
        <v>1</v>
      </c>
      <c r="K109" t="n">
        <v>0</v>
      </c>
      <c r="L109" t="n">
        <v>0</v>
      </c>
      <c r="M109" t="n">
        <v>0</v>
      </c>
      <c r="N109" t="n">
        <v>0</v>
      </c>
      <c r="O109" t="n">
        <v>1</v>
      </c>
      <c r="P109" t="n">
        <v>0</v>
      </c>
      <c r="Q109" t="n">
        <v>1</v>
      </c>
      <c r="R109" s="2" t="inlineStr">
        <is>
          <t>Gammelgransskål</t>
        </is>
      </c>
      <c r="S109">
        <f>HYPERLINK("https://klasma.github.io/Logging_2582/artfynd/A 45184-2020 artfynd.xlsx", "A 45184-2020")</f>
        <v/>
      </c>
      <c r="T109">
        <f>HYPERLINK("https://klasma.github.io/Logging_2582/kartor/A 45184-2020 karta.png", "A 45184-2020")</f>
        <v/>
      </c>
      <c r="V109">
        <f>HYPERLINK("https://klasma.github.io/Logging_2582/klagomål/A 45184-2020 FSC-klagomål.docx", "A 45184-2020")</f>
        <v/>
      </c>
      <c r="W109">
        <f>HYPERLINK("https://klasma.github.io/Logging_2582/klagomålsmail/A 45184-2020 FSC-klagomål mail.docx", "A 45184-2020")</f>
        <v/>
      </c>
      <c r="X109">
        <f>HYPERLINK("https://klasma.github.io/Logging_2582/tillsyn/A 45184-2020 tillsynsbegäran.docx", "A 45184-2020")</f>
        <v/>
      </c>
      <c r="Y109">
        <f>HYPERLINK("https://klasma.github.io/Logging_2582/tillsynsmail/A 45184-2020 tillsynsbegäran mail.docx", "A 45184-2020")</f>
        <v/>
      </c>
    </row>
    <row r="110" ht="15" customHeight="1">
      <c r="A110" t="inlineStr">
        <is>
          <t>A 30881-2021</t>
        </is>
      </c>
      <c r="B110" s="1" t="n">
        <v>44365</v>
      </c>
      <c r="C110" s="1" t="n">
        <v>45803</v>
      </c>
      <c r="D110" t="inlineStr">
        <is>
          <t>NORRBOTTENS LÄN</t>
        </is>
      </c>
      <c r="E110" t="inlineStr">
        <is>
          <t>BODEN</t>
        </is>
      </c>
      <c r="F110" t="inlineStr">
        <is>
          <t>Sveaskog</t>
        </is>
      </c>
      <c r="G110" t="n">
        <v>1</v>
      </c>
      <c r="H110" t="n">
        <v>0</v>
      </c>
      <c r="I110" t="n">
        <v>0</v>
      </c>
      <c r="J110" t="n">
        <v>0</v>
      </c>
      <c r="K110" t="n">
        <v>1</v>
      </c>
      <c r="L110" t="n">
        <v>0</v>
      </c>
      <c r="M110" t="n">
        <v>0</v>
      </c>
      <c r="N110" t="n">
        <v>0</v>
      </c>
      <c r="O110" t="n">
        <v>1</v>
      </c>
      <c r="P110" t="n">
        <v>1</v>
      </c>
      <c r="Q110" t="n">
        <v>1</v>
      </c>
      <c r="R110" s="2" t="inlineStr">
        <is>
          <t>Tallgråticka</t>
        </is>
      </c>
      <c r="S110">
        <f>HYPERLINK("https://klasma.github.io/Logging_2582/artfynd/A 30881-2021 artfynd.xlsx", "A 30881-2021")</f>
        <v/>
      </c>
      <c r="T110">
        <f>HYPERLINK("https://klasma.github.io/Logging_2582/kartor/A 30881-2021 karta.png", "A 30881-2021")</f>
        <v/>
      </c>
      <c r="V110">
        <f>HYPERLINK("https://klasma.github.io/Logging_2582/klagomål/A 30881-2021 FSC-klagomål.docx", "A 30881-2021")</f>
        <v/>
      </c>
      <c r="W110">
        <f>HYPERLINK("https://klasma.github.io/Logging_2582/klagomålsmail/A 30881-2021 FSC-klagomål mail.docx", "A 30881-2021")</f>
        <v/>
      </c>
      <c r="X110">
        <f>HYPERLINK("https://klasma.github.io/Logging_2582/tillsyn/A 30881-2021 tillsynsbegäran.docx", "A 30881-2021")</f>
        <v/>
      </c>
      <c r="Y110">
        <f>HYPERLINK("https://klasma.github.io/Logging_2582/tillsynsmail/A 30881-2021 tillsynsbegäran mail.docx", "A 30881-2021")</f>
        <v/>
      </c>
    </row>
    <row r="111" ht="15" customHeight="1">
      <c r="A111" t="inlineStr">
        <is>
          <t>A 30850-2021</t>
        </is>
      </c>
      <c r="B111" s="1" t="n">
        <v>44365</v>
      </c>
      <c r="C111" s="1" t="n">
        <v>45803</v>
      </c>
      <c r="D111" t="inlineStr">
        <is>
          <t>NORRBOTTENS LÄN</t>
        </is>
      </c>
      <c r="E111" t="inlineStr">
        <is>
          <t>BODEN</t>
        </is>
      </c>
      <c r="F111" t="inlineStr">
        <is>
          <t>Sveaskog</t>
        </is>
      </c>
      <c r="G111" t="n">
        <v>6.6</v>
      </c>
      <c r="H111" t="n">
        <v>0</v>
      </c>
      <c r="I111" t="n">
        <v>0</v>
      </c>
      <c r="J111" t="n">
        <v>1</v>
      </c>
      <c r="K111" t="n">
        <v>0</v>
      </c>
      <c r="L111" t="n">
        <v>0</v>
      </c>
      <c r="M111" t="n">
        <v>0</v>
      </c>
      <c r="N111" t="n">
        <v>0</v>
      </c>
      <c r="O111" t="n">
        <v>1</v>
      </c>
      <c r="P111" t="n">
        <v>0</v>
      </c>
      <c r="Q111" t="n">
        <v>1</v>
      </c>
      <c r="R111" s="2" t="inlineStr">
        <is>
          <t>Tallticka</t>
        </is>
      </c>
      <c r="S111">
        <f>HYPERLINK("https://klasma.github.io/Logging_2582/artfynd/A 30850-2021 artfynd.xlsx", "A 30850-2021")</f>
        <v/>
      </c>
      <c r="T111">
        <f>HYPERLINK("https://klasma.github.io/Logging_2582/kartor/A 30850-2021 karta.png", "A 30850-2021")</f>
        <v/>
      </c>
      <c r="V111">
        <f>HYPERLINK("https://klasma.github.io/Logging_2582/klagomål/A 30850-2021 FSC-klagomål.docx", "A 30850-2021")</f>
        <v/>
      </c>
      <c r="W111">
        <f>HYPERLINK("https://klasma.github.io/Logging_2582/klagomålsmail/A 30850-2021 FSC-klagomål mail.docx", "A 30850-2021")</f>
        <v/>
      </c>
      <c r="X111">
        <f>HYPERLINK("https://klasma.github.io/Logging_2582/tillsyn/A 30850-2021 tillsynsbegäran.docx", "A 30850-2021")</f>
        <v/>
      </c>
      <c r="Y111">
        <f>HYPERLINK("https://klasma.github.io/Logging_2582/tillsynsmail/A 30850-2021 tillsynsbegäran mail.docx", "A 30850-2021")</f>
        <v/>
      </c>
    </row>
    <row r="112" ht="15" customHeight="1">
      <c r="A112" t="inlineStr">
        <is>
          <t>A 40779-2021</t>
        </is>
      </c>
      <c r="B112" s="1" t="n">
        <v>44421</v>
      </c>
      <c r="C112" s="1" t="n">
        <v>45803</v>
      </c>
      <c r="D112" t="inlineStr">
        <is>
          <t>NORRBOTTENS LÄN</t>
        </is>
      </c>
      <c r="E112" t="inlineStr">
        <is>
          <t>BODEN</t>
        </is>
      </c>
      <c r="F112" t="inlineStr">
        <is>
          <t>Sveaskog</t>
        </is>
      </c>
      <c r="G112" t="n">
        <v>4.8</v>
      </c>
      <c r="H112" t="n">
        <v>0</v>
      </c>
      <c r="I112" t="n">
        <v>0</v>
      </c>
      <c r="J112" t="n">
        <v>1</v>
      </c>
      <c r="K112" t="n">
        <v>0</v>
      </c>
      <c r="L112" t="n">
        <v>0</v>
      </c>
      <c r="M112" t="n">
        <v>0</v>
      </c>
      <c r="N112" t="n">
        <v>0</v>
      </c>
      <c r="O112" t="n">
        <v>1</v>
      </c>
      <c r="P112" t="n">
        <v>0</v>
      </c>
      <c r="Q112" t="n">
        <v>1</v>
      </c>
      <c r="R112" s="2" t="inlineStr">
        <is>
          <t>Garnlav</t>
        </is>
      </c>
      <c r="S112">
        <f>HYPERLINK("https://klasma.github.io/Logging_2582/artfynd/A 40779-2021 artfynd.xlsx", "A 40779-2021")</f>
        <v/>
      </c>
      <c r="T112">
        <f>HYPERLINK("https://klasma.github.io/Logging_2582/kartor/A 40779-2021 karta.png", "A 40779-2021")</f>
        <v/>
      </c>
      <c r="V112">
        <f>HYPERLINK("https://klasma.github.io/Logging_2582/klagomål/A 40779-2021 FSC-klagomål.docx", "A 40779-2021")</f>
        <v/>
      </c>
      <c r="W112">
        <f>HYPERLINK("https://klasma.github.io/Logging_2582/klagomålsmail/A 40779-2021 FSC-klagomål mail.docx", "A 40779-2021")</f>
        <v/>
      </c>
      <c r="X112">
        <f>HYPERLINK("https://klasma.github.io/Logging_2582/tillsyn/A 40779-2021 tillsynsbegäran.docx", "A 40779-2021")</f>
        <v/>
      </c>
      <c r="Y112">
        <f>HYPERLINK("https://klasma.github.io/Logging_2582/tillsynsmail/A 40779-2021 tillsynsbegäran mail.docx", "A 40779-2021")</f>
        <v/>
      </c>
    </row>
    <row r="113" ht="15" customHeight="1">
      <c r="A113" t="inlineStr">
        <is>
          <t>A 46425-2021</t>
        </is>
      </c>
      <c r="B113" s="1" t="n">
        <v>44445</v>
      </c>
      <c r="C113" s="1" t="n">
        <v>45803</v>
      </c>
      <c r="D113" t="inlineStr">
        <is>
          <t>NORRBOTTENS LÄN</t>
        </is>
      </c>
      <c r="E113" t="inlineStr">
        <is>
          <t>BODEN</t>
        </is>
      </c>
      <c r="F113" t="inlineStr">
        <is>
          <t>Sveaskog</t>
        </is>
      </c>
      <c r="G113" t="n">
        <v>4.1</v>
      </c>
      <c r="H113" t="n">
        <v>1</v>
      </c>
      <c r="I113" t="n">
        <v>0</v>
      </c>
      <c r="J113" t="n">
        <v>1</v>
      </c>
      <c r="K113" t="n">
        <v>0</v>
      </c>
      <c r="L113" t="n">
        <v>0</v>
      </c>
      <c r="M113" t="n">
        <v>0</v>
      </c>
      <c r="N113" t="n">
        <v>0</v>
      </c>
      <c r="O113" t="n">
        <v>1</v>
      </c>
      <c r="P113" t="n">
        <v>0</v>
      </c>
      <c r="Q113" t="n">
        <v>1</v>
      </c>
      <c r="R113" s="2" t="inlineStr">
        <is>
          <t>Rödvingetrast</t>
        </is>
      </c>
      <c r="S113">
        <f>HYPERLINK("https://klasma.github.io/Logging_2582/artfynd/A 46425-2021 artfynd.xlsx", "A 46425-2021")</f>
        <v/>
      </c>
      <c r="T113">
        <f>HYPERLINK("https://klasma.github.io/Logging_2582/kartor/A 46425-2021 karta.png", "A 46425-2021")</f>
        <v/>
      </c>
      <c r="V113">
        <f>HYPERLINK("https://klasma.github.io/Logging_2582/klagomål/A 46425-2021 FSC-klagomål.docx", "A 46425-2021")</f>
        <v/>
      </c>
      <c r="W113">
        <f>HYPERLINK("https://klasma.github.io/Logging_2582/klagomålsmail/A 46425-2021 FSC-klagomål mail.docx", "A 46425-2021")</f>
        <v/>
      </c>
      <c r="X113">
        <f>HYPERLINK("https://klasma.github.io/Logging_2582/tillsyn/A 46425-2021 tillsynsbegäran.docx", "A 46425-2021")</f>
        <v/>
      </c>
      <c r="Y113">
        <f>HYPERLINK("https://klasma.github.io/Logging_2582/tillsynsmail/A 46425-2021 tillsynsbegäran mail.docx", "A 46425-2021")</f>
        <v/>
      </c>
      <c r="Z113">
        <f>HYPERLINK("https://klasma.github.io/Logging_2582/fåglar/A 46425-2021 prioriterade fågelarter.docx", "A 46425-2021")</f>
        <v/>
      </c>
    </row>
    <row r="114" ht="15" customHeight="1">
      <c r="A114" t="inlineStr">
        <is>
          <t>A 47030-2021</t>
        </is>
      </c>
      <c r="B114" s="1" t="n">
        <v>44446</v>
      </c>
      <c r="C114" s="1" t="n">
        <v>45803</v>
      </c>
      <c r="D114" t="inlineStr">
        <is>
          <t>NORRBOTTENS LÄN</t>
        </is>
      </c>
      <c r="E114" t="inlineStr">
        <is>
          <t>BODEN</t>
        </is>
      </c>
      <c r="G114" t="n">
        <v>3.3</v>
      </c>
      <c r="H114" t="n">
        <v>1</v>
      </c>
      <c r="I114" t="n">
        <v>0</v>
      </c>
      <c r="J114" t="n">
        <v>1</v>
      </c>
      <c r="K114" t="n">
        <v>0</v>
      </c>
      <c r="L114" t="n">
        <v>0</v>
      </c>
      <c r="M114" t="n">
        <v>0</v>
      </c>
      <c r="N114" t="n">
        <v>0</v>
      </c>
      <c r="O114" t="n">
        <v>1</v>
      </c>
      <c r="P114" t="n">
        <v>0</v>
      </c>
      <c r="Q114" t="n">
        <v>1</v>
      </c>
      <c r="R114" s="2" t="inlineStr">
        <is>
          <t>Svartvit flugsnappare</t>
        </is>
      </c>
      <c r="S114">
        <f>HYPERLINK("https://klasma.github.io/Logging_2582/artfynd/A 47030-2021 artfynd.xlsx", "A 47030-2021")</f>
        <v/>
      </c>
      <c r="T114">
        <f>HYPERLINK("https://klasma.github.io/Logging_2582/kartor/A 47030-2021 karta.png", "A 47030-2021")</f>
        <v/>
      </c>
      <c r="V114">
        <f>HYPERLINK("https://klasma.github.io/Logging_2582/klagomål/A 47030-2021 FSC-klagomål.docx", "A 47030-2021")</f>
        <v/>
      </c>
      <c r="W114">
        <f>HYPERLINK("https://klasma.github.io/Logging_2582/klagomålsmail/A 47030-2021 FSC-klagomål mail.docx", "A 47030-2021")</f>
        <v/>
      </c>
      <c r="X114">
        <f>HYPERLINK("https://klasma.github.io/Logging_2582/tillsyn/A 47030-2021 tillsynsbegäran.docx", "A 47030-2021")</f>
        <v/>
      </c>
      <c r="Y114">
        <f>HYPERLINK("https://klasma.github.io/Logging_2582/tillsynsmail/A 47030-2021 tillsynsbegäran mail.docx", "A 47030-2021")</f>
        <v/>
      </c>
      <c r="Z114">
        <f>HYPERLINK("https://klasma.github.io/Logging_2582/fåglar/A 47030-2021 prioriterade fågelarter.docx", "A 47030-2021")</f>
        <v/>
      </c>
    </row>
    <row r="115" ht="15" customHeight="1">
      <c r="A115" t="inlineStr">
        <is>
          <t>A 13647-2022</t>
        </is>
      </c>
      <c r="B115" s="1" t="n">
        <v>44648</v>
      </c>
      <c r="C115" s="1" t="n">
        <v>45803</v>
      </c>
      <c r="D115" t="inlineStr">
        <is>
          <t>NORRBOTTENS LÄN</t>
        </is>
      </c>
      <c r="E115" t="inlineStr">
        <is>
          <t>BODEN</t>
        </is>
      </c>
      <c r="F115" t="inlineStr">
        <is>
          <t>Sveaskog</t>
        </is>
      </c>
      <c r="G115" t="n">
        <v>3.8</v>
      </c>
      <c r="H115" t="n">
        <v>0</v>
      </c>
      <c r="I115" t="n">
        <v>0</v>
      </c>
      <c r="J115" t="n">
        <v>1</v>
      </c>
      <c r="K115" t="n">
        <v>0</v>
      </c>
      <c r="L115" t="n">
        <v>0</v>
      </c>
      <c r="M115" t="n">
        <v>0</v>
      </c>
      <c r="N115" t="n">
        <v>0</v>
      </c>
      <c r="O115" t="n">
        <v>1</v>
      </c>
      <c r="P115" t="n">
        <v>0</v>
      </c>
      <c r="Q115" t="n">
        <v>1</v>
      </c>
      <c r="R115" s="2" t="inlineStr">
        <is>
          <t>Gammelgransskål</t>
        </is>
      </c>
      <c r="S115">
        <f>HYPERLINK("https://klasma.github.io/Logging_2582/artfynd/A 13647-2022 artfynd.xlsx", "A 13647-2022")</f>
        <v/>
      </c>
      <c r="T115">
        <f>HYPERLINK("https://klasma.github.io/Logging_2582/kartor/A 13647-2022 karta.png", "A 13647-2022")</f>
        <v/>
      </c>
      <c r="V115">
        <f>HYPERLINK("https://klasma.github.io/Logging_2582/klagomål/A 13647-2022 FSC-klagomål.docx", "A 13647-2022")</f>
        <v/>
      </c>
      <c r="W115">
        <f>HYPERLINK("https://klasma.github.io/Logging_2582/klagomålsmail/A 13647-2022 FSC-klagomål mail.docx", "A 13647-2022")</f>
        <v/>
      </c>
      <c r="X115">
        <f>HYPERLINK("https://klasma.github.io/Logging_2582/tillsyn/A 13647-2022 tillsynsbegäran.docx", "A 13647-2022")</f>
        <v/>
      </c>
      <c r="Y115">
        <f>HYPERLINK("https://klasma.github.io/Logging_2582/tillsynsmail/A 13647-2022 tillsynsbegäran mail.docx", "A 13647-2022")</f>
        <v/>
      </c>
    </row>
    <row r="116" ht="15" customHeight="1">
      <c r="A116" t="inlineStr">
        <is>
          <t>A 19396-2022</t>
        </is>
      </c>
      <c r="B116" s="1" t="n">
        <v>44692</v>
      </c>
      <c r="C116" s="1" t="n">
        <v>45803</v>
      </c>
      <c r="D116" t="inlineStr">
        <is>
          <t>NORRBOTTENS LÄN</t>
        </is>
      </c>
      <c r="E116" t="inlineStr">
        <is>
          <t>BODEN</t>
        </is>
      </c>
      <c r="F116" t="inlineStr">
        <is>
          <t>SCA</t>
        </is>
      </c>
      <c r="G116" t="n">
        <v>13.1</v>
      </c>
      <c r="H116" t="n">
        <v>0</v>
      </c>
      <c r="I116" t="n">
        <v>0</v>
      </c>
      <c r="J116" t="n">
        <v>1</v>
      </c>
      <c r="K116" t="n">
        <v>0</v>
      </c>
      <c r="L116" t="n">
        <v>0</v>
      </c>
      <c r="M116" t="n">
        <v>0</v>
      </c>
      <c r="N116" t="n">
        <v>0</v>
      </c>
      <c r="O116" t="n">
        <v>1</v>
      </c>
      <c r="P116" t="n">
        <v>0</v>
      </c>
      <c r="Q116" t="n">
        <v>1</v>
      </c>
      <c r="R116" s="2" t="inlineStr">
        <is>
          <t>Tallticka</t>
        </is>
      </c>
      <c r="S116">
        <f>HYPERLINK("https://klasma.github.io/Logging_2582/artfynd/A 19396-2022 artfynd.xlsx", "A 19396-2022")</f>
        <v/>
      </c>
      <c r="T116">
        <f>HYPERLINK("https://klasma.github.io/Logging_2582/kartor/A 19396-2022 karta.png", "A 19396-2022")</f>
        <v/>
      </c>
      <c r="V116">
        <f>HYPERLINK("https://klasma.github.io/Logging_2582/klagomål/A 19396-2022 FSC-klagomål.docx", "A 19396-2022")</f>
        <v/>
      </c>
      <c r="W116">
        <f>HYPERLINK("https://klasma.github.io/Logging_2582/klagomålsmail/A 19396-2022 FSC-klagomål mail.docx", "A 19396-2022")</f>
        <v/>
      </c>
      <c r="X116">
        <f>HYPERLINK("https://klasma.github.io/Logging_2582/tillsyn/A 19396-2022 tillsynsbegäran.docx", "A 19396-2022")</f>
        <v/>
      </c>
      <c r="Y116">
        <f>HYPERLINK("https://klasma.github.io/Logging_2582/tillsynsmail/A 19396-2022 tillsynsbegäran mail.docx", "A 19396-2022")</f>
        <v/>
      </c>
    </row>
    <row r="117" ht="15" customHeight="1">
      <c r="A117" t="inlineStr">
        <is>
          <t>A 33740-2022</t>
        </is>
      </c>
      <c r="B117" s="1" t="n">
        <v>44790</v>
      </c>
      <c r="C117" s="1" t="n">
        <v>45803</v>
      </c>
      <c r="D117" t="inlineStr">
        <is>
          <t>NORRBOTTENS LÄN</t>
        </is>
      </c>
      <c r="E117" t="inlineStr">
        <is>
          <t>BODEN</t>
        </is>
      </c>
      <c r="F117" t="inlineStr">
        <is>
          <t>SCA</t>
        </is>
      </c>
      <c r="G117" t="n">
        <v>4.9</v>
      </c>
      <c r="H117" t="n">
        <v>1</v>
      </c>
      <c r="I117" t="n">
        <v>0</v>
      </c>
      <c r="J117" t="n">
        <v>0</v>
      </c>
      <c r="K117" t="n">
        <v>0</v>
      </c>
      <c r="L117" t="n">
        <v>0</v>
      </c>
      <c r="M117" t="n">
        <v>0</v>
      </c>
      <c r="N117" t="n">
        <v>0</v>
      </c>
      <c r="O117" t="n">
        <v>0</v>
      </c>
      <c r="P117" t="n">
        <v>0</v>
      </c>
      <c r="Q117" t="n">
        <v>1</v>
      </c>
      <c r="R117" s="2" t="inlineStr">
        <is>
          <t>Revlummer</t>
        </is>
      </c>
      <c r="S117">
        <f>HYPERLINK("https://klasma.github.io/Logging_2582/artfynd/A 33740-2022 artfynd.xlsx", "A 33740-2022")</f>
        <v/>
      </c>
      <c r="T117">
        <f>HYPERLINK("https://klasma.github.io/Logging_2582/kartor/A 33740-2022 karta.png", "A 33740-2022")</f>
        <v/>
      </c>
      <c r="V117">
        <f>HYPERLINK("https://klasma.github.io/Logging_2582/klagomål/A 33740-2022 FSC-klagomål.docx", "A 33740-2022")</f>
        <v/>
      </c>
      <c r="W117">
        <f>HYPERLINK("https://klasma.github.io/Logging_2582/klagomålsmail/A 33740-2022 FSC-klagomål mail.docx", "A 33740-2022")</f>
        <v/>
      </c>
      <c r="X117">
        <f>HYPERLINK("https://klasma.github.io/Logging_2582/tillsyn/A 33740-2022 tillsynsbegäran.docx", "A 33740-2022")</f>
        <v/>
      </c>
      <c r="Y117">
        <f>HYPERLINK("https://klasma.github.io/Logging_2582/tillsynsmail/A 33740-2022 tillsynsbegäran mail.docx", "A 33740-2022")</f>
        <v/>
      </c>
    </row>
    <row r="118" ht="15" customHeight="1">
      <c r="A118" t="inlineStr">
        <is>
          <t>A 35037-2022</t>
        </is>
      </c>
      <c r="B118" s="1" t="n">
        <v>44796</v>
      </c>
      <c r="C118" s="1" t="n">
        <v>45803</v>
      </c>
      <c r="D118" t="inlineStr">
        <is>
          <t>NORRBOTTENS LÄN</t>
        </is>
      </c>
      <c r="E118" t="inlineStr">
        <is>
          <t>BODEN</t>
        </is>
      </c>
      <c r="G118" t="n">
        <v>0.6</v>
      </c>
      <c r="H118" t="n">
        <v>1</v>
      </c>
      <c r="I118" t="n">
        <v>0</v>
      </c>
      <c r="J118" t="n">
        <v>1</v>
      </c>
      <c r="K118" t="n">
        <v>0</v>
      </c>
      <c r="L118" t="n">
        <v>0</v>
      </c>
      <c r="M118" t="n">
        <v>0</v>
      </c>
      <c r="N118" t="n">
        <v>0</v>
      </c>
      <c r="O118" t="n">
        <v>1</v>
      </c>
      <c r="P118" t="n">
        <v>0</v>
      </c>
      <c r="Q118" t="n">
        <v>1</v>
      </c>
      <c r="R118" s="2" t="inlineStr">
        <is>
          <t>Rödvingetrast</t>
        </is>
      </c>
      <c r="S118">
        <f>HYPERLINK("https://klasma.github.io/Logging_2582/artfynd/A 35037-2022 artfynd.xlsx", "A 35037-2022")</f>
        <v/>
      </c>
      <c r="T118">
        <f>HYPERLINK("https://klasma.github.io/Logging_2582/kartor/A 35037-2022 karta.png", "A 35037-2022")</f>
        <v/>
      </c>
      <c r="V118">
        <f>HYPERLINK("https://klasma.github.io/Logging_2582/klagomål/A 35037-2022 FSC-klagomål.docx", "A 35037-2022")</f>
        <v/>
      </c>
      <c r="W118">
        <f>HYPERLINK("https://klasma.github.io/Logging_2582/klagomålsmail/A 35037-2022 FSC-klagomål mail.docx", "A 35037-2022")</f>
        <v/>
      </c>
      <c r="X118">
        <f>HYPERLINK("https://klasma.github.io/Logging_2582/tillsyn/A 35037-2022 tillsynsbegäran.docx", "A 35037-2022")</f>
        <v/>
      </c>
      <c r="Y118">
        <f>HYPERLINK("https://klasma.github.io/Logging_2582/tillsynsmail/A 35037-2022 tillsynsbegäran mail.docx", "A 35037-2022")</f>
        <v/>
      </c>
      <c r="Z118">
        <f>HYPERLINK("https://klasma.github.io/Logging_2582/fåglar/A 35037-2022 prioriterade fågelarter.docx", "A 35037-2022")</f>
        <v/>
      </c>
    </row>
    <row r="119" ht="15" customHeight="1">
      <c r="A119" t="inlineStr">
        <is>
          <t>A 44255-2022</t>
        </is>
      </c>
      <c r="B119" s="1" t="n">
        <v>44839</v>
      </c>
      <c r="C119" s="1" t="n">
        <v>45803</v>
      </c>
      <c r="D119" t="inlineStr">
        <is>
          <t>NORRBOTTENS LÄN</t>
        </is>
      </c>
      <c r="E119" t="inlineStr">
        <is>
          <t>BODEN</t>
        </is>
      </c>
      <c r="F119" t="inlineStr">
        <is>
          <t>Sveaskog</t>
        </is>
      </c>
      <c r="G119" t="n">
        <v>4.2</v>
      </c>
      <c r="H119" t="n">
        <v>1</v>
      </c>
      <c r="I119" t="n">
        <v>0</v>
      </c>
      <c r="J119" t="n">
        <v>0</v>
      </c>
      <c r="K119" t="n">
        <v>0</v>
      </c>
      <c r="L119" t="n">
        <v>0</v>
      </c>
      <c r="M119" t="n">
        <v>0</v>
      </c>
      <c r="N119" t="n">
        <v>0</v>
      </c>
      <c r="O119" t="n">
        <v>0</v>
      </c>
      <c r="P119" t="n">
        <v>0</v>
      </c>
      <c r="Q119" t="n">
        <v>1</v>
      </c>
      <c r="R119" s="2" t="inlineStr">
        <is>
          <t>Revlummer</t>
        </is>
      </c>
      <c r="S119">
        <f>HYPERLINK("https://klasma.github.io/Logging_2582/artfynd/A 44255-2022 artfynd.xlsx", "A 44255-2022")</f>
        <v/>
      </c>
      <c r="T119">
        <f>HYPERLINK("https://klasma.github.io/Logging_2582/kartor/A 44255-2022 karta.png", "A 44255-2022")</f>
        <v/>
      </c>
      <c r="V119">
        <f>HYPERLINK("https://klasma.github.io/Logging_2582/klagomål/A 44255-2022 FSC-klagomål.docx", "A 44255-2022")</f>
        <v/>
      </c>
      <c r="W119">
        <f>HYPERLINK("https://klasma.github.io/Logging_2582/klagomålsmail/A 44255-2022 FSC-klagomål mail.docx", "A 44255-2022")</f>
        <v/>
      </c>
      <c r="X119">
        <f>HYPERLINK("https://klasma.github.io/Logging_2582/tillsyn/A 44255-2022 tillsynsbegäran.docx", "A 44255-2022")</f>
        <v/>
      </c>
      <c r="Y119">
        <f>HYPERLINK("https://klasma.github.io/Logging_2582/tillsynsmail/A 44255-2022 tillsynsbegäran mail.docx", "A 44255-2022")</f>
        <v/>
      </c>
    </row>
    <row r="120" ht="15" customHeight="1">
      <c r="A120" t="inlineStr">
        <is>
          <t>A 44768-2022</t>
        </is>
      </c>
      <c r="B120" s="1" t="n">
        <v>44840</v>
      </c>
      <c r="C120" s="1" t="n">
        <v>45803</v>
      </c>
      <c r="D120" t="inlineStr">
        <is>
          <t>NORRBOTTENS LÄN</t>
        </is>
      </c>
      <c r="E120" t="inlineStr">
        <is>
          <t>BODEN</t>
        </is>
      </c>
      <c r="F120" t="inlineStr">
        <is>
          <t>SCA</t>
        </is>
      </c>
      <c r="G120" t="n">
        <v>6.1</v>
      </c>
      <c r="H120" t="n">
        <v>0</v>
      </c>
      <c r="I120" t="n">
        <v>0</v>
      </c>
      <c r="J120" t="n">
        <v>1</v>
      </c>
      <c r="K120" t="n">
        <v>0</v>
      </c>
      <c r="L120" t="n">
        <v>0</v>
      </c>
      <c r="M120" t="n">
        <v>0</v>
      </c>
      <c r="N120" t="n">
        <v>0</v>
      </c>
      <c r="O120" t="n">
        <v>1</v>
      </c>
      <c r="P120" t="n">
        <v>0</v>
      </c>
      <c r="Q120" t="n">
        <v>1</v>
      </c>
      <c r="R120" s="2" t="inlineStr">
        <is>
          <t>Motaggsvamp</t>
        </is>
      </c>
      <c r="S120">
        <f>HYPERLINK("https://klasma.github.io/Logging_2582/artfynd/A 44768-2022 artfynd.xlsx", "A 44768-2022")</f>
        <v/>
      </c>
      <c r="T120">
        <f>HYPERLINK("https://klasma.github.io/Logging_2582/kartor/A 44768-2022 karta.png", "A 44768-2022")</f>
        <v/>
      </c>
      <c r="V120">
        <f>HYPERLINK("https://klasma.github.io/Logging_2582/klagomål/A 44768-2022 FSC-klagomål.docx", "A 44768-2022")</f>
        <v/>
      </c>
      <c r="W120">
        <f>HYPERLINK("https://klasma.github.io/Logging_2582/klagomålsmail/A 44768-2022 FSC-klagomål mail.docx", "A 44768-2022")</f>
        <v/>
      </c>
      <c r="X120">
        <f>HYPERLINK("https://klasma.github.io/Logging_2582/tillsyn/A 44768-2022 tillsynsbegäran.docx", "A 44768-2022")</f>
        <v/>
      </c>
      <c r="Y120">
        <f>HYPERLINK("https://klasma.github.io/Logging_2582/tillsynsmail/A 44768-2022 tillsynsbegäran mail.docx", "A 44768-2022")</f>
        <v/>
      </c>
    </row>
    <row r="121" ht="15" customHeight="1">
      <c r="A121" t="inlineStr">
        <is>
          <t>A 45941-2022</t>
        </is>
      </c>
      <c r="B121" s="1" t="n">
        <v>44846</v>
      </c>
      <c r="C121" s="1" t="n">
        <v>45803</v>
      </c>
      <c r="D121" t="inlineStr">
        <is>
          <t>NORRBOTTENS LÄN</t>
        </is>
      </c>
      <c r="E121" t="inlineStr">
        <is>
          <t>BODEN</t>
        </is>
      </c>
      <c r="F121" t="inlineStr">
        <is>
          <t>Sveaskog</t>
        </is>
      </c>
      <c r="G121" t="n">
        <v>3.4</v>
      </c>
      <c r="H121" t="n">
        <v>0</v>
      </c>
      <c r="I121" t="n">
        <v>0</v>
      </c>
      <c r="J121" t="n">
        <v>1</v>
      </c>
      <c r="K121" t="n">
        <v>0</v>
      </c>
      <c r="L121" t="n">
        <v>0</v>
      </c>
      <c r="M121" t="n">
        <v>0</v>
      </c>
      <c r="N121" t="n">
        <v>0</v>
      </c>
      <c r="O121" t="n">
        <v>1</v>
      </c>
      <c r="P121" t="n">
        <v>0</v>
      </c>
      <c r="Q121" t="n">
        <v>1</v>
      </c>
      <c r="R121" s="2" t="inlineStr">
        <is>
          <t>Lunglav</t>
        </is>
      </c>
      <c r="S121">
        <f>HYPERLINK("https://klasma.github.io/Logging_2582/artfynd/A 45941-2022 artfynd.xlsx", "A 45941-2022")</f>
        <v/>
      </c>
      <c r="T121">
        <f>HYPERLINK("https://klasma.github.io/Logging_2582/kartor/A 45941-2022 karta.png", "A 45941-2022")</f>
        <v/>
      </c>
      <c r="V121">
        <f>HYPERLINK("https://klasma.github.io/Logging_2582/klagomål/A 45941-2022 FSC-klagomål.docx", "A 45941-2022")</f>
        <v/>
      </c>
      <c r="W121">
        <f>HYPERLINK("https://klasma.github.io/Logging_2582/klagomålsmail/A 45941-2022 FSC-klagomål mail.docx", "A 45941-2022")</f>
        <v/>
      </c>
      <c r="X121">
        <f>HYPERLINK("https://klasma.github.io/Logging_2582/tillsyn/A 45941-2022 tillsynsbegäran.docx", "A 45941-2022")</f>
        <v/>
      </c>
      <c r="Y121">
        <f>HYPERLINK("https://klasma.github.io/Logging_2582/tillsynsmail/A 45941-2022 tillsynsbegäran mail.docx", "A 45941-2022")</f>
        <v/>
      </c>
    </row>
    <row r="122" ht="15" customHeight="1">
      <c r="A122" t="inlineStr">
        <is>
          <t>A 47498-2022</t>
        </is>
      </c>
      <c r="B122" s="1" t="n">
        <v>44853</v>
      </c>
      <c r="C122" s="1" t="n">
        <v>45803</v>
      </c>
      <c r="D122" t="inlineStr">
        <is>
          <t>NORRBOTTENS LÄN</t>
        </is>
      </c>
      <c r="E122" t="inlineStr">
        <is>
          <t>BODEN</t>
        </is>
      </c>
      <c r="F122" t="inlineStr">
        <is>
          <t>Kommuner</t>
        </is>
      </c>
      <c r="G122" t="n">
        <v>2.6</v>
      </c>
      <c r="H122" t="n">
        <v>1</v>
      </c>
      <c r="I122" t="n">
        <v>0</v>
      </c>
      <c r="J122" t="n">
        <v>1</v>
      </c>
      <c r="K122" t="n">
        <v>0</v>
      </c>
      <c r="L122" t="n">
        <v>0</v>
      </c>
      <c r="M122" t="n">
        <v>0</v>
      </c>
      <c r="N122" t="n">
        <v>0</v>
      </c>
      <c r="O122" t="n">
        <v>1</v>
      </c>
      <c r="P122" t="n">
        <v>0</v>
      </c>
      <c r="Q122" t="n">
        <v>1</v>
      </c>
      <c r="R122" s="2" t="inlineStr">
        <is>
          <t>Spillkråka</t>
        </is>
      </c>
      <c r="S122">
        <f>HYPERLINK("https://klasma.github.io/Logging_2582/artfynd/A 47498-2022 artfynd.xlsx", "A 47498-2022")</f>
        <v/>
      </c>
      <c r="T122">
        <f>HYPERLINK("https://klasma.github.io/Logging_2582/kartor/A 47498-2022 karta.png", "A 47498-2022")</f>
        <v/>
      </c>
      <c r="V122">
        <f>HYPERLINK("https://klasma.github.io/Logging_2582/klagomål/A 47498-2022 FSC-klagomål.docx", "A 47498-2022")</f>
        <v/>
      </c>
      <c r="W122">
        <f>HYPERLINK("https://klasma.github.io/Logging_2582/klagomålsmail/A 47498-2022 FSC-klagomål mail.docx", "A 47498-2022")</f>
        <v/>
      </c>
      <c r="X122">
        <f>HYPERLINK("https://klasma.github.io/Logging_2582/tillsyn/A 47498-2022 tillsynsbegäran.docx", "A 47498-2022")</f>
        <v/>
      </c>
      <c r="Y122">
        <f>HYPERLINK("https://klasma.github.io/Logging_2582/tillsynsmail/A 47498-2022 tillsynsbegäran mail.docx", "A 47498-2022")</f>
        <v/>
      </c>
      <c r="Z122">
        <f>HYPERLINK("https://klasma.github.io/Logging_2582/fåglar/A 47498-2022 prioriterade fågelarter.docx", "A 47498-2022")</f>
        <v/>
      </c>
    </row>
    <row r="123" ht="15" customHeight="1">
      <c r="A123" t="inlineStr">
        <is>
          <t>A 54181-2022</t>
        </is>
      </c>
      <c r="B123" s="1" t="n">
        <v>44881</v>
      </c>
      <c r="C123" s="1" t="n">
        <v>45803</v>
      </c>
      <c r="D123" t="inlineStr">
        <is>
          <t>NORRBOTTENS LÄN</t>
        </is>
      </c>
      <c r="E123" t="inlineStr">
        <is>
          <t>BODEN</t>
        </is>
      </c>
      <c r="F123" t="inlineStr">
        <is>
          <t>Sveaskog</t>
        </is>
      </c>
      <c r="G123" t="n">
        <v>3.3</v>
      </c>
      <c r="H123" t="n">
        <v>0</v>
      </c>
      <c r="I123" t="n">
        <v>0</v>
      </c>
      <c r="J123" t="n">
        <v>1</v>
      </c>
      <c r="K123" t="n">
        <v>0</v>
      </c>
      <c r="L123" t="n">
        <v>0</v>
      </c>
      <c r="M123" t="n">
        <v>0</v>
      </c>
      <c r="N123" t="n">
        <v>0</v>
      </c>
      <c r="O123" t="n">
        <v>1</v>
      </c>
      <c r="P123" t="n">
        <v>0</v>
      </c>
      <c r="Q123" t="n">
        <v>1</v>
      </c>
      <c r="R123" s="2" t="inlineStr">
        <is>
          <t>Lunglav</t>
        </is>
      </c>
      <c r="S123">
        <f>HYPERLINK("https://klasma.github.io/Logging_2582/artfynd/A 54181-2022 artfynd.xlsx", "A 54181-2022")</f>
        <v/>
      </c>
      <c r="T123">
        <f>HYPERLINK("https://klasma.github.io/Logging_2582/kartor/A 54181-2022 karta.png", "A 54181-2022")</f>
        <v/>
      </c>
      <c r="V123">
        <f>HYPERLINK("https://klasma.github.io/Logging_2582/klagomål/A 54181-2022 FSC-klagomål.docx", "A 54181-2022")</f>
        <v/>
      </c>
      <c r="W123">
        <f>HYPERLINK("https://klasma.github.io/Logging_2582/klagomålsmail/A 54181-2022 FSC-klagomål mail.docx", "A 54181-2022")</f>
        <v/>
      </c>
      <c r="X123">
        <f>HYPERLINK("https://klasma.github.io/Logging_2582/tillsyn/A 54181-2022 tillsynsbegäran.docx", "A 54181-2022")</f>
        <v/>
      </c>
      <c r="Y123">
        <f>HYPERLINK("https://klasma.github.io/Logging_2582/tillsynsmail/A 54181-2022 tillsynsbegäran mail.docx", "A 54181-2022")</f>
        <v/>
      </c>
    </row>
    <row r="124" ht="15" customHeight="1">
      <c r="A124" t="inlineStr">
        <is>
          <t>A 61496-2022</t>
        </is>
      </c>
      <c r="B124" s="1" t="n">
        <v>44910</v>
      </c>
      <c r="C124" s="1" t="n">
        <v>45803</v>
      </c>
      <c r="D124" t="inlineStr">
        <is>
          <t>NORRBOTTENS LÄN</t>
        </is>
      </c>
      <c r="E124" t="inlineStr">
        <is>
          <t>BODEN</t>
        </is>
      </c>
      <c r="F124" t="inlineStr">
        <is>
          <t>Sveaskog</t>
        </is>
      </c>
      <c r="G124" t="n">
        <v>2.8</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61496-2022 artfynd.xlsx", "A 61496-2022")</f>
        <v/>
      </c>
      <c r="T124">
        <f>HYPERLINK("https://klasma.github.io/Logging_2582/kartor/A 61496-2022 karta.png", "A 61496-2022")</f>
        <v/>
      </c>
      <c r="V124">
        <f>HYPERLINK("https://klasma.github.io/Logging_2582/klagomål/A 61496-2022 FSC-klagomål.docx", "A 61496-2022")</f>
        <v/>
      </c>
      <c r="W124">
        <f>HYPERLINK("https://klasma.github.io/Logging_2582/klagomålsmail/A 61496-2022 FSC-klagomål mail.docx", "A 61496-2022")</f>
        <v/>
      </c>
      <c r="X124">
        <f>HYPERLINK("https://klasma.github.io/Logging_2582/tillsyn/A 61496-2022 tillsynsbegäran.docx", "A 61496-2022")</f>
        <v/>
      </c>
      <c r="Y124">
        <f>HYPERLINK("https://klasma.github.io/Logging_2582/tillsynsmail/A 61496-2022 tillsynsbegäran mail.docx", "A 61496-2022")</f>
        <v/>
      </c>
    </row>
    <row r="125" ht="15" customHeight="1">
      <c r="A125" t="inlineStr">
        <is>
          <t>A 6239-2023</t>
        </is>
      </c>
      <c r="B125" s="1" t="n">
        <v>44964</v>
      </c>
      <c r="C125" s="1" t="n">
        <v>45803</v>
      </c>
      <c r="D125" t="inlineStr">
        <is>
          <t>NORRBOTTENS LÄN</t>
        </is>
      </c>
      <c r="E125" t="inlineStr">
        <is>
          <t>BODEN</t>
        </is>
      </c>
      <c r="F125" t="inlineStr">
        <is>
          <t>SCA</t>
        </is>
      </c>
      <c r="G125" t="n">
        <v>7.3</v>
      </c>
      <c r="H125" t="n">
        <v>0</v>
      </c>
      <c r="I125" t="n">
        <v>0</v>
      </c>
      <c r="J125" t="n">
        <v>0</v>
      </c>
      <c r="K125" t="n">
        <v>1</v>
      </c>
      <c r="L125" t="n">
        <v>0</v>
      </c>
      <c r="M125" t="n">
        <v>0</v>
      </c>
      <c r="N125" t="n">
        <v>0</v>
      </c>
      <c r="O125" t="n">
        <v>1</v>
      </c>
      <c r="P125" t="n">
        <v>1</v>
      </c>
      <c r="Q125" t="n">
        <v>1</v>
      </c>
      <c r="R125" s="2" t="inlineStr">
        <is>
          <t>Liten aspgelélav</t>
        </is>
      </c>
      <c r="S125">
        <f>HYPERLINK("https://klasma.github.io/Logging_2582/artfynd/A 6239-2023 artfynd.xlsx", "A 6239-2023")</f>
        <v/>
      </c>
      <c r="T125">
        <f>HYPERLINK("https://klasma.github.io/Logging_2582/kartor/A 6239-2023 karta.png", "A 6239-2023")</f>
        <v/>
      </c>
      <c r="V125">
        <f>HYPERLINK("https://klasma.github.io/Logging_2582/klagomål/A 6239-2023 FSC-klagomål.docx", "A 6239-2023")</f>
        <v/>
      </c>
      <c r="W125">
        <f>HYPERLINK("https://klasma.github.io/Logging_2582/klagomålsmail/A 6239-2023 FSC-klagomål mail.docx", "A 6239-2023")</f>
        <v/>
      </c>
      <c r="X125">
        <f>HYPERLINK("https://klasma.github.io/Logging_2582/tillsyn/A 6239-2023 tillsynsbegäran.docx", "A 6239-2023")</f>
        <v/>
      </c>
      <c r="Y125">
        <f>HYPERLINK("https://klasma.github.io/Logging_2582/tillsynsmail/A 6239-2023 tillsynsbegäran mail.docx", "A 6239-2023")</f>
        <v/>
      </c>
    </row>
    <row r="126" ht="15" customHeight="1">
      <c r="A126" t="inlineStr">
        <is>
          <t>A 11208-2023</t>
        </is>
      </c>
      <c r="B126" s="1" t="n">
        <v>44992</v>
      </c>
      <c r="C126" s="1" t="n">
        <v>45803</v>
      </c>
      <c r="D126" t="inlineStr">
        <is>
          <t>NORRBOTTENS LÄN</t>
        </is>
      </c>
      <c r="E126" t="inlineStr">
        <is>
          <t>BODEN</t>
        </is>
      </c>
      <c r="G126" t="n">
        <v>14.9</v>
      </c>
      <c r="H126" t="n">
        <v>0</v>
      </c>
      <c r="I126" t="n">
        <v>1</v>
      </c>
      <c r="J126" t="n">
        <v>0</v>
      </c>
      <c r="K126" t="n">
        <v>0</v>
      </c>
      <c r="L126" t="n">
        <v>0</v>
      </c>
      <c r="M126" t="n">
        <v>0</v>
      </c>
      <c r="N126" t="n">
        <v>0</v>
      </c>
      <c r="O126" t="n">
        <v>0</v>
      </c>
      <c r="P126" t="n">
        <v>0</v>
      </c>
      <c r="Q126" t="n">
        <v>1</v>
      </c>
      <c r="R126" s="2" t="inlineStr">
        <is>
          <t>Ögonpyrola</t>
        </is>
      </c>
      <c r="S126">
        <f>HYPERLINK("https://klasma.github.io/Logging_2582/artfynd/A 11208-2023 artfynd.xlsx", "A 11208-2023")</f>
        <v/>
      </c>
      <c r="T126">
        <f>HYPERLINK("https://klasma.github.io/Logging_2582/kartor/A 11208-2023 karta.png", "A 11208-2023")</f>
        <v/>
      </c>
      <c r="V126">
        <f>HYPERLINK("https://klasma.github.io/Logging_2582/klagomål/A 11208-2023 FSC-klagomål.docx", "A 11208-2023")</f>
        <v/>
      </c>
      <c r="W126">
        <f>HYPERLINK("https://klasma.github.io/Logging_2582/klagomålsmail/A 11208-2023 FSC-klagomål mail.docx", "A 11208-2023")</f>
        <v/>
      </c>
      <c r="X126">
        <f>HYPERLINK("https://klasma.github.io/Logging_2582/tillsyn/A 11208-2023 tillsynsbegäran.docx", "A 11208-2023")</f>
        <v/>
      </c>
      <c r="Y126">
        <f>HYPERLINK("https://klasma.github.io/Logging_2582/tillsynsmail/A 11208-2023 tillsynsbegäran mail.docx", "A 11208-2023")</f>
        <v/>
      </c>
    </row>
    <row r="127" ht="15" customHeight="1">
      <c r="A127" t="inlineStr">
        <is>
          <t>A 21019-2023</t>
        </is>
      </c>
      <c r="B127" s="1" t="n">
        <v>45056</v>
      </c>
      <c r="C127" s="1" t="n">
        <v>45803</v>
      </c>
      <c r="D127" t="inlineStr">
        <is>
          <t>NORRBOTTENS LÄN</t>
        </is>
      </c>
      <c r="E127" t="inlineStr">
        <is>
          <t>BODEN</t>
        </is>
      </c>
      <c r="G127" t="n">
        <v>7.5</v>
      </c>
      <c r="H127" t="n">
        <v>1</v>
      </c>
      <c r="I127" t="n">
        <v>0</v>
      </c>
      <c r="J127" t="n">
        <v>0</v>
      </c>
      <c r="K127" t="n">
        <v>0</v>
      </c>
      <c r="L127" t="n">
        <v>0</v>
      </c>
      <c r="M127" t="n">
        <v>0</v>
      </c>
      <c r="N127" t="n">
        <v>0</v>
      </c>
      <c r="O127" t="n">
        <v>0</v>
      </c>
      <c r="P127" t="n">
        <v>0</v>
      </c>
      <c r="Q127" t="n">
        <v>1</v>
      </c>
      <c r="R127" s="2" t="inlineStr">
        <is>
          <t>Sångsvan</t>
        </is>
      </c>
      <c r="S127">
        <f>HYPERLINK("https://klasma.github.io/Logging_2582/artfynd/A 21019-2023 artfynd.xlsx", "A 21019-2023")</f>
        <v/>
      </c>
      <c r="T127">
        <f>HYPERLINK("https://klasma.github.io/Logging_2582/kartor/A 21019-2023 karta.png", "A 21019-2023")</f>
        <v/>
      </c>
      <c r="V127">
        <f>HYPERLINK("https://klasma.github.io/Logging_2582/klagomål/A 21019-2023 FSC-klagomål.docx", "A 21019-2023")</f>
        <v/>
      </c>
      <c r="W127">
        <f>HYPERLINK("https://klasma.github.io/Logging_2582/klagomålsmail/A 21019-2023 FSC-klagomål mail.docx", "A 21019-2023")</f>
        <v/>
      </c>
      <c r="X127">
        <f>HYPERLINK("https://klasma.github.io/Logging_2582/tillsyn/A 21019-2023 tillsynsbegäran.docx", "A 21019-2023")</f>
        <v/>
      </c>
      <c r="Y127">
        <f>HYPERLINK("https://klasma.github.io/Logging_2582/tillsynsmail/A 21019-2023 tillsynsbegäran mail.docx", "A 21019-2023")</f>
        <v/>
      </c>
      <c r="Z127">
        <f>HYPERLINK("https://klasma.github.io/Logging_2582/fåglar/A 21019-2023 prioriterade fågelarter.docx", "A 21019-2023")</f>
        <v/>
      </c>
    </row>
    <row r="128" ht="15" customHeight="1">
      <c r="A128" t="inlineStr">
        <is>
          <t>A 26966-2023</t>
        </is>
      </c>
      <c r="B128" s="1" t="n">
        <v>45093</v>
      </c>
      <c r="C128" s="1" t="n">
        <v>45803</v>
      </c>
      <c r="D128" t="inlineStr">
        <is>
          <t>NORRBOTTENS LÄN</t>
        </is>
      </c>
      <c r="E128" t="inlineStr">
        <is>
          <t>BODEN</t>
        </is>
      </c>
      <c r="F128" t="inlineStr">
        <is>
          <t>Sveaskog</t>
        </is>
      </c>
      <c r="G128" t="n">
        <v>19.1</v>
      </c>
      <c r="H128" t="n">
        <v>1</v>
      </c>
      <c r="I128" t="n">
        <v>0</v>
      </c>
      <c r="J128" t="n">
        <v>1</v>
      </c>
      <c r="K128" t="n">
        <v>0</v>
      </c>
      <c r="L128" t="n">
        <v>0</v>
      </c>
      <c r="M128" t="n">
        <v>0</v>
      </c>
      <c r="N128" t="n">
        <v>0</v>
      </c>
      <c r="O128" t="n">
        <v>1</v>
      </c>
      <c r="P128" t="n">
        <v>0</v>
      </c>
      <c r="Q128" t="n">
        <v>1</v>
      </c>
      <c r="R128" s="2" t="inlineStr">
        <is>
          <t>Talltita</t>
        </is>
      </c>
      <c r="S128">
        <f>HYPERLINK("https://klasma.github.io/Logging_2582/artfynd/A 26966-2023 artfynd.xlsx", "A 26966-2023")</f>
        <v/>
      </c>
      <c r="T128">
        <f>HYPERLINK("https://klasma.github.io/Logging_2582/kartor/A 26966-2023 karta.png", "A 26966-2023")</f>
        <v/>
      </c>
      <c r="V128">
        <f>HYPERLINK("https://klasma.github.io/Logging_2582/klagomål/A 26966-2023 FSC-klagomål.docx", "A 26966-2023")</f>
        <v/>
      </c>
      <c r="W128">
        <f>HYPERLINK("https://klasma.github.io/Logging_2582/klagomålsmail/A 26966-2023 FSC-klagomål mail.docx", "A 26966-2023")</f>
        <v/>
      </c>
      <c r="X128">
        <f>HYPERLINK("https://klasma.github.io/Logging_2582/tillsyn/A 26966-2023 tillsynsbegäran.docx", "A 26966-2023")</f>
        <v/>
      </c>
      <c r="Y128">
        <f>HYPERLINK("https://klasma.github.io/Logging_2582/tillsynsmail/A 26966-2023 tillsynsbegäran mail.docx", "A 26966-2023")</f>
        <v/>
      </c>
      <c r="Z128">
        <f>HYPERLINK("https://klasma.github.io/Logging_2582/fåglar/A 26966-2023 prioriterade fågelarter.docx", "A 26966-2023")</f>
        <v/>
      </c>
    </row>
    <row r="129" ht="15" customHeight="1">
      <c r="A129" t="inlineStr">
        <is>
          <t>A 27804-2023</t>
        </is>
      </c>
      <c r="B129" s="1" t="n">
        <v>45098</v>
      </c>
      <c r="C129" s="1" t="n">
        <v>45803</v>
      </c>
      <c r="D129" t="inlineStr">
        <is>
          <t>NORRBOTTENS LÄN</t>
        </is>
      </c>
      <c r="E129" t="inlineStr">
        <is>
          <t>BODEN</t>
        </is>
      </c>
      <c r="F129" t="inlineStr">
        <is>
          <t>Sveaskog</t>
        </is>
      </c>
      <c r="G129" t="n">
        <v>21</v>
      </c>
      <c r="H129" t="n">
        <v>1</v>
      </c>
      <c r="I129" t="n">
        <v>0</v>
      </c>
      <c r="J129" t="n">
        <v>0</v>
      </c>
      <c r="K129" t="n">
        <v>1</v>
      </c>
      <c r="L129" t="n">
        <v>0</v>
      </c>
      <c r="M129" t="n">
        <v>0</v>
      </c>
      <c r="N129" t="n">
        <v>0</v>
      </c>
      <c r="O129" t="n">
        <v>1</v>
      </c>
      <c r="P129" t="n">
        <v>1</v>
      </c>
      <c r="Q129" t="n">
        <v>1</v>
      </c>
      <c r="R129" s="2" t="inlineStr">
        <is>
          <t>Doftticka</t>
        </is>
      </c>
      <c r="S129">
        <f>HYPERLINK("https://klasma.github.io/Logging_2582/artfynd/A 27804-2023 artfynd.xlsx", "A 27804-2023")</f>
        <v/>
      </c>
      <c r="T129">
        <f>HYPERLINK("https://klasma.github.io/Logging_2582/kartor/A 27804-2023 karta.png", "A 27804-2023")</f>
        <v/>
      </c>
      <c r="V129">
        <f>HYPERLINK("https://klasma.github.io/Logging_2582/klagomål/A 27804-2023 FSC-klagomål.docx", "A 27804-2023")</f>
        <v/>
      </c>
      <c r="W129">
        <f>HYPERLINK("https://klasma.github.io/Logging_2582/klagomålsmail/A 27804-2023 FSC-klagomål mail.docx", "A 27804-2023")</f>
        <v/>
      </c>
      <c r="X129">
        <f>HYPERLINK("https://klasma.github.io/Logging_2582/tillsyn/A 27804-2023 tillsynsbegäran.docx", "A 27804-2023")</f>
        <v/>
      </c>
      <c r="Y129">
        <f>HYPERLINK("https://klasma.github.io/Logging_2582/tillsynsmail/A 27804-2023 tillsynsbegäran mail.docx", "A 27804-2023")</f>
        <v/>
      </c>
    </row>
    <row r="130" ht="15" customHeight="1">
      <c r="A130" t="inlineStr">
        <is>
          <t>A 28772-2023</t>
        </is>
      </c>
      <c r="B130" s="1" t="n">
        <v>45104</v>
      </c>
      <c r="C130" s="1" t="n">
        <v>45803</v>
      </c>
      <c r="D130" t="inlineStr">
        <is>
          <t>NORRBOTTENS LÄN</t>
        </is>
      </c>
      <c r="E130" t="inlineStr">
        <is>
          <t>BODEN</t>
        </is>
      </c>
      <c r="F130" t="inlineStr">
        <is>
          <t>Sveaskog</t>
        </is>
      </c>
      <c r="G130" t="n">
        <v>9</v>
      </c>
      <c r="H130" t="n">
        <v>0</v>
      </c>
      <c r="I130" t="n">
        <v>1</v>
      </c>
      <c r="J130" t="n">
        <v>0</v>
      </c>
      <c r="K130" t="n">
        <v>0</v>
      </c>
      <c r="L130" t="n">
        <v>0</v>
      </c>
      <c r="M130" t="n">
        <v>0</v>
      </c>
      <c r="N130" t="n">
        <v>0</v>
      </c>
      <c r="O130" t="n">
        <v>0</v>
      </c>
      <c r="P130" t="n">
        <v>0</v>
      </c>
      <c r="Q130" t="n">
        <v>1</v>
      </c>
      <c r="R130" s="2" t="inlineStr">
        <is>
          <t>Bollvitmossa</t>
        </is>
      </c>
      <c r="S130">
        <f>HYPERLINK("https://klasma.github.io/Logging_2582/artfynd/A 28772-2023 artfynd.xlsx", "A 28772-2023")</f>
        <v/>
      </c>
      <c r="T130">
        <f>HYPERLINK("https://klasma.github.io/Logging_2582/kartor/A 28772-2023 karta.png", "A 28772-2023")</f>
        <v/>
      </c>
      <c r="V130">
        <f>HYPERLINK("https://klasma.github.io/Logging_2582/klagomål/A 28772-2023 FSC-klagomål.docx", "A 28772-2023")</f>
        <v/>
      </c>
      <c r="W130">
        <f>HYPERLINK("https://klasma.github.io/Logging_2582/klagomålsmail/A 28772-2023 FSC-klagomål mail.docx", "A 28772-2023")</f>
        <v/>
      </c>
      <c r="X130">
        <f>HYPERLINK("https://klasma.github.io/Logging_2582/tillsyn/A 28772-2023 tillsynsbegäran.docx", "A 28772-2023")</f>
        <v/>
      </c>
      <c r="Y130">
        <f>HYPERLINK("https://klasma.github.io/Logging_2582/tillsynsmail/A 28772-2023 tillsynsbegäran mail.docx", "A 28772-2023")</f>
        <v/>
      </c>
    </row>
    <row r="131" ht="15" customHeight="1">
      <c r="A131" t="inlineStr">
        <is>
          <t>A 39450-2023</t>
        </is>
      </c>
      <c r="B131" s="1" t="n">
        <v>45166</v>
      </c>
      <c r="C131" s="1" t="n">
        <v>45803</v>
      </c>
      <c r="D131" t="inlineStr">
        <is>
          <t>NORRBOTTENS LÄN</t>
        </is>
      </c>
      <c r="E131" t="inlineStr">
        <is>
          <t>BODEN</t>
        </is>
      </c>
      <c r="F131" t="inlineStr">
        <is>
          <t>Sveaskog</t>
        </is>
      </c>
      <c r="G131" t="n">
        <v>14.6</v>
      </c>
      <c r="H131" t="n">
        <v>0</v>
      </c>
      <c r="I131" t="n">
        <v>0</v>
      </c>
      <c r="J131" t="n">
        <v>1</v>
      </c>
      <c r="K131" t="n">
        <v>0</v>
      </c>
      <c r="L131" t="n">
        <v>0</v>
      </c>
      <c r="M131" t="n">
        <v>0</v>
      </c>
      <c r="N131" t="n">
        <v>0</v>
      </c>
      <c r="O131" t="n">
        <v>1</v>
      </c>
      <c r="P131" t="n">
        <v>0</v>
      </c>
      <c r="Q131" t="n">
        <v>1</v>
      </c>
      <c r="R131" s="2" t="inlineStr">
        <is>
          <t>Kolflarnlav</t>
        </is>
      </c>
      <c r="S131">
        <f>HYPERLINK("https://klasma.github.io/Logging_2582/artfynd/A 39450-2023 artfynd.xlsx", "A 39450-2023")</f>
        <v/>
      </c>
      <c r="T131">
        <f>HYPERLINK("https://klasma.github.io/Logging_2582/kartor/A 39450-2023 karta.png", "A 39450-2023")</f>
        <v/>
      </c>
      <c r="V131">
        <f>HYPERLINK("https://klasma.github.io/Logging_2582/klagomål/A 39450-2023 FSC-klagomål.docx", "A 39450-2023")</f>
        <v/>
      </c>
      <c r="W131">
        <f>HYPERLINK("https://klasma.github.io/Logging_2582/klagomålsmail/A 39450-2023 FSC-klagomål mail.docx", "A 39450-2023")</f>
        <v/>
      </c>
      <c r="X131">
        <f>HYPERLINK("https://klasma.github.io/Logging_2582/tillsyn/A 39450-2023 tillsynsbegäran.docx", "A 39450-2023")</f>
        <v/>
      </c>
      <c r="Y131">
        <f>HYPERLINK("https://klasma.github.io/Logging_2582/tillsynsmail/A 39450-2023 tillsynsbegäran mail.docx", "A 39450-2023")</f>
        <v/>
      </c>
    </row>
    <row r="132" ht="15" customHeight="1">
      <c r="A132" t="inlineStr">
        <is>
          <t>A 48418-2023</t>
        </is>
      </c>
      <c r="B132" s="1" t="n">
        <v>45205</v>
      </c>
      <c r="C132" s="1" t="n">
        <v>45803</v>
      </c>
      <c r="D132" t="inlineStr">
        <is>
          <t>NORRBOTTENS LÄN</t>
        </is>
      </c>
      <c r="E132" t="inlineStr">
        <is>
          <t>BODEN</t>
        </is>
      </c>
      <c r="F132" t="inlineStr">
        <is>
          <t>SCA</t>
        </is>
      </c>
      <c r="G132" t="n">
        <v>3.6</v>
      </c>
      <c r="H132" t="n">
        <v>1</v>
      </c>
      <c r="I132" t="n">
        <v>0</v>
      </c>
      <c r="J132" t="n">
        <v>1</v>
      </c>
      <c r="K132" t="n">
        <v>0</v>
      </c>
      <c r="L132" t="n">
        <v>0</v>
      </c>
      <c r="M132" t="n">
        <v>0</v>
      </c>
      <c r="N132" t="n">
        <v>0</v>
      </c>
      <c r="O132" t="n">
        <v>1</v>
      </c>
      <c r="P132" t="n">
        <v>0</v>
      </c>
      <c r="Q132" t="n">
        <v>1</v>
      </c>
      <c r="R132" s="2" t="inlineStr">
        <is>
          <t>Duvhök</t>
        </is>
      </c>
      <c r="S132">
        <f>HYPERLINK("https://klasma.github.io/Logging_2582/artfynd/A 48418-2023 artfynd.xlsx", "A 48418-2023")</f>
        <v/>
      </c>
      <c r="T132">
        <f>HYPERLINK("https://klasma.github.io/Logging_2582/kartor/A 48418-2023 karta.png", "A 48418-2023")</f>
        <v/>
      </c>
      <c r="V132">
        <f>HYPERLINK("https://klasma.github.io/Logging_2582/klagomål/A 48418-2023 FSC-klagomål.docx", "A 48418-2023")</f>
        <v/>
      </c>
      <c r="W132">
        <f>HYPERLINK("https://klasma.github.io/Logging_2582/klagomålsmail/A 48418-2023 FSC-klagomål mail.docx", "A 48418-2023")</f>
        <v/>
      </c>
      <c r="X132">
        <f>HYPERLINK("https://klasma.github.io/Logging_2582/tillsyn/A 48418-2023 tillsynsbegäran.docx", "A 48418-2023")</f>
        <v/>
      </c>
      <c r="Y132">
        <f>HYPERLINK("https://klasma.github.io/Logging_2582/tillsynsmail/A 48418-2023 tillsynsbegäran mail.docx", "A 48418-2023")</f>
        <v/>
      </c>
      <c r="Z132">
        <f>HYPERLINK("https://klasma.github.io/Logging_2582/fåglar/A 48418-2023 prioriterade fågelarter.docx", "A 48418-2023")</f>
        <v/>
      </c>
    </row>
    <row r="133" ht="15" customHeight="1">
      <c r="A133" t="inlineStr">
        <is>
          <t>A 52394-2023</t>
        </is>
      </c>
      <c r="B133" s="1" t="n">
        <v>45224</v>
      </c>
      <c r="C133" s="1" t="n">
        <v>45803</v>
      </c>
      <c r="D133" t="inlineStr">
        <is>
          <t>NORRBOTTENS LÄN</t>
        </is>
      </c>
      <c r="E133" t="inlineStr">
        <is>
          <t>BODEN</t>
        </is>
      </c>
      <c r="F133" t="inlineStr">
        <is>
          <t>SCA</t>
        </is>
      </c>
      <c r="G133" t="n">
        <v>6.3</v>
      </c>
      <c r="H133" t="n">
        <v>0</v>
      </c>
      <c r="I133" t="n">
        <v>0</v>
      </c>
      <c r="J133" t="n">
        <v>1</v>
      </c>
      <c r="K133" t="n">
        <v>0</v>
      </c>
      <c r="L133" t="n">
        <v>0</v>
      </c>
      <c r="M133" t="n">
        <v>0</v>
      </c>
      <c r="N133" t="n">
        <v>0</v>
      </c>
      <c r="O133" t="n">
        <v>1</v>
      </c>
      <c r="P133" t="n">
        <v>0</v>
      </c>
      <c r="Q133" t="n">
        <v>1</v>
      </c>
      <c r="R133" s="2" t="inlineStr">
        <is>
          <t>Koralltaggsvamp</t>
        </is>
      </c>
      <c r="S133">
        <f>HYPERLINK("https://klasma.github.io/Logging_2582/artfynd/A 52394-2023 artfynd.xlsx", "A 52394-2023")</f>
        <v/>
      </c>
      <c r="T133">
        <f>HYPERLINK("https://klasma.github.io/Logging_2582/kartor/A 52394-2023 karta.png", "A 52394-2023")</f>
        <v/>
      </c>
      <c r="V133">
        <f>HYPERLINK("https://klasma.github.io/Logging_2582/klagomål/A 52394-2023 FSC-klagomål.docx", "A 52394-2023")</f>
        <v/>
      </c>
      <c r="W133">
        <f>HYPERLINK("https://klasma.github.io/Logging_2582/klagomålsmail/A 52394-2023 FSC-klagomål mail.docx", "A 52394-2023")</f>
        <v/>
      </c>
      <c r="X133">
        <f>HYPERLINK("https://klasma.github.io/Logging_2582/tillsyn/A 52394-2023 tillsynsbegäran.docx", "A 52394-2023")</f>
        <v/>
      </c>
      <c r="Y133">
        <f>HYPERLINK("https://klasma.github.io/Logging_2582/tillsynsmail/A 52394-2023 tillsynsbegäran mail.docx", "A 52394-2023")</f>
        <v/>
      </c>
    </row>
    <row r="134" ht="15" customHeight="1">
      <c r="A134" t="inlineStr">
        <is>
          <t>A 2568-2024</t>
        </is>
      </c>
      <c r="B134" s="1" t="n">
        <v>45313</v>
      </c>
      <c r="C134" s="1" t="n">
        <v>45803</v>
      </c>
      <c r="D134" t="inlineStr">
        <is>
          <t>NORRBOTTENS LÄN</t>
        </is>
      </c>
      <c r="E134" t="inlineStr">
        <is>
          <t>BODEN</t>
        </is>
      </c>
      <c r="G134" t="n">
        <v>1.6</v>
      </c>
      <c r="H134" t="n">
        <v>0</v>
      </c>
      <c r="I134" t="n">
        <v>0</v>
      </c>
      <c r="J134" t="n">
        <v>1</v>
      </c>
      <c r="K134" t="n">
        <v>0</v>
      </c>
      <c r="L134" t="n">
        <v>0</v>
      </c>
      <c r="M134" t="n">
        <v>0</v>
      </c>
      <c r="N134" t="n">
        <v>0</v>
      </c>
      <c r="O134" t="n">
        <v>1</v>
      </c>
      <c r="P134" t="n">
        <v>0</v>
      </c>
      <c r="Q134" t="n">
        <v>1</v>
      </c>
      <c r="R134" s="2" t="inlineStr">
        <is>
          <t>Blå taggsvamp</t>
        </is>
      </c>
      <c r="S134">
        <f>HYPERLINK("https://klasma.github.io/Logging_2582/artfynd/A 2568-2024 artfynd.xlsx", "A 2568-2024")</f>
        <v/>
      </c>
      <c r="T134">
        <f>HYPERLINK("https://klasma.github.io/Logging_2582/kartor/A 2568-2024 karta.png", "A 2568-2024")</f>
        <v/>
      </c>
      <c r="V134">
        <f>HYPERLINK("https://klasma.github.io/Logging_2582/klagomål/A 2568-2024 FSC-klagomål.docx", "A 2568-2024")</f>
        <v/>
      </c>
      <c r="W134">
        <f>HYPERLINK("https://klasma.github.io/Logging_2582/klagomålsmail/A 2568-2024 FSC-klagomål mail.docx", "A 2568-2024")</f>
        <v/>
      </c>
      <c r="X134">
        <f>HYPERLINK("https://klasma.github.io/Logging_2582/tillsyn/A 2568-2024 tillsynsbegäran.docx", "A 2568-2024")</f>
        <v/>
      </c>
      <c r="Y134">
        <f>HYPERLINK("https://klasma.github.io/Logging_2582/tillsynsmail/A 2568-2024 tillsynsbegäran mail.docx", "A 2568-2024")</f>
        <v/>
      </c>
    </row>
    <row r="135" ht="15" customHeight="1">
      <c r="A135" t="inlineStr">
        <is>
          <t>A 11555-2024</t>
        </is>
      </c>
      <c r="B135" s="1" t="n">
        <v>45373</v>
      </c>
      <c r="C135" s="1" t="n">
        <v>45803</v>
      </c>
      <c r="D135" t="inlineStr">
        <is>
          <t>NORRBOTTENS LÄN</t>
        </is>
      </c>
      <c r="E135" t="inlineStr">
        <is>
          <t>BODEN</t>
        </is>
      </c>
      <c r="F135" t="inlineStr">
        <is>
          <t>SCA</t>
        </is>
      </c>
      <c r="G135" t="n">
        <v>1.6</v>
      </c>
      <c r="H135" t="n">
        <v>1</v>
      </c>
      <c r="I135" t="n">
        <v>0</v>
      </c>
      <c r="J135" t="n">
        <v>0</v>
      </c>
      <c r="K135" t="n">
        <v>0</v>
      </c>
      <c r="L135" t="n">
        <v>0</v>
      </c>
      <c r="M135" t="n">
        <v>0</v>
      </c>
      <c r="N135" t="n">
        <v>0</v>
      </c>
      <c r="O135" t="n">
        <v>0</v>
      </c>
      <c r="P135" t="n">
        <v>0</v>
      </c>
      <c r="Q135" t="n">
        <v>1</v>
      </c>
      <c r="R135" s="2" t="inlineStr">
        <is>
          <t>Grön flodtrollslända</t>
        </is>
      </c>
      <c r="S135">
        <f>HYPERLINK("https://klasma.github.io/Logging_2582/artfynd/A 11555-2024 artfynd.xlsx", "A 11555-2024")</f>
        <v/>
      </c>
      <c r="T135">
        <f>HYPERLINK("https://klasma.github.io/Logging_2582/kartor/A 11555-2024 karta.png", "A 11555-2024")</f>
        <v/>
      </c>
      <c r="V135">
        <f>HYPERLINK("https://klasma.github.io/Logging_2582/klagomål/A 11555-2024 FSC-klagomål.docx", "A 11555-2024")</f>
        <v/>
      </c>
      <c r="W135">
        <f>HYPERLINK("https://klasma.github.io/Logging_2582/klagomålsmail/A 11555-2024 FSC-klagomål mail.docx", "A 11555-2024")</f>
        <v/>
      </c>
      <c r="X135">
        <f>HYPERLINK("https://klasma.github.io/Logging_2582/tillsyn/A 11555-2024 tillsynsbegäran.docx", "A 11555-2024")</f>
        <v/>
      </c>
      <c r="Y135">
        <f>HYPERLINK("https://klasma.github.io/Logging_2582/tillsynsmail/A 11555-2024 tillsynsbegäran mail.docx", "A 11555-2024")</f>
        <v/>
      </c>
    </row>
    <row r="136" ht="15" customHeight="1">
      <c r="A136" t="inlineStr">
        <is>
          <t>A 16217-2024</t>
        </is>
      </c>
      <c r="B136" s="1" t="n">
        <v>45407</v>
      </c>
      <c r="C136" s="1" t="n">
        <v>45803</v>
      </c>
      <c r="D136" t="inlineStr">
        <is>
          <t>NORRBOTTENS LÄN</t>
        </is>
      </c>
      <c r="E136" t="inlineStr">
        <is>
          <t>BODEN</t>
        </is>
      </c>
      <c r="G136" t="n">
        <v>7.2</v>
      </c>
      <c r="H136" t="n">
        <v>1</v>
      </c>
      <c r="I136" t="n">
        <v>0</v>
      </c>
      <c r="J136" t="n">
        <v>1</v>
      </c>
      <c r="K136" t="n">
        <v>0</v>
      </c>
      <c r="L136" t="n">
        <v>0</v>
      </c>
      <c r="M136" t="n">
        <v>0</v>
      </c>
      <c r="N136" t="n">
        <v>0</v>
      </c>
      <c r="O136" t="n">
        <v>1</v>
      </c>
      <c r="P136" t="n">
        <v>0</v>
      </c>
      <c r="Q136" t="n">
        <v>1</v>
      </c>
      <c r="R136" s="2" t="inlineStr">
        <is>
          <t>Videsparv</t>
        </is>
      </c>
      <c r="S136">
        <f>HYPERLINK("https://klasma.github.io/Logging_2582/artfynd/A 16217-2024 artfynd.xlsx", "A 16217-2024")</f>
        <v/>
      </c>
      <c r="T136">
        <f>HYPERLINK("https://klasma.github.io/Logging_2582/kartor/A 16217-2024 karta.png", "A 16217-2024")</f>
        <v/>
      </c>
      <c r="V136">
        <f>HYPERLINK("https://klasma.github.io/Logging_2582/klagomål/A 16217-2024 FSC-klagomål.docx", "A 16217-2024")</f>
        <v/>
      </c>
      <c r="W136">
        <f>HYPERLINK("https://klasma.github.io/Logging_2582/klagomålsmail/A 16217-2024 FSC-klagomål mail.docx", "A 16217-2024")</f>
        <v/>
      </c>
      <c r="X136">
        <f>HYPERLINK("https://klasma.github.io/Logging_2582/tillsyn/A 16217-2024 tillsynsbegäran.docx", "A 16217-2024")</f>
        <v/>
      </c>
      <c r="Y136">
        <f>HYPERLINK("https://klasma.github.io/Logging_2582/tillsynsmail/A 16217-2024 tillsynsbegäran mail.docx", "A 16217-2024")</f>
        <v/>
      </c>
      <c r="Z136">
        <f>HYPERLINK("https://klasma.github.io/Logging_2582/fåglar/A 16217-2024 prioriterade fågelarter.docx", "A 16217-2024")</f>
        <v/>
      </c>
    </row>
    <row r="137" ht="15" customHeight="1">
      <c r="A137" t="inlineStr">
        <is>
          <t>A 21400-2024</t>
        </is>
      </c>
      <c r="B137" s="1" t="n">
        <v>45441</v>
      </c>
      <c r="C137" s="1" t="n">
        <v>45803</v>
      </c>
      <c r="D137" t="inlineStr">
        <is>
          <t>NORRBOTTENS LÄN</t>
        </is>
      </c>
      <c r="E137" t="inlineStr">
        <is>
          <t>BODEN</t>
        </is>
      </c>
      <c r="F137" t="inlineStr">
        <is>
          <t>Sveaskog</t>
        </is>
      </c>
      <c r="G137" t="n">
        <v>13.6</v>
      </c>
      <c r="H137" t="n">
        <v>0</v>
      </c>
      <c r="I137" t="n">
        <v>0</v>
      </c>
      <c r="J137" t="n">
        <v>1</v>
      </c>
      <c r="K137" t="n">
        <v>0</v>
      </c>
      <c r="L137" t="n">
        <v>0</v>
      </c>
      <c r="M137" t="n">
        <v>0</v>
      </c>
      <c r="N137" t="n">
        <v>0</v>
      </c>
      <c r="O137" t="n">
        <v>1</v>
      </c>
      <c r="P137" t="n">
        <v>0</v>
      </c>
      <c r="Q137" t="n">
        <v>1</v>
      </c>
      <c r="R137" s="2" t="inlineStr">
        <is>
          <t>Lunglav</t>
        </is>
      </c>
      <c r="S137">
        <f>HYPERLINK("https://klasma.github.io/Logging_2582/artfynd/A 21400-2024 artfynd.xlsx", "A 21400-2024")</f>
        <v/>
      </c>
      <c r="T137">
        <f>HYPERLINK("https://klasma.github.io/Logging_2582/kartor/A 21400-2024 karta.png", "A 21400-2024")</f>
        <v/>
      </c>
      <c r="V137">
        <f>HYPERLINK("https://klasma.github.io/Logging_2582/klagomål/A 21400-2024 FSC-klagomål.docx", "A 21400-2024")</f>
        <v/>
      </c>
      <c r="W137">
        <f>HYPERLINK("https://klasma.github.io/Logging_2582/klagomålsmail/A 21400-2024 FSC-klagomål mail.docx", "A 21400-2024")</f>
        <v/>
      </c>
      <c r="X137">
        <f>HYPERLINK("https://klasma.github.io/Logging_2582/tillsyn/A 21400-2024 tillsynsbegäran.docx", "A 21400-2024")</f>
        <v/>
      </c>
      <c r="Y137">
        <f>HYPERLINK("https://klasma.github.io/Logging_2582/tillsynsmail/A 21400-2024 tillsynsbegäran mail.docx", "A 21400-2024")</f>
        <v/>
      </c>
    </row>
    <row r="138" ht="15" customHeight="1">
      <c r="A138" t="inlineStr">
        <is>
          <t>A 21907-2024</t>
        </is>
      </c>
      <c r="B138" s="1" t="n">
        <v>45443</v>
      </c>
      <c r="C138" s="1" t="n">
        <v>45803</v>
      </c>
      <c r="D138" t="inlineStr">
        <is>
          <t>NORRBOTTENS LÄN</t>
        </is>
      </c>
      <c r="E138" t="inlineStr">
        <is>
          <t>BODEN</t>
        </is>
      </c>
      <c r="F138" t="inlineStr">
        <is>
          <t>Sveaskog</t>
        </is>
      </c>
      <c r="G138" t="n">
        <v>6</v>
      </c>
      <c r="H138" t="n">
        <v>0</v>
      </c>
      <c r="I138" t="n">
        <v>0</v>
      </c>
      <c r="J138" t="n">
        <v>1</v>
      </c>
      <c r="K138" t="n">
        <v>0</v>
      </c>
      <c r="L138" t="n">
        <v>0</v>
      </c>
      <c r="M138" t="n">
        <v>0</v>
      </c>
      <c r="N138" t="n">
        <v>0</v>
      </c>
      <c r="O138" t="n">
        <v>1</v>
      </c>
      <c r="P138" t="n">
        <v>0</v>
      </c>
      <c r="Q138" t="n">
        <v>1</v>
      </c>
      <c r="R138" s="2" t="inlineStr">
        <is>
          <t>Orange taggsvamp</t>
        </is>
      </c>
      <c r="S138">
        <f>HYPERLINK("https://klasma.github.io/Logging_2582/artfynd/A 21907-2024 artfynd.xlsx", "A 21907-2024")</f>
        <v/>
      </c>
      <c r="T138">
        <f>HYPERLINK("https://klasma.github.io/Logging_2582/kartor/A 21907-2024 karta.png", "A 21907-2024")</f>
        <v/>
      </c>
      <c r="V138">
        <f>HYPERLINK("https://klasma.github.io/Logging_2582/klagomål/A 21907-2024 FSC-klagomål.docx", "A 21907-2024")</f>
        <v/>
      </c>
      <c r="W138">
        <f>HYPERLINK("https://klasma.github.io/Logging_2582/klagomålsmail/A 21907-2024 FSC-klagomål mail.docx", "A 21907-2024")</f>
        <v/>
      </c>
      <c r="X138">
        <f>HYPERLINK("https://klasma.github.io/Logging_2582/tillsyn/A 21907-2024 tillsynsbegäran.docx", "A 21907-2024")</f>
        <v/>
      </c>
      <c r="Y138">
        <f>HYPERLINK("https://klasma.github.io/Logging_2582/tillsynsmail/A 21907-2024 tillsynsbegäran mail.docx", "A 21907-2024")</f>
        <v/>
      </c>
    </row>
    <row r="139" ht="15" customHeight="1">
      <c r="A139" t="inlineStr">
        <is>
          <t>A 22264-2024</t>
        </is>
      </c>
      <c r="B139" s="1" t="n">
        <v>45446</v>
      </c>
      <c r="C139" s="1" t="n">
        <v>45803</v>
      </c>
      <c r="D139" t="inlineStr">
        <is>
          <t>NORRBOTTENS LÄN</t>
        </is>
      </c>
      <c r="E139" t="inlineStr">
        <is>
          <t>BODEN</t>
        </is>
      </c>
      <c r="F139" t="inlineStr">
        <is>
          <t>Sveaskog</t>
        </is>
      </c>
      <c r="G139" t="n">
        <v>16.7</v>
      </c>
      <c r="H139" t="n">
        <v>0</v>
      </c>
      <c r="I139" t="n">
        <v>1</v>
      </c>
      <c r="J139" t="n">
        <v>0</v>
      </c>
      <c r="K139" t="n">
        <v>0</v>
      </c>
      <c r="L139" t="n">
        <v>0</v>
      </c>
      <c r="M139" t="n">
        <v>0</v>
      </c>
      <c r="N139" t="n">
        <v>0</v>
      </c>
      <c r="O139" t="n">
        <v>0</v>
      </c>
      <c r="P139" t="n">
        <v>0</v>
      </c>
      <c r="Q139" t="n">
        <v>1</v>
      </c>
      <c r="R139" s="2" t="inlineStr">
        <is>
          <t>Tibast</t>
        </is>
      </c>
      <c r="S139">
        <f>HYPERLINK("https://klasma.github.io/Logging_2582/artfynd/A 22264-2024 artfynd.xlsx", "A 22264-2024")</f>
        <v/>
      </c>
      <c r="T139">
        <f>HYPERLINK("https://klasma.github.io/Logging_2582/kartor/A 22264-2024 karta.png", "A 22264-2024")</f>
        <v/>
      </c>
      <c r="V139">
        <f>HYPERLINK("https://klasma.github.io/Logging_2582/klagomål/A 22264-2024 FSC-klagomål.docx", "A 22264-2024")</f>
        <v/>
      </c>
      <c r="W139">
        <f>HYPERLINK("https://klasma.github.io/Logging_2582/klagomålsmail/A 22264-2024 FSC-klagomål mail.docx", "A 22264-2024")</f>
        <v/>
      </c>
      <c r="X139">
        <f>HYPERLINK("https://klasma.github.io/Logging_2582/tillsyn/A 22264-2024 tillsynsbegäran.docx", "A 22264-2024")</f>
        <v/>
      </c>
      <c r="Y139">
        <f>HYPERLINK("https://klasma.github.io/Logging_2582/tillsynsmail/A 22264-2024 tillsynsbegäran mail.docx", "A 22264-2024")</f>
        <v/>
      </c>
    </row>
    <row r="140" ht="15" customHeight="1">
      <c r="A140" t="inlineStr">
        <is>
          <t>A 22865-2024</t>
        </is>
      </c>
      <c r="B140" s="1" t="n">
        <v>45448</v>
      </c>
      <c r="C140" s="1" t="n">
        <v>45803</v>
      </c>
      <c r="D140" t="inlineStr">
        <is>
          <t>NORRBOTTENS LÄN</t>
        </is>
      </c>
      <c r="E140" t="inlineStr">
        <is>
          <t>BODEN</t>
        </is>
      </c>
      <c r="F140" t="inlineStr">
        <is>
          <t>Sveaskog</t>
        </is>
      </c>
      <c r="G140" t="n">
        <v>7.2</v>
      </c>
      <c r="H140" t="n">
        <v>0</v>
      </c>
      <c r="I140" t="n">
        <v>0</v>
      </c>
      <c r="J140" t="n">
        <v>1</v>
      </c>
      <c r="K140" t="n">
        <v>0</v>
      </c>
      <c r="L140" t="n">
        <v>0</v>
      </c>
      <c r="M140" t="n">
        <v>0</v>
      </c>
      <c r="N140" t="n">
        <v>0</v>
      </c>
      <c r="O140" t="n">
        <v>1</v>
      </c>
      <c r="P140" t="n">
        <v>0</v>
      </c>
      <c r="Q140" t="n">
        <v>1</v>
      </c>
      <c r="R140" s="2" t="inlineStr">
        <is>
          <t>Lunglav</t>
        </is>
      </c>
      <c r="S140">
        <f>HYPERLINK("https://klasma.github.io/Logging_2582/artfynd/A 22865-2024 artfynd.xlsx", "A 22865-2024")</f>
        <v/>
      </c>
      <c r="T140">
        <f>HYPERLINK("https://klasma.github.io/Logging_2582/kartor/A 22865-2024 karta.png", "A 22865-2024")</f>
        <v/>
      </c>
      <c r="V140">
        <f>HYPERLINK("https://klasma.github.io/Logging_2582/klagomål/A 22865-2024 FSC-klagomål.docx", "A 22865-2024")</f>
        <v/>
      </c>
      <c r="W140">
        <f>HYPERLINK("https://klasma.github.io/Logging_2582/klagomålsmail/A 22865-2024 FSC-klagomål mail.docx", "A 22865-2024")</f>
        <v/>
      </c>
      <c r="X140">
        <f>HYPERLINK("https://klasma.github.io/Logging_2582/tillsyn/A 22865-2024 tillsynsbegäran.docx", "A 22865-2024")</f>
        <v/>
      </c>
      <c r="Y140">
        <f>HYPERLINK("https://klasma.github.io/Logging_2582/tillsynsmail/A 22865-2024 tillsynsbegäran mail.docx", "A 22865-2024")</f>
        <v/>
      </c>
    </row>
    <row r="141" ht="15" customHeight="1">
      <c r="A141" t="inlineStr">
        <is>
          <t>A 23096-2024</t>
        </is>
      </c>
      <c r="B141" s="1" t="n">
        <v>45450</v>
      </c>
      <c r="C141" s="1" t="n">
        <v>45803</v>
      </c>
      <c r="D141" t="inlineStr">
        <is>
          <t>NORRBOTTENS LÄN</t>
        </is>
      </c>
      <c r="E141" t="inlineStr">
        <is>
          <t>BODEN</t>
        </is>
      </c>
      <c r="F141" t="inlineStr">
        <is>
          <t>Sveaskog</t>
        </is>
      </c>
      <c r="G141" t="n">
        <v>13.5</v>
      </c>
      <c r="H141" t="n">
        <v>0</v>
      </c>
      <c r="I141" t="n">
        <v>0</v>
      </c>
      <c r="J141" t="n">
        <v>1</v>
      </c>
      <c r="K141" t="n">
        <v>0</v>
      </c>
      <c r="L141" t="n">
        <v>0</v>
      </c>
      <c r="M141" t="n">
        <v>0</v>
      </c>
      <c r="N141" t="n">
        <v>0</v>
      </c>
      <c r="O141" t="n">
        <v>1</v>
      </c>
      <c r="P141" t="n">
        <v>0</v>
      </c>
      <c r="Q141" t="n">
        <v>1</v>
      </c>
      <c r="R141" s="2" t="inlineStr">
        <is>
          <t>Lunglav</t>
        </is>
      </c>
      <c r="S141">
        <f>HYPERLINK("https://klasma.github.io/Logging_2582/artfynd/A 23096-2024 artfynd.xlsx", "A 23096-2024")</f>
        <v/>
      </c>
      <c r="T141">
        <f>HYPERLINK("https://klasma.github.io/Logging_2582/kartor/A 23096-2024 karta.png", "A 23096-2024")</f>
        <v/>
      </c>
      <c r="V141">
        <f>HYPERLINK("https://klasma.github.io/Logging_2582/klagomål/A 23096-2024 FSC-klagomål.docx", "A 23096-2024")</f>
        <v/>
      </c>
      <c r="W141">
        <f>HYPERLINK("https://klasma.github.io/Logging_2582/klagomålsmail/A 23096-2024 FSC-klagomål mail.docx", "A 23096-2024")</f>
        <v/>
      </c>
      <c r="X141">
        <f>HYPERLINK("https://klasma.github.io/Logging_2582/tillsyn/A 23096-2024 tillsynsbegäran.docx", "A 23096-2024")</f>
        <v/>
      </c>
      <c r="Y141">
        <f>HYPERLINK("https://klasma.github.io/Logging_2582/tillsynsmail/A 23096-2024 tillsynsbegäran mail.docx", "A 23096-2024")</f>
        <v/>
      </c>
    </row>
    <row r="142" ht="15" customHeight="1">
      <c r="A142" t="inlineStr">
        <is>
          <t>A 25609-2024</t>
        </is>
      </c>
      <c r="B142" s="1" t="n">
        <v>45463</v>
      </c>
      <c r="C142" s="1" t="n">
        <v>45803</v>
      </c>
      <c r="D142" t="inlineStr">
        <is>
          <t>NORRBOTTENS LÄN</t>
        </is>
      </c>
      <c r="E142" t="inlineStr">
        <is>
          <t>BODEN</t>
        </is>
      </c>
      <c r="F142" t="inlineStr">
        <is>
          <t>Sveaskog</t>
        </is>
      </c>
      <c r="G142" t="n">
        <v>13.4</v>
      </c>
      <c r="H142" t="n">
        <v>0</v>
      </c>
      <c r="I142" t="n">
        <v>0</v>
      </c>
      <c r="J142" t="n">
        <v>1</v>
      </c>
      <c r="K142" t="n">
        <v>0</v>
      </c>
      <c r="L142" t="n">
        <v>0</v>
      </c>
      <c r="M142" t="n">
        <v>0</v>
      </c>
      <c r="N142" t="n">
        <v>0</v>
      </c>
      <c r="O142" t="n">
        <v>1</v>
      </c>
      <c r="P142" t="n">
        <v>0</v>
      </c>
      <c r="Q142" t="n">
        <v>1</v>
      </c>
      <c r="R142" s="2" t="inlineStr">
        <is>
          <t>Lunglav</t>
        </is>
      </c>
      <c r="S142">
        <f>HYPERLINK("https://klasma.github.io/Logging_2582/artfynd/A 25609-2024 artfynd.xlsx", "A 25609-2024")</f>
        <v/>
      </c>
      <c r="T142">
        <f>HYPERLINK("https://klasma.github.io/Logging_2582/kartor/A 25609-2024 karta.png", "A 25609-2024")</f>
        <v/>
      </c>
      <c r="V142">
        <f>HYPERLINK("https://klasma.github.io/Logging_2582/klagomål/A 25609-2024 FSC-klagomål.docx", "A 25609-2024")</f>
        <v/>
      </c>
      <c r="W142">
        <f>HYPERLINK("https://klasma.github.io/Logging_2582/klagomålsmail/A 25609-2024 FSC-klagomål mail.docx", "A 25609-2024")</f>
        <v/>
      </c>
      <c r="X142">
        <f>HYPERLINK("https://klasma.github.io/Logging_2582/tillsyn/A 25609-2024 tillsynsbegäran.docx", "A 25609-2024")</f>
        <v/>
      </c>
      <c r="Y142">
        <f>HYPERLINK("https://klasma.github.io/Logging_2582/tillsynsmail/A 25609-2024 tillsynsbegäran mail.docx", "A 25609-2024")</f>
        <v/>
      </c>
    </row>
    <row r="143" ht="15" customHeight="1">
      <c r="A143" t="inlineStr">
        <is>
          <t>A 26595-2024</t>
        </is>
      </c>
      <c r="B143" s="1" t="n">
        <v>45469</v>
      </c>
      <c r="C143" s="1" t="n">
        <v>45803</v>
      </c>
      <c r="D143" t="inlineStr">
        <is>
          <t>NORRBOTTENS LÄN</t>
        </is>
      </c>
      <c r="E143" t="inlineStr">
        <is>
          <t>BODEN</t>
        </is>
      </c>
      <c r="F143" t="inlineStr">
        <is>
          <t>Sveaskog</t>
        </is>
      </c>
      <c r="G143" t="n">
        <v>32.7</v>
      </c>
      <c r="H143" t="n">
        <v>0</v>
      </c>
      <c r="I143" t="n">
        <v>0</v>
      </c>
      <c r="J143" t="n">
        <v>1</v>
      </c>
      <c r="K143" t="n">
        <v>0</v>
      </c>
      <c r="L143" t="n">
        <v>0</v>
      </c>
      <c r="M143" t="n">
        <v>0</v>
      </c>
      <c r="N143" t="n">
        <v>0</v>
      </c>
      <c r="O143" t="n">
        <v>1</v>
      </c>
      <c r="P143" t="n">
        <v>0</v>
      </c>
      <c r="Q143" t="n">
        <v>1</v>
      </c>
      <c r="R143" s="2" t="inlineStr">
        <is>
          <t>Lunglav</t>
        </is>
      </c>
      <c r="S143">
        <f>HYPERLINK("https://klasma.github.io/Logging_2582/artfynd/A 26595-2024 artfynd.xlsx", "A 26595-2024")</f>
        <v/>
      </c>
      <c r="T143">
        <f>HYPERLINK("https://klasma.github.io/Logging_2582/kartor/A 26595-2024 karta.png", "A 26595-2024")</f>
        <v/>
      </c>
      <c r="V143">
        <f>HYPERLINK("https://klasma.github.io/Logging_2582/klagomål/A 26595-2024 FSC-klagomål.docx", "A 26595-2024")</f>
        <v/>
      </c>
      <c r="W143">
        <f>HYPERLINK("https://klasma.github.io/Logging_2582/klagomålsmail/A 26595-2024 FSC-klagomål mail.docx", "A 26595-2024")</f>
        <v/>
      </c>
      <c r="X143">
        <f>HYPERLINK("https://klasma.github.io/Logging_2582/tillsyn/A 26595-2024 tillsynsbegäran.docx", "A 26595-2024")</f>
        <v/>
      </c>
      <c r="Y143">
        <f>HYPERLINK("https://klasma.github.io/Logging_2582/tillsynsmail/A 26595-2024 tillsynsbegäran mail.docx", "A 26595-2024")</f>
        <v/>
      </c>
    </row>
    <row r="144" ht="15" customHeight="1">
      <c r="A144" t="inlineStr">
        <is>
          <t>A 31272-2024</t>
        </is>
      </c>
      <c r="B144" s="1" t="n">
        <v>45504</v>
      </c>
      <c r="C144" s="1" t="n">
        <v>45803</v>
      </c>
      <c r="D144" t="inlineStr">
        <is>
          <t>NORRBOTTENS LÄN</t>
        </is>
      </c>
      <c r="E144" t="inlineStr">
        <is>
          <t>BODEN</t>
        </is>
      </c>
      <c r="F144" t="inlineStr">
        <is>
          <t>Sveaskog</t>
        </is>
      </c>
      <c r="G144" t="n">
        <v>24.2</v>
      </c>
      <c r="H144" t="n">
        <v>0</v>
      </c>
      <c r="I144" t="n">
        <v>1</v>
      </c>
      <c r="J144" t="n">
        <v>0</v>
      </c>
      <c r="K144" t="n">
        <v>0</v>
      </c>
      <c r="L144" t="n">
        <v>0</v>
      </c>
      <c r="M144" t="n">
        <v>0</v>
      </c>
      <c r="N144" t="n">
        <v>0</v>
      </c>
      <c r="O144" t="n">
        <v>0</v>
      </c>
      <c r="P144" t="n">
        <v>0</v>
      </c>
      <c r="Q144" t="n">
        <v>1</v>
      </c>
      <c r="R144" s="2" t="inlineStr">
        <is>
          <t>Skarp dropptaggsvamp</t>
        </is>
      </c>
      <c r="S144">
        <f>HYPERLINK("https://klasma.github.io/Logging_2582/artfynd/A 31272-2024 artfynd.xlsx", "A 31272-2024")</f>
        <v/>
      </c>
      <c r="T144">
        <f>HYPERLINK("https://klasma.github.io/Logging_2582/kartor/A 31272-2024 karta.png", "A 31272-2024")</f>
        <v/>
      </c>
      <c r="V144">
        <f>HYPERLINK("https://klasma.github.io/Logging_2582/klagomål/A 31272-2024 FSC-klagomål.docx", "A 31272-2024")</f>
        <v/>
      </c>
      <c r="W144">
        <f>HYPERLINK("https://klasma.github.io/Logging_2582/klagomålsmail/A 31272-2024 FSC-klagomål mail.docx", "A 31272-2024")</f>
        <v/>
      </c>
      <c r="X144">
        <f>HYPERLINK("https://klasma.github.io/Logging_2582/tillsyn/A 31272-2024 tillsynsbegäran.docx", "A 31272-2024")</f>
        <v/>
      </c>
      <c r="Y144">
        <f>HYPERLINK("https://klasma.github.io/Logging_2582/tillsynsmail/A 31272-2024 tillsynsbegäran mail.docx", "A 31272-2024")</f>
        <v/>
      </c>
    </row>
    <row r="145" ht="15" customHeight="1">
      <c r="A145" t="inlineStr">
        <is>
          <t>A 32600-2024</t>
        </is>
      </c>
      <c r="B145" s="1" t="n">
        <v>45513</v>
      </c>
      <c r="C145" s="1" t="n">
        <v>45803</v>
      </c>
      <c r="D145" t="inlineStr">
        <is>
          <t>NORRBOTTENS LÄN</t>
        </is>
      </c>
      <c r="E145" t="inlineStr">
        <is>
          <t>BODEN</t>
        </is>
      </c>
      <c r="G145" t="n">
        <v>2.5</v>
      </c>
      <c r="H145" t="n">
        <v>0</v>
      </c>
      <c r="I145" t="n">
        <v>0</v>
      </c>
      <c r="J145" t="n">
        <v>1</v>
      </c>
      <c r="K145" t="n">
        <v>0</v>
      </c>
      <c r="L145" t="n">
        <v>0</v>
      </c>
      <c r="M145" t="n">
        <v>0</v>
      </c>
      <c r="N145" t="n">
        <v>0</v>
      </c>
      <c r="O145" t="n">
        <v>1</v>
      </c>
      <c r="P145" t="n">
        <v>0</v>
      </c>
      <c r="Q145" t="n">
        <v>1</v>
      </c>
      <c r="R145" s="2" t="inlineStr">
        <is>
          <t>Lunglav</t>
        </is>
      </c>
      <c r="S145">
        <f>HYPERLINK("https://klasma.github.io/Logging_2582/artfynd/A 32600-2024 artfynd.xlsx", "A 32600-2024")</f>
        <v/>
      </c>
      <c r="T145">
        <f>HYPERLINK("https://klasma.github.io/Logging_2582/kartor/A 32600-2024 karta.png", "A 32600-2024")</f>
        <v/>
      </c>
      <c r="V145">
        <f>HYPERLINK("https://klasma.github.io/Logging_2582/klagomål/A 32600-2024 FSC-klagomål.docx", "A 32600-2024")</f>
        <v/>
      </c>
      <c r="W145">
        <f>HYPERLINK("https://klasma.github.io/Logging_2582/klagomålsmail/A 32600-2024 FSC-klagomål mail.docx", "A 32600-2024")</f>
        <v/>
      </c>
      <c r="X145">
        <f>HYPERLINK("https://klasma.github.io/Logging_2582/tillsyn/A 32600-2024 tillsynsbegäran.docx", "A 32600-2024")</f>
        <v/>
      </c>
      <c r="Y145">
        <f>HYPERLINK("https://klasma.github.io/Logging_2582/tillsynsmail/A 32600-2024 tillsynsbegäran mail.docx", "A 32600-2024")</f>
        <v/>
      </c>
    </row>
    <row r="146" ht="15" customHeight="1">
      <c r="A146" t="inlineStr">
        <is>
          <t>A 33674-2024</t>
        </is>
      </c>
      <c r="B146" s="1" t="n">
        <v>45520</v>
      </c>
      <c r="C146" s="1" t="n">
        <v>45803</v>
      </c>
      <c r="D146" t="inlineStr">
        <is>
          <t>NORRBOTTENS LÄN</t>
        </is>
      </c>
      <c r="E146" t="inlineStr">
        <is>
          <t>BODEN</t>
        </is>
      </c>
      <c r="F146" t="inlineStr">
        <is>
          <t>Sveaskog</t>
        </is>
      </c>
      <c r="G146" t="n">
        <v>6.6</v>
      </c>
      <c r="H146" t="n">
        <v>0</v>
      </c>
      <c r="I146" t="n">
        <v>0</v>
      </c>
      <c r="J146" t="n">
        <v>1</v>
      </c>
      <c r="K146" t="n">
        <v>0</v>
      </c>
      <c r="L146" t="n">
        <v>0</v>
      </c>
      <c r="M146" t="n">
        <v>0</v>
      </c>
      <c r="N146" t="n">
        <v>0</v>
      </c>
      <c r="O146" t="n">
        <v>1</v>
      </c>
      <c r="P146" t="n">
        <v>0</v>
      </c>
      <c r="Q146" t="n">
        <v>1</v>
      </c>
      <c r="R146" s="2" t="inlineStr">
        <is>
          <t>Blå taggsvamp</t>
        </is>
      </c>
      <c r="S146">
        <f>HYPERLINK("https://klasma.github.io/Logging_2582/artfynd/A 33674-2024 artfynd.xlsx", "A 33674-2024")</f>
        <v/>
      </c>
      <c r="T146">
        <f>HYPERLINK("https://klasma.github.io/Logging_2582/kartor/A 33674-2024 karta.png", "A 33674-2024")</f>
        <v/>
      </c>
      <c r="V146">
        <f>HYPERLINK("https://klasma.github.io/Logging_2582/klagomål/A 33674-2024 FSC-klagomål.docx", "A 33674-2024")</f>
        <v/>
      </c>
      <c r="W146">
        <f>HYPERLINK("https://klasma.github.io/Logging_2582/klagomålsmail/A 33674-2024 FSC-klagomål mail.docx", "A 33674-2024")</f>
        <v/>
      </c>
      <c r="X146">
        <f>HYPERLINK("https://klasma.github.io/Logging_2582/tillsyn/A 33674-2024 tillsynsbegäran.docx", "A 33674-2024")</f>
        <v/>
      </c>
      <c r="Y146">
        <f>HYPERLINK("https://klasma.github.io/Logging_2582/tillsynsmail/A 33674-2024 tillsynsbegäran mail.docx", "A 33674-2024")</f>
        <v/>
      </c>
    </row>
    <row r="147" ht="15" customHeight="1">
      <c r="A147" t="inlineStr">
        <is>
          <t>A 36743-2024</t>
        </is>
      </c>
      <c r="B147" s="1" t="n">
        <v>45538</v>
      </c>
      <c r="C147" s="1" t="n">
        <v>45803</v>
      </c>
      <c r="D147" t="inlineStr">
        <is>
          <t>NORRBOTTENS LÄN</t>
        </is>
      </c>
      <c r="E147" t="inlineStr">
        <is>
          <t>BODEN</t>
        </is>
      </c>
      <c r="F147" t="inlineStr">
        <is>
          <t>Sveaskog</t>
        </is>
      </c>
      <c r="G147" t="n">
        <v>1.7</v>
      </c>
      <c r="H147" t="n">
        <v>0</v>
      </c>
      <c r="I147" t="n">
        <v>0</v>
      </c>
      <c r="J147" t="n">
        <v>1</v>
      </c>
      <c r="K147" t="n">
        <v>0</v>
      </c>
      <c r="L147" t="n">
        <v>0</v>
      </c>
      <c r="M147" t="n">
        <v>0</v>
      </c>
      <c r="N147" t="n">
        <v>0</v>
      </c>
      <c r="O147" t="n">
        <v>1</v>
      </c>
      <c r="P147" t="n">
        <v>0</v>
      </c>
      <c r="Q147" t="n">
        <v>1</v>
      </c>
      <c r="R147" s="2" t="inlineStr">
        <is>
          <t>Lunglav</t>
        </is>
      </c>
      <c r="S147">
        <f>HYPERLINK("https://klasma.github.io/Logging_2582/artfynd/A 36743-2024 artfynd.xlsx", "A 36743-2024")</f>
        <v/>
      </c>
      <c r="T147">
        <f>HYPERLINK("https://klasma.github.io/Logging_2582/kartor/A 36743-2024 karta.png", "A 36743-2024")</f>
        <v/>
      </c>
      <c r="V147">
        <f>HYPERLINK("https://klasma.github.io/Logging_2582/klagomål/A 36743-2024 FSC-klagomål.docx", "A 36743-2024")</f>
        <v/>
      </c>
      <c r="W147">
        <f>HYPERLINK("https://klasma.github.io/Logging_2582/klagomålsmail/A 36743-2024 FSC-klagomål mail.docx", "A 36743-2024")</f>
        <v/>
      </c>
      <c r="X147">
        <f>HYPERLINK("https://klasma.github.io/Logging_2582/tillsyn/A 36743-2024 tillsynsbegäran.docx", "A 36743-2024")</f>
        <v/>
      </c>
      <c r="Y147">
        <f>HYPERLINK("https://klasma.github.io/Logging_2582/tillsynsmail/A 36743-2024 tillsynsbegäran mail.docx", "A 36743-2024")</f>
        <v/>
      </c>
    </row>
    <row r="148" ht="15" customHeight="1">
      <c r="A148" t="inlineStr">
        <is>
          <t>A 40533-2024</t>
        </is>
      </c>
      <c r="B148" s="1" t="n">
        <v>45555</v>
      </c>
      <c r="C148" s="1" t="n">
        <v>45803</v>
      </c>
      <c r="D148" t="inlineStr">
        <is>
          <t>NORRBOTTENS LÄN</t>
        </is>
      </c>
      <c r="E148" t="inlineStr">
        <is>
          <t>BODEN</t>
        </is>
      </c>
      <c r="F148" t="inlineStr">
        <is>
          <t>Sveaskog</t>
        </is>
      </c>
      <c r="G148" t="n">
        <v>32</v>
      </c>
      <c r="H148" t="n">
        <v>0</v>
      </c>
      <c r="I148" t="n">
        <v>0</v>
      </c>
      <c r="J148" t="n">
        <v>1</v>
      </c>
      <c r="K148" t="n">
        <v>0</v>
      </c>
      <c r="L148" t="n">
        <v>0</v>
      </c>
      <c r="M148" t="n">
        <v>0</v>
      </c>
      <c r="N148" t="n">
        <v>0</v>
      </c>
      <c r="O148" t="n">
        <v>1</v>
      </c>
      <c r="P148" t="n">
        <v>0</v>
      </c>
      <c r="Q148" t="n">
        <v>1</v>
      </c>
      <c r="R148" s="2" t="inlineStr">
        <is>
          <t>Lunglav</t>
        </is>
      </c>
      <c r="S148">
        <f>HYPERLINK("https://klasma.github.io/Logging_2582/artfynd/A 40533-2024 artfynd.xlsx", "A 40533-2024")</f>
        <v/>
      </c>
      <c r="T148">
        <f>HYPERLINK("https://klasma.github.io/Logging_2582/kartor/A 40533-2024 karta.png", "A 40533-2024")</f>
        <v/>
      </c>
      <c r="V148">
        <f>HYPERLINK("https://klasma.github.io/Logging_2582/klagomål/A 40533-2024 FSC-klagomål.docx", "A 40533-2024")</f>
        <v/>
      </c>
      <c r="W148">
        <f>HYPERLINK("https://klasma.github.io/Logging_2582/klagomålsmail/A 40533-2024 FSC-klagomål mail.docx", "A 40533-2024")</f>
        <v/>
      </c>
      <c r="X148">
        <f>HYPERLINK("https://klasma.github.io/Logging_2582/tillsyn/A 40533-2024 tillsynsbegäran.docx", "A 40533-2024")</f>
        <v/>
      </c>
      <c r="Y148">
        <f>HYPERLINK("https://klasma.github.io/Logging_2582/tillsynsmail/A 40533-2024 tillsynsbegäran mail.docx", "A 40533-2024")</f>
        <v/>
      </c>
    </row>
    <row r="149" ht="15" customHeight="1">
      <c r="A149" t="inlineStr">
        <is>
          <t>A 47018-2024</t>
        </is>
      </c>
      <c r="B149" s="1" t="n">
        <v>45586</v>
      </c>
      <c r="C149" s="1" t="n">
        <v>45803</v>
      </c>
      <c r="D149" t="inlineStr">
        <is>
          <t>NORRBOTTENS LÄN</t>
        </is>
      </c>
      <c r="E149" t="inlineStr">
        <is>
          <t>BODEN</t>
        </is>
      </c>
      <c r="F149" t="inlineStr">
        <is>
          <t>Sveaskog</t>
        </is>
      </c>
      <c r="G149" t="n">
        <v>18.1</v>
      </c>
      <c r="H149" t="n">
        <v>0</v>
      </c>
      <c r="I149" t="n">
        <v>0</v>
      </c>
      <c r="J149" t="n">
        <v>1</v>
      </c>
      <c r="K149" t="n">
        <v>0</v>
      </c>
      <c r="L149" t="n">
        <v>0</v>
      </c>
      <c r="M149" t="n">
        <v>0</v>
      </c>
      <c r="N149" t="n">
        <v>0</v>
      </c>
      <c r="O149" t="n">
        <v>1</v>
      </c>
      <c r="P149" t="n">
        <v>0</v>
      </c>
      <c r="Q149" t="n">
        <v>1</v>
      </c>
      <c r="R149" s="2" t="inlineStr">
        <is>
          <t>Blågrå svartspik</t>
        </is>
      </c>
      <c r="S149">
        <f>HYPERLINK("https://klasma.github.io/Logging_2582/artfynd/A 47018-2024 artfynd.xlsx", "A 47018-2024")</f>
        <v/>
      </c>
      <c r="T149">
        <f>HYPERLINK("https://klasma.github.io/Logging_2582/kartor/A 47018-2024 karta.png", "A 47018-2024")</f>
        <v/>
      </c>
      <c r="V149">
        <f>HYPERLINK("https://klasma.github.io/Logging_2582/klagomål/A 47018-2024 FSC-klagomål.docx", "A 47018-2024")</f>
        <v/>
      </c>
      <c r="W149">
        <f>HYPERLINK("https://klasma.github.io/Logging_2582/klagomålsmail/A 47018-2024 FSC-klagomål mail.docx", "A 47018-2024")</f>
        <v/>
      </c>
      <c r="X149">
        <f>HYPERLINK("https://klasma.github.io/Logging_2582/tillsyn/A 47018-2024 tillsynsbegäran.docx", "A 47018-2024")</f>
        <v/>
      </c>
      <c r="Y149">
        <f>HYPERLINK("https://klasma.github.io/Logging_2582/tillsynsmail/A 47018-2024 tillsynsbegäran mail.docx", "A 47018-2024")</f>
        <v/>
      </c>
    </row>
    <row r="150" ht="15" customHeight="1">
      <c r="A150" t="inlineStr">
        <is>
          <t>A 48899-2024</t>
        </is>
      </c>
      <c r="B150" s="1" t="n">
        <v>45594</v>
      </c>
      <c r="C150" s="1" t="n">
        <v>45803</v>
      </c>
      <c r="D150" t="inlineStr">
        <is>
          <t>NORRBOTTENS LÄN</t>
        </is>
      </c>
      <c r="E150" t="inlineStr">
        <is>
          <t>BODEN</t>
        </is>
      </c>
      <c r="F150" t="inlineStr">
        <is>
          <t>SCA</t>
        </is>
      </c>
      <c r="G150" t="n">
        <v>18</v>
      </c>
      <c r="H150" t="n">
        <v>1</v>
      </c>
      <c r="I150" t="n">
        <v>0</v>
      </c>
      <c r="J150" t="n">
        <v>0</v>
      </c>
      <c r="K150" t="n">
        <v>0</v>
      </c>
      <c r="L150" t="n">
        <v>0</v>
      </c>
      <c r="M150" t="n">
        <v>0</v>
      </c>
      <c r="N150" t="n">
        <v>0</v>
      </c>
      <c r="O150" t="n">
        <v>0</v>
      </c>
      <c r="P150" t="n">
        <v>0</v>
      </c>
      <c r="Q150" t="n">
        <v>1</v>
      </c>
      <c r="R150" s="2" t="inlineStr">
        <is>
          <t>Fläcknycklar</t>
        </is>
      </c>
      <c r="S150">
        <f>HYPERLINK("https://klasma.github.io/Logging_2582/artfynd/A 48899-2024 artfynd.xlsx", "A 48899-2024")</f>
        <v/>
      </c>
      <c r="T150">
        <f>HYPERLINK("https://klasma.github.io/Logging_2582/kartor/A 48899-2024 karta.png", "A 48899-2024")</f>
        <v/>
      </c>
      <c r="V150">
        <f>HYPERLINK("https://klasma.github.io/Logging_2582/klagomål/A 48899-2024 FSC-klagomål.docx", "A 48899-2024")</f>
        <v/>
      </c>
      <c r="W150">
        <f>HYPERLINK("https://klasma.github.io/Logging_2582/klagomålsmail/A 48899-2024 FSC-klagomål mail.docx", "A 48899-2024")</f>
        <v/>
      </c>
      <c r="X150">
        <f>HYPERLINK("https://klasma.github.io/Logging_2582/tillsyn/A 48899-2024 tillsynsbegäran.docx", "A 48899-2024")</f>
        <v/>
      </c>
      <c r="Y150">
        <f>HYPERLINK("https://klasma.github.io/Logging_2582/tillsynsmail/A 48899-2024 tillsynsbegäran mail.docx", "A 48899-2024")</f>
        <v/>
      </c>
    </row>
    <row r="151" ht="15" customHeight="1">
      <c r="A151" t="inlineStr">
        <is>
          <t>A 50912-2024</t>
        </is>
      </c>
      <c r="B151" s="1" t="n">
        <v>45602</v>
      </c>
      <c r="C151" s="1" t="n">
        <v>45803</v>
      </c>
      <c r="D151" t="inlineStr">
        <is>
          <t>NORRBOTTENS LÄN</t>
        </is>
      </c>
      <c r="E151" t="inlineStr">
        <is>
          <t>BODEN</t>
        </is>
      </c>
      <c r="G151" t="n">
        <v>3.5</v>
      </c>
      <c r="H151" t="n">
        <v>1</v>
      </c>
      <c r="I151" t="n">
        <v>0</v>
      </c>
      <c r="J151" t="n">
        <v>0</v>
      </c>
      <c r="K151" t="n">
        <v>0</v>
      </c>
      <c r="L151" t="n">
        <v>0</v>
      </c>
      <c r="M151" t="n">
        <v>0</v>
      </c>
      <c r="N151" t="n">
        <v>0</v>
      </c>
      <c r="O151" t="n">
        <v>0</v>
      </c>
      <c r="P151" t="n">
        <v>0</v>
      </c>
      <c r="Q151" t="n">
        <v>1</v>
      </c>
      <c r="R151" s="2" t="inlineStr">
        <is>
          <t>Revlummer</t>
        </is>
      </c>
      <c r="S151">
        <f>HYPERLINK("https://klasma.github.io/Logging_2582/artfynd/A 50912-2024 artfynd.xlsx", "A 50912-2024")</f>
        <v/>
      </c>
      <c r="T151">
        <f>HYPERLINK("https://klasma.github.io/Logging_2582/kartor/A 50912-2024 karta.png", "A 50912-2024")</f>
        <v/>
      </c>
      <c r="V151">
        <f>HYPERLINK("https://klasma.github.io/Logging_2582/klagomål/A 50912-2024 FSC-klagomål.docx", "A 50912-2024")</f>
        <v/>
      </c>
      <c r="W151">
        <f>HYPERLINK("https://klasma.github.io/Logging_2582/klagomålsmail/A 50912-2024 FSC-klagomål mail.docx", "A 50912-2024")</f>
        <v/>
      </c>
      <c r="X151">
        <f>HYPERLINK("https://klasma.github.io/Logging_2582/tillsyn/A 50912-2024 tillsynsbegäran.docx", "A 50912-2024")</f>
        <v/>
      </c>
      <c r="Y151">
        <f>HYPERLINK("https://klasma.github.io/Logging_2582/tillsynsmail/A 50912-2024 tillsynsbegäran mail.docx", "A 50912-2024")</f>
        <v/>
      </c>
    </row>
    <row r="152" ht="15" customHeight="1">
      <c r="A152" t="inlineStr">
        <is>
          <t>A 50866-2024</t>
        </is>
      </c>
      <c r="B152" s="1" t="n">
        <v>45602</v>
      </c>
      <c r="C152" s="1" t="n">
        <v>45803</v>
      </c>
      <c r="D152" t="inlineStr">
        <is>
          <t>NORRBOTTENS LÄN</t>
        </is>
      </c>
      <c r="E152" t="inlineStr">
        <is>
          <t>BODEN</t>
        </is>
      </c>
      <c r="F152" t="inlineStr">
        <is>
          <t>Sveaskog</t>
        </is>
      </c>
      <c r="G152" t="n">
        <v>2.7</v>
      </c>
      <c r="H152" t="n">
        <v>0</v>
      </c>
      <c r="I152" t="n">
        <v>0</v>
      </c>
      <c r="J152" t="n">
        <v>1</v>
      </c>
      <c r="K152" t="n">
        <v>0</v>
      </c>
      <c r="L152" t="n">
        <v>0</v>
      </c>
      <c r="M152" t="n">
        <v>0</v>
      </c>
      <c r="N152" t="n">
        <v>0</v>
      </c>
      <c r="O152" t="n">
        <v>1</v>
      </c>
      <c r="P152" t="n">
        <v>0</v>
      </c>
      <c r="Q152" t="n">
        <v>1</v>
      </c>
      <c r="R152" s="2" t="inlineStr">
        <is>
          <t>Garnlav</t>
        </is>
      </c>
      <c r="S152">
        <f>HYPERLINK("https://klasma.github.io/Logging_2582/artfynd/A 50866-2024 artfynd.xlsx", "A 50866-2024")</f>
        <v/>
      </c>
      <c r="T152">
        <f>HYPERLINK("https://klasma.github.io/Logging_2582/kartor/A 50866-2024 karta.png", "A 50866-2024")</f>
        <v/>
      </c>
      <c r="V152">
        <f>HYPERLINK("https://klasma.github.io/Logging_2582/klagomål/A 50866-2024 FSC-klagomål.docx", "A 50866-2024")</f>
        <v/>
      </c>
      <c r="W152">
        <f>HYPERLINK("https://klasma.github.io/Logging_2582/klagomålsmail/A 50866-2024 FSC-klagomål mail.docx", "A 50866-2024")</f>
        <v/>
      </c>
      <c r="X152">
        <f>HYPERLINK("https://klasma.github.io/Logging_2582/tillsyn/A 50866-2024 tillsynsbegäran.docx", "A 50866-2024")</f>
        <v/>
      </c>
      <c r="Y152">
        <f>HYPERLINK("https://klasma.github.io/Logging_2582/tillsynsmail/A 50866-2024 tillsynsbegäran mail.docx", "A 50866-2024")</f>
        <v/>
      </c>
    </row>
    <row r="153" ht="15" customHeight="1">
      <c r="A153" t="inlineStr">
        <is>
          <t>A 53142-2024</t>
        </is>
      </c>
      <c r="B153" s="1" t="n">
        <v>45611</v>
      </c>
      <c r="C153" s="1" t="n">
        <v>45803</v>
      </c>
      <c r="D153" t="inlineStr">
        <is>
          <t>NORRBOTTENS LÄN</t>
        </is>
      </c>
      <c r="E153" t="inlineStr">
        <is>
          <t>BODEN</t>
        </is>
      </c>
      <c r="F153" t="inlineStr">
        <is>
          <t>Sveaskog</t>
        </is>
      </c>
      <c r="G153" t="n">
        <v>6.6</v>
      </c>
      <c r="H153" t="n">
        <v>1</v>
      </c>
      <c r="I153" t="n">
        <v>0</v>
      </c>
      <c r="J153" t="n">
        <v>0</v>
      </c>
      <c r="K153" t="n">
        <v>1</v>
      </c>
      <c r="L153" t="n">
        <v>0</v>
      </c>
      <c r="M153" t="n">
        <v>0</v>
      </c>
      <c r="N153" t="n">
        <v>0</v>
      </c>
      <c r="O153" t="n">
        <v>1</v>
      </c>
      <c r="P153" t="n">
        <v>1</v>
      </c>
      <c r="Q153" t="n">
        <v>1</v>
      </c>
      <c r="R153" s="2" t="inlineStr">
        <is>
          <t>Doftticka</t>
        </is>
      </c>
      <c r="S153">
        <f>HYPERLINK("https://klasma.github.io/Logging_2582/artfynd/A 53142-2024 artfynd.xlsx", "A 53142-2024")</f>
        <v/>
      </c>
      <c r="T153">
        <f>HYPERLINK("https://klasma.github.io/Logging_2582/kartor/A 53142-2024 karta.png", "A 53142-2024")</f>
        <v/>
      </c>
      <c r="V153">
        <f>HYPERLINK("https://klasma.github.io/Logging_2582/klagomål/A 53142-2024 FSC-klagomål.docx", "A 53142-2024")</f>
        <v/>
      </c>
      <c r="W153">
        <f>HYPERLINK("https://klasma.github.io/Logging_2582/klagomålsmail/A 53142-2024 FSC-klagomål mail.docx", "A 53142-2024")</f>
        <v/>
      </c>
      <c r="X153">
        <f>HYPERLINK("https://klasma.github.io/Logging_2582/tillsyn/A 53142-2024 tillsynsbegäran.docx", "A 53142-2024")</f>
        <v/>
      </c>
      <c r="Y153">
        <f>HYPERLINK("https://klasma.github.io/Logging_2582/tillsynsmail/A 53142-2024 tillsynsbegäran mail.docx", "A 53142-2024")</f>
        <v/>
      </c>
    </row>
    <row r="154" ht="15" customHeight="1">
      <c r="A154" t="inlineStr">
        <is>
          <t>A 59861-2024</t>
        </is>
      </c>
      <c r="B154" s="1" t="n">
        <v>45638</v>
      </c>
      <c r="C154" s="1" t="n">
        <v>45803</v>
      </c>
      <c r="D154" t="inlineStr">
        <is>
          <t>NORRBOTTENS LÄN</t>
        </is>
      </c>
      <c r="E154" t="inlineStr">
        <is>
          <t>BODEN</t>
        </is>
      </c>
      <c r="G154" t="n">
        <v>2.1</v>
      </c>
      <c r="H154" t="n">
        <v>0</v>
      </c>
      <c r="I154" t="n">
        <v>0</v>
      </c>
      <c r="J154" t="n">
        <v>1</v>
      </c>
      <c r="K154" t="n">
        <v>0</v>
      </c>
      <c r="L154" t="n">
        <v>0</v>
      </c>
      <c r="M154" t="n">
        <v>0</v>
      </c>
      <c r="N154" t="n">
        <v>0</v>
      </c>
      <c r="O154" t="n">
        <v>1</v>
      </c>
      <c r="P154" t="n">
        <v>0</v>
      </c>
      <c r="Q154" t="n">
        <v>1</v>
      </c>
      <c r="R154" s="2" t="inlineStr">
        <is>
          <t>Kolflarnlav</t>
        </is>
      </c>
      <c r="S154">
        <f>HYPERLINK("https://klasma.github.io/Logging_2582/artfynd/A 59861-2024 artfynd.xlsx", "A 59861-2024")</f>
        <v/>
      </c>
      <c r="T154">
        <f>HYPERLINK("https://klasma.github.io/Logging_2582/kartor/A 59861-2024 karta.png", "A 59861-2024")</f>
        <v/>
      </c>
      <c r="V154">
        <f>HYPERLINK("https://klasma.github.io/Logging_2582/klagomål/A 59861-2024 FSC-klagomål.docx", "A 59861-2024")</f>
        <v/>
      </c>
      <c r="W154">
        <f>HYPERLINK("https://klasma.github.io/Logging_2582/klagomålsmail/A 59861-2024 FSC-klagomål mail.docx", "A 59861-2024")</f>
        <v/>
      </c>
      <c r="X154">
        <f>HYPERLINK("https://klasma.github.io/Logging_2582/tillsyn/A 59861-2024 tillsynsbegäran.docx", "A 59861-2024")</f>
        <v/>
      </c>
      <c r="Y154">
        <f>HYPERLINK("https://klasma.github.io/Logging_2582/tillsynsmail/A 59861-2024 tillsynsbegäran mail.docx", "A 59861-2024")</f>
        <v/>
      </c>
    </row>
    <row r="155" ht="15" customHeight="1">
      <c r="A155" t="inlineStr">
        <is>
          <t>A 61219-2024</t>
        </is>
      </c>
      <c r="B155" s="1" t="n">
        <v>45645</v>
      </c>
      <c r="C155" s="1" t="n">
        <v>45803</v>
      </c>
      <c r="D155" t="inlineStr">
        <is>
          <t>NORRBOTTENS LÄN</t>
        </is>
      </c>
      <c r="E155" t="inlineStr">
        <is>
          <t>BODEN</t>
        </is>
      </c>
      <c r="F155" t="inlineStr">
        <is>
          <t>Sveaskog</t>
        </is>
      </c>
      <c r="G155" t="n">
        <v>1.5</v>
      </c>
      <c r="H155" t="n">
        <v>0</v>
      </c>
      <c r="I155" t="n">
        <v>0</v>
      </c>
      <c r="J155" t="n">
        <v>1</v>
      </c>
      <c r="K155" t="n">
        <v>0</v>
      </c>
      <c r="L155" t="n">
        <v>0</v>
      </c>
      <c r="M155" t="n">
        <v>0</v>
      </c>
      <c r="N155" t="n">
        <v>0</v>
      </c>
      <c r="O155" t="n">
        <v>1</v>
      </c>
      <c r="P155" t="n">
        <v>0</v>
      </c>
      <c r="Q155" t="n">
        <v>1</v>
      </c>
      <c r="R155" s="2" t="inlineStr">
        <is>
          <t>Tallticka</t>
        </is>
      </c>
      <c r="S155">
        <f>HYPERLINK("https://klasma.github.io/Logging_2582/artfynd/A 61219-2024 artfynd.xlsx", "A 61219-2024")</f>
        <v/>
      </c>
      <c r="T155">
        <f>HYPERLINK("https://klasma.github.io/Logging_2582/kartor/A 61219-2024 karta.png", "A 61219-2024")</f>
        <v/>
      </c>
      <c r="V155">
        <f>HYPERLINK("https://klasma.github.io/Logging_2582/klagomål/A 61219-2024 FSC-klagomål.docx", "A 61219-2024")</f>
        <v/>
      </c>
      <c r="W155">
        <f>HYPERLINK("https://klasma.github.io/Logging_2582/klagomålsmail/A 61219-2024 FSC-klagomål mail.docx", "A 61219-2024")</f>
        <v/>
      </c>
      <c r="X155">
        <f>HYPERLINK("https://klasma.github.io/Logging_2582/tillsyn/A 61219-2024 tillsynsbegäran.docx", "A 61219-2024")</f>
        <v/>
      </c>
      <c r="Y155">
        <f>HYPERLINK("https://klasma.github.io/Logging_2582/tillsynsmail/A 61219-2024 tillsynsbegäran mail.docx", "A 61219-2024")</f>
        <v/>
      </c>
    </row>
    <row r="156" ht="15" customHeight="1">
      <c r="A156" t="inlineStr">
        <is>
          <t>A 18678-2025</t>
        </is>
      </c>
      <c r="B156" s="1" t="n">
        <v>45763</v>
      </c>
      <c r="C156" s="1" t="n">
        <v>45803</v>
      </c>
      <c r="D156" t="inlineStr">
        <is>
          <t>NORRBOTTENS LÄN</t>
        </is>
      </c>
      <c r="E156" t="inlineStr">
        <is>
          <t>BODEN</t>
        </is>
      </c>
      <c r="G156" t="n">
        <v>1.6</v>
      </c>
      <c r="H156" t="n">
        <v>0</v>
      </c>
      <c r="I156" t="n">
        <v>0</v>
      </c>
      <c r="J156" t="n">
        <v>1</v>
      </c>
      <c r="K156" t="n">
        <v>0</v>
      </c>
      <c r="L156" t="n">
        <v>0</v>
      </c>
      <c r="M156" t="n">
        <v>0</v>
      </c>
      <c r="N156" t="n">
        <v>0</v>
      </c>
      <c r="O156" t="n">
        <v>1</v>
      </c>
      <c r="P156" t="n">
        <v>0</v>
      </c>
      <c r="Q156" t="n">
        <v>1</v>
      </c>
      <c r="R156" s="2" t="inlineStr">
        <is>
          <t>Garnlav</t>
        </is>
      </c>
      <c r="S156">
        <f>HYPERLINK("https://klasma.github.io/Logging_252582/artfynd/A 18678-2025 artfynd.xlsx", "A 18678-2025")</f>
        <v/>
      </c>
      <c r="T156">
        <f>HYPERLINK("https://klasma.github.io/Logging_252582/kartor/A 18678-2025 karta.png", "A 18678-2025")</f>
        <v/>
      </c>
      <c r="V156">
        <f>HYPERLINK("https://klasma.github.io/Logging_252582/klagomål/A 18678-2025 FSC-klagomål.docx", "A 18678-2025")</f>
        <v/>
      </c>
      <c r="W156">
        <f>HYPERLINK("https://klasma.github.io/Logging_252582/klagomålsmail/A 18678-2025 FSC-klagomål mail.docx", "A 18678-2025")</f>
        <v/>
      </c>
      <c r="X156">
        <f>HYPERLINK("https://klasma.github.io/Logging_252582/tillsyn/A 18678-2025 tillsynsbegäran.docx", "A 18678-2025")</f>
        <v/>
      </c>
      <c r="Y156">
        <f>HYPERLINK("https://klasma.github.io/Logging_252582/tillsynsmail/A 18678-2025 tillsynsbegäran mail.docx", "A 18678-2025")</f>
        <v/>
      </c>
    </row>
    <row r="157" ht="15" customHeight="1">
      <c r="A157" t="inlineStr">
        <is>
          <t>A 20260-2025</t>
        </is>
      </c>
      <c r="B157" s="1" t="n">
        <v>45773</v>
      </c>
      <c r="C157" s="1" t="n">
        <v>45803</v>
      </c>
      <c r="D157" t="inlineStr">
        <is>
          <t>NORRBOTTENS LÄN</t>
        </is>
      </c>
      <c r="E157" t="inlineStr">
        <is>
          <t>BODEN</t>
        </is>
      </c>
      <c r="F157" t="inlineStr">
        <is>
          <t>SCA</t>
        </is>
      </c>
      <c r="G157" t="n">
        <v>3.3</v>
      </c>
      <c r="H157" t="n">
        <v>1</v>
      </c>
      <c r="I157" t="n">
        <v>0</v>
      </c>
      <c r="J157" t="n">
        <v>0</v>
      </c>
      <c r="K157" t="n">
        <v>0</v>
      </c>
      <c r="L157" t="n">
        <v>0</v>
      </c>
      <c r="M157" t="n">
        <v>0</v>
      </c>
      <c r="N157" t="n">
        <v>0</v>
      </c>
      <c r="O157" t="n">
        <v>0</v>
      </c>
      <c r="P157" t="n">
        <v>0</v>
      </c>
      <c r="Q157" t="n">
        <v>1</v>
      </c>
      <c r="R157" s="2" t="inlineStr">
        <is>
          <t>Grön flodtrollslända</t>
        </is>
      </c>
      <c r="S157">
        <f>HYPERLINK("https://klasma.github.io/Logging_252582/artfynd/A 20260-2025 artfynd.xlsx", "A 20260-2025")</f>
        <v/>
      </c>
      <c r="T157">
        <f>HYPERLINK("https://klasma.github.io/Logging_252582/kartor/A 20260-2025 karta.png", "A 20260-2025")</f>
        <v/>
      </c>
      <c r="V157">
        <f>HYPERLINK("https://klasma.github.io/Logging_252582/klagomål/A 20260-2025 FSC-klagomål.docx", "A 20260-2025")</f>
        <v/>
      </c>
      <c r="W157">
        <f>HYPERLINK("https://klasma.github.io/Logging_252582/klagomålsmail/A 20260-2025 FSC-klagomål mail.docx", "A 20260-2025")</f>
        <v/>
      </c>
      <c r="X157">
        <f>HYPERLINK("https://klasma.github.io/Logging_252582/tillsyn/A 20260-2025 tillsynsbegäran.docx", "A 20260-2025")</f>
        <v/>
      </c>
      <c r="Y157">
        <f>HYPERLINK("https://klasma.github.io/Logging_252582/tillsynsmail/A 20260-2025 tillsynsbegäran mail.docx", "A 20260-2025")</f>
        <v/>
      </c>
    </row>
    <row r="158" ht="15" customHeight="1">
      <c r="A158" t="inlineStr">
        <is>
          <t>A 23849-2025</t>
        </is>
      </c>
      <c r="B158" s="1" t="n">
        <v>45793</v>
      </c>
      <c r="C158" s="1" t="n">
        <v>45803</v>
      </c>
      <c r="D158" t="inlineStr">
        <is>
          <t>NORRBOTTENS LÄN</t>
        </is>
      </c>
      <c r="E158" t="inlineStr">
        <is>
          <t>BODEN</t>
        </is>
      </c>
      <c r="F158" t="inlineStr">
        <is>
          <t>Sveaskog</t>
        </is>
      </c>
      <c r="G158" t="n">
        <v>2.9</v>
      </c>
      <c r="H158" t="n">
        <v>0</v>
      </c>
      <c r="I158" t="n">
        <v>0</v>
      </c>
      <c r="J158" t="n">
        <v>1</v>
      </c>
      <c r="K158" t="n">
        <v>0</v>
      </c>
      <c r="L158" t="n">
        <v>0</v>
      </c>
      <c r="M158" t="n">
        <v>0</v>
      </c>
      <c r="N158" t="n">
        <v>0</v>
      </c>
      <c r="O158" t="n">
        <v>1</v>
      </c>
      <c r="P158" t="n">
        <v>0</v>
      </c>
      <c r="Q158" t="n">
        <v>1</v>
      </c>
      <c r="R158" s="2" t="inlineStr">
        <is>
          <t>Kolflarnlav</t>
        </is>
      </c>
      <c r="S158">
        <f>HYPERLINK("https://klasma.github.io/Logging_252582/artfynd/A 23849-2025 artfynd.xlsx", "A 23849-2025")</f>
        <v/>
      </c>
      <c r="T158">
        <f>HYPERLINK("https://klasma.github.io/Logging_252582/kartor/A 23849-2025 karta.png", "A 23849-2025")</f>
        <v/>
      </c>
      <c r="V158">
        <f>HYPERLINK("https://klasma.github.io/Logging_252582/klagomål/A 23849-2025 FSC-klagomål.docx", "A 23849-2025")</f>
        <v/>
      </c>
      <c r="W158">
        <f>HYPERLINK("https://klasma.github.io/Logging_252582/klagomålsmail/A 23849-2025 FSC-klagomål mail.docx", "A 23849-2025")</f>
        <v/>
      </c>
      <c r="X158">
        <f>HYPERLINK("https://klasma.github.io/Logging_252582/tillsyn/A 23849-2025 tillsynsbegäran.docx", "A 23849-2025")</f>
        <v/>
      </c>
      <c r="Y158">
        <f>HYPERLINK("https://klasma.github.io/Logging_252582/tillsynsmail/A 23849-2025 tillsynsbegäran mail.docx", "A 23849-2025")</f>
        <v/>
      </c>
    </row>
    <row r="159" ht="15" customHeight="1">
      <c r="A159" t="inlineStr">
        <is>
          <t>A 18176-2019</t>
        </is>
      </c>
      <c r="B159" s="1" t="n">
        <v>43558</v>
      </c>
      <c r="C159" s="1" t="n">
        <v>45803</v>
      </c>
      <c r="D159" t="inlineStr">
        <is>
          <t>NORRBOTTENS LÄN</t>
        </is>
      </c>
      <c r="E159" t="inlineStr">
        <is>
          <t>BODEN</t>
        </is>
      </c>
      <c r="F159" t="inlineStr">
        <is>
          <t>Sveaskog</t>
        </is>
      </c>
      <c r="G159" t="n">
        <v>27.5</v>
      </c>
      <c r="H159" t="n">
        <v>0</v>
      </c>
      <c r="I159" t="n">
        <v>0</v>
      </c>
      <c r="J159" t="n">
        <v>0</v>
      </c>
      <c r="K159" t="n">
        <v>0</v>
      </c>
      <c r="L159" t="n">
        <v>0</v>
      </c>
      <c r="M159" t="n">
        <v>0</v>
      </c>
      <c r="N159" t="n">
        <v>0</v>
      </c>
      <c r="O159" t="n">
        <v>0</v>
      </c>
      <c r="P159" t="n">
        <v>0</v>
      </c>
      <c r="Q159" t="n">
        <v>0</v>
      </c>
      <c r="R159" s="2" t="inlineStr"/>
    </row>
    <row r="160" ht="15" customHeight="1">
      <c r="A160" t="inlineStr">
        <is>
          <t>A 18939-2019</t>
        </is>
      </c>
      <c r="B160" s="1" t="n">
        <v>43563</v>
      </c>
      <c r="C160" s="1" t="n">
        <v>45803</v>
      </c>
      <c r="D160" t="inlineStr">
        <is>
          <t>NORRBOTTENS LÄN</t>
        </is>
      </c>
      <c r="E160" t="inlineStr">
        <is>
          <t>BODEN</t>
        </is>
      </c>
      <c r="G160" t="n">
        <v>0.9</v>
      </c>
      <c r="H160" t="n">
        <v>0</v>
      </c>
      <c r="I160" t="n">
        <v>0</v>
      </c>
      <c r="J160" t="n">
        <v>0</v>
      </c>
      <c r="K160" t="n">
        <v>0</v>
      </c>
      <c r="L160" t="n">
        <v>0</v>
      </c>
      <c r="M160" t="n">
        <v>0</v>
      </c>
      <c r="N160" t="n">
        <v>0</v>
      </c>
      <c r="O160" t="n">
        <v>0</v>
      </c>
      <c r="P160" t="n">
        <v>0</v>
      </c>
      <c r="Q160" t="n">
        <v>0</v>
      </c>
      <c r="R160" s="2" t="inlineStr"/>
    </row>
    <row r="161" ht="15" customHeight="1">
      <c r="A161" t="inlineStr">
        <is>
          <t>A 19558-2019</t>
        </is>
      </c>
      <c r="B161" s="1" t="n">
        <v>43565</v>
      </c>
      <c r="C161" s="1" t="n">
        <v>45803</v>
      </c>
      <c r="D161" t="inlineStr">
        <is>
          <t>NORRBOTTENS LÄN</t>
        </is>
      </c>
      <c r="E161" t="inlineStr">
        <is>
          <t>BODEN</t>
        </is>
      </c>
      <c r="F161" t="inlineStr">
        <is>
          <t>SCA</t>
        </is>
      </c>
      <c r="G161" t="n">
        <v>2.7</v>
      </c>
      <c r="H161" t="n">
        <v>0</v>
      </c>
      <c r="I161" t="n">
        <v>0</v>
      </c>
      <c r="J161" t="n">
        <v>0</v>
      </c>
      <c r="K161" t="n">
        <v>0</v>
      </c>
      <c r="L161" t="n">
        <v>0</v>
      </c>
      <c r="M161" t="n">
        <v>0</v>
      </c>
      <c r="N161" t="n">
        <v>0</v>
      </c>
      <c r="O161" t="n">
        <v>0</v>
      </c>
      <c r="P161" t="n">
        <v>0</v>
      </c>
      <c r="Q161" t="n">
        <v>0</v>
      </c>
      <c r="R161" s="2" t="inlineStr"/>
    </row>
    <row r="162" ht="15" customHeight="1">
      <c r="A162" t="inlineStr">
        <is>
          <t>A 20295-2019</t>
        </is>
      </c>
      <c r="B162" s="1" t="n">
        <v>43567</v>
      </c>
      <c r="C162" s="1" t="n">
        <v>45803</v>
      </c>
      <c r="D162" t="inlineStr">
        <is>
          <t>NORRBOTTENS LÄN</t>
        </is>
      </c>
      <c r="E162" t="inlineStr">
        <is>
          <t>BODEN</t>
        </is>
      </c>
      <c r="G162" t="n">
        <v>1.6</v>
      </c>
      <c r="H162" t="n">
        <v>0</v>
      </c>
      <c r="I162" t="n">
        <v>0</v>
      </c>
      <c r="J162" t="n">
        <v>0</v>
      </c>
      <c r="K162" t="n">
        <v>0</v>
      </c>
      <c r="L162" t="n">
        <v>0</v>
      </c>
      <c r="M162" t="n">
        <v>0</v>
      </c>
      <c r="N162" t="n">
        <v>0</v>
      </c>
      <c r="O162" t="n">
        <v>0</v>
      </c>
      <c r="P162" t="n">
        <v>0</v>
      </c>
      <c r="Q162" t="n">
        <v>0</v>
      </c>
      <c r="R162" s="2" t="inlineStr"/>
    </row>
    <row r="163" ht="15" customHeight="1">
      <c r="A163" t="inlineStr">
        <is>
          <t>A 20903-2019</t>
        </is>
      </c>
      <c r="B163" s="1" t="n">
        <v>43573</v>
      </c>
      <c r="C163" s="1" t="n">
        <v>45803</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20916-2019</t>
        </is>
      </c>
      <c r="B164" s="1" t="n">
        <v>43573</v>
      </c>
      <c r="C164" s="1" t="n">
        <v>45803</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21129-2019</t>
        </is>
      </c>
      <c r="B165" s="1" t="n">
        <v>43579</v>
      </c>
      <c r="C165" s="1" t="n">
        <v>45803</v>
      </c>
      <c r="D165" t="inlineStr">
        <is>
          <t>NORRBOTTENS LÄN</t>
        </is>
      </c>
      <c r="E165" t="inlineStr">
        <is>
          <t>BODEN</t>
        </is>
      </c>
      <c r="F165" t="inlineStr">
        <is>
          <t>Sveaskog</t>
        </is>
      </c>
      <c r="G165" t="n">
        <v>10.5</v>
      </c>
      <c r="H165" t="n">
        <v>0</v>
      </c>
      <c r="I165" t="n">
        <v>0</v>
      </c>
      <c r="J165" t="n">
        <v>0</v>
      </c>
      <c r="K165" t="n">
        <v>0</v>
      </c>
      <c r="L165" t="n">
        <v>0</v>
      </c>
      <c r="M165" t="n">
        <v>0</v>
      </c>
      <c r="N165" t="n">
        <v>0</v>
      </c>
      <c r="O165" t="n">
        <v>0</v>
      </c>
      <c r="P165" t="n">
        <v>0</v>
      </c>
      <c r="Q165" t="n">
        <v>0</v>
      </c>
      <c r="R165" s="2" t="inlineStr"/>
    </row>
    <row r="166" ht="15" customHeight="1">
      <c r="A166" t="inlineStr">
        <is>
          <t>A 21953-2019</t>
        </is>
      </c>
      <c r="B166" s="1" t="n">
        <v>43584</v>
      </c>
      <c r="C166" s="1" t="n">
        <v>45803</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22330-2019</t>
        </is>
      </c>
      <c r="B167" s="1" t="n">
        <v>43586</v>
      </c>
      <c r="C167" s="1" t="n">
        <v>45803</v>
      </c>
      <c r="D167" t="inlineStr">
        <is>
          <t>NORRBOTTENS LÄN</t>
        </is>
      </c>
      <c r="E167" t="inlineStr">
        <is>
          <t>BODEN</t>
        </is>
      </c>
      <c r="G167" t="n">
        <v>7.4</v>
      </c>
      <c r="H167" t="n">
        <v>0</v>
      </c>
      <c r="I167" t="n">
        <v>0</v>
      </c>
      <c r="J167" t="n">
        <v>0</v>
      </c>
      <c r="K167" t="n">
        <v>0</v>
      </c>
      <c r="L167" t="n">
        <v>0</v>
      </c>
      <c r="M167" t="n">
        <v>0</v>
      </c>
      <c r="N167" t="n">
        <v>0</v>
      </c>
      <c r="O167" t="n">
        <v>0</v>
      </c>
      <c r="P167" t="n">
        <v>0</v>
      </c>
      <c r="Q167" t="n">
        <v>0</v>
      </c>
      <c r="R167" s="2" t="inlineStr"/>
    </row>
    <row r="168" ht="15" customHeight="1">
      <c r="A168" t="inlineStr">
        <is>
          <t>A 22907-2019</t>
        </is>
      </c>
      <c r="B168" s="1" t="n">
        <v>43591</v>
      </c>
      <c r="C168" s="1" t="n">
        <v>45803</v>
      </c>
      <c r="D168" t="inlineStr">
        <is>
          <t>NORRBOTTENS LÄN</t>
        </is>
      </c>
      <c r="E168" t="inlineStr">
        <is>
          <t>BODEN</t>
        </is>
      </c>
      <c r="F168" t="inlineStr">
        <is>
          <t>Övriga Aktiebolag</t>
        </is>
      </c>
      <c r="G168" t="n">
        <v>4.1</v>
      </c>
      <c r="H168" t="n">
        <v>0</v>
      </c>
      <c r="I168" t="n">
        <v>0</v>
      </c>
      <c r="J168" t="n">
        <v>0</v>
      </c>
      <c r="K168" t="n">
        <v>0</v>
      </c>
      <c r="L168" t="n">
        <v>0</v>
      </c>
      <c r="M168" t="n">
        <v>0</v>
      </c>
      <c r="N168" t="n">
        <v>0</v>
      </c>
      <c r="O168" t="n">
        <v>0</v>
      </c>
      <c r="P168" t="n">
        <v>0</v>
      </c>
      <c r="Q168" t="n">
        <v>0</v>
      </c>
      <c r="R168" s="2" t="inlineStr"/>
    </row>
    <row r="169" ht="15" customHeight="1">
      <c r="A169" t="inlineStr">
        <is>
          <t>A 23082-2019</t>
        </is>
      </c>
      <c r="B169" s="1" t="n">
        <v>43591</v>
      </c>
      <c r="C169" s="1" t="n">
        <v>45803</v>
      </c>
      <c r="D169" t="inlineStr">
        <is>
          <t>NORRBOTTENS LÄN</t>
        </is>
      </c>
      <c r="E169" t="inlineStr">
        <is>
          <t>BODEN</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23152-2019</t>
        </is>
      </c>
      <c r="B170" s="1" t="n">
        <v>43591</v>
      </c>
      <c r="C170" s="1" t="n">
        <v>45803</v>
      </c>
      <c r="D170" t="inlineStr">
        <is>
          <t>NORRBOTTENS LÄN</t>
        </is>
      </c>
      <c r="E170" t="inlineStr">
        <is>
          <t>BODEN</t>
        </is>
      </c>
      <c r="G170" t="n">
        <v>53</v>
      </c>
      <c r="H170" t="n">
        <v>0</v>
      </c>
      <c r="I170" t="n">
        <v>0</v>
      </c>
      <c r="J170" t="n">
        <v>0</v>
      </c>
      <c r="K170" t="n">
        <v>0</v>
      </c>
      <c r="L170" t="n">
        <v>0</v>
      </c>
      <c r="M170" t="n">
        <v>0</v>
      </c>
      <c r="N170" t="n">
        <v>0</v>
      </c>
      <c r="O170" t="n">
        <v>0</v>
      </c>
      <c r="P170" t="n">
        <v>0</v>
      </c>
      <c r="Q170" t="n">
        <v>0</v>
      </c>
      <c r="R170" s="2" t="inlineStr"/>
    </row>
    <row r="171" ht="15" customHeight="1">
      <c r="A171" t="inlineStr">
        <is>
          <t>A 23312-2019</t>
        </is>
      </c>
      <c r="B171" s="1" t="n">
        <v>43593</v>
      </c>
      <c r="C171" s="1" t="n">
        <v>45803</v>
      </c>
      <c r="D171" t="inlineStr">
        <is>
          <t>NORRBOTTENS LÄN</t>
        </is>
      </c>
      <c r="E171" t="inlineStr">
        <is>
          <t>BODEN</t>
        </is>
      </c>
      <c r="F171" t="inlineStr">
        <is>
          <t>Övriga Aktiebolag</t>
        </is>
      </c>
      <c r="G171" t="n">
        <v>2.7</v>
      </c>
      <c r="H171" t="n">
        <v>0</v>
      </c>
      <c r="I171" t="n">
        <v>0</v>
      </c>
      <c r="J171" t="n">
        <v>0</v>
      </c>
      <c r="K171" t="n">
        <v>0</v>
      </c>
      <c r="L171" t="n">
        <v>0</v>
      </c>
      <c r="M171" t="n">
        <v>0</v>
      </c>
      <c r="N171" t="n">
        <v>0</v>
      </c>
      <c r="O171" t="n">
        <v>0</v>
      </c>
      <c r="P171" t="n">
        <v>0</v>
      </c>
      <c r="Q171" t="n">
        <v>0</v>
      </c>
      <c r="R171" s="2" t="inlineStr"/>
      <c r="U171">
        <f>HYPERLINK("https://klasma.github.io/Logging_2582/knärot/A 23312-2019 karta knärot.png", "A 23312-2019")</f>
        <v/>
      </c>
      <c r="V171">
        <f>HYPERLINK("https://klasma.github.io/Logging_2582/klagomål/A 23312-2019 FSC-klagomål.docx", "A 23312-2019")</f>
        <v/>
      </c>
      <c r="W171">
        <f>HYPERLINK("https://klasma.github.io/Logging_2582/klagomålsmail/A 23312-2019 FSC-klagomål mail.docx", "A 23312-2019")</f>
        <v/>
      </c>
      <c r="X171">
        <f>HYPERLINK("https://klasma.github.io/Logging_2582/tillsyn/A 23312-2019 tillsynsbegäran.docx", "A 23312-2019")</f>
        <v/>
      </c>
      <c r="Y171">
        <f>HYPERLINK("https://klasma.github.io/Logging_2582/tillsynsmail/A 23312-2019 tillsynsbegäran mail.docx", "A 23312-2019")</f>
        <v/>
      </c>
    </row>
    <row r="172" ht="15" customHeight="1">
      <c r="A172" t="inlineStr">
        <is>
          <t>A 24156-2019</t>
        </is>
      </c>
      <c r="B172" s="1" t="n">
        <v>43598</v>
      </c>
      <c r="C172" s="1" t="n">
        <v>45803</v>
      </c>
      <c r="D172" t="inlineStr">
        <is>
          <t>NORRBOTTENS LÄN</t>
        </is>
      </c>
      <c r="E172" t="inlineStr">
        <is>
          <t>BODEN</t>
        </is>
      </c>
      <c r="G172" t="n">
        <v>8.6</v>
      </c>
      <c r="H172" t="n">
        <v>0</v>
      </c>
      <c r="I172" t="n">
        <v>0</v>
      </c>
      <c r="J172" t="n">
        <v>0</v>
      </c>
      <c r="K172" t="n">
        <v>0</v>
      </c>
      <c r="L172" t="n">
        <v>0</v>
      </c>
      <c r="M172" t="n">
        <v>0</v>
      </c>
      <c r="N172" t="n">
        <v>0</v>
      </c>
      <c r="O172" t="n">
        <v>0</v>
      </c>
      <c r="P172" t="n">
        <v>0</v>
      </c>
      <c r="Q172" t="n">
        <v>0</v>
      </c>
      <c r="R172" s="2" t="inlineStr"/>
    </row>
    <row r="173" ht="15" customHeight="1">
      <c r="A173" t="inlineStr">
        <is>
          <t>A 24564-2019</t>
        </is>
      </c>
      <c r="B173" s="1" t="n">
        <v>43600</v>
      </c>
      <c r="C173" s="1" t="n">
        <v>45803</v>
      </c>
      <c r="D173" t="inlineStr">
        <is>
          <t>NORRBOTTENS LÄN</t>
        </is>
      </c>
      <c r="E173" t="inlineStr">
        <is>
          <t>BODEN</t>
        </is>
      </c>
      <c r="F173" t="inlineStr">
        <is>
          <t>Sveaskog</t>
        </is>
      </c>
      <c r="G173" t="n">
        <v>10</v>
      </c>
      <c r="H173" t="n">
        <v>0</v>
      </c>
      <c r="I173" t="n">
        <v>0</v>
      </c>
      <c r="J173" t="n">
        <v>0</v>
      </c>
      <c r="K173" t="n">
        <v>0</v>
      </c>
      <c r="L173" t="n">
        <v>0</v>
      </c>
      <c r="M173" t="n">
        <v>0</v>
      </c>
      <c r="N173" t="n">
        <v>0</v>
      </c>
      <c r="O173" t="n">
        <v>0</v>
      </c>
      <c r="P173" t="n">
        <v>0</v>
      </c>
      <c r="Q173" t="n">
        <v>0</v>
      </c>
      <c r="R173" s="2" t="inlineStr"/>
    </row>
    <row r="174" ht="15" customHeight="1">
      <c r="A174" t="inlineStr">
        <is>
          <t>A 24837-2019</t>
        </is>
      </c>
      <c r="B174" s="1" t="n">
        <v>43602</v>
      </c>
      <c r="C174" s="1" t="n">
        <v>45803</v>
      </c>
      <c r="D174" t="inlineStr">
        <is>
          <t>NORRBOTTENS LÄN</t>
        </is>
      </c>
      <c r="E174" t="inlineStr">
        <is>
          <t>BODEN</t>
        </is>
      </c>
      <c r="F174" t="inlineStr">
        <is>
          <t>Övriga Aktiebolag</t>
        </is>
      </c>
      <c r="G174" t="n">
        <v>24.6</v>
      </c>
      <c r="H174" t="n">
        <v>0</v>
      </c>
      <c r="I174" t="n">
        <v>0</v>
      </c>
      <c r="J174" t="n">
        <v>0</v>
      </c>
      <c r="K174" t="n">
        <v>0</v>
      </c>
      <c r="L174" t="n">
        <v>0</v>
      </c>
      <c r="M174" t="n">
        <v>0</v>
      </c>
      <c r="N174" t="n">
        <v>0</v>
      </c>
      <c r="O174" t="n">
        <v>0</v>
      </c>
      <c r="P174" t="n">
        <v>0</v>
      </c>
      <c r="Q174" t="n">
        <v>0</v>
      </c>
      <c r="R174" s="2" t="inlineStr"/>
    </row>
    <row r="175" ht="15" customHeight="1">
      <c r="A175" t="inlineStr">
        <is>
          <t>A 24838-2019</t>
        </is>
      </c>
      <c r="B175" s="1" t="n">
        <v>43602</v>
      </c>
      <c r="C175" s="1" t="n">
        <v>45803</v>
      </c>
      <c r="D175" t="inlineStr">
        <is>
          <t>NORRBOTTENS LÄN</t>
        </is>
      </c>
      <c r="E175" t="inlineStr">
        <is>
          <t>BODEN</t>
        </is>
      </c>
      <c r="F175" t="inlineStr">
        <is>
          <t>Sveaskog</t>
        </is>
      </c>
      <c r="G175" t="n">
        <v>10.4</v>
      </c>
      <c r="H175" t="n">
        <v>0</v>
      </c>
      <c r="I175" t="n">
        <v>0</v>
      </c>
      <c r="J175" t="n">
        <v>0</v>
      </c>
      <c r="K175" t="n">
        <v>0</v>
      </c>
      <c r="L175" t="n">
        <v>0</v>
      </c>
      <c r="M175" t="n">
        <v>0</v>
      </c>
      <c r="N175" t="n">
        <v>0</v>
      </c>
      <c r="O175" t="n">
        <v>0</v>
      </c>
      <c r="P175" t="n">
        <v>0</v>
      </c>
      <c r="Q175" t="n">
        <v>0</v>
      </c>
      <c r="R175" s="2" t="inlineStr"/>
    </row>
    <row r="176" ht="15" customHeight="1">
      <c r="A176" t="inlineStr">
        <is>
          <t>A 26137-2019</t>
        </is>
      </c>
      <c r="B176" s="1" t="n">
        <v>43609</v>
      </c>
      <c r="C176" s="1" t="n">
        <v>45803</v>
      </c>
      <c r="D176" t="inlineStr">
        <is>
          <t>NORRBOTTENS LÄN</t>
        </is>
      </c>
      <c r="E176" t="inlineStr">
        <is>
          <t>BODEN</t>
        </is>
      </c>
      <c r="G176" t="n">
        <v>3.9</v>
      </c>
      <c r="H176" t="n">
        <v>0</v>
      </c>
      <c r="I176" t="n">
        <v>0</v>
      </c>
      <c r="J176" t="n">
        <v>0</v>
      </c>
      <c r="K176" t="n">
        <v>0</v>
      </c>
      <c r="L176" t="n">
        <v>0</v>
      </c>
      <c r="M176" t="n">
        <v>0</v>
      </c>
      <c r="N176" t="n">
        <v>0</v>
      </c>
      <c r="O176" t="n">
        <v>0</v>
      </c>
      <c r="P176" t="n">
        <v>0</v>
      </c>
      <c r="Q176" t="n">
        <v>0</v>
      </c>
      <c r="R176" s="2" t="inlineStr"/>
    </row>
    <row r="177" ht="15" customHeight="1">
      <c r="A177" t="inlineStr">
        <is>
          <t>A 26139-2019</t>
        </is>
      </c>
      <c r="B177" s="1" t="n">
        <v>43609</v>
      </c>
      <c r="C177" s="1" t="n">
        <v>45803</v>
      </c>
      <c r="D177" t="inlineStr">
        <is>
          <t>NORRBOTTENS LÄN</t>
        </is>
      </c>
      <c r="E177" t="inlineStr">
        <is>
          <t>BODEN</t>
        </is>
      </c>
      <c r="G177" t="n">
        <v>5.1</v>
      </c>
      <c r="H177" t="n">
        <v>0</v>
      </c>
      <c r="I177" t="n">
        <v>0</v>
      </c>
      <c r="J177" t="n">
        <v>0</v>
      </c>
      <c r="K177" t="n">
        <v>0</v>
      </c>
      <c r="L177" t="n">
        <v>0</v>
      </c>
      <c r="M177" t="n">
        <v>0</v>
      </c>
      <c r="N177" t="n">
        <v>0</v>
      </c>
      <c r="O177" t="n">
        <v>0</v>
      </c>
      <c r="P177" t="n">
        <v>0</v>
      </c>
      <c r="Q177" t="n">
        <v>0</v>
      </c>
      <c r="R177" s="2" t="inlineStr"/>
    </row>
    <row r="178" ht="15" customHeight="1">
      <c r="A178" t="inlineStr">
        <is>
          <t>A 26209-2019</t>
        </is>
      </c>
      <c r="B178" s="1" t="n">
        <v>43609</v>
      </c>
      <c r="C178" s="1" t="n">
        <v>45803</v>
      </c>
      <c r="D178" t="inlineStr">
        <is>
          <t>NORRBOTTENS LÄN</t>
        </is>
      </c>
      <c r="E178" t="inlineStr">
        <is>
          <t>BODEN</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28698-2019</t>
        </is>
      </c>
      <c r="B179" s="1" t="n">
        <v>43614</v>
      </c>
      <c r="C179" s="1" t="n">
        <v>45803</v>
      </c>
      <c r="D179" t="inlineStr">
        <is>
          <t>NORRBOTTENS LÄN</t>
        </is>
      </c>
      <c r="E179" t="inlineStr">
        <is>
          <t>BODEN</t>
        </is>
      </c>
      <c r="G179" t="n">
        <v>2.3</v>
      </c>
      <c r="H179" t="n">
        <v>0</v>
      </c>
      <c r="I179" t="n">
        <v>0</v>
      </c>
      <c r="J179" t="n">
        <v>0</v>
      </c>
      <c r="K179" t="n">
        <v>0</v>
      </c>
      <c r="L179" t="n">
        <v>0</v>
      </c>
      <c r="M179" t="n">
        <v>0</v>
      </c>
      <c r="N179" t="n">
        <v>0</v>
      </c>
      <c r="O179" t="n">
        <v>0</v>
      </c>
      <c r="P179" t="n">
        <v>0</v>
      </c>
      <c r="Q179" t="n">
        <v>0</v>
      </c>
      <c r="R179" s="2" t="inlineStr"/>
    </row>
    <row r="180" ht="15" customHeight="1">
      <c r="A180" t="inlineStr">
        <is>
          <t>A 27389-2019</t>
        </is>
      </c>
      <c r="B180" s="1" t="n">
        <v>43616</v>
      </c>
      <c r="C180" s="1" t="n">
        <v>45803</v>
      </c>
      <c r="D180" t="inlineStr">
        <is>
          <t>NORRBOTTENS LÄN</t>
        </is>
      </c>
      <c r="E180" t="inlineStr">
        <is>
          <t>BODEN</t>
        </is>
      </c>
      <c r="G180" t="n">
        <v>0.4</v>
      </c>
      <c r="H180" t="n">
        <v>0</v>
      </c>
      <c r="I180" t="n">
        <v>0</v>
      </c>
      <c r="J180" t="n">
        <v>0</v>
      </c>
      <c r="K180" t="n">
        <v>0</v>
      </c>
      <c r="L180" t="n">
        <v>0</v>
      </c>
      <c r="M180" t="n">
        <v>0</v>
      </c>
      <c r="N180" t="n">
        <v>0</v>
      </c>
      <c r="O180" t="n">
        <v>0</v>
      </c>
      <c r="P180" t="n">
        <v>0</v>
      </c>
      <c r="Q180" t="n">
        <v>0</v>
      </c>
      <c r="R180" s="2" t="inlineStr"/>
    </row>
    <row r="181" ht="15" customHeight="1">
      <c r="A181" t="inlineStr">
        <is>
          <t>A 28881-2019</t>
        </is>
      </c>
      <c r="B181" s="1" t="n">
        <v>43616</v>
      </c>
      <c r="C181" s="1" t="n">
        <v>45803</v>
      </c>
      <c r="D181" t="inlineStr">
        <is>
          <t>NORRBOTTENS LÄN</t>
        </is>
      </c>
      <c r="E181" t="inlineStr">
        <is>
          <t>BODEN</t>
        </is>
      </c>
      <c r="G181" t="n">
        <v>6.7</v>
      </c>
      <c r="H181" t="n">
        <v>0</v>
      </c>
      <c r="I181" t="n">
        <v>0</v>
      </c>
      <c r="J181" t="n">
        <v>0</v>
      </c>
      <c r="K181" t="n">
        <v>0</v>
      </c>
      <c r="L181" t="n">
        <v>0</v>
      </c>
      <c r="M181" t="n">
        <v>0</v>
      </c>
      <c r="N181" t="n">
        <v>0</v>
      </c>
      <c r="O181" t="n">
        <v>0</v>
      </c>
      <c r="P181" t="n">
        <v>0</v>
      </c>
      <c r="Q181" t="n">
        <v>0</v>
      </c>
      <c r="R181" s="2" t="inlineStr"/>
    </row>
    <row r="182" ht="15" customHeight="1">
      <c r="A182" t="inlineStr">
        <is>
          <t>A 28886-2019</t>
        </is>
      </c>
      <c r="B182" s="1" t="n">
        <v>43616</v>
      </c>
      <c r="C182" s="1" t="n">
        <v>45803</v>
      </c>
      <c r="D182" t="inlineStr">
        <is>
          <t>NORRBOTTENS LÄN</t>
        </is>
      </c>
      <c r="E182" t="inlineStr">
        <is>
          <t>BODEN</t>
        </is>
      </c>
      <c r="G182" t="n">
        <v>2.5</v>
      </c>
      <c r="H182" t="n">
        <v>0</v>
      </c>
      <c r="I182" t="n">
        <v>0</v>
      </c>
      <c r="J182" t="n">
        <v>0</v>
      </c>
      <c r="K182" t="n">
        <v>0</v>
      </c>
      <c r="L182" t="n">
        <v>0</v>
      </c>
      <c r="M182" t="n">
        <v>0</v>
      </c>
      <c r="N182" t="n">
        <v>0</v>
      </c>
      <c r="O182" t="n">
        <v>0</v>
      </c>
      <c r="P182" t="n">
        <v>0</v>
      </c>
      <c r="Q182" t="n">
        <v>0</v>
      </c>
      <c r="R182" s="2" t="inlineStr"/>
    </row>
    <row r="183" ht="15" customHeight="1">
      <c r="A183" t="inlineStr">
        <is>
          <t>A 28223-2019</t>
        </is>
      </c>
      <c r="B183" s="1" t="n">
        <v>43621</v>
      </c>
      <c r="C183" s="1" t="n">
        <v>45803</v>
      </c>
      <c r="D183" t="inlineStr">
        <is>
          <t>NORRBOTTENS LÄN</t>
        </is>
      </c>
      <c r="E183" t="inlineStr">
        <is>
          <t>BODEN</t>
        </is>
      </c>
      <c r="F183" t="inlineStr">
        <is>
          <t>SCA</t>
        </is>
      </c>
      <c r="G183" t="n">
        <v>38.1</v>
      </c>
      <c r="H183" t="n">
        <v>0</v>
      </c>
      <c r="I183" t="n">
        <v>0</v>
      </c>
      <c r="J183" t="n">
        <v>0</v>
      </c>
      <c r="K183" t="n">
        <v>0</v>
      </c>
      <c r="L183" t="n">
        <v>0</v>
      </c>
      <c r="M183" t="n">
        <v>0</v>
      </c>
      <c r="N183" t="n">
        <v>0</v>
      </c>
      <c r="O183" t="n">
        <v>0</v>
      </c>
      <c r="P183" t="n">
        <v>0</v>
      </c>
      <c r="Q183" t="n">
        <v>0</v>
      </c>
      <c r="R183" s="2" t="inlineStr"/>
      <c r="U183">
        <f>HYPERLINK("https://klasma.github.io/Logging_2582/knärot/A 28223-2019 karta knärot.png", "A 28223-2019")</f>
        <v/>
      </c>
      <c r="V183">
        <f>HYPERLINK("https://klasma.github.io/Logging_2582/klagomål/A 28223-2019 FSC-klagomål.docx", "A 28223-2019")</f>
        <v/>
      </c>
      <c r="W183">
        <f>HYPERLINK("https://klasma.github.io/Logging_2582/klagomålsmail/A 28223-2019 FSC-klagomål mail.docx", "A 28223-2019")</f>
        <v/>
      </c>
      <c r="X183">
        <f>HYPERLINK("https://klasma.github.io/Logging_2582/tillsyn/A 28223-2019 tillsynsbegäran.docx", "A 28223-2019")</f>
        <v/>
      </c>
      <c r="Y183">
        <f>HYPERLINK("https://klasma.github.io/Logging_2582/tillsynsmail/A 28223-2019 tillsynsbegäran mail.docx", "A 28223-2019")</f>
        <v/>
      </c>
    </row>
    <row r="184" ht="15" customHeight="1">
      <c r="A184" t="inlineStr">
        <is>
          <t>A 28224-2019</t>
        </is>
      </c>
      <c r="B184" s="1" t="n">
        <v>43621</v>
      </c>
      <c r="C184" s="1" t="n">
        <v>45803</v>
      </c>
      <c r="D184" t="inlineStr">
        <is>
          <t>NORRBOTTENS LÄN</t>
        </is>
      </c>
      <c r="E184" t="inlineStr">
        <is>
          <t>BODEN</t>
        </is>
      </c>
      <c r="F184" t="inlineStr">
        <is>
          <t>SCA</t>
        </is>
      </c>
      <c r="G184" t="n">
        <v>42.7</v>
      </c>
      <c r="H184" t="n">
        <v>0</v>
      </c>
      <c r="I184" t="n">
        <v>0</v>
      </c>
      <c r="J184" t="n">
        <v>0</v>
      </c>
      <c r="K184" t="n">
        <v>0</v>
      </c>
      <c r="L184" t="n">
        <v>0</v>
      </c>
      <c r="M184" t="n">
        <v>0</v>
      </c>
      <c r="N184" t="n">
        <v>0</v>
      </c>
      <c r="O184" t="n">
        <v>0</v>
      </c>
      <c r="P184" t="n">
        <v>0</v>
      </c>
      <c r="Q184" t="n">
        <v>0</v>
      </c>
      <c r="R184" s="2" t="inlineStr"/>
    </row>
    <row r="185" ht="15" customHeight="1">
      <c r="A185" t="inlineStr">
        <is>
          <t>A 28632-2019</t>
        </is>
      </c>
      <c r="B185" s="1" t="n">
        <v>43621</v>
      </c>
      <c r="C185" s="1" t="n">
        <v>45803</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28827-2019</t>
        </is>
      </c>
      <c r="B186" s="1" t="n">
        <v>43627</v>
      </c>
      <c r="C186" s="1" t="n">
        <v>45803</v>
      </c>
      <c r="D186" t="inlineStr">
        <is>
          <t>NORRBOTTENS LÄN</t>
        </is>
      </c>
      <c r="E186" t="inlineStr">
        <is>
          <t>BODEN</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29606-2019</t>
        </is>
      </c>
      <c r="B187" s="1" t="n">
        <v>43628</v>
      </c>
      <c r="C187" s="1" t="n">
        <v>45803</v>
      </c>
      <c r="D187" t="inlineStr">
        <is>
          <t>NORRBOTTENS LÄN</t>
        </is>
      </c>
      <c r="E187" t="inlineStr">
        <is>
          <t>BODEN</t>
        </is>
      </c>
      <c r="G187" t="n">
        <v>0.6</v>
      </c>
      <c r="H187" t="n">
        <v>0</v>
      </c>
      <c r="I187" t="n">
        <v>0</v>
      </c>
      <c r="J187" t="n">
        <v>0</v>
      </c>
      <c r="K187" t="n">
        <v>0</v>
      </c>
      <c r="L187" t="n">
        <v>0</v>
      </c>
      <c r="M187" t="n">
        <v>0</v>
      </c>
      <c r="N187" t="n">
        <v>0</v>
      </c>
      <c r="O187" t="n">
        <v>0</v>
      </c>
      <c r="P187" t="n">
        <v>0</v>
      </c>
      <c r="Q187" t="n">
        <v>0</v>
      </c>
      <c r="R187" s="2" t="inlineStr"/>
    </row>
    <row r="188" ht="15" customHeight="1">
      <c r="A188" t="inlineStr">
        <is>
          <t>A 29600-2019</t>
        </is>
      </c>
      <c r="B188" s="1" t="n">
        <v>43628</v>
      </c>
      <c r="C188" s="1" t="n">
        <v>45803</v>
      </c>
      <c r="D188" t="inlineStr">
        <is>
          <t>NORRBOTTENS LÄN</t>
        </is>
      </c>
      <c r="E188" t="inlineStr">
        <is>
          <t>BODEN</t>
        </is>
      </c>
      <c r="G188" t="n">
        <v>6.3</v>
      </c>
      <c r="H188" t="n">
        <v>0</v>
      </c>
      <c r="I188" t="n">
        <v>0</v>
      </c>
      <c r="J188" t="n">
        <v>0</v>
      </c>
      <c r="K188" t="n">
        <v>0</v>
      </c>
      <c r="L188" t="n">
        <v>0</v>
      </c>
      <c r="M188" t="n">
        <v>0</v>
      </c>
      <c r="N188" t="n">
        <v>0</v>
      </c>
      <c r="O188" t="n">
        <v>0</v>
      </c>
      <c r="P188" t="n">
        <v>0</v>
      </c>
      <c r="Q188" t="n">
        <v>0</v>
      </c>
      <c r="R188" s="2" t="inlineStr"/>
    </row>
    <row r="189" ht="15" customHeight="1">
      <c r="A189" t="inlineStr">
        <is>
          <t>A 29586-2019</t>
        </is>
      </c>
      <c r="B189" s="1" t="n">
        <v>43630</v>
      </c>
      <c r="C189" s="1" t="n">
        <v>45803</v>
      </c>
      <c r="D189" t="inlineStr">
        <is>
          <t>NORRBOTTENS LÄN</t>
        </is>
      </c>
      <c r="E189" t="inlineStr">
        <is>
          <t>BODEN</t>
        </is>
      </c>
      <c r="F189" t="inlineStr">
        <is>
          <t>Sveaskog</t>
        </is>
      </c>
      <c r="G189" t="n">
        <v>18.6</v>
      </c>
      <c r="H189" t="n">
        <v>0</v>
      </c>
      <c r="I189" t="n">
        <v>0</v>
      </c>
      <c r="J189" t="n">
        <v>0</v>
      </c>
      <c r="K189" t="n">
        <v>0</v>
      </c>
      <c r="L189" t="n">
        <v>0</v>
      </c>
      <c r="M189" t="n">
        <v>0</v>
      </c>
      <c r="N189" t="n">
        <v>0</v>
      </c>
      <c r="O189" t="n">
        <v>0</v>
      </c>
      <c r="P189" t="n">
        <v>0</v>
      </c>
      <c r="Q189" t="n">
        <v>0</v>
      </c>
      <c r="R189" s="2" t="inlineStr"/>
    </row>
    <row r="190" ht="15" customHeight="1">
      <c r="A190" t="inlineStr">
        <is>
          <t>A 30736-2019</t>
        </is>
      </c>
      <c r="B190" s="1" t="n">
        <v>43636</v>
      </c>
      <c r="C190" s="1" t="n">
        <v>45803</v>
      </c>
      <c r="D190" t="inlineStr">
        <is>
          <t>NORRBOTTENS LÄN</t>
        </is>
      </c>
      <c r="E190" t="inlineStr">
        <is>
          <t>BODEN</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30794-2019</t>
        </is>
      </c>
      <c r="B191" s="1" t="n">
        <v>43636</v>
      </c>
      <c r="C191" s="1" t="n">
        <v>45803</v>
      </c>
      <c r="D191" t="inlineStr">
        <is>
          <t>NORRBOTTENS LÄN</t>
        </is>
      </c>
      <c r="E191" t="inlineStr">
        <is>
          <t>BODEN</t>
        </is>
      </c>
      <c r="G191" t="n">
        <v>16.6</v>
      </c>
      <c r="H191" t="n">
        <v>0</v>
      </c>
      <c r="I191" t="n">
        <v>0</v>
      </c>
      <c r="J191" t="n">
        <v>0</v>
      </c>
      <c r="K191" t="n">
        <v>0</v>
      </c>
      <c r="L191" t="n">
        <v>0</v>
      </c>
      <c r="M191" t="n">
        <v>0</v>
      </c>
      <c r="N191" t="n">
        <v>0</v>
      </c>
      <c r="O191" t="n">
        <v>0</v>
      </c>
      <c r="P191" t="n">
        <v>0</v>
      </c>
      <c r="Q191" t="n">
        <v>0</v>
      </c>
      <c r="R191" s="2" t="inlineStr"/>
    </row>
    <row r="192" ht="15" customHeight="1">
      <c r="A192" t="inlineStr">
        <is>
          <t>A 30801-2019</t>
        </is>
      </c>
      <c r="B192" s="1" t="n">
        <v>43636</v>
      </c>
      <c r="C192" s="1" t="n">
        <v>45803</v>
      </c>
      <c r="D192" t="inlineStr">
        <is>
          <t>NORRBOTTENS LÄN</t>
        </is>
      </c>
      <c r="E192" t="inlineStr">
        <is>
          <t>BODEN</t>
        </is>
      </c>
      <c r="G192" t="n">
        <v>14.4</v>
      </c>
      <c r="H192" t="n">
        <v>0</v>
      </c>
      <c r="I192" t="n">
        <v>0</v>
      </c>
      <c r="J192" t="n">
        <v>0</v>
      </c>
      <c r="K192" t="n">
        <v>0</v>
      </c>
      <c r="L192" t="n">
        <v>0</v>
      </c>
      <c r="M192" t="n">
        <v>0</v>
      </c>
      <c r="N192" t="n">
        <v>0</v>
      </c>
      <c r="O192" t="n">
        <v>0</v>
      </c>
      <c r="P192" t="n">
        <v>0</v>
      </c>
      <c r="Q192" t="n">
        <v>0</v>
      </c>
      <c r="R192" s="2" t="inlineStr"/>
    </row>
    <row r="193" ht="15" customHeight="1">
      <c r="A193" t="inlineStr">
        <is>
          <t>A 30957-2019</t>
        </is>
      </c>
      <c r="B193" s="1" t="n">
        <v>43639</v>
      </c>
      <c r="C193" s="1" t="n">
        <v>45803</v>
      </c>
      <c r="D193" t="inlineStr">
        <is>
          <t>NORRBOTTENS LÄN</t>
        </is>
      </c>
      <c r="E193" t="inlineStr">
        <is>
          <t>BODEN</t>
        </is>
      </c>
      <c r="G193" t="n">
        <v>7.5</v>
      </c>
      <c r="H193" t="n">
        <v>0</v>
      </c>
      <c r="I193" t="n">
        <v>0</v>
      </c>
      <c r="J193" t="n">
        <v>0</v>
      </c>
      <c r="K193" t="n">
        <v>0</v>
      </c>
      <c r="L193" t="n">
        <v>0</v>
      </c>
      <c r="M193" t="n">
        <v>0</v>
      </c>
      <c r="N193" t="n">
        <v>0</v>
      </c>
      <c r="O193" t="n">
        <v>0</v>
      </c>
      <c r="P193" t="n">
        <v>0</v>
      </c>
      <c r="Q193" t="n">
        <v>0</v>
      </c>
      <c r="R193" s="2" t="inlineStr"/>
    </row>
    <row r="194" ht="15" customHeight="1">
      <c r="A194" t="inlineStr">
        <is>
          <t>A 31295-2019</t>
        </is>
      </c>
      <c r="B194" s="1" t="n">
        <v>43640</v>
      </c>
      <c r="C194" s="1" t="n">
        <v>45803</v>
      </c>
      <c r="D194" t="inlineStr">
        <is>
          <t>NORRBOTTENS LÄN</t>
        </is>
      </c>
      <c r="E194" t="inlineStr">
        <is>
          <t>BODEN</t>
        </is>
      </c>
      <c r="G194" t="n">
        <v>0.9</v>
      </c>
      <c r="H194" t="n">
        <v>0</v>
      </c>
      <c r="I194" t="n">
        <v>0</v>
      </c>
      <c r="J194" t="n">
        <v>0</v>
      </c>
      <c r="K194" t="n">
        <v>0</v>
      </c>
      <c r="L194" t="n">
        <v>0</v>
      </c>
      <c r="M194" t="n">
        <v>0</v>
      </c>
      <c r="N194" t="n">
        <v>0</v>
      </c>
      <c r="O194" t="n">
        <v>0</v>
      </c>
      <c r="P194" t="n">
        <v>0</v>
      </c>
      <c r="Q194" t="n">
        <v>0</v>
      </c>
      <c r="R194" s="2" t="inlineStr"/>
    </row>
    <row r="195" ht="15" customHeight="1">
      <c r="A195" t="inlineStr">
        <is>
          <t>A 31864-2019</t>
        </is>
      </c>
      <c r="B195" s="1" t="n">
        <v>43641</v>
      </c>
      <c r="C195" s="1" t="n">
        <v>45803</v>
      </c>
      <c r="D195" t="inlineStr">
        <is>
          <t>NORRBOTTENS LÄN</t>
        </is>
      </c>
      <c r="E195" t="inlineStr">
        <is>
          <t>BODEN</t>
        </is>
      </c>
      <c r="G195" t="n">
        <v>12.4</v>
      </c>
      <c r="H195" t="n">
        <v>0</v>
      </c>
      <c r="I195" t="n">
        <v>0</v>
      </c>
      <c r="J195" t="n">
        <v>0</v>
      </c>
      <c r="K195" t="n">
        <v>0</v>
      </c>
      <c r="L195" t="n">
        <v>0</v>
      </c>
      <c r="M195" t="n">
        <v>0</v>
      </c>
      <c r="N195" t="n">
        <v>0</v>
      </c>
      <c r="O195" t="n">
        <v>0</v>
      </c>
      <c r="P195" t="n">
        <v>0</v>
      </c>
      <c r="Q195" t="n">
        <v>0</v>
      </c>
      <c r="R195" s="2" t="inlineStr"/>
    </row>
    <row r="196" ht="15" customHeight="1">
      <c r="A196" t="inlineStr">
        <is>
          <t>A 32161-2019</t>
        </is>
      </c>
      <c r="B196" s="1" t="n">
        <v>43643</v>
      </c>
      <c r="C196" s="1" t="n">
        <v>45803</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33707-2019</t>
        </is>
      </c>
      <c r="B197" s="1" t="n">
        <v>43644</v>
      </c>
      <c r="C197" s="1" t="n">
        <v>45803</v>
      </c>
      <c r="D197" t="inlineStr">
        <is>
          <t>NORRBOTTENS LÄN</t>
        </is>
      </c>
      <c r="E197" t="inlineStr">
        <is>
          <t>BODEN</t>
        </is>
      </c>
      <c r="F197" t="inlineStr">
        <is>
          <t>Kommuner</t>
        </is>
      </c>
      <c r="G197" t="n">
        <v>21.2</v>
      </c>
      <c r="H197" t="n">
        <v>0</v>
      </c>
      <c r="I197" t="n">
        <v>0</v>
      </c>
      <c r="J197" t="n">
        <v>0</v>
      </c>
      <c r="K197" t="n">
        <v>0</v>
      </c>
      <c r="L197" t="n">
        <v>0</v>
      </c>
      <c r="M197" t="n">
        <v>0</v>
      </c>
      <c r="N197" t="n">
        <v>0</v>
      </c>
      <c r="O197" t="n">
        <v>0</v>
      </c>
      <c r="P197" t="n">
        <v>0</v>
      </c>
      <c r="Q197" t="n">
        <v>0</v>
      </c>
      <c r="R197" s="2" t="inlineStr"/>
    </row>
    <row r="198" ht="15" customHeight="1">
      <c r="A198" t="inlineStr">
        <is>
          <t>A 34375-2019</t>
        </is>
      </c>
      <c r="B198" s="1" t="n">
        <v>43647</v>
      </c>
      <c r="C198" s="1" t="n">
        <v>45803</v>
      </c>
      <c r="D198" t="inlineStr">
        <is>
          <t>NORRBOTTENS LÄN</t>
        </is>
      </c>
      <c r="E198" t="inlineStr">
        <is>
          <t>BODEN</t>
        </is>
      </c>
      <c r="G198" t="n">
        <v>0.2</v>
      </c>
      <c r="H198" t="n">
        <v>0</v>
      </c>
      <c r="I198" t="n">
        <v>0</v>
      </c>
      <c r="J198" t="n">
        <v>0</v>
      </c>
      <c r="K198" t="n">
        <v>0</v>
      </c>
      <c r="L198" t="n">
        <v>0</v>
      </c>
      <c r="M198" t="n">
        <v>0</v>
      </c>
      <c r="N198" t="n">
        <v>0</v>
      </c>
      <c r="O198" t="n">
        <v>0</v>
      </c>
      <c r="P198" t="n">
        <v>0</v>
      </c>
      <c r="Q198" t="n">
        <v>0</v>
      </c>
      <c r="R198" s="2" t="inlineStr"/>
    </row>
    <row r="199" ht="15" customHeight="1">
      <c r="A199" t="inlineStr">
        <is>
          <t>A 33447-2019</t>
        </is>
      </c>
      <c r="B199" s="1" t="n">
        <v>43650</v>
      </c>
      <c r="C199" s="1" t="n">
        <v>45803</v>
      </c>
      <c r="D199" t="inlineStr">
        <is>
          <t>NORRBOTTENS LÄN</t>
        </is>
      </c>
      <c r="E199" t="inlineStr">
        <is>
          <t>BODEN</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33278-2019</t>
        </is>
      </c>
      <c r="B200" s="1" t="n">
        <v>43650</v>
      </c>
      <c r="C200" s="1" t="n">
        <v>45803</v>
      </c>
      <c r="D200" t="inlineStr">
        <is>
          <t>NORRBOTTENS LÄN</t>
        </is>
      </c>
      <c r="E200" t="inlineStr">
        <is>
          <t>BODEN</t>
        </is>
      </c>
      <c r="G200" t="n">
        <v>2.8</v>
      </c>
      <c r="H200" t="n">
        <v>0</v>
      </c>
      <c r="I200" t="n">
        <v>0</v>
      </c>
      <c r="J200" t="n">
        <v>0</v>
      </c>
      <c r="K200" t="n">
        <v>0</v>
      </c>
      <c r="L200" t="n">
        <v>0</v>
      </c>
      <c r="M200" t="n">
        <v>0</v>
      </c>
      <c r="N200" t="n">
        <v>0</v>
      </c>
      <c r="O200" t="n">
        <v>0</v>
      </c>
      <c r="P200" t="n">
        <v>0</v>
      </c>
      <c r="Q200" t="n">
        <v>0</v>
      </c>
      <c r="R200" s="2" t="inlineStr"/>
    </row>
    <row r="201" ht="15" customHeight="1">
      <c r="A201" t="inlineStr">
        <is>
          <t>A 34015-2019</t>
        </is>
      </c>
      <c r="B201" s="1" t="n">
        <v>43654</v>
      </c>
      <c r="C201" s="1" t="n">
        <v>45803</v>
      </c>
      <c r="D201" t="inlineStr">
        <is>
          <t>NORRBOTTENS LÄN</t>
        </is>
      </c>
      <c r="E201" t="inlineStr">
        <is>
          <t>BODEN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34264-2019</t>
        </is>
      </c>
      <c r="B202" s="1" t="n">
        <v>43655</v>
      </c>
      <c r="C202" s="1" t="n">
        <v>45803</v>
      </c>
      <c r="D202" t="inlineStr">
        <is>
          <t>NORRBOTTENS LÄN</t>
        </is>
      </c>
      <c r="E202" t="inlineStr">
        <is>
          <t>BODEN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36050-2019</t>
        </is>
      </c>
      <c r="B203" s="1" t="n">
        <v>43657</v>
      </c>
      <c r="C203" s="1" t="n">
        <v>45803</v>
      </c>
      <c r="D203" t="inlineStr">
        <is>
          <t>NORRBOTTENS LÄN</t>
        </is>
      </c>
      <c r="E203" t="inlineStr">
        <is>
          <t>BODEN</t>
        </is>
      </c>
      <c r="G203" t="n">
        <v>32.3</v>
      </c>
      <c r="H203" t="n">
        <v>0</v>
      </c>
      <c r="I203" t="n">
        <v>0</v>
      </c>
      <c r="J203" t="n">
        <v>0</v>
      </c>
      <c r="K203" t="n">
        <v>0</v>
      </c>
      <c r="L203" t="n">
        <v>0</v>
      </c>
      <c r="M203" t="n">
        <v>0</v>
      </c>
      <c r="N203" t="n">
        <v>0</v>
      </c>
      <c r="O203" t="n">
        <v>0</v>
      </c>
      <c r="P203" t="n">
        <v>0</v>
      </c>
      <c r="Q203" t="n">
        <v>0</v>
      </c>
      <c r="R203" s="2" t="inlineStr"/>
    </row>
    <row r="204" ht="15" customHeight="1">
      <c r="A204" t="inlineStr">
        <is>
          <t>A 36052-2019</t>
        </is>
      </c>
      <c r="B204" s="1" t="n">
        <v>43657</v>
      </c>
      <c r="C204" s="1" t="n">
        <v>45803</v>
      </c>
      <c r="D204" t="inlineStr">
        <is>
          <t>NORRBOTTENS LÄN</t>
        </is>
      </c>
      <c r="E204" t="inlineStr">
        <is>
          <t>BODEN</t>
        </is>
      </c>
      <c r="G204" t="n">
        <v>0.9</v>
      </c>
      <c r="H204" t="n">
        <v>0</v>
      </c>
      <c r="I204" t="n">
        <v>0</v>
      </c>
      <c r="J204" t="n">
        <v>0</v>
      </c>
      <c r="K204" t="n">
        <v>0</v>
      </c>
      <c r="L204" t="n">
        <v>0</v>
      </c>
      <c r="M204" t="n">
        <v>0</v>
      </c>
      <c r="N204" t="n">
        <v>0</v>
      </c>
      <c r="O204" t="n">
        <v>0</v>
      </c>
      <c r="P204" t="n">
        <v>0</v>
      </c>
      <c r="Q204" t="n">
        <v>0</v>
      </c>
      <c r="R204" s="2" t="inlineStr"/>
    </row>
    <row r="205" ht="15" customHeight="1">
      <c r="A205" t="inlineStr">
        <is>
          <t>A 35103-2019</t>
        </is>
      </c>
      <c r="B205" s="1" t="n">
        <v>43661</v>
      </c>
      <c r="C205" s="1" t="n">
        <v>45803</v>
      </c>
      <c r="D205" t="inlineStr">
        <is>
          <t>NORRBOTTENS LÄN</t>
        </is>
      </c>
      <c r="E205" t="inlineStr">
        <is>
          <t>BODEN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35100-2019</t>
        </is>
      </c>
      <c r="B206" s="1" t="n">
        <v>43661</v>
      </c>
      <c r="C206" s="1" t="n">
        <v>45803</v>
      </c>
      <c r="D206" t="inlineStr">
        <is>
          <t>NORRBOTTENS LÄN</t>
        </is>
      </c>
      <c r="E206" t="inlineStr">
        <is>
          <t>BODEN</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35336-2019</t>
        </is>
      </c>
      <c r="B207" s="1" t="n">
        <v>43663</v>
      </c>
      <c r="C207" s="1" t="n">
        <v>45803</v>
      </c>
      <c r="D207" t="inlineStr">
        <is>
          <t>NORRBOTTENS LÄN</t>
        </is>
      </c>
      <c r="E207" t="inlineStr">
        <is>
          <t>BODEN</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35338-2019</t>
        </is>
      </c>
      <c r="B208" s="1" t="n">
        <v>43663</v>
      </c>
      <c r="C208" s="1" t="n">
        <v>45803</v>
      </c>
      <c r="D208" t="inlineStr">
        <is>
          <t>NORRBOTTENS LÄN</t>
        </is>
      </c>
      <c r="E208" t="inlineStr">
        <is>
          <t>BODEN</t>
        </is>
      </c>
      <c r="F208" t="inlineStr">
        <is>
          <t>Sveaskog</t>
        </is>
      </c>
      <c r="G208" t="n">
        <v>7.3</v>
      </c>
      <c r="H208" t="n">
        <v>0</v>
      </c>
      <c r="I208" t="n">
        <v>0</v>
      </c>
      <c r="J208" t="n">
        <v>0</v>
      </c>
      <c r="K208" t="n">
        <v>0</v>
      </c>
      <c r="L208" t="n">
        <v>0</v>
      </c>
      <c r="M208" t="n">
        <v>0</v>
      </c>
      <c r="N208" t="n">
        <v>0</v>
      </c>
      <c r="O208" t="n">
        <v>0</v>
      </c>
      <c r="P208" t="n">
        <v>0</v>
      </c>
      <c r="Q208" t="n">
        <v>0</v>
      </c>
      <c r="R208" s="2" t="inlineStr"/>
    </row>
    <row r="209" ht="15" customHeight="1">
      <c r="A209" t="inlineStr">
        <is>
          <t>A 36399-2019</t>
        </is>
      </c>
      <c r="B209" s="1" t="n">
        <v>43663</v>
      </c>
      <c r="C209" s="1" t="n">
        <v>45803</v>
      </c>
      <c r="D209" t="inlineStr">
        <is>
          <t>NORRBOTTENS LÄN</t>
        </is>
      </c>
      <c r="E209" t="inlineStr">
        <is>
          <t>BODEN</t>
        </is>
      </c>
      <c r="G209" t="n">
        <v>1.7</v>
      </c>
      <c r="H209" t="n">
        <v>0</v>
      </c>
      <c r="I209" t="n">
        <v>0</v>
      </c>
      <c r="J209" t="n">
        <v>0</v>
      </c>
      <c r="K209" t="n">
        <v>0</v>
      </c>
      <c r="L209" t="n">
        <v>0</v>
      </c>
      <c r="M209" t="n">
        <v>0</v>
      </c>
      <c r="N209" t="n">
        <v>0</v>
      </c>
      <c r="O209" t="n">
        <v>0</v>
      </c>
      <c r="P209" t="n">
        <v>0</v>
      </c>
      <c r="Q209" t="n">
        <v>0</v>
      </c>
      <c r="R209" s="2" t="inlineStr"/>
    </row>
    <row r="210" ht="15" customHeight="1">
      <c r="A210" t="inlineStr">
        <is>
          <t>A 35692-2019</t>
        </is>
      </c>
      <c r="B210" s="1" t="n">
        <v>43664</v>
      </c>
      <c r="C210" s="1" t="n">
        <v>45803</v>
      </c>
      <c r="D210" t="inlineStr">
        <is>
          <t>NORRBOTTENS LÄN</t>
        </is>
      </c>
      <c r="E210" t="inlineStr">
        <is>
          <t>BODEN</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37428-2019</t>
        </is>
      </c>
      <c r="B211" s="1" t="n">
        <v>43678</v>
      </c>
      <c r="C211" s="1" t="n">
        <v>45803</v>
      </c>
      <c r="D211" t="inlineStr">
        <is>
          <t>NORRBOTTENS LÄN</t>
        </is>
      </c>
      <c r="E211" t="inlineStr">
        <is>
          <t>BODEN</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38529-2019</t>
        </is>
      </c>
      <c r="B212" s="1" t="n">
        <v>43685</v>
      </c>
      <c r="C212" s="1" t="n">
        <v>45803</v>
      </c>
      <c r="D212" t="inlineStr">
        <is>
          <t>NORRBOTTENS LÄN</t>
        </is>
      </c>
      <c r="E212" t="inlineStr">
        <is>
          <t>BODEN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38974-2019</t>
        </is>
      </c>
      <c r="B213" s="1" t="n">
        <v>43689</v>
      </c>
      <c r="C213" s="1" t="n">
        <v>45803</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38980-2019</t>
        </is>
      </c>
      <c r="B214" s="1" t="n">
        <v>43689</v>
      </c>
      <c r="C214" s="1" t="n">
        <v>45803</v>
      </c>
      <c r="D214" t="inlineStr">
        <is>
          <t>NORRBOTTENS LÄN</t>
        </is>
      </c>
      <c r="E214" t="inlineStr">
        <is>
          <t>BODEN</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39892-2019</t>
        </is>
      </c>
      <c r="B215" s="1" t="n">
        <v>43692</v>
      </c>
      <c r="C215" s="1" t="n">
        <v>45803</v>
      </c>
      <c r="D215" t="inlineStr">
        <is>
          <t>NORRBOTTENS LÄN</t>
        </is>
      </c>
      <c r="E215" t="inlineStr">
        <is>
          <t>BODEN</t>
        </is>
      </c>
      <c r="G215" t="n">
        <v>43.5</v>
      </c>
      <c r="H215" t="n">
        <v>0</v>
      </c>
      <c r="I215" t="n">
        <v>0</v>
      </c>
      <c r="J215" t="n">
        <v>0</v>
      </c>
      <c r="K215" t="n">
        <v>0</v>
      </c>
      <c r="L215" t="n">
        <v>0</v>
      </c>
      <c r="M215" t="n">
        <v>0</v>
      </c>
      <c r="N215" t="n">
        <v>0</v>
      </c>
      <c r="O215" t="n">
        <v>0</v>
      </c>
      <c r="P215" t="n">
        <v>0</v>
      </c>
      <c r="Q215" t="n">
        <v>0</v>
      </c>
      <c r="R215" s="2" t="inlineStr"/>
    </row>
    <row r="216" ht="15" customHeight="1">
      <c r="A216" t="inlineStr">
        <is>
          <t>A 39947-2019</t>
        </is>
      </c>
      <c r="B216" s="1" t="n">
        <v>43692</v>
      </c>
      <c r="C216" s="1" t="n">
        <v>45803</v>
      </c>
      <c r="D216" t="inlineStr">
        <is>
          <t>NORRBOTTENS LÄN</t>
        </is>
      </c>
      <c r="E216" t="inlineStr">
        <is>
          <t>BODEN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39966-2019</t>
        </is>
      </c>
      <c r="B217" s="1" t="n">
        <v>43692</v>
      </c>
      <c r="C217" s="1" t="n">
        <v>45803</v>
      </c>
      <c r="D217" t="inlineStr">
        <is>
          <t>NORRBOTTENS LÄN</t>
        </is>
      </c>
      <c r="E217" t="inlineStr">
        <is>
          <t>BODEN</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40631-2019</t>
        </is>
      </c>
      <c r="B218" s="1" t="n">
        <v>43696</v>
      </c>
      <c r="C218" s="1" t="n">
        <v>45803</v>
      </c>
      <c r="D218" t="inlineStr">
        <is>
          <t>NORRBOTTENS LÄN</t>
        </is>
      </c>
      <c r="E218" t="inlineStr">
        <is>
          <t>BODEN</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41351-2019</t>
        </is>
      </c>
      <c r="B219" s="1" t="n">
        <v>43698</v>
      </c>
      <c r="C219" s="1" t="n">
        <v>45803</v>
      </c>
      <c r="D219" t="inlineStr">
        <is>
          <t>NORRBOTTENS LÄN</t>
        </is>
      </c>
      <c r="E219" t="inlineStr">
        <is>
          <t>BODEN</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42403-2019</t>
        </is>
      </c>
      <c r="B220" s="1" t="n">
        <v>43703</v>
      </c>
      <c r="C220" s="1" t="n">
        <v>45803</v>
      </c>
      <c r="D220" t="inlineStr">
        <is>
          <t>NORRBOTTENS LÄN</t>
        </is>
      </c>
      <c r="E220" t="inlineStr">
        <is>
          <t>BODEN</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42404-2019</t>
        </is>
      </c>
      <c r="B221" s="1" t="n">
        <v>43703</v>
      </c>
      <c r="C221" s="1" t="n">
        <v>45803</v>
      </c>
      <c r="D221" t="inlineStr">
        <is>
          <t>NORRBOTTENS LÄN</t>
        </is>
      </c>
      <c r="E221" t="inlineStr">
        <is>
          <t>BODEN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42492-2019</t>
        </is>
      </c>
      <c r="B222" s="1" t="n">
        <v>43704</v>
      </c>
      <c r="C222" s="1" t="n">
        <v>45803</v>
      </c>
      <c r="D222" t="inlineStr">
        <is>
          <t>NORRBOTTENS LÄN</t>
        </is>
      </c>
      <c r="E222" t="inlineStr">
        <is>
          <t>BODEN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43937-2019</t>
        </is>
      </c>
      <c r="B223" s="1" t="n">
        <v>43707</v>
      </c>
      <c r="C223" s="1" t="n">
        <v>45803</v>
      </c>
      <c r="D223" t="inlineStr">
        <is>
          <t>NORRBOTTENS LÄN</t>
        </is>
      </c>
      <c r="E223" t="inlineStr">
        <is>
          <t>BODEN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44894-2019</t>
        </is>
      </c>
      <c r="B224" s="1" t="n">
        <v>43712</v>
      </c>
      <c r="C224" s="1" t="n">
        <v>45803</v>
      </c>
      <c r="D224" t="inlineStr">
        <is>
          <t>NORRBOTTENS LÄN</t>
        </is>
      </c>
      <c r="E224" t="inlineStr">
        <is>
          <t>BODEN</t>
        </is>
      </c>
      <c r="F224" t="inlineStr">
        <is>
          <t>SCA</t>
        </is>
      </c>
      <c r="G224" t="n">
        <v>3.7</v>
      </c>
      <c r="H224" t="n">
        <v>0</v>
      </c>
      <c r="I224" t="n">
        <v>0</v>
      </c>
      <c r="J224" t="n">
        <v>0</v>
      </c>
      <c r="K224" t="n">
        <v>0</v>
      </c>
      <c r="L224" t="n">
        <v>0</v>
      </c>
      <c r="M224" t="n">
        <v>0</v>
      </c>
      <c r="N224" t="n">
        <v>0</v>
      </c>
      <c r="O224" t="n">
        <v>0</v>
      </c>
      <c r="P224" t="n">
        <v>0</v>
      </c>
      <c r="Q224" t="n">
        <v>0</v>
      </c>
      <c r="R224" s="2" t="inlineStr"/>
    </row>
    <row r="225" ht="15" customHeight="1">
      <c r="A225" t="inlineStr">
        <is>
          <t>A 45186-2019</t>
        </is>
      </c>
      <c r="B225" s="1" t="n">
        <v>43713</v>
      </c>
      <c r="C225" s="1" t="n">
        <v>45803</v>
      </c>
      <c r="D225" t="inlineStr">
        <is>
          <t>NORRBOTTENS LÄN</t>
        </is>
      </c>
      <c r="E225" t="inlineStr">
        <is>
          <t>BODEN</t>
        </is>
      </c>
      <c r="G225" t="n">
        <v>9.9</v>
      </c>
      <c r="H225" t="n">
        <v>0</v>
      </c>
      <c r="I225" t="n">
        <v>0</v>
      </c>
      <c r="J225" t="n">
        <v>0</v>
      </c>
      <c r="K225" t="n">
        <v>0</v>
      </c>
      <c r="L225" t="n">
        <v>0</v>
      </c>
      <c r="M225" t="n">
        <v>0</v>
      </c>
      <c r="N225" t="n">
        <v>0</v>
      </c>
      <c r="O225" t="n">
        <v>0</v>
      </c>
      <c r="P225" t="n">
        <v>0</v>
      </c>
      <c r="Q225" t="n">
        <v>0</v>
      </c>
      <c r="R225" s="2" t="inlineStr"/>
    </row>
    <row r="226" ht="15" customHeight="1">
      <c r="A226" t="inlineStr">
        <is>
          <t>A 46517-2019</t>
        </is>
      </c>
      <c r="B226" s="1" t="n">
        <v>43719</v>
      </c>
      <c r="C226" s="1" t="n">
        <v>45803</v>
      </c>
      <c r="D226" t="inlineStr">
        <is>
          <t>NORRBOTTENS LÄN</t>
        </is>
      </c>
      <c r="E226" t="inlineStr">
        <is>
          <t>BODEN</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46622-2019</t>
        </is>
      </c>
      <c r="B227" s="1" t="n">
        <v>43719</v>
      </c>
      <c r="C227" s="1" t="n">
        <v>45803</v>
      </c>
      <c r="D227" t="inlineStr">
        <is>
          <t>NORRBOTTENS LÄN</t>
        </is>
      </c>
      <c r="E227" t="inlineStr">
        <is>
          <t>BODEN</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46720-2019</t>
        </is>
      </c>
      <c r="B228" s="1" t="n">
        <v>43719</v>
      </c>
      <c r="C228" s="1" t="n">
        <v>45803</v>
      </c>
      <c r="D228" t="inlineStr">
        <is>
          <t>NORRBOTTENS LÄN</t>
        </is>
      </c>
      <c r="E228" t="inlineStr">
        <is>
          <t>BODEN</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46888-2019</t>
        </is>
      </c>
      <c r="B229" s="1" t="n">
        <v>43719</v>
      </c>
      <c r="C229" s="1" t="n">
        <v>45803</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46721-2019</t>
        </is>
      </c>
      <c r="B230" s="1" t="n">
        <v>43719</v>
      </c>
      <c r="C230" s="1" t="n">
        <v>45803</v>
      </c>
      <c r="D230" t="inlineStr">
        <is>
          <t>NORRBOTTENS LÄN</t>
        </is>
      </c>
      <c r="E230" t="inlineStr">
        <is>
          <t>BODEN</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46385-2019</t>
        </is>
      </c>
      <c r="B231" s="1" t="n">
        <v>43719</v>
      </c>
      <c r="C231" s="1" t="n">
        <v>45803</v>
      </c>
      <c r="D231" t="inlineStr">
        <is>
          <t>NORRBOTTENS LÄN</t>
        </is>
      </c>
      <c r="E231" t="inlineStr">
        <is>
          <t>BODEN</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46766-2019</t>
        </is>
      </c>
      <c r="B232" s="1" t="n">
        <v>43720</v>
      </c>
      <c r="C232" s="1" t="n">
        <v>45803</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47100-2019</t>
        </is>
      </c>
      <c r="B233" s="1" t="n">
        <v>43721</v>
      </c>
      <c r="C233" s="1" t="n">
        <v>45803</v>
      </c>
      <c r="D233" t="inlineStr">
        <is>
          <t>NORRBOTTENS LÄN</t>
        </is>
      </c>
      <c r="E233" t="inlineStr">
        <is>
          <t>BODEN</t>
        </is>
      </c>
      <c r="F233" t="inlineStr">
        <is>
          <t>SCA</t>
        </is>
      </c>
      <c r="G233" t="n">
        <v>4.4</v>
      </c>
      <c r="H233" t="n">
        <v>0</v>
      </c>
      <c r="I233" t="n">
        <v>0</v>
      </c>
      <c r="J233" t="n">
        <v>0</v>
      </c>
      <c r="K233" t="n">
        <v>0</v>
      </c>
      <c r="L233" t="n">
        <v>0</v>
      </c>
      <c r="M233" t="n">
        <v>0</v>
      </c>
      <c r="N233" t="n">
        <v>0</v>
      </c>
      <c r="O233" t="n">
        <v>0</v>
      </c>
      <c r="P233" t="n">
        <v>0</v>
      </c>
      <c r="Q233" t="n">
        <v>0</v>
      </c>
      <c r="R233" s="2" t="inlineStr"/>
    </row>
    <row r="234" ht="15" customHeight="1">
      <c r="A234" t="inlineStr">
        <is>
          <t>A 47821-2019</t>
        </is>
      </c>
      <c r="B234" s="1" t="n">
        <v>43725</v>
      </c>
      <c r="C234" s="1" t="n">
        <v>45803</v>
      </c>
      <c r="D234" t="inlineStr">
        <is>
          <t>NORRBOTTENS LÄN</t>
        </is>
      </c>
      <c r="E234" t="inlineStr">
        <is>
          <t>BODEN</t>
        </is>
      </c>
      <c r="F234" t="inlineStr">
        <is>
          <t>Sveaskog</t>
        </is>
      </c>
      <c r="G234" t="n">
        <v>6.7</v>
      </c>
      <c r="H234" t="n">
        <v>0</v>
      </c>
      <c r="I234" t="n">
        <v>0</v>
      </c>
      <c r="J234" t="n">
        <v>0</v>
      </c>
      <c r="K234" t="n">
        <v>0</v>
      </c>
      <c r="L234" t="n">
        <v>0</v>
      </c>
      <c r="M234" t="n">
        <v>0</v>
      </c>
      <c r="N234" t="n">
        <v>0</v>
      </c>
      <c r="O234" t="n">
        <v>0</v>
      </c>
      <c r="P234" t="n">
        <v>0</v>
      </c>
      <c r="Q234" t="n">
        <v>0</v>
      </c>
      <c r="R234" s="2" t="inlineStr"/>
    </row>
    <row r="235" ht="15" customHeight="1">
      <c r="A235" t="inlineStr">
        <is>
          <t>A 48023-2019</t>
        </is>
      </c>
      <c r="B235" s="1" t="n">
        <v>43725</v>
      </c>
      <c r="C235" s="1" t="n">
        <v>45803</v>
      </c>
      <c r="D235" t="inlineStr">
        <is>
          <t>NORRBOTTENS LÄN</t>
        </is>
      </c>
      <c r="E235" t="inlineStr">
        <is>
          <t>BODEN</t>
        </is>
      </c>
      <c r="G235" t="n">
        <v>2.5</v>
      </c>
      <c r="H235" t="n">
        <v>0</v>
      </c>
      <c r="I235" t="n">
        <v>0</v>
      </c>
      <c r="J235" t="n">
        <v>0</v>
      </c>
      <c r="K235" t="n">
        <v>0</v>
      </c>
      <c r="L235" t="n">
        <v>0</v>
      </c>
      <c r="M235" t="n">
        <v>0</v>
      </c>
      <c r="N235" t="n">
        <v>0</v>
      </c>
      <c r="O235" t="n">
        <v>0</v>
      </c>
      <c r="P235" t="n">
        <v>0</v>
      </c>
      <c r="Q235" t="n">
        <v>0</v>
      </c>
      <c r="R235" s="2" t="inlineStr"/>
    </row>
    <row r="236" ht="15" customHeight="1">
      <c r="A236" t="inlineStr">
        <is>
          <t>A 48586-2019</t>
        </is>
      </c>
      <c r="B236" s="1" t="n">
        <v>43727</v>
      </c>
      <c r="C236" s="1" t="n">
        <v>45803</v>
      </c>
      <c r="D236" t="inlineStr">
        <is>
          <t>NORRBOTTENS LÄN</t>
        </is>
      </c>
      <c r="E236" t="inlineStr">
        <is>
          <t>BODEN</t>
        </is>
      </c>
      <c r="F236" t="inlineStr">
        <is>
          <t>Sveaskog</t>
        </is>
      </c>
      <c r="G236" t="n">
        <v>5.8</v>
      </c>
      <c r="H236" t="n">
        <v>0</v>
      </c>
      <c r="I236" t="n">
        <v>0</v>
      </c>
      <c r="J236" t="n">
        <v>0</v>
      </c>
      <c r="K236" t="n">
        <v>0</v>
      </c>
      <c r="L236" t="n">
        <v>0</v>
      </c>
      <c r="M236" t="n">
        <v>0</v>
      </c>
      <c r="N236" t="n">
        <v>0</v>
      </c>
      <c r="O236" t="n">
        <v>0</v>
      </c>
      <c r="P236" t="n">
        <v>0</v>
      </c>
      <c r="Q236" t="n">
        <v>0</v>
      </c>
      <c r="R236" s="2" t="inlineStr"/>
    </row>
    <row r="237" ht="15" customHeight="1">
      <c r="A237" t="inlineStr">
        <is>
          <t>A 48796-2019</t>
        </is>
      </c>
      <c r="B237" s="1" t="n">
        <v>43727</v>
      </c>
      <c r="C237" s="1" t="n">
        <v>45803</v>
      </c>
      <c r="D237" t="inlineStr">
        <is>
          <t>NORRBOTTENS LÄN</t>
        </is>
      </c>
      <c r="E237" t="inlineStr">
        <is>
          <t>BODEN</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48627-2019</t>
        </is>
      </c>
      <c r="B238" s="1" t="n">
        <v>43727</v>
      </c>
      <c r="C238" s="1" t="n">
        <v>45803</v>
      </c>
      <c r="D238" t="inlineStr">
        <is>
          <t>NORRBOTTENS LÄN</t>
        </is>
      </c>
      <c r="E238" t="inlineStr">
        <is>
          <t>BODEN</t>
        </is>
      </c>
      <c r="G238" t="n">
        <v>8.9</v>
      </c>
      <c r="H238" t="n">
        <v>0</v>
      </c>
      <c r="I238" t="n">
        <v>0</v>
      </c>
      <c r="J238" t="n">
        <v>0</v>
      </c>
      <c r="K238" t="n">
        <v>0</v>
      </c>
      <c r="L238" t="n">
        <v>0</v>
      </c>
      <c r="M238" t="n">
        <v>0</v>
      </c>
      <c r="N238" t="n">
        <v>0</v>
      </c>
      <c r="O238" t="n">
        <v>0</v>
      </c>
      <c r="P238" t="n">
        <v>0</v>
      </c>
      <c r="Q238" t="n">
        <v>0</v>
      </c>
      <c r="R238" s="2" t="inlineStr"/>
    </row>
    <row r="239" ht="15" customHeight="1">
      <c r="A239" t="inlineStr">
        <is>
          <t>A 49655-2019</t>
        </is>
      </c>
      <c r="B239" s="1" t="n">
        <v>43732</v>
      </c>
      <c r="C239" s="1" t="n">
        <v>45803</v>
      </c>
      <c r="D239" t="inlineStr">
        <is>
          <t>NORRBOTTENS LÄN</t>
        </is>
      </c>
      <c r="E239" t="inlineStr">
        <is>
          <t>BODEN</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51207-2019</t>
        </is>
      </c>
      <c r="B240" s="1" t="n">
        <v>43732</v>
      </c>
      <c r="C240" s="1" t="n">
        <v>45803</v>
      </c>
      <c r="D240" t="inlineStr">
        <is>
          <t>NORRBOTTENS LÄN</t>
        </is>
      </c>
      <c r="E240" t="inlineStr">
        <is>
          <t>BODEN</t>
        </is>
      </c>
      <c r="G240" t="n">
        <v>5.9</v>
      </c>
      <c r="H240" t="n">
        <v>0</v>
      </c>
      <c r="I240" t="n">
        <v>0</v>
      </c>
      <c r="J240" t="n">
        <v>0</v>
      </c>
      <c r="K240" t="n">
        <v>0</v>
      </c>
      <c r="L240" t="n">
        <v>0</v>
      </c>
      <c r="M240" t="n">
        <v>0</v>
      </c>
      <c r="N240" t="n">
        <v>0</v>
      </c>
      <c r="O240" t="n">
        <v>0</v>
      </c>
      <c r="P240" t="n">
        <v>0</v>
      </c>
      <c r="Q240" t="n">
        <v>0</v>
      </c>
      <c r="R240" s="2" t="inlineStr"/>
    </row>
    <row r="241" ht="15" customHeight="1">
      <c r="A241" t="inlineStr">
        <is>
          <t>A 51177-2019</t>
        </is>
      </c>
      <c r="B241" s="1" t="n">
        <v>43732</v>
      </c>
      <c r="C241" s="1" t="n">
        <v>45803</v>
      </c>
      <c r="D241" t="inlineStr">
        <is>
          <t>NORRBOTTENS LÄN</t>
        </is>
      </c>
      <c r="E241" t="inlineStr">
        <is>
          <t>BODEN</t>
        </is>
      </c>
      <c r="G241" t="n">
        <v>26.5</v>
      </c>
      <c r="H241" t="n">
        <v>0</v>
      </c>
      <c r="I241" t="n">
        <v>0</v>
      </c>
      <c r="J241" t="n">
        <v>0</v>
      </c>
      <c r="K241" t="n">
        <v>0</v>
      </c>
      <c r="L241" t="n">
        <v>0</v>
      </c>
      <c r="M241" t="n">
        <v>0</v>
      </c>
      <c r="N241" t="n">
        <v>0</v>
      </c>
      <c r="O241" t="n">
        <v>0</v>
      </c>
      <c r="P241" t="n">
        <v>0</v>
      </c>
      <c r="Q241" t="n">
        <v>0</v>
      </c>
      <c r="R241" s="2" t="inlineStr"/>
    </row>
    <row r="242" ht="15" customHeight="1">
      <c r="A242" t="inlineStr">
        <is>
          <t>A 49903-2019</t>
        </is>
      </c>
      <c r="B242" s="1" t="n">
        <v>43733</v>
      </c>
      <c r="C242" s="1" t="n">
        <v>45803</v>
      </c>
      <c r="D242" t="inlineStr">
        <is>
          <t>NORRBOTTENS LÄN</t>
        </is>
      </c>
      <c r="E242" t="inlineStr">
        <is>
          <t>BODEN</t>
        </is>
      </c>
      <c r="F242" t="inlineStr">
        <is>
          <t>Sveaskog</t>
        </is>
      </c>
      <c r="G242" t="n">
        <v>7.4</v>
      </c>
      <c r="H242" t="n">
        <v>0</v>
      </c>
      <c r="I242" t="n">
        <v>0</v>
      </c>
      <c r="J242" t="n">
        <v>0</v>
      </c>
      <c r="K242" t="n">
        <v>0</v>
      </c>
      <c r="L242" t="n">
        <v>0</v>
      </c>
      <c r="M242" t="n">
        <v>0</v>
      </c>
      <c r="N242" t="n">
        <v>0</v>
      </c>
      <c r="O242" t="n">
        <v>0</v>
      </c>
      <c r="P242" t="n">
        <v>0</v>
      </c>
      <c r="Q242" t="n">
        <v>0</v>
      </c>
      <c r="R242" s="2" t="inlineStr"/>
    </row>
    <row r="243" ht="15" customHeight="1">
      <c r="A243" t="inlineStr">
        <is>
          <t>A 50819-2019</t>
        </is>
      </c>
      <c r="B243" s="1" t="n">
        <v>43738</v>
      </c>
      <c r="C243" s="1" t="n">
        <v>45803</v>
      </c>
      <c r="D243" t="inlineStr">
        <is>
          <t>NORRBOTTENS LÄN</t>
        </is>
      </c>
      <c r="E243" t="inlineStr">
        <is>
          <t>BODEN</t>
        </is>
      </c>
      <c r="F243" t="inlineStr">
        <is>
          <t>Sveaskog</t>
        </is>
      </c>
      <c r="G243" t="n">
        <v>4.8</v>
      </c>
      <c r="H243" t="n">
        <v>0</v>
      </c>
      <c r="I243" t="n">
        <v>0</v>
      </c>
      <c r="J243" t="n">
        <v>0</v>
      </c>
      <c r="K243" t="n">
        <v>0</v>
      </c>
      <c r="L243" t="n">
        <v>0</v>
      </c>
      <c r="M243" t="n">
        <v>0</v>
      </c>
      <c r="N243" t="n">
        <v>0</v>
      </c>
      <c r="O243" t="n">
        <v>0</v>
      </c>
      <c r="P243" t="n">
        <v>0</v>
      </c>
      <c r="Q243" t="n">
        <v>0</v>
      </c>
      <c r="R243" s="2" t="inlineStr"/>
    </row>
    <row r="244" ht="15" customHeight="1">
      <c r="A244" t="inlineStr">
        <is>
          <t>A 52225-2019</t>
        </is>
      </c>
      <c r="B244" s="1" t="n">
        <v>43742</v>
      </c>
      <c r="C244" s="1" t="n">
        <v>45803</v>
      </c>
      <c r="D244" t="inlineStr">
        <is>
          <t>NORRBOTTENS LÄN</t>
        </is>
      </c>
      <c r="E244" t="inlineStr">
        <is>
          <t>BODEN</t>
        </is>
      </c>
      <c r="G244" t="n">
        <v>1.6</v>
      </c>
      <c r="H244" t="n">
        <v>0</v>
      </c>
      <c r="I244" t="n">
        <v>0</v>
      </c>
      <c r="J244" t="n">
        <v>0</v>
      </c>
      <c r="K244" t="n">
        <v>0</v>
      </c>
      <c r="L244" t="n">
        <v>0</v>
      </c>
      <c r="M244" t="n">
        <v>0</v>
      </c>
      <c r="N244" t="n">
        <v>0</v>
      </c>
      <c r="O244" t="n">
        <v>0</v>
      </c>
      <c r="P244" t="n">
        <v>0</v>
      </c>
      <c r="Q244" t="n">
        <v>0</v>
      </c>
      <c r="R244" s="2" t="inlineStr"/>
    </row>
    <row r="245" ht="15" customHeight="1">
      <c r="A245" t="inlineStr">
        <is>
          <t>A 52223-2019</t>
        </is>
      </c>
      <c r="B245" s="1" t="n">
        <v>43742</v>
      </c>
      <c r="C245" s="1" t="n">
        <v>45803</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52229-2019</t>
        </is>
      </c>
      <c r="B246" s="1" t="n">
        <v>43742</v>
      </c>
      <c r="C246" s="1" t="n">
        <v>45803</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52228-2019</t>
        </is>
      </c>
      <c r="B247" s="1" t="n">
        <v>43742</v>
      </c>
      <c r="C247" s="1" t="n">
        <v>45803</v>
      </c>
      <c r="D247" t="inlineStr">
        <is>
          <t>NORRBOTTENS LÄN</t>
        </is>
      </c>
      <c r="E247" t="inlineStr">
        <is>
          <t>BODEN</t>
        </is>
      </c>
      <c r="G247" t="n">
        <v>1</v>
      </c>
      <c r="H247" t="n">
        <v>0</v>
      </c>
      <c r="I247" t="n">
        <v>0</v>
      </c>
      <c r="J247" t="n">
        <v>0</v>
      </c>
      <c r="K247" t="n">
        <v>0</v>
      </c>
      <c r="L247" t="n">
        <v>0</v>
      </c>
      <c r="M247" t="n">
        <v>0</v>
      </c>
      <c r="N247" t="n">
        <v>0</v>
      </c>
      <c r="O247" t="n">
        <v>0</v>
      </c>
      <c r="P247" t="n">
        <v>0</v>
      </c>
      <c r="Q247" t="n">
        <v>0</v>
      </c>
      <c r="R247" s="2" t="inlineStr"/>
    </row>
    <row r="248" ht="15" customHeight="1">
      <c r="A248" t="inlineStr">
        <is>
          <t>A 52220-2019</t>
        </is>
      </c>
      <c r="B248" s="1" t="n">
        <v>43742</v>
      </c>
      <c r="C248" s="1" t="n">
        <v>45803</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52207-2019</t>
        </is>
      </c>
      <c r="B249" s="1" t="n">
        <v>43742</v>
      </c>
      <c r="C249" s="1" t="n">
        <v>45803</v>
      </c>
      <c r="D249" t="inlineStr">
        <is>
          <t>NORRBOTTENS LÄN</t>
        </is>
      </c>
      <c r="E249" t="inlineStr">
        <is>
          <t>BODEN</t>
        </is>
      </c>
      <c r="G249" t="n">
        <v>2.7</v>
      </c>
      <c r="H249" t="n">
        <v>0</v>
      </c>
      <c r="I249" t="n">
        <v>0</v>
      </c>
      <c r="J249" t="n">
        <v>0</v>
      </c>
      <c r="K249" t="n">
        <v>0</v>
      </c>
      <c r="L249" t="n">
        <v>0</v>
      </c>
      <c r="M249" t="n">
        <v>0</v>
      </c>
      <c r="N249" t="n">
        <v>0</v>
      </c>
      <c r="O249" t="n">
        <v>0</v>
      </c>
      <c r="P249" t="n">
        <v>0</v>
      </c>
      <c r="Q249" t="n">
        <v>0</v>
      </c>
      <c r="R249" s="2" t="inlineStr"/>
    </row>
    <row r="250" ht="15" customHeight="1">
      <c r="A250" t="inlineStr">
        <is>
          <t>A 52224-2019</t>
        </is>
      </c>
      <c r="B250" s="1" t="n">
        <v>43742</v>
      </c>
      <c r="C250" s="1" t="n">
        <v>45803</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54419-2019</t>
        </is>
      </c>
      <c r="B251" s="1" t="n">
        <v>43753</v>
      </c>
      <c r="C251" s="1" t="n">
        <v>45803</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54656-2019</t>
        </is>
      </c>
      <c r="B252" s="1" t="n">
        <v>43754</v>
      </c>
      <c r="C252" s="1" t="n">
        <v>45803</v>
      </c>
      <c r="D252" t="inlineStr">
        <is>
          <t>NORRBOTTENS LÄN</t>
        </is>
      </c>
      <c r="E252" t="inlineStr">
        <is>
          <t>BODEN</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54658-2019</t>
        </is>
      </c>
      <c r="B253" s="1" t="n">
        <v>43754</v>
      </c>
      <c r="C253" s="1" t="n">
        <v>45803</v>
      </c>
      <c r="D253" t="inlineStr">
        <is>
          <t>NORRBOTTENS LÄN</t>
        </is>
      </c>
      <c r="E253" t="inlineStr">
        <is>
          <t>BODEN</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55972-2019</t>
        </is>
      </c>
      <c r="B254" s="1" t="n">
        <v>43759</v>
      </c>
      <c r="C254" s="1" t="n">
        <v>45803</v>
      </c>
      <c r="D254" t="inlineStr">
        <is>
          <t>NORRBOTTENS LÄN</t>
        </is>
      </c>
      <c r="E254" t="inlineStr">
        <is>
          <t>BODEN</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55688-2019</t>
        </is>
      </c>
      <c r="B255" s="1" t="n">
        <v>43760</v>
      </c>
      <c r="C255" s="1" t="n">
        <v>45803</v>
      </c>
      <c r="D255" t="inlineStr">
        <is>
          <t>NORRBOTTENS LÄN</t>
        </is>
      </c>
      <c r="E255" t="inlineStr">
        <is>
          <t>BODEN</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55707-2019</t>
        </is>
      </c>
      <c r="B256" s="1" t="n">
        <v>43760</v>
      </c>
      <c r="C256" s="1" t="n">
        <v>45803</v>
      </c>
      <c r="D256" t="inlineStr">
        <is>
          <t>NORRBOTTENS LÄN</t>
        </is>
      </c>
      <c r="E256" t="inlineStr">
        <is>
          <t>BODEN</t>
        </is>
      </c>
      <c r="F256" t="inlineStr">
        <is>
          <t>SCA</t>
        </is>
      </c>
      <c r="G256" t="n">
        <v>7.4</v>
      </c>
      <c r="H256" t="n">
        <v>0</v>
      </c>
      <c r="I256" t="n">
        <v>0</v>
      </c>
      <c r="J256" t="n">
        <v>0</v>
      </c>
      <c r="K256" t="n">
        <v>0</v>
      </c>
      <c r="L256" t="n">
        <v>0</v>
      </c>
      <c r="M256" t="n">
        <v>0</v>
      </c>
      <c r="N256" t="n">
        <v>0</v>
      </c>
      <c r="O256" t="n">
        <v>0</v>
      </c>
      <c r="P256" t="n">
        <v>0</v>
      </c>
      <c r="Q256" t="n">
        <v>0</v>
      </c>
      <c r="R256" s="2" t="inlineStr"/>
    </row>
    <row r="257" ht="15" customHeight="1">
      <c r="A257" t="inlineStr">
        <is>
          <t>A 55708-2019</t>
        </is>
      </c>
      <c r="B257" s="1" t="n">
        <v>43760</v>
      </c>
      <c r="C257" s="1" t="n">
        <v>45803</v>
      </c>
      <c r="D257" t="inlineStr">
        <is>
          <t>NORRBOTTENS LÄN</t>
        </is>
      </c>
      <c r="E257" t="inlineStr">
        <is>
          <t>BODEN</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56444-2019</t>
        </is>
      </c>
      <c r="B258" s="1" t="n">
        <v>43762</v>
      </c>
      <c r="C258" s="1" t="n">
        <v>45803</v>
      </c>
      <c r="D258" t="inlineStr">
        <is>
          <t>NORRBOTTENS LÄN</t>
        </is>
      </c>
      <c r="E258" t="inlineStr">
        <is>
          <t>BODEN</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56442-2019</t>
        </is>
      </c>
      <c r="B259" s="1" t="n">
        <v>43762</v>
      </c>
      <c r="C259" s="1" t="n">
        <v>45803</v>
      </c>
      <c r="D259" t="inlineStr">
        <is>
          <t>NORRBOTTENS LÄN</t>
        </is>
      </c>
      <c r="E259" t="inlineStr">
        <is>
          <t>BODEN</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56807-2019</t>
        </is>
      </c>
      <c r="B260" s="1" t="n">
        <v>43763</v>
      </c>
      <c r="C260" s="1" t="n">
        <v>45803</v>
      </c>
      <c r="D260" t="inlineStr">
        <is>
          <t>NORRBOTTENS LÄN</t>
        </is>
      </c>
      <c r="E260" t="inlineStr">
        <is>
          <t>BODEN</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57012-2019</t>
        </is>
      </c>
      <c r="B261" s="1" t="n">
        <v>43766</v>
      </c>
      <c r="C261" s="1" t="n">
        <v>45803</v>
      </c>
      <c r="D261" t="inlineStr">
        <is>
          <t>NORRBOTTENS LÄN</t>
        </is>
      </c>
      <c r="E261" t="inlineStr">
        <is>
          <t>BODEN</t>
        </is>
      </c>
      <c r="G261" t="n">
        <v>4.6</v>
      </c>
      <c r="H261" t="n">
        <v>0</v>
      </c>
      <c r="I261" t="n">
        <v>0</v>
      </c>
      <c r="J261" t="n">
        <v>0</v>
      </c>
      <c r="K261" t="n">
        <v>0</v>
      </c>
      <c r="L261" t="n">
        <v>0</v>
      </c>
      <c r="M261" t="n">
        <v>0</v>
      </c>
      <c r="N261" t="n">
        <v>0</v>
      </c>
      <c r="O261" t="n">
        <v>0</v>
      </c>
      <c r="P261" t="n">
        <v>0</v>
      </c>
      <c r="Q261" t="n">
        <v>0</v>
      </c>
      <c r="R261" s="2" t="inlineStr"/>
    </row>
    <row r="262" ht="15" customHeight="1">
      <c r="A262" t="inlineStr">
        <is>
          <t>A 57170-2019</t>
        </is>
      </c>
      <c r="B262" s="1" t="n">
        <v>43766</v>
      </c>
      <c r="C262" s="1" t="n">
        <v>45803</v>
      </c>
      <c r="D262" t="inlineStr">
        <is>
          <t>NORRBOTTENS LÄN</t>
        </is>
      </c>
      <c r="E262" t="inlineStr">
        <is>
          <t>BODEN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59216-2019</t>
        </is>
      </c>
      <c r="B263" s="1" t="n">
        <v>43770</v>
      </c>
      <c r="C263" s="1" t="n">
        <v>45803</v>
      </c>
      <c r="D263" t="inlineStr">
        <is>
          <t>NORRBOTTENS LÄN</t>
        </is>
      </c>
      <c r="E263" t="inlineStr">
        <is>
          <t>BODEN</t>
        </is>
      </c>
      <c r="G263" t="n">
        <v>3.2</v>
      </c>
      <c r="H263" t="n">
        <v>0</v>
      </c>
      <c r="I263" t="n">
        <v>0</v>
      </c>
      <c r="J263" t="n">
        <v>0</v>
      </c>
      <c r="K263" t="n">
        <v>0</v>
      </c>
      <c r="L263" t="n">
        <v>0</v>
      </c>
      <c r="M263" t="n">
        <v>0</v>
      </c>
      <c r="N263" t="n">
        <v>0</v>
      </c>
      <c r="O263" t="n">
        <v>0</v>
      </c>
      <c r="P263" t="n">
        <v>0</v>
      </c>
      <c r="Q263" t="n">
        <v>0</v>
      </c>
      <c r="R263" s="2" t="inlineStr"/>
    </row>
    <row r="264" ht="15" customHeight="1">
      <c r="A264" t="inlineStr">
        <is>
          <t>A 58477-2019</t>
        </is>
      </c>
      <c r="B264" s="1" t="n">
        <v>43773</v>
      </c>
      <c r="C264" s="1" t="n">
        <v>45803</v>
      </c>
      <c r="D264" t="inlineStr">
        <is>
          <t>NORRBOTTENS LÄN</t>
        </is>
      </c>
      <c r="E264" t="inlineStr">
        <is>
          <t>BODEN</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59081-2019</t>
        </is>
      </c>
      <c r="B265" s="1" t="n">
        <v>43774</v>
      </c>
      <c r="C265" s="1" t="n">
        <v>45803</v>
      </c>
      <c r="D265" t="inlineStr">
        <is>
          <t>NORRBOTTENS LÄN</t>
        </is>
      </c>
      <c r="E265" t="inlineStr">
        <is>
          <t>BODEN</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60599-2019</t>
        </is>
      </c>
      <c r="B266" s="1" t="n">
        <v>43777</v>
      </c>
      <c r="C266" s="1" t="n">
        <v>45803</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60576-2019</t>
        </is>
      </c>
      <c r="B267" s="1" t="n">
        <v>43781</v>
      </c>
      <c r="C267" s="1" t="n">
        <v>45803</v>
      </c>
      <c r="D267" t="inlineStr">
        <is>
          <t>NORRBOTTENS LÄN</t>
        </is>
      </c>
      <c r="E267" t="inlineStr">
        <is>
          <t>BODEN</t>
        </is>
      </c>
      <c r="G267" t="n">
        <v>2.8</v>
      </c>
      <c r="H267" t="n">
        <v>0</v>
      </c>
      <c r="I267" t="n">
        <v>0</v>
      </c>
      <c r="J267" t="n">
        <v>0</v>
      </c>
      <c r="K267" t="n">
        <v>0</v>
      </c>
      <c r="L267" t="n">
        <v>0</v>
      </c>
      <c r="M267" t="n">
        <v>0</v>
      </c>
      <c r="N267" t="n">
        <v>0</v>
      </c>
      <c r="O267" t="n">
        <v>0</v>
      </c>
      <c r="P267" t="n">
        <v>0</v>
      </c>
      <c r="Q267" t="n">
        <v>0</v>
      </c>
      <c r="R267" s="2" t="inlineStr"/>
    </row>
    <row r="268" ht="15" customHeight="1">
      <c r="A268" t="inlineStr">
        <is>
          <t>A 60856-2019</t>
        </is>
      </c>
      <c r="B268" s="1" t="n">
        <v>43781</v>
      </c>
      <c r="C268" s="1" t="n">
        <v>45803</v>
      </c>
      <c r="D268" t="inlineStr">
        <is>
          <t>NORRBOTTENS LÄN</t>
        </is>
      </c>
      <c r="E268" t="inlineStr">
        <is>
          <t>BODEN</t>
        </is>
      </c>
      <c r="G268" t="n">
        <v>0.5</v>
      </c>
      <c r="H268" t="n">
        <v>0</v>
      </c>
      <c r="I268" t="n">
        <v>0</v>
      </c>
      <c r="J268" t="n">
        <v>0</v>
      </c>
      <c r="K268" t="n">
        <v>0</v>
      </c>
      <c r="L268" t="n">
        <v>0</v>
      </c>
      <c r="M268" t="n">
        <v>0</v>
      </c>
      <c r="N268" t="n">
        <v>0</v>
      </c>
      <c r="O268" t="n">
        <v>0</v>
      </c>
      <c r="P268" t="n">
        <v>0</v>
      </c>
      <c r="Q268" t="n">
        <v>0</v>
      </c>
      <c r="R268" s="2" t="inlineStr"/>
    </row>
    <row r="269" ht="15" customHeight="1">
      <c r="A269" t="inlineStr">
        <is>
          <t>A 61199-2019</t>
        </is>
      </c>
      <c r="B269" s="1" t="n">
        <v>43782</v>
      </c>
      <c r="C269" s="1" t="n">
        <v>45803</v>
      </c>
      <c r="D269" t="inlineStr">
        <is>
          <t>NORRBOTTENS LÄN</t>
        </is>
      </c>
      <c r="E269" t="inlineStr">
        <is>
          <t>BODEN</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61770-2019</t>
        </is>
      </c>
      <c r="B270" s="1" t="n">
        <v>43784</v>
      </c>
      <c r="C270" s="1" t="n">
        <v>45803</v>
      </c>
      <c r="D270" t="inlineStr">
        <is>
          <t>NORRBOTTENS LÄN</t>
        </is>
      </c>
      <c r="E270" t="inlineStr">
        <is>
          <t>BODEN</t>
        </is>
      </c>
      <c r="G270" t="n">
        <v>2.5</v>
      </c>
      <c r="H270" t="n">
        <v>0</v>
      </c>
      <c r="I270" t="n">
        <v>0</v>
      </c>
      <c r="J270" t="n">
        <v>0</v>
      </c>
      <c r="K270" t="n">
        <v>0</v>
      </c>
      <c r="L270" t="n">
        <v>0</v>
      </c>
      <c r="M270" t="n">
        <v>0</v>
      </c>
      <c r="N270" t="n">
        <v>0</v>
      </c>
      <c r="O270" t="n">
        <v>0</v>
      </c>
      <c r="P270" t="n">
        <v>0</v>
      </c>
      <c r="Q270" t="n">
        <v>0</v>
      </c>
      <c r="R270" s="2" t="inlineStr"/>
    </row>
    <row r="271" ht="15" customHeight="1">
      <c r="A271" t="inlineStr">
        <is>
          <t>A 61769-2019</t>
        </is>
      </c>
      <c r="B271" s="1" t="n">
        <v>43784</v>
      </c>
      <c r="C271" s="1" t="n">
        <v>45803</v>
      </c>
      <c r="D271" t="inlineStr">
        <is>
          <t>NORRBOTTENS LÄN</t>
        </is>
      </c>
      <c r="E271" t="inlineStr">
        <is>
          <t>BODEN</t>
        </is>
      </c>
      <c r="G271" t="n">
        <v>0.6</v>
      </c>
      <c r="H271" t="n">
        <v>0</v>
      </c>
      <c r="I271" t="n">
        <v>0</v>
      </c>
      <c r="J271" t="n">
        <v>0</v>
      </c>
      <c r="K271" t="n">
        <v>0</v>
      </c>
      <c r="L271" t="n">
        <v>0</v>
      </c>
      <c r="M271" t="n">
        <v>0</v>
      </c>
      <c r="N271" t="n">
        <v>0</v>
      </c>
      <c r="O271" t="n">
        <v>0</v>
      </c>
      <c r="P271" t="n">
        <v>0</v>
      </c>
      <c r="Q271" t="n">
        <v>0</v>
      </c>
      <c r="R271" s="2" t="inlineStr"/>
    </row>
    <row r="272" ht="15" customHeight="1">
      <c r="A272" t="inlineStr">
        <is>
          <t>A 62164-2019</t>
        </is>
      </c>
      <c r="B272" s="1" t="n">
        <v>43787</v>
      </c>
      <c r="C272" s="1" t="n">
        <v>45803</v>
      </c>
      <c r="D272" t="inlineStr">
        <is>
          <t>NORRBOTTENS LÄN</t>
        </is>
      </c>
      <c r="E272" t="inlineStr">
        <is>
          <t>BODEN</t>
        </is>
      </c>
      <c r="F272" t="inlineStr">
        <is>
          <t>SCA</t>
        </is>
      </c>
      <c r="G272" t="n">
        <v>10.7</v>
      </c>
      <c r="H272" t="n">
        <v>0</v>
      </c>
      <c r="I272" t="n">
        <v>0</v>
      </c>
      <c r="J272" t="n">
        <v>0</v>
      </c>
      <c r="K272" t="n">
        <v>0</v>
      </c>
      <c r="L272" t="n">
        <v>0</v>
      </c>
      <c r="M272" t="n">
        <v>0</v>
      </c>
      <c r="N272" t="n">
        <v>0</v>
      </c>
      <c r="O272" t="n">
        <v>0</v>
      </c>
      <c r="P272" t="n">
        <v>0</v>
      </c>
      <c r="Q272" t="n">
        <v>0</v>
      </c>
      <c r="R272" s="2" t="inlineStr"/>
    </row>
    <row r="273" ht="15" customHeight="1">
      <c r="A273" t="inlineStr">
        <is>
          <t>A 62710-2019</t>
        </is>
      </c>
      <c r="B273" s="1" t="n">
        <v>43789</v>
      </c>
      <c r="C273" s="1" t="n">
        <v>45803</v>
      </c>
      <c r="D273" t="inlineStr">
        <is>
          <t>NORRBOTTENS LÄN</t>
        </is>
      </c>
      <c r="E273" t="inlineStr">
        <is>
          <t>BODEN</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64411-2019</t>
        </is>
      </c>
      <c r="B274" s="1" t="n">
        <v>43794</v>
      </c>
      <c r="C274" s="1" t="n">
        <v>45803</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64171-2019</t>
        </is>
      </c>
      <c r="B275" s="1" t="n">
        <v>43797</v>
      </c>
      <c r="C275" s="1" t="n">
        <v>45803</v>
      </c>
      <c r="D275" t="inlineStr">
        <is>
          <t>NORRBOTTENS LÄN</t>
        </is>
      </c>
      <c r="E275" t="inlineStr">
        <is>
          <t>BODEN</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64352-2019</t>
        </is>
      </c>
      <c r="B276" s="1" t="n">
        <v>43797</v>
      </c>
      <c r="C276" s="1" t="n">
        <v>45803</v>
      </c>
      <c r="D276" t="inlineStr">
        <is>
          <t>NORRBOTTENS LÄN</t>
        </is>
      </c>
      <c r="E276" t="inlineStr">
        <is>
          <t>BODEN</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65019-2019</t>
        </is>
      </c>
      <c r="B277" s="1" t="n">
        <v>43801</v>
      </c>
      <c r="C277" s="1" t="n">
        <v>45803</v>
      </c>
      <c r="D277" t="inlineStr">
        <is>
          <t>NORRBOTTENS LÄN</t>
        </is>
      </c>
      <c r="E277" t="inlineStr">
        <is>
          <t>BODEN</t>
        </is>
      </c>
      <c r="F277" t="inlineStr">
        <is>
          <t>Kommuner</t>
        </is>
      </c>
      <c r="G277" t="n">
        <v>9.1</v>
      </c>
      <c r="H277" t="n">
        <v>0</v>
      </c>
      <c r="I277" t="n">
        <v>0</v>
      </c>
      <c r="J277" t="n">
        <v>0</v>
      </c>
      <c r="K277" t="n">
        <v>0</v>
      </c>
      <c r="L277" t="n">
        <v>0</v>
      </c>
      <c r="M277" t="n">
        <v>0</v>
      </c>
      <c r="N277" t="n">
        <v>0</v>
      </c>
      <c r="O277" t="n">
        <v>0</v>
      </c>
      <c r="P277" t="n">
        <v>0</v>
      </c>
      <c r="Q277" t="n">
        <v>0</v>
      </c>
      <c r="R277" s="2" t="inlineStr"/>
    </row>
    <row r="278" ht="15" customHeight="1">
      <c r="A278" t="inlineStr">
        <is>
          <t>A 65099-2019</t>
        </is>
      </c>
      <c r="B278" s="1" t="n">
        <v>43802</v>
      </c>
      <c r="C278" s="1" t="n">
        <v>45803</v>
      </c>
      <c r="D278" t="inlineStr">
        <is>
          <t>NORRBOTTENS LÄN</t>
        </is>
      </c>
      <c r="E278" t="inlineStr">
        <is>
          <t>BODEN</t>
        </is>
      </c>
      <c r="G278" t="n">
        <v>4.2</v>
      </c>
      <c r="H278" t="n">
        <v>0</v>
      </c>
      <c r="I278" t="n">
        <v>0</v>
      </c>
      <c r="J278" t="n">
        <v>0</v>
      </c>
      <c r="K278" t="n">
        <v>0</v>
      </c>
      <c r="L278" t="n">
        <v>0</v>
      </c>
      <c r="M278" t="n">
        <v>0</v>
      </c>
      <c r="N278" t="n">
        <v>0</v>
      </c>
      <c r="O278" t="n">
        <v>0</v>
      </c>
      <c r="P278" t="n">
        <v>0</v>
      </c>
      <c r="Q278" t="n">
        <v>0</v>
      </c>
      <c r="R278" s="2" t="inlineStr"/>
    </row>
    <row r="279" ht="15" customHeight="1">
      <c r="A279" t="inlineStr">
        <is>
          <t>A 65753-2019</t>
        </is>
      </c>
      <c r="B279" s="1" t="n">
        <v>43804</v>
      </c>
      <c r="C279" s="1" t="n">
        <v>45803</v>
      </c>
      <c r="D279" t="inlineStr">
        <is>
          <t>NORRBOTTENS LÄN</t>
        </is>
      </c>
      <c r="E279" t="inlineStr">
        <is>
          <t>BODEN</t>
        </is>
      </c>
      <c r="F279" t="inlineStr">
        <is>
          <t>Kommuner</t>
        </is>
      </c>
      <c r="G279" t="n">
        <v>7.8</v>
      </c>
      <c r="H279" t="n">
        <v>0</v>
      </c>
      <c r="I279" t="n">
        <v>0</v>
      </c>
      <c r="J279" t="n">
        <v>0</v>
      </c>
      <c r="K279" t="n">
        <v>0</v>
      </c>
      <c r="L279" t="n">
        <v>0</v>
      </c>
      <c r="M279" t="n">
        <v>0</v>
      </c>
      <c r="N279" t="n">
        <v>0</v>
      </c>
      <c r="O279" t="n">
        <v>0</v>
      </c>
      <c r="P279" t="n">
        <v>0</v>
      </c>
      <c r="Q279" t="n">
        <v>0</v>
      </c>
      <c r="R279" s="2" t="inlineStr"/>
    </row>
    <row r="280" ht="15" customHeight="1">
      <c r="A280" t="inlineStr">
        <is>
          <t>A 67143-2019</t>
        </is>
      </c>
      <c r="B280" s="1" t="n">
        <v>43805</v>
      </c>
      <c r="C280" s="1" t="n">
        <v>45803</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66103-2019</t>
        </is>
      </c>
      <c r="B281" s="1" t="n">
        <v>43807</v>
      </c>
      <c r="C281" s="1" t="n">
        <v>45803</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66404-2019</t>
        </is>
      </c>
      <c r="B282" s="1" t="n">
        <v>43809</v>
      </c>
      <c r="C282" s="1" t="n">
        <v>45803</v>
      </c>
      <c r="D282" t="inlineStr">
        <is>
          <t>NORRBOTTENS LÄN</t>
        </is>
      </c>
      <c r="E282" t="inlineStr">
        <is>
          <t>BODEN</t>
        </is>
      </c>
      <c r="G282" t="n">
        <v>4.3</v>
      </c>
      <c r="H282" t="n">
        <v>0</v>
      </c>
      <c r="I282" t="n">
        <v>0</v>
      </c>
      <c r="J282" t="n">
        <v>0</v>
      </c>
      <c r="K282" t="n">
        <v>0</v>
      </c>
      <c r="L282" t="n">
        <v>0</v>
      </c>
      <c r="M282" t="n">
        <v>0</v>
      </c>
      <c r="N282" t="n">
        <v>0</v>
      </c>
      <c r="O282" t="n">
        <v>0</v>
      </c>
      <c r="P282" t="n">
        <v>0</v>
      </c>
      <c r="Q282" t="n">
        <v>0</v>
      </c>
      <c r="R282" s="2" t="inlineStr"/>
    </row>
    <row r="283" ht="15" customHeight="1">
      <c r="A283" t="inlineStr">
        <is>
          <t>A 66908-2019</t>
        </is>
      </c>
      <c r="B283" s="1" t="n">
        <v>43810</v>
      </c>
      <c r="C283" s="1" t="n">
        <v>45803</v>
      </c>
      <c r="D283" t="inlineStr">
        <is>
          <t>NORRBOTTENS LÄN</t>
        </is>
      </c>
      <c r="E283" t="inlineStr">
        <is>
          <t>BODEN</t>
        </is>
      </c>
      <c r="F283" t="inlineStr">
        <is>
          <t>Sveaskog</t>
        </is>
      </c>
      <c r="G283" t="n">
        <v>29.2</v>
      </c>
      <c r="H283" t="n">
        <v>0</v>
      </c>
      <c r="I283" t="n">
        <v>0</v>
      </c>
      <c r="J283" t="n">
        <v>0</v>
      </c>
      <c r="K283" t="n">
        <v>0</v>
      </c>
      <c r="L283" t="n">
        <v>0</v>
      </c>
      <c r="M283" t="n">
        <v>0</v>
      </c>
      <c r="N283" t="n">
        <v>0</v>
      </c>
      <c r="O283" t="n">
        <v>0</v>
      </c>
      <c r="P283" t="n">
        <v>0</v>
      </c>
      <c r="Q283" t="n">
        <v>0</v>
      </c>
      <c r="R283" s="2" t="inlineStr"/>
    </row>
    <row r="284" ht="15" customHeight="1">
      <c r="A284" t="inlineStr">
        <is>
          <t>A 67938-2019</t>
        </is>
      </c>
      <c r="B284" s="1" t="n">
        <v>43816</v>
      </c>
      <c r="C284" s="1" t="n">
        <v>45803</v>
      </c>
      <c r="D284" t="inlineStr">
        <is>
          <t>NORRBOTTENS LÄN</t>
        </is>
      </c>
      <c r="E284" t="inlineStr">
        <is>
          <t>BODEN</t>
        </is>
      </c>
      <c r="G284" t="n">
        <v>2.7</v>
      </c>
      <c r="H284" t="n">
        <v>0</v>
      </c>
      <c r="I284" t="n">
        <v>0</v>
      </c>
      <c r="J284" t="n">
        <v>0</v>
      </c>
      <c r="K284" t="n">
        <v>0</v>
      </c>
      <c r="L284" t="n">
        <v>0</v>
      </c>
      <c r="M284" t="n">
        <v>0</v>
      </c>
      <c r="N284" t="n">
        <v>0</v>
      </c>
      <c r="O284" t="n">
        <v>0</v>
      </c>
      <c r="P284" t="n">
        <v>0</v>
      </c>
      <c r="Q284" t="n">
        <v>0</v>
      </c>
      <c r="R284" s="2" t="inlineStr"/>
    </row>
    <row r="285" ht="15" customHeight="1">
      <c r="A285" t="inlineStr">
        <is>
          <t>A 687-2020</t>
        </is>
      </c>
      <c r="B285" s="1" t="n">
        <v>43819</v>
      </c>
      <c r="C285" s="1" t="n">
        <v>45803</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1560-2020</t>
        </is>
      </c>
      <c r="B286" s="1" t="n">
        <v>43843</v>
      </c>
      <c r="C286" s="1" t="n">
        <v>45803</v>
      </c>
      <c r="D286" t="inlineStr">
        <is>
          <t>NORRBOTTENS LÄN</t>
        </is>
      </c>
      <c r="E286" t="inlineStr">
        <is>
          <t>BODEN</t>
        </is>
      </c>
      <c r="F286" t="inlineStr">
        <is>
          <t>SCA</t>
        </is>
      </c>
      <c r="G286" t="n">
        <v>4.5</v>
      </c>
      <c r="H286" t="n">
        <v>0</v>
      </c>
      <c r="I286" t="n">
        <v>0</v>
      </c>
      <c r="J286" t="n">
        <v>0</v>
      </c>
      <c r="K286" t="n">
        <v>0</v>
      </c>
      <c r="L286" t="n">
        <v>0</v>
      </c>
      <c r="M286" t="n">
        <v>0</v>
      </c>
      <c r="N286" t="n">
        <v>0</v>
      </c>
      <c r="O286" t="n">
        <v>0</v>
      </c>
      <c r="P286" t="n">
        <v>0</v>
      </c>
      <c r="Q286" t="n">
        <v>0</v>
      </c>
      <c r="R286" s="2" t="inlineStr"/>
    </row>
    <row r="287" ht="15" customHeight="1">
      <c r="A287" t="inlineStr">
        <is>
          <t>A 2901-2020</t>
        </is>
      </c>
      <c r="B287" s="1" t="n">
        <v>43850</v>
      </c>
      <c r="C287" s="1" t="n">
        <v>45803</v>
      </c>
      <c r="D287" t="inlineStr">
        <is>
          <t>NORRBOTTENS LÄN</t>
        </is>
      </c>
      <c r="E287" t="inlineStr">
        <is>
          <t>BODEN</t>
        </is>
      </c>
      <c r="F287" t="inlineStr">
        <is>
          <t>Övriga statliga verk och myndigheter</t>
        </is>
      </c>
      <c r="G287" t="n">
        <v>12.1</v>
      </c>
      <c r="H287" t="n">
        <v>0</v>
      </c>
      <c r="I287" t="n">
        <v>0</v>
      </c>
      <c r="J287" t="n">
        <v>0</v>
      </c>
      <c r="K287" t="n">
        <v>0</v>
      </c>
      <c r="L287" t="n">
        <v>0</v>
      </c>
      <c r="M287" t="n">
        <v>0</v>
      </c>
      <c r="N287" t="n">
        <v>0</v>
      </c>
      <c r="O287" t="n">
        <v>0</v>
      </c>
      <c r="P287" t="n">
        <v>0</v>
      </c>
      <c r="Q287" t="n">
        <v>0</v>
      </c>
      <c r="R287" s="2" t="inlineStr"/>
    </row>
    <row r="288" ht="15" customHeight="1">
      <c r="A288" t="inlineStr">
        <is>
          <t>A 2894-2020</t>
        </is>
      </c>
      <c r="B288" s="1" t="n">
        <v>43850</v>
      </c>
      <c r="C288" s="1" t="n">
        <v>45803</v>
      </c>
      <c r="D288" t="inlineStr">
        <is>
          <t>NORRBOTTENS LÄN</t>
        </is>
      </c>
      <c r="E288" t="inlineStr">
        <is>
          <t>BODEN</t>
        </is>
      </c>
      <c r="F288" t="inlineStr">
        <is>
          <t>Övriga statliga verk och myndigheter</t>
        </is>
      </c>
      <c r="G288" t="n">
        <v>19.1</v>
      </c>
      <c r="H288" t="n">
        <v>0</v>
      </c>
      <c r="I288" t="n">
        <v>0</v>
      </c>
      <c r="J288" t="n">
        <v>0</v>
      </c>
      <c r="K288" t="n">
        <v>0</v>
      </c>
      <c r="L288" t="n">
        <v>0</v>
      </c>
      <c r="M288" t="n">
        <v>0</v>
      </c>
      <c r="N288" t="n">
        <v>0</v>
      </c>
      <c r="O288" t="n">
        <v>0</v>
      </c>
      <c r="P288" t="n">
        <v>0</v>
      </c>
      <c r="Q288" t="n">
        <v>0</v>
      </c>
      <c r="R288" s="2" t="inlineStr"/>
    </row>
    <row r="289" ht="15" customHeight="1">
      <c r="A289" t="inlineStr">
        <is>
          <t>A 3669-2020</t>
        </is>
      </c>
      <c r="B289" s="1" t="n">
        <v>43853</v>
      </c>
      <c r="C289" s="1" t="n">
        <v>45803</v>
      </c>
      <c r="D289" t="inlineStr">
        <is>
          <t>NORRBOTTENS LÄN</t>
        </is>
      </c>
      <c r="E289" t="inlineStr">
        <is>
          <t>BODEN</t>
        </is>
      </c>
      <c r="G289" t="n">
        <v>6.3</v>
      </c>
      <c r="H289" t="n">
        <v>0</v>
      </c>
      <c r="I289" t="n">
        <v>0</v>
      </c>
      <c r="J289" t="n">
        <v>0</v>
      </c>
      <c r="K289" t="n">
        <v>0</v>
      </c>
      <c r="L289" t="n">
        <v>0</v>
      </c>
      <c r="M289" t="n">
        <v>0</v>
      </c>
      <c r="N289" t="n">
        <v>0</v>
      </c>
      <c r="O289" t="n">
        <v>0</v>
      </c>
      <c r="P289" t="n">
        <v>0</v>
      </c>
      <c r="Q289" t="n">
        <v>0</v>
      </c>
      <c r="R289" s="2" t="inlineStr"/>
    </row>
    <row r="290" ht="15" customHeight="1">
      <c r="A290" t="inlineStr">
        <is>
          <t>A 4223-2020</t>
        </is>
      </c>
      <c r="B290" s="1" t="n">
        <v>43854</v>
      </c>
      <c r="C290" s="1" t="n">
        <v>45803</v>
      </c>
      <c r="D290" t="inlineStr">
        <is>
          <t>NORRBOTTENS LÄN</t>
        </is>
      </c>
      <c r="E290" t="inlineStr">
        <is>
          <t>BODEN</t>
        </is>
      </c>
      <c r="G290" t="n">
        <v>3.8</v>
      </c>
      <c r="H290" t="n">
        <v>0</v>
      </c>
      <c r="I290" t="n">
        <v>0</v>
      </c>
      <c r="J290" t="n">
        <v>0</v>
      </c>
      <c r="K290" t="n">
        <v>0</v>
      </c>
      <c r="L290" t="n">
        <v>0</v>
      </c>
      <c r="M290" t="n">
        <v>0</v>
      </c>
      <c r="N290" t="n">
        <v>0</v>
      </c>
      <c r="O290" t="n">
        <v>0</v>
      </c>
      <c r="P290" t="n">
        <v>0</v>
      </c>
      <c r="Q290" t="n">
        <v>0</v>
      </c>
      <c r="R290" s="2" t="inlineStr"/>
    </row>
    <row r="291" ht="15" customHeight="1">
      <c r="A291" t="inlineStr">
        <is>
          <t>A 5526-2020</t>
        </is>
      </c>
      <c r="B291" s="1" t="n">
        <v>43859</v>
      </c>
      <c r="C291" s="1" t="n">
        <v>45803</v>
      </c>
      <c r="D291" t="inlineStr">
        <is>
          <t>NORRBOTTENS LÄN</t>
        </is>
      </c>
      <c r="E291" t="inlineStr">
        <is>
          <t>BODEN</t>
        </is>
      </c>
      <c r="G291" t="n">
        <v>7.8</v>
      </c>
      <c r="H291" t="n">
        <v>0</v>
      </c>
      <c r="I291" t="n">
        <v>0</v>
      </c>
      <c r="J291" t="n">
        <v>0</v>
      </c>
      <c r="K291" t="n">
        <v>0</v>
      </c>
      <c r="L291" t="n">
        <v>0</v>
      </c>
      <c r="M291" t="n">
        <v>0</v>
      </c>
      <c r="N291" t="n">
        <v>0</v>
      </c>
      <c r="O291" t="n">
        <v>0</v>
      </c>
      <c r="P291" t="n">
        <v>0</v>
      </c>
      <c r="Q291" t="n">
        <v>0</v>
      </c>
      <c r="R291" s="2" t="inlineStr"/>
    </row>
    <row r="292" ht="15" customHeight="1">
      <c r="A292" t="inlineStr">
        <is>
          <t>A 6516-2020</t>
        </is>
      </c>
      <c r="B292" s="1" t="n">
        <v>43865</v>
      </c>
      <c r="C292" s="1" t="n">
        <v>45803</v>
      </c>
      <c r="D292" t="inlineStr">
        <is>
          <t>NORRBOTTENS LÄN</t>
        </is>
      </c>
      <c r="E292" t="inlineStr">
        <is>
          <t>BODEN</t>
        </is>
      </c>
      <c r="G292" t="n">
        <v>5.5</v>
      </c>
      <c r="H292" t="n">
        <v>0</v>
      </c>
      <c r="I292" t="n">
        <v>0</v>
      </c>
      <c r="J292" t="n">
        <v>0</v>
      </c>
      <c r="K292" t="n">
        <v>0</v>
      </c>
      <c r="L292" t="n">
        <v>0</v>
      </c>
      <c r="M292" t="n">
        <v>0</v>
      </c>
      <c r="N292" t="n">
        <v>0</v>
      </c>
      <c r="O292" t="n">
        <v>0</v>
      </c>
      <c r="P292" t="n">
        <v>0</v>
      </c>
      <c r="Q292" t="n">
        <v>0</v>
      </c>
      <c r="R292" s="2" t="inlineStr"/>
    </row>
    <row r="293" ht="15" customHeight="1">
      <c r="A293" t="inlineStr">
        <is>
          <t>A 8096-2020</t>
        </is>
      </c>
      <c r="B293" s="1" t="n">
        <v>43874</v>
      </c>
      <c r="C293" s="1" t="n">
        <v>45803</v>
      </c>
      <c r="D293" t="inlineStr">
        <is>
          <t>NORRBOTTENS LÄN</t>
        </is>
      </c>
      <c r="E293" t="inlineStr">
        <is>
          <t>BODEN</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10591-2020</t>
        </is>
      </c>
      <c r="B294" s="1" t="n">
        <v>43887</v>
      </c>
      <c r="C294" s="1" t="n">
        <v>45803</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12358-2020</t>
        </is>
      </c>
      <c r="B295" s="1" t="n">
        <v>43896</v>
      </c>
      <c r="C295" s="1" t="n">
        <v>45803</v>
      </c>
      <c r="D295" t="inlineStr">
        <is>
          <t>NORRBOTTENS LÄN</t>
        </is>
      </c>
      <c r="E295" t="inlineStr">
        <is>
          <t>BODEN</t>
        </is>
      </c>
      <c r="G295" t="n">
        <v>2.5</v>
      </c>
      <c r="H295" t="n">
        <v>0</v>
      </c>
      <c r="I295" t="n">
        <v>0</v>
      </c>
      <c r="J295" t="n">
        <v>0</v>
      </c>
      <c r="K295" t="n">
        <v>0</v>
      </c>
      <c r="L295" t="n">
        <v>0</v>
      </c>
      <c r="M295" t="n">
        <v>0</v>
      </c>
      <c r="N295" t="n">
        <v>0</v>
      </c>
      <c r="O295" t="n">
        <v>0</v>
      </c>
      <c r="P295" t="n">
        <v>0</v>
      </c>
      <c r="Q295" t="n">
        <v>0</v>
      </c>
      <c r="R295" s="2" t="inlineStr"/>
    </row>
    <row r="296" ht="15" customHeight="1">
      <c r="A296" t="inlineStr">
        <is>
          <t>A 13119-2020</t>
        </is>
      </c>
      <c r="B296" s="1" t="n">
        <v>43901</v>
      </c>
      <c r="C296" s="1" t="n">
        <v>45803</v>
      </c>
      <c r="D296" t="inlineStr">
        <is>
          <t>NORRBOTTENS LÄN</t>
        </is>
      </c>
      <c r="E296" t="inlineStr">
        <is>
          <t>BODEN</t>
        </is>
      </c>
      <c r="F296" t="inlineStr">
        <is>
          <t>Sveaskog</t>
        </is>
      </c>
      <c r="G296" t="n">
        <v>32.5</v>
      </c>
      <c r="H296" t="n">
        <v>0</v>
      </c>
      <c r="I296" t="n">
        <v>0</v>
      </c>
      <c r="J296" t="n">
        <v>0</v>
      </c>
      <c r="K296" t="n">
        <v>0</v>
      </c>
      <c r="L296" t="n">
        <v>0</v>
      </c>
      <c r="M296" t="n">
        <v>0</v>
      </c>
      <c r="N296" t="n">
        <v>0</v>
      </c>
      <c r="O296" t="n">
        <v>0</v>
      </c>
      <c r="P296" t="n">
        <v>0</v>
      </c>
      <c r="Q296" t="n">
        <v>0</v>
      </c>
      <c r="R296" s="2" t="inlineStr"/>
    </row>
    <row r="297" ht="15" customHeight="1">
      <c r="A297" t="inlineStr">
        <is>
          <t>A 13123-2020</t>
        </is>
      </c>
      <c r="B297" s="1" t="n">
        <v>43901</v>
      </c>
      <c r="C297" s="1" t="n">
        <v>45803</v>
      </c>
      <c r="D297" t="inlineStr">
        <is>
          <t>NORRBOTTENS LÄN</t>
        </is>
      </c>
      <c r="E297" t="inlineStr">
        <is>
          <t>BODEN</t>
        </is>
      </c>
      <c r="F297" t="inlineStr">
        <is>
          <t>Sveaskog</t>
        </is>
      </c>
      <c r="G297" t="n">
        <v>41.8</v>
      </c>
      <c r="H297" t="n">
        <v>0</v>
      </c>
      <c r="I297" t="n">
        <v>0</v>
      </c>
      <c r="J297" t="n">
        <v>0</v>
      </c>
      <c r="K297" t="n">
        <v>0</v>
      </c>
      <c r="L297" t="n">
        <v>0</v>
      </c>
      <c r="M297" t="n">
        <v>0</v>
      </c>
      <c r="N297" t="n">
        <v>0</v>
      </c>
      <c r="O297" t="n">
        <v>0</v>
      </c>
      <c r="P297" t="n">
        <v>0</v>
      </c>
      <c r="Q297" t="n">
        <v>0</v>
      </c>
      <c r="R297" s="2" t="inlineStr"/>
    </row>
    <row r="298" ht="15" customHeight="1">
      <c r="A298" t="inlineStr">
        <is>
          <t>A 13293-2020</t>
        </is>
      </c>
      <c r="B298" s="1" t="n">
        <v>43901</v>
      </c>
      <c r="C298" s="1" t="n">
        <v>45803</v>
      </c>
      <c r="D298" t="inlineStr">
        <is>
          <t>NORRBOTTENS LÄN</t>
        </is>
      </c>
      <c r="E298" t="inlineStr">
        <is>
          <t>BODEN</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13821-2020</t>
        </is>
      </c>
      <c r="B299" s="1" t="n">
        <v>43905</v>
      </c>
      <c r="C299" s="1" t="n">
        <v>45803</v>
      </c>
      <c r="D299" t="inlineStr">
        <is>
          <t>NORRBOTTENS LÄN</t>
        </is>
      </c>
      <c r="E299" t="inlineStr">
        <is>
          <t>BODEN</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14325-2020</t>
        </is>
      </c>
      <c r="B300" s="1" t="n">
        <v>43907</v>
      </c>
      <c r="C300" s="1" t="n">
        <v>45803</v>
      </c>
      <c r="D300" t="inlineStr">
        <is>
          <t>NORRBOTTENS LÄN</t>
        </is>
      </c>
      <c r="E300" t="inlineStr">
        <is>
          <t>BODEN</t>
        </is>
      </c>
      <c r="F300" t="inlineStr">
        <is>
          <t>SCA</t>
        </is>
      </c>
      <c r="G300" t="n">
        <v>1.6</v>
      </c>
      <c r="H300" t="n">
        <v>0</v>
      </c>
      <c r="I300" t="n">
        <v>0</v>
      </c>
      <c r="J300" t="n">
        <v>0</v>
      </c>
      <c r="K300" t="n">
        <v>0</v>
      </c>
      <c r="L300" t="n">
        <v>0</v>
      </c>
      <c r="M300" t="n">
        <v>0</v>
      </c>
      <c r="N300" t="n">
        <v>0</v>
      </c>
      <c r="O300" t="n">
        <v>0</v>
      </c>
      <c r="P300" t="n">
        <v>0</v>
      </c>
      <c r="Q300" t="n">
        <v>0</v>
      </c>
      <c r="R300" s="2" t="inlineStr"/>
      <c r="U300">
        <f>HYPERLINK("https://klasma.github.io/Logging_2582/knärot/A 14325-2020 karta knärot.png", "A 14325-2020")</f>
        <v/>
      </c>
      <c r="V300">
        <f>HYPERLINK("https://klasma.github.io/Logging_2582/klagomål/A 14325-2020 FSC-klagomål.docx", "A 14325-2020")</f>
        <v/>
      </c>
      <c r="W300">
        <f>HYPERLINK("https://klasma.github.io/Logging_2582/klagomålsmail/A 14325-2020 FSC-klagomål mail.docx", "A 14325-2020")</f>
        <v/>
      </c>
      <c r="X300">
        <f>HYPERLINK("https://klasma.github.io/Logging_2582/tillsyn/A 14325-2020 tillsynsbegäran.docx", "A 14325-2020")</f>
        <v/>
      </c>
      <c r="Y300">
        <f>HYPERLINK("https://klasma.github.io/Logging_2582/tillsynsmail/A 14325-2020 tillsynsbegäran mail.docx", "A 14325-2020")</f>
        <v/>
      </c>
    </row>
    <row r="301" ht="15" customHeight="1">
      <c r="A301" t="inlineStr">
        <is>
          <t>A 17746-2020</t>
        </is>
      </c>
      <c r="B301" s="1" t="n">
        <v>43922</v>
      </c>
      <c r="C301" s="1" t="n">
        <v>45803</v>
      </c>
      <c r="D301" t="inlineStr">
        <is>
          <t>NORRBOTTENS LÄN</t>
        </is>
      </c>
      <c r="E301" t="inlineStr">
        <is>
          <t>BODEN</t>
        </is>
      </c>
      <c r="G301" t="n">
        <v>12.6</v>
      </c>
      <c r="H301" t="n">
        <v>0</v>
      </c>
      <c r="I301" t="n">
        <v>0</v>
      </c>
      <c r="J301" t="n">
        <v>0</v>
      </c>
      <c r="K301" t="n">
        <v>0</v>
      </c>
      <c r="L301" t="n">
        <v>0</v>
      </c>
      <c r="M301" t="n">
        <v>0</v>
      </c>
      <c r="N301" t="n">
        <v>0</v>
      </c>
      <c r="O301" t="n">
        <v>0</v>
      </c>
      <c r="P301" t="n">
        <v>0</v>
      </c>
      <c r="Q301" t="n">
        <v>0</v>
      </c>
      <c r="R301" s="2" t="inlineStr"/>
    </row>
    <row r="302" ht="15" customHeight="1">
      <c r="A302" t="inlineStr">
        <is>
          <t>A 18031-2020</t>
        </is>
      </c>
      <c r="B302" s="1" t="n">
        <v>43927</v>
      </c>
      <c r="C302" s="1" t="n">
        <v>45803</v>
      </c>
      <c r="D302" t="inlineStr">
        <is>
          <t>NORRBOTTENS LÄN</t>
        </is>
      </c>
      <c r="E302" t="inlineStr">
        <is>
          <t>BODEN</t>
        </is>
      </c>
      <c r="F302" t="inlineStr">
        <is>
          <t>Övriga statliga verk och myndigheter</t>
        </is>
      </c>
      <c r="G302" t="n">
        <v>10.3</v>
      </c>
      <c r="H302" t="n">
        <v>0</v>
      </c>
      <c r="I302" t="n">
        <v>0</v>
      </c>
      <c r="J302" t="n">
        <v>0</v>
      </c>
      <c r="K302" t="n">
        <v>0</v>
      </c>
      <c r="L302" t="n">
        <v>0</v>
      </c>
      <c r="M302" t="n">
        <v>0</v>
      </c>
      <c r="N302" t="n">
        <v>0</v>
      </c>
      <c r="O302" t="n">
        <v>0</v>
      </c>
      <c r="P302" t="n">
        <v>0</v>
      </c>
      <c r="Q302" t="n">
        <v>0</v>
      </c>
      <c r="R302" s="2" t="inlineStr"/>
    </row>
    <row r="303" ht="15" customHeight="1">
      <c r="A303" t="inlineStr">
        <is>
          <t>A 18027-2020</t>
        </is>
      </c>
      <c r="B303" s="1" t="n">
        <v>43927</v>
      </c>
      <c r="C303" s="1" t="n">
        <v>45803</v>
      </c>
      <c r="D303" t="inlineStr">
        <is>
          <t>NORRBOTTENS LÄN</t>
        </is>
      </c>
      <c r="E303" t="inlineStr">
        <is>
          <t>BODEN</t>
        </is>
      </c>
      <c r="F303" t="inlineStr">
        <is>
          <t>Övriga statliga verk och myndigheter</t>
        </is>
      </c>
      <c r="G303" t="n">
        <v>17.8</v>
      </c>
      <c r="H303" t="n">
        <v>0</v>
      </c>
      <c r="I303" t="n">
        <v>0</v>
      </c>
      <c r="J303" t="n">
        <v>0</v>
      </c>
      <c r="K303" t="n">
        <v>0</v>
      </c>
      <c r="L303" t="n">
        <v>0</v>
      </c>
      <c r="M303" t="n">
        <v>0</v>
      </c>
      <c r="N303" t="n">
        <v>0</v>
      </c>
      <c r="O303" t="n">
        <v>0</v>
      </c>
      <c r="P303" t="n">
        <v>0</v>
      </c>
      <c r="Q303" t="n">
        <v>0</v>
      </c>
      <c r="R303" s="2" t="inlineStr"/>
    </row>
    <row r="304" ht="15" customHeight="1">
      <c r="A304" t="inlineStr">
        <is>
          <t>A 19068-2020</t>
        </is>
      </c>
      <c r="B304" s="1" t="n">
        <v>43936</v>
      </c>
      <c r="C304" s="1" t="n">
        <v>45803</v>
      </c>
      <c r="D304" t="inlineStr">
        <is>
          <t>NORRBOTTENS LÄN</t>
        </is>
      </c>
      <c r="E304" t="inlineStr">
        <is>
          <t>BODEN</t>
        </is>
      </c>
      <c r="G304" t="n">
        <v>5.2</v>
      </c>
      <c r="H304" t="n">
        <v>0</v>
      </c>
      <c r="I304" t="n">
        <v>0</v>
      </c>
      <c r="J304" t="n">
        <v>0</v>
      </c>
      <c r="K304" t="n">
        <v>0</v>
      </c>
      <c r="L304" t="n">
        <v>0</v>
      </c>
      <c r="M304" t="n">
        <v>0</v>
      </c>
      <c r="N304" t="n">
        <v>0</v>
      </c>
      <c r="O304" t="n">
        <v>0</v>
      </c>
      <c r="P304" t="n">
        <v>0</v>
      </c>
      <c r="Q304" t="n">
        <v>0</v>
      </c>
      <c r="R304" s="2" t="inlineStr"/>
    </row>
    <row r="305" ht="15" customHeight="1">
      <c r="A305" t="inlineStr">
        <is>
          <t>A 22426-2020</t>
        </is>
      </c>
      <c r="B305" s="1" t="n">
        <v>43958</v>
      </c>
      <c r="C305" s="1" t="n">
        <v>45803</v>
      </c>
      <c r="D305" t="inlineStr">
        <is>
          <t>NORRBOTTENS LÄN</t>
        </is>
      </c>
      <c r="E305" t="inlineStr">
        <is>
          <t>BODEN</t>
        </is>
      </c>
      <c r="G305" t="n">
        <v>2.2</v>
      </c>
      <c r="H305" t="n">
        <v>0</v>
      </c>
      <c r="I305" t="n">
        <v>0</v>
      </c>
      <c r="J305" t="n">
        <v>0</v>
      </c>
      <c r="K305" t="n">
        <v>0</v>
      </c>
      <c r="L305" t="n">
        <v>0</v>
      </c>
      <c r="M305" t="n">
        <v>0</v>
      </c>
      <c r="N305" t="n">
        <v>0</v>
      </c>
      <c r="O305" t="n">
        <v>0</v>
      </c>
      <c r="P305" t="n">
        <v>0</v>
      </c>
      <c r="Q305" t="n">
        <v>0</v>
      </c>
      <c r="R305" s="2" t="inlineStr"/>
    </row>
    <row r="306" ht="15" customHeight="1">
      <c r="A306" t="inlineStr">
        <is>
          <t>A 22844-2020</t>
        </is>
      </c>
      <c r="B306" s="1" t="n">
        <v>43964</v>
      </c>
      <c r="C306" s="1" t="n">
        <v>45803</v>
      </c>
      <c r="D306" t="inlineStr">
        <is>
          <t>NORRBOTTENS LÄN</t>
        </is>
      </c>
      <c r="E306" t="inlineStr">
        <is>
          <t>BODEN</t>
        </is>
      </c>
      <c r="G306" t="n">
        <v>3.1</v>
      </c>
      <c r="H306" t="n">
        <v>0</v>
      </c>
      <c r="I306" t="n">
        <v>0</v>
      </c>
      <c r="J306" t="n">
        <v>0</v>
      </c>
      <c r="K306" t="n">
        <v>0</v>
      </c>
      <c r="L306" t="n">
        <v>0</v>
      </c>
      <c r="M306" t="n">
        <v>0</v>
      </c>
      <c r="N306" t="n">
        <v>0</v>
      </c>
      <c r="O306" t="n">
        <v>0</v>
      </c>
      <c r="P306" t="n">
        <v>0</v>
      </c>
      <c r="Q306" t="n">
        <v>0</v>
      </c>
      <c r="R306" s="2" t="inlineStr"/>
    </row>
    <row r="307" ht="15" customHeight="1">
      <c r="A307" t="inlineStr">
        <is>
          <t>A 22846-2020</t>
        </is>
      </c>
      <c r="B307" s="1" t="n">
        <v>43964</v>
      </c>
      <c r="C307" s="1" t="n">
        <v>45803</v>
      </c>
      <c r="D307" t="inlineStr">
        <is>
          <t>NORRBOTTENS LÄN</t>
        </is>
      </c>
      <c r="E307" t="inlineStr">
        <is>
          <t>BODEN</t>
        </is>
      </c>
      <c r="G307" t="n">
        <v>4.4</v>
      </c>
      <c r="H307" t="n">
        <v>0</v>
      </c>
      <c r="I307" t="n">
        <v>0</v>
      </c>
      <c r="J307" t="n">
        <v>0</v>
      </c>
      <c r="K307" t="n">
        <v>0</v>
      </c>
      <c r="L307" t="n">
        <v>0</v>
      </c>
      <c r="M307" t="n">
        <v>0</v>
      </c>
      <c r="N307" t="n">
        <v>0</v>
      </c>
      <c r="O307" t="n">
        <v>0</v>
      </c>
      <c r="P307" t="n">
        <v>0</v>
      </c>
      <c r="Q307" t="n">
        <v>0</v>
      </c>
      <c r="R307" s="2" t="inlineStr"/>
    </row>
    <row r="308" ht="15" customHeight="1">
      <c r="A308" t="inlineStr">
        <is>
          <t>A 23105-2020</t>
        </is>
      </c>
      <c r="B308" s="1" t="n">
        <v>43965</v>
      </c>
      <c r="C308" s="1" t="n">
        <v>45803</v>
      </c>
      <c r="D308" t="inlineStr">
        <is>
          <t>NORRBOTTENS LÄN</t>
        </is>
      </c>
      <c r="E308" t="inlineStr">
        <is>
          <t>BODEN</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24026-2020</t>
        </is>
      </c>
      <c r="B309" s="1" t="n">
        <v>43971</v>
      </c>
      <c r="C309" s="1" t="n">
        <v>45803</v>
      </c>
      <c r="D309" t="inlineStr">
        <is>
          <t>NORRBOTTENS LÄN</t>
        </is>
      </c>
      <c r="E309" t="inlineStr">
        <is>
          <t>BODEN</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25105-2020</t>
        </is>
      </c>
      <c r="B310" s="1" t="n">
        <v>43979</v>
      </c>
      <c r="C310" s="1" t="n">
        <v>45803</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25439-2020</t>
        </is>
      </c>
      <c r="B311" s="1" t="n">
        <v>43983</v>
      </c>
      <c r="C311" s="1" t="n">
        <v>45803</v>
      </c>
      <c r="D311" t="inlineStr">
        <is>
          <t>NORRBOTTENS LÄN</t>
        </is>
      </c>
      <c r="E311" t="inlineStr">
        <is>
          <t>BODEN</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25541-2020</t>
        </is>
      </c>
      <c r="B312" s="1" t="n">
        <v>43983</v>
      </c>
      <c r="C312" s="1" t="n">
        <v>45803</v>
      </c>
      <c r="D312" t="inlineStr">
        <is>
          <t>NORRBOTTENS LÄN</t>
        </is>
      </c>
      <c r="E312" t="inlineStr">
        <is>
          <t>BODEN</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25446-2020</t>
        </is>
      </c>
      <c r="B313" s="1" t="n">
        <v>43983</v>
      </c>
      <c r="C313" s="1" t="n">
        <v>45803</v>
      </c>
      <c r="D313" t="inlineStr">
        <is>
          <t>NORRBOTTENS LÄN</t>
        </is>
      </c>
      <c r="E313" t="inlineStr">
        <is>
          <t>BODEN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25449-2020</t>
        </is>
      </c>
      <c r="B314" s="1" t="n">
        <v>43983</v>
      </c>
      <c r="C314" s="1" t="n">
        <v>45803</v>
      </c>
      <c r="D314" t="inlineStr">
        <is>
          <t>NORRBOTTENS LÄN</t>
        </is>
      </c>
      <c r="E314" t="inlineStr">
        <is>
          <t>BODEN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26916-2020</t>
        </is>
      </c>
      <c r="B315" s="1" t="n">
        <v>43990</v>
      </c>
      <c r="C315" s="1" t="n">
        <v>45803</v>
      </c>
      <c r="D315" t="inlineStr">
        <is>
          <t>NORRBOTTENS LÄN</t>
        </is>
      </c>
      <c r="E315" t="inlineStr">
        <is>
          <t>BODEN</t>
        </is>
      </c>
      <c r="G315" t="n">
        <v>0.5</v>
      </c>
      <c r="H315" t="n">
        <v>0</v>
      </c>
      <c r="I315" t="n">
        <v>0</v>
      </c>
      <c r="J315" t="n">
        <v>0</v>
      </c>
      <c r="K315" t="n">
        <v>0</v>
      </c>
      <c r="L315" t="n">
        <v>0</v>
      </c>
      <c r="M315" t="n">
        <v>0</v>
      </c>
      <c r="N315" t="n">
        <v>0</v>
      </c>
      <c r="O315" t="n">
        <v>0</v>
      </c>
      <c r="P315" t="n">
        <v>0</v>
      </c>
      <c r="Q315" t="n">
        <v>0</v>
      </c>
      <c r="R315" s="2" t="inlineStr"/>
    </row>
    <row r="316" ht="15" customHeight="1">
      <c r="A316" t="inlineStr">
        <is>
          <t>A 27876-2020</t>
        </is>
      </c>
      <c r="B316" s="1" t="n">
        <v>43994</v>
      </c>
      <c r="C316" s="1" t="n">
        <v>45803</v>
      </c>
      <c r="D316" t="inlineStr">
        <is>
          <t>NORRBOTTENS LÄN</t>
        </is>
      </c>
      <c r="E316" t="inlineStr">
        <is>
          <t>BODEN</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28202-2020</t>
        </is>
      </c>
      <c r="B317" s="1" t="n">
        <v>43997</v>
      </c>
      <c r="C317" s="1" t="n">
        <v>45803</v>
      </c>
      <c r="D317" t="inlineStr">
        <is>
          <t>NORRBOTTENS LÄN</t>
        </is>
      </c>
      <c r="E317" t="inlineStr">
        <is>
          <t>BODEN</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28488-2020</t>
        </is>
      </c>
      <c r="B318" s="1" t="n">
        <v>43998</v>
      </c>
      <c r="C318" s="1" t="n">
        <v>45803</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29247-2020</t>
        </is>
      </c>
      <c r="B319" s="1" t="n">
        <v>44004</v>
      </c>
      <c r="C319" s="1" t="n">
        <v>45803</v>
      </c>
      <c r="D319" t="inlineStr">
        <is>
          <t>NORRBOTTENS LÄN</t>
        </is>
      </c>
      <c r="E319" t="inlineStr">
        <is>
          <t>BODEN</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29567-2020</t>
        </is>
      </c>
      <c r="B320" s="1" t="n">
        <v>44005</v>
      </c>
      <c r="C320" s="1" t="n">
        <v>45803</v>
      </c>
      <c r="D320" t="inlineStr">
        <is>
          <t>NORRBOTTENS LÄN</t>
        </is>
      </c>
      <c r="E320" t="inlineStr">
        <is>
          <t>BODEN</t>
        </is>
      </c>
      <c r="G320" t="n">
        <v>0.2</v>
      </c>
      <c r="H320" t="n">
        <v>0</v>
      </c>
      <c r="I320" t="n">
        <v>0</v>
      </c>
      <c r="J320" t="n">
        <v>0</v>
      </c>
      <c r="K320" t="n">
        <v>0</v>
      </c>
      <c r="L320" t="n">
        <v>0</v>
      </c>
      <c r="M320" t="n">
        <v>0</v>
      </c>
      <c r="N320" t="n">
        <v>0</v>
      </c>
      <c r="O320" t="n">
        <v>0</v>
      </c>
      <c r="P320" t="n">
        <v>0</v>
      </c>
      <c r="Q320" t="n">
        <v>0</v>
      </c>
      <c r="R320" s="2" t="inlineStr"/>
    </row>
    <row r="321" ht="15" customHeight="1">
      <c r="A321" t="inlineStr">
        <is>
          <t>A 29610-2020</t>
        </is>
      </c>
      <c r="B321" s="1" t="n">
        <v>44005</v>
      </c>
      <c r="C321" s="1" t="n">
        <v>45803</v>
      </c>
      <c r="D321" t="inlineStr">
        <is>
          <t>NORRBOTTENS LÄN</t>
        </is>
      </c>
      <c r="E321" t="inlineStr">
        <is>
          <t>BODEN</t>
        </is>
      </c>
      <c r="G321" t="n">
        <v>2.4</v>
      </c>
      <c r="H321" t="n">
        <v>0</v>
      </c>
      <c r="I321" t="n">
        <v>0</v>
      </c>
      <c r="J321" t="n">
        <v>0</v>
      </c>
      <c r="K321" t="n">
        <v>0</v>
      </c>
      <c r="L321" t="n">
        <v>0</v>
      </c>
      <c r="M321" t="n">
        <v>0</v>
      </c>
      <c r="N321" t="n">
        <v>0</v>
      </c>
      <c r="O321" t="n">
        <v>0</v>
      </c>
      <c r="P321" t="n">
        <v>0</v>
      </c>
      <c r="Q321" t="n">
        <v>0</v>
      </c>
      <c r="R321" s="2" t="inlineStr"/>
    </row>
    <row r="322" ht="15" customHeight="1">
      <c r="A322" t="inlineStr">
        <is>
          <t>A 29659-2020</t>
        </is>
      </c>
      <c r="B322" s="1" t="n">
        <v>44005</v>
      </c>
      <c r="C322" s="1" t="n">
        <v>45803</v>
      </c>
      <c r="D322" t="inlineStr">
        <is>
          <t>NORRBOTTENS LÄN</t>
        </is>
      </c>
      <c r="E322" t="inlineStr">
        <is>
          <t>BODEN</t>
        </is>
      </c>
      <c r="F322" t="inlineStr">
        <is>
          <t>Sveaskog</t>
        </is>
      </c>
      <c r="G322" t="n">
        <v>66.90000000000001</v>
      </c>
      <c r="H322" t="n">
        <v>0</v>
      </c>
      <c r="I322" t="n">
        <v>0</v>
      </c>
      <c r="J322" t="n">
        <v>0</v>
      </c>
      <c r="K322" t="n">
        <v>0</v>
      </c>
      <c r="L322" t="n">
        <v>0</v>
      </c>
      <c r="M322" t="n">
        <v>0</v>
      </c>
      <c r="N322" t="n">
        <v>0</v>
      </c>
      <c r="O322" t="n">
        <v>0</v>
      </c>
      <c r="P322" t="n">
        <v>0</v>
      </c>
      <c r="Q322" t="n">
        <v>0</v>
      </c>
      <c r="R322" s="2" t="inlineStr"/>
    </row>
    <row r="323" ht="15" customHeight="1">
      <c r="A323" t="inlineStr">
        <is>
          <t>A 29622-2020</t>
        </is>
      </c>
      <c r="B323" s="1" t="n">
        <v>44005</v>
      </c>
      <c r="C323" s="1" t="n">
        <v>45803</v>
      </c>
      <c r="D323" t="inlineStr">
        <is>
          <t>NORRBOTTENS LÄN</t>
        </is>
      </c>
      <c r="E323" t="inlineStr">
        <is>
          <t>BODEN</t>
        </is>
      </c>
      <c r="G323" t="n">
        <v>0.2</v>
      </c>
      <c r="H323" t="n">
        <v>0</v>
      </c>
      <c r="I323" t="n">
        <v>0</v>
      </c>
      <c r="J323" t="n">
        <v>0</v>
      </c>
      <c r="K323" t="n">
        <v>0</v>
      </c>
      <c r="L323" t="n">
        <v>0</v>
      </c>
      <c r="M323" t="n">
        <v>0</v>
      </c>
      <c r="N323" t="n">
        <v>0</v>
      </c>
      <c r="O323" t="n">
        <v>0</v>
      </c>
      <c r="P323" t="n">
        <v>0</v>
      </c>
      <c r="Q323" t="n">
        <v>0</v>
      </c>
      <c r="R323" s="2" t="inlineStr"/>
    </row>
    <row r="324" ht="15" customHeight="1">
      <c r="A324" t="inlineStr">
        <is>
          <t>A 30334-2020</t>
        </is>
      </c>
      <c r="B324" s="1" t="n">
        <v>44007</v>
      </c>
      <c r="C324" s="1" t="n">
        <v>45803</v>
      </c>
      <c r="D324" t="inlineStr">
        <is>
          <t>NORRBOTTENS LÄN</t>
        </is>
      </c>
      <c r="E324" t="inlineStr">
        <is>
          <t>BODEN</t>
        </is>
      </c>
      <c r="G324" t="n">
        <v>2</v>
      </c>
      <c r="H324" t="n">
        <v>0</v>
      </c>
      <c r="I324" t="n">
        <v>0</v>
      </c>
      <c r="J324" t="n">
        <v>0</v>
      </c>
      <c r="K324" t="n">
        <v>0</v>
      </c>
      <c r="L324" t="n">
        <v>0</v>
      </c>
      <c r="M324" t="n">
        <v>0</v>
      </c>
      <c r="N324" t="n">
        <v>0</v>
      </c>
      <c r="O324" t="n">
        <v>0</v>
      </c>
      <c r="P324" t="n">
        <v>0</v>
      </c>
      <c r="Q324" t="n">
        <v>0</v>
      </c>
      <c r="R324" s="2" t="inlineStr"/>
    </row>
    <row r="325" ht="15" customHeight="1">
      <c r="A325" t="inlineStr">
        <is>
          <t>A 30307-2020</t>
        </is>
      </c>
      <c r="B325" s="1" t="n">
        <v>44007</v>
      </c>
      <c r="C325" s="1" t="n">
        <v>45803</v>
      </c>
      <c r="D325" t="inlineStr">
        <is>
          <t>NORRBOTTENS LÄN</t>
        </is>
      </c>
      <c r="E325" t="inlineStr">
        <is>
          <t>BODEN</t>
        </is>
      </c>
      <c r="G325" t="n">
        <v>10.6</v>
      </c>
      <c r="H325" t="n">
        <v>0</v>
      </c>
      <c r="I325" t="n">
        <v>0</v>
      </c>
      <c r="J325" t="n">
        <v>0</v>
      </c>
      <c r="K325" t="n">
        <v>0</v>
      </c>
      <c r="L325" t="n">
        <v>0</v>
      </c>
      <c r="M325" t="n">
        <v>0</v>
      </c>
      <c r="N325" t="n">
        <v>0</v>
      </c>
      <c r="O325" t="n">
        <v>0</v>
      </c>
      <c r="P325" t="n">
        <v>0</v>
      </c>
      <c r="Q325" t="n">
        <v>0</v>
      </c>
      <c r="R325" s="2" t="inlineStr"/>
    </row>
    <row r="326" ht="15" customHeight="1">
      <c r="A326" t="inlineStr">
        <is>
          <t>A 30326-2020</t>
        </is>
      </c>
      <c r="B326" s="1" t="n">
        <v>44007</v>
      </c>
      <c r="C326" s="1" t="n">
        <v>45803</v>
      </c>
      <c r="D326" t="inlineStr">
        <is>
          <t>NORRBOTTENS LÄN</t>
        </is>
      </c>
      <c r="E326" t="inlineStr">
        <is>
          <t>BODEN</t>
        </is>
      </c>
      <c r="G326" t="n">
        <v>3.5</v>
      </c>
      <c r="H326" t="n">
        <v>0</v>
      </c>
      <c r="I326" t="n">
        <v>0</v>
      </c>
      <c r="J326" t="n">
        <v>0</v>
      </c>
      <c r="K326" t="n">
        <v>0</v>
      </c>
      <c r="L326" t="n">
        <v>0</v>
      </c>
      <c r="M326" t="n">
        <v>0</v>
      </c>
      <c r="N326" t="n">
        <v>0</v>
      </c>
      <c r="O326" t="n">
        <v>0</v>
      </c>
      <c r="P326" t="n">
        <v>0</v>
      </c>
      <c r="Q326" t="n">
        <v>0</v>
      </c>
      <c r="R326" s="2" t="inlineStr"/>
    </row>
    <row r="327" ht="15" customHeight="1">
      <c r="A327" t="inlineStr">
        <is>
          <t>A 30565-2020</t>
        </is>
      </c>
      <c r="B327" s="1" t="n">
        <v>44008</v>
      </c>
      <c r="C327" s="1" t="n">
        <v>45803</v>
      </c>
      <c r="D327" t="inlineStr">
        <is>
          <t>NORRBOTTENS LÄN</t>
        </is>
      </c>
      <c r="E327" t="inlineStr">
        <is>
          <t>BODEN</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31429-2020</t>
        </is>
      </c>
      <c r="B328" s="1" t="n">
        <v>44013</v>
      </c>
      <c r="C328" s="1" t="n">
        <v>45803</v>
      </c>
      <c r="D328" t="inlineStr">
        <is>
          <t>NORRBOTTENS LÄN</t>
        </is>
      </c>
      <c r="E328" t="inlineStr">
        <is>
          <t>BODEN</t>
        </is>
      </c>
      <c r="F328" t="inlineStr">
        <is>
          <t>Kommuner</t>
        </is>
      </c>
      <c r="G328" t="n">
        <v>1.3</v>
      </c>
      <c r="H328" t="n">
        <v>0</v>
      </c>
      <c r="I328" t="n">
        <v>0</v>
      </c>
      <c r="J328" t="n">
        <v>0</v>
      </c>
      <c r="K328" t="n">
        <v>0</v>
      </c>
      <c r="L328" t="n">
        <v>0</v>
      </c>
      <c r="M328" t="n">
        <v>0</v>
      </c>
      <c r="N328" t="n">
        <v>0</v>
      </c>
      <c r="O328" t="n">
        <v>0</v>
      </c>
      <c r="P328" t="n">
        <v>0</v>
      </c>
      <c r="Q328" t="n">
        <v>0</v>
      </c>
      <c r="R328" s="2" t="inlineStr"/>
    </row>
    <row r="329" ht="15" customHeight="1">
      <c r="A329" t="inlineStr">
        <is>
          <t>A 31978-2020</t>
        </is>
      </c>
      <c r="B329" s="1" t="n">
        <v>44015</v>
      </c>
      <c r="C329" s="1" t="n">
        <v>45803</v>
      </c>
      <c r="D329" t="inlineStr">
        <is>
          <t>NORRBOTTENS LÄN</t>
        </is>
      </c>
      <c r="E329" t="inlineStr">
        <is>
          <t>BODEN</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32151-2020</t>
        </is>
      </c>
      <c r="B330" s="1" t="n">
        <v>44015</v>
      </c>
      <c r="C330" s="1" t="n">
        <v>45803</v>
      </c>
      <c r="D330" t="inlineStr">
        <is>
          <t>NORRBOTTENS LÄN</t>
        </is>
      </c>
      <c r="E330" t="inlineStr">
        <is>
          <t>BODEN</t>
        </is>
      </c>
      <c r="G330" t="n">
        <v>0.5</v>
      </c>
      <c r="H330" t="n">
        <v>0</v>
      </c>
      <c r="I330" t="n">
        <v>0</v>
      </c>
      <c r="J330" t="n">
        <v>0</v>
      </c>
      <c r="K330" t="n">
        <v>0</v>
      </c>
      <c r="L330" t="n">
        <v>0</v>
      </c>
      <c r="M330" t="n">
        <v>0</v>
      </c>
      <c r="N330" t="n">
        <v>0</v>
      </c>
      <c r="O330" t="n">
        <v>0</v>
      </c>
      <c r="P330" t="n">
        <v>0</v>
      </c>
      <c r="Q330" t="n">
        <v>0</v>
      </c>
      <c r="R330" s="2" t="inlineStr"/>
    </row>
    <row r="331" ht="15" customHeight="1">
      <c r="A331" t="inlineStr">
        <is>
          <t>A 32424-2020</t>
        </is>
      </c>
      <c r="B331" s="1" t="n">
        <v>44015</v>
      </c>
      <c r="C331" s="1" t="n">
        <v>45803</v>
      </c>
      <c r="D331" t="inlineStr">
        <is>
          <t>NORRBOTTENS LÄN</t>
        </is>
      </c>
      <c r="E331" t="inlineStr">
        <is>
          <t>BODEN</t>
        </is>
      </c>
      <c r="G331" t="n">
        <v>9.1</v>
      </c>
      <c r="H331" t="n">
        <v>0</v>
      </c>
      <c r="I331" t="n">
        <v>0</v>
      </c>
      <c r="J331" t="n">
        <v>0</v>
      </c>
      <c r="K331" t="n">
        <v>0</v>
      </c>
      <c r="L331" t="n">
        <v>0</v>
      </c>
      <c r="M331" t="n">
        <v>0</v>
      </c>
      <c r="N331" t="n">
        <v>0</v>
      </c>
      <c r="O331" t="n">
        <v>0</v>
      </c>
      <c r="P331" t="n">
        <v>0</v>
      </c>
      <c r="Q331" t="n">
        <v>0</v>
      </c>
      <c r="R331" s="2" t="inlineStr"/>
    </row>
    <row r="332" ht="15" customHeight="1">
      <c r="A332" t="inlineStr">
        <is>
          <t>A 32985-2020</t>
        </is>
      </c>
      <c r="B332" s="1" t="n">
        <v>44020</v>
      </c>
      <c r="C332" s="1" t="n">
        <v>45803</v>
      </c>
      <c r="D332" t="inlineStr">
        <is>
          <t>NORRBOTTENS LÄN</t>
        </is>
      </c>
      <c r="E332" t="inlineStr">
        <is>
          <t>BODEN</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33034-2020</t>
        </is>
      </c>
      <c r="B333" s="1" t="n">
        <v>44021</v>
      </c>
      <c r="C333" s="1" t="n">
        <v>45803</v>
      </c>
      <c r="D333" t="inlineStr">
        <is>
          <t>NORRBOTTENS LÄN</t>
        </is>
      </c>
      <c r="E333" t="inlineStr">
        <is>
          <t>BODEN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33319-2020</t>
        </is>
      </c>
      <c r="B334" s="1" t="n">
        <v>44022</v>
      </c>
      <c r="C334" s="1" t="n">
        <v>45803</v>
      </c>
      <c r="D334" t="inlineStr">
        <is>
          <t>NORRBOTTENS LÄN</t>
        </is>
      </c>
      <c r="E334" t="inlineStr">
        <is>
          <t>BODEN</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34264-2020</t>
        </is>
      </c>
      <c r="B335" s="1" t="n">
        <v>44029</v>
      </c>
      <c r="C335" s="1" t="n">
        <v>45803</v>
      </c>
      <c r="D335" t="inlineStr">
        <is>
          <t>NORRBOTTENS LÄN</t>
        </is>
      </c>
      <c r="E335" t="inlineStr">
        <is>
          <t>BODEN</t>
        </is>
      </c>
      <c r="F335" t="inlineStr">
        <is>
          <t>SCA</t>
        </is>
      </c>
      <c r="G335" t="n">
        <v>9</v>
      </c>
      <c r="H335" t="n">
        <v>0</v>
      </c>
      <c r="I335" t="n">
        <v>0</v>
      </c>
      <c r="J335" t="n">
        <v>0</v>
      </c>
      <c r="K335" t="n">
        <v>0</v>
      </c>
      <c r="L335" t="n">
        <v>0</v>
      </c>
      <c r="M335" t="n">
        <v>0</v>
      </c>
      <c r="N335" t="n">
        <v>0</v>
      </c>
      <c r="O335" t="n">
        <v>0</v>
      </c>
      <c r="P335" t="n">
        <v>0</v>
      </c>
      <c r="Q335" t="n">
        <v>0</v>
      </c>
      <c r="R335" s="2" t="inlineStr"/>
    </row>
    <row r="336" ht="15" customHeight="1">
      <c r="A336" t="inlineStr">
        <is>
          <t>A 34267-2020</t>
        </is>
      </c>
      <c r="B336" s="1" t="n">
        <v>44029</v>
      </c>
      <c r="C336" s="1" t="n">
        <v>45803</v>
      </c>
      <c r="D336" t="inlineStr">
        <is>
          <t>NORRBOTTENS LÄN</t>
        </is>
      </c>
      <c r="E336" t="inlineStr">
        <is>
          <t>BODEN</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34266-2020</t>
        </is>
      </c>
      <c r="B337" s="1" t="n">
        <v>44029</v>
      </c>
      <c r="C337" s="1" t="n">
        <v>45803</v>
      </c>
      <c r="D337" t="inlineStr">
        <is>
          <t>NORRBOTTENS LÄN</t>
        </is>
      </c>
      <c r="E337" t="inlineStr">
        <is>
          <t>BODEN</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34790-2020</t>
        </is>
      </c>
      <c r="B338" s="1" t="n">
        <v>44035</v>
      </c>
      <c r="C338" s="1" t="n">
        <v>45803</v>
      </c>
      <c r="D338" t="inlineStr">
        <is>
          <t>NORRBOTTENS LÄN</t>
        </is>
      </c>
      <c r="E338" t="inlineStr">
        <is>
          <t>BODEN</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34786-2020</t>
        </is>
      </c>
      <c r="B339" s="1" t="n">
        <v>44035</v>
      </c>
      <c r="C339" s="1" t="n">
        <v>45803</v>
      </c>
      <c r="D339" t="inlineStr">
        <is>
          <t>NORRBOTTENS LÄN</t>
        </is>
      </c>
      <c r="E339" t="inlineStr">
        <is>
          <t>BODEN</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34791-2020</t>
        </is>
      </c>
      <c r="B340" s="1" t="n">
        <v>44035</v>
      </c>
      <c r="C340" s="1" t="n">
        <v>45803</v>
      </c>
      <c r="D340" t="inlineStr">
        <is>
          <t>NORRBOTTENS LÄN</t>
        </is>
      </c>
      <c r="E340" t="inlineStr">
        <is>
          <t>BODEN</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34788-2020</t>
        </is>
      </c>
      <c r="B341" s="1" t="n">
        <v>44035</v>
      </c>
      <c r="C341" s="1" t="n">
        <v>45803</v>
      </c>
      <c r="D341" t="inlineStr">
        <is>
          <t>NORRBOTTENS LÄN</t>
        </is>
      </c>
      <c r="E341" t="inlineStr">
        <is>
          <t>BODEN</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34792-2020</t>
        </is>
      </c>
      <c r="B342" s="1" t="n">
        <v>44035</v>
      </c>
      <c r="C342" s="1" t="n">
        <v>45803</v>
      </c>
      <c r="D342" t="inlineStr">
        <is>
          <t>NORRBOTTENS LÄN</t>
        </is>
      </c>
      <c r="E342" t="inlineStr">
        <is>
          <t>BODEN</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34795-2020</t>
        </is>
      </c>
      <c r="B343" s="1" t="n">
        <v>44035</v>
      </c>
      <c r="C343" s="1" t="n">
        <v>45803</v>
      </c>
      <c r="D343" t="inlineStr">
        <is>
          <t>NORRBOTTENS LÄN</t>
        </is>
      </c>
      <c r="E343" t="inlineStr">
        <is>
          <t>BODEN</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34789-2020</t>
        </is>
      </c>
      <c r="B344" s="1" t="n">
        <v>44035</v>
      </c>
      <c r="C344" s="1" t="n">
        <v>45803</v>
      </c>
      <c r="D344" t="inlineStr">
        <is>
          <t>NORRBOTTENS LÄN</t>
        </is>
      </c>
      <c r="E344" t="inlineStr">
        <is>
          <t>BODEN</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34793-2020</t>
        </is>
      </c>
      <c r="B345" s="1" t="n">
        <v>44035</v>
      </c>
      <c r="C345" s="1" t="n">
        <v>45803</v>
      </c>
      <c r="D345" t="inlineStr">
        <is>
          <t>NORRBOTTENS LÄN</t>
        </is>
      </c>
      <c r="E345" t="inlineStr">
        <is>
          <t>BODEN</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35701-2020</t>
        </is>
      </c>
      <c r="B346" s="1" t="n">
        <v>44046</v>
      </c>
      <c r="C346" s="1" t="n">
        <v>45803</v>
      </c>
      <c r="D346" t="inlineStr">
        <is>
          <t>NORRBOTTENS LÄN</t>
        </is>
      </c>
      <c r="E346" t="inlineStr">
        <is>
          <t>BODEN</t>
        </is>
      </c>
      <c r="G346" t="n">
        <v>0.5</v>
      </c>
      <c r="H346" t="n">
        <v>0</v>
      </c>
      <c r="I346" t="n">
        <v>0</v>
      </c>
      <c r="J346" t="n">
        <v>0</v>
      </c>
      <c r="K346" t="n">
        <v>0</v>
      </c>
      <c r="L346" t="n">
        <v>0</v>
      </c>
      <c r="M346" t="n">
        <v>0</v>
      </c>
      <c r="N346" t="n">
        <v>0</v>
      </c>
      <c r="O346" t="n">
        <v>0</v>
      </c>
      <c r="P346" t="n">
        <v>0</v>
      </c>
      <c r="Q346" t="n">
        <v>0</v>
      </c>
      <c r="R346" s="2" t="inlineStr"/>
    </row>
    <row r="347" ht="15" customHeight="1">
      <c r="A347" t="inlineStr">
        <is>
          <t>A 35903-2020</t>
        </is>
      </c>
      <c r="B347" s="1" t="n">
        <v>44047</v>
      </c>
      <c r="C347" s="1" t="n">
        <v>45803</v>
      </c>
      <c r="D347" t="inlineStr">
        <is>
          <t>NORRBOTTENS LÄN</t>
        </is>
      </c>
      <c r="E347" t="inlineStr">
        <is>
          <t>BODEN</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36651-2020</t>
        </is>
      </c>
      <c r="B348" s="1" t="n">
        <v>44050</v>
      </c>
      <c r="C348" s="1" t="n">
        <v>45803</v>
      </c>
      <c r="D348" t="inlineStr">
        <is>
          <t>NORRBOTTENS LÄN</t>
        </is>
      </c>
      <c r="E348" t="inlineStr">
        <is>
          <t>BODEN</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36515-2020</t>
        </is>
      </c>
      <c r="B349" s="1" t="n">
        <v>44050</v>
      </c>
      <c r="C349" s="1" t="n">
        <v>45803</v>
      </c>
      <c r="D349" t="inlineStr">
        <is>
          <t>NORRBOTTENS LÄN</t>
        </is>
      </c>
      <c r="E349" t="inlineStr">
        <is>
          <t>BODEN</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36653-2020</t>
        </is>
      </c>
      <c r="B350" s="1" t="n">
        <v>44051</v>
      </c>
      <c r="C350" s="1" t="n">
        <v>45803</v>
      </c>
      <c r="D350" t="inlineStr">
        <is>
          <t>NORRBOTTENS LÄN</t>
        </is>
      </c>
      <c r="E350" t="inlineStr">
        <is>
          <t>BODEN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36960-2020</t>
        </is>
      </c>
      <c r="B351" s="1" t="n">
        <v>44053</v>
      </c>
      <c r="C351" s="1" t="n">
        <v>45803</v>
      </c>
      <c r="D351" t="inlineStr">
        <is>
          <t>NORRBOTTENS LÄN</t>
        </is>
      </c>
      <c r="E351" t="inlineStr">
        <is>
          <t>BODEN</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36984-2020</t>
        </is>
      </c>
      <c r="B352" s="1" t="n">
        <v>44054</v>
      </c>
      <c r="C352" s="1" t="n">
        <v>45803</v>
      </c>
      <c r="D352" t="inlineStr">
        <is>
          <t>NORRBOTTENS LÄN</t>
        </is>
      </c>
      <c r="E352" t="inlineStr">
        <is>
          <t>BODEN</t>
        </is>
      </c>
      <c r="F352" t="inlineStr">
        <is>
          <t>Övriga Aktiebolag</t>
        </is>
      </c>
      <c r="G352" t="n">
        <v>44.4</v>
      </c>
      <c r="H352" t="n">
        <v>0</v>
      </c>
      <c r="I352" t="n">
        <v>0</v>
      </c>
      <c r="J352" t="n">
        <v>0</v>
      </c>
      <c r="K352" t="n">
        <v>0</v>
      </c>
      <c r="L352" t="n">
        <v>0</v>
      </c>
      <c r="M352" t="n">
        <v>0</v>
      </c>
      <c r="N352" t="n">
        <v>0</v>
      </c>
      <c r="O352" t="n">
        <v>0</v>
      </c>
      <c r="P352" t="n">
        <v>0</v>
      </c>
      <c r="Q352" t="n">
        <v>0</v>
      </c>
      <c r="R352" s="2" t="inlineStr"/>
    </row>
    <row r="353" ht="15" customHeight="1">
      <c r="A353" t="inlineStr">
        <is>
          <t>A 37886-2020</t>
        </is>
      </c>
      <c r="B353" s="1" t="n">
        <v>44057</v>
      </c>
      <c r="C353" s="1" t="n">
        <v>45803</v>
      </c>
      <c r="D353" t="inlineStr">
        <is>
          <t>NORRBOTTENS LÄN</t>
        </is>
      </c>
      <c r="E353" t="inlineStr">
        <is>
          <t>BODEN</t>
        </is>
      </c>
      <c r="G353" t="n">
        <v>3</v>
      </c>
      <c r="H353" t="n">
        <v>0</v>
      </c>
      <c r="I353" t="n">
        <v>0</v>
      </c>
      <c r="J353" t="n">
        <v>0</v>
      </c>
      <c r="K353" t="n">
        <v>0</v>
      </c>
      <c r="L353" t="n">
        <v>0</v>
      </c>
      <c r="M353" t="n">
        <v>0</v>
      </c>
      <c r="N353" t="n">
        <v>0</v>
      </c>
      <c r="O353" t="n">
        <v>0</v>
      </c>
      <c r="P353" t="n">
        <v>0</v>
      </c>
      <c r="Q353" t="n">
        <v>0</v>
      </c>
      <c r="R353" s="2" t="inlineStr"/>
    </row>
    <row r="354" ht="15" customHeight="1">
      <c r="A354" t="inlineStr">
        <is>
          <t>A 38991-2020</t>
        </is>
      </c>
      <c r="B354" s="1" t="n">
        <v>44062</v>
      </c>
      <c r="C354" s="1" t="n">
        <v>45803</v>
      </c>
      <c r="D354" t="inlineStr">
        <is>
          <t>NORRBOTTENS LÄN</t>
        </is>
      </c>
      <c r="E354" t="inlineStr">
        <is>
          <t>BODEN</t>
        </is>
      </c>
      <c r="G354" t="n">
        <v>9.5</v>
      </c>
      <c r="H354" t="n">
        <v>0</v>
      </c>
      <c r="I354" t="n">
        <v>0</v>
      </c>
      <c r="J354" t="n">
        <v>0</v>
      </c>
      <c r="K354" t="n">
        <v>0</v>
      </c>
      <c r="L354" t="n">
        <v>0</v>
      </c>
      <c r="M354" t="n">
        <v>0</v>
      </c>
      <c r="N354" t="n">
        <v>0</v>
      </c>
      <c r="O354" t="n">
        <v>0</v>
      </c>
      <c r="P354" t="n">
        <v>0</v>
      </c>
      <c r="Q354" t="n">
        <v>0</v>
      </c>
      <c r="R354" s="2" t="inlineStr"/>
    </row>
    <row r="355" ht="15" customHeight="1">
      <c r="A355" t="inlineStr">
        <is>
          <t>A 39843-2020</t>
        </is>
      </c>
      <c r="B355" s="1" t="n">
        <v>44064</v>
      </c>
      <c r="C355" s="1" t="n">
        <v>45803</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40282-2020</t>
        </is>
      </c>
      <c r="B356" s="1" t="n">
        <v>44067</v>
      </c>
      <c r="C356" s="1" t="n">
        <v>45803</v>
      </c>
      <c r="D356" t="inlineStr">
        <is>
          <t>NORRBOTTENS LÄN</t>
        </is>
      </c>
      <c r="E356" t="inlineStr">
        <is>
          <t>BODEN</t>
        </is>
      </c>
      <c r="G356" t="n">
        <v>2.4</v>
      </c>
      <c r="H356" t="n">
        <v>0</v>
      </c>
      <c r="I356" t="n">
        <v>0</v>
      </c>
      <c r="J356" t="n">
        <v>0</v>
      </c>
      <c r="K356" t="n">
        <v>0</v>
      </c>
      <c r="L356" t="n">
        <v>0</v>
      </c>
      <c r="M356" t="n">
        <v>0</v>
      </c>
      <c r="N356" t="n">
        <v>0</v>
      </c>
      <c r="O356" t="n">
        <v>0</v>
      </c>
      <c r="P356" t="n">
        <v>0</v>
      </c>
      <c r="Q356" t="n">
        <v>0</v>
      </c>
      <c r="R356" s="2" t="inlineStr"/>
    </row>
    <row r="357" ht="15" customHeight="1">
      <c r="A357" t="inlineStr">
        <is>
          <t>A 41021-2020</t>
        </is>
      </c>
      <c r="B357" s="1" t="n">
        <v>44070</v>
      </c>
      <c r="C357" s="1" t="n">
        <v>45803</v>
      </c>
      <c r="D357" t="inlineStr">
        <is>
          <t>NORRBOTTENS LÄN</t>
        </is>
      </c>
      <c r="E357" t="inlineStr">
        <is>
          <t>BODEN</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41985-2020</t>
        </is>
      </c>
      <c r="B358" s="1" t="n">
        <v>44075</v>
      </c>
      <c r="C358" s="1" t="n">
        <v>45803</v>
      </c>
      <c r="D358" t="inlineStr">
        <is>
          <t>NORRBOTTENS LÄN</t>
        </is>
      </c>
      <c r="E358" t="inlineStr">
        <is>
          <t>BODEN</t>
        </is>
      </c>
      <c r="G358" t="n">
        <v>1.1</v>
      </c>
      <c r="H358" t="n">
        <v>0</v>
      </c>
      <c r="I358" t="n">
        <v>0</v>
      </c>
      <c r="J358" t="n">
        <v>0</v>
      </c>
      <c r="K358" t="n">
        <v>0</v>
      </c>
      <c r="L358" t="n">
        <v>0</v>
      </c>
      <c r="M358" t="n">
        <v>0</v>
      </c>
      <c r="N358" t="n">
        <v>0</v>
      </c>
      <c r="O358" t="n">
        <v>0</v>
      </c>
      <c r="P358" t="n">
        <v>0</v>
      </c>
      <c r="Q358" t="n">
        <v>0</v>
      </c>
      <c r="R358" s="2" t="inlineStr"/>
    </row>
    <row r="359" ht="15" customHeight="1">
      <c r="A359" t="inlineStr">
        <is>
          <t>A 42624-2020</t>
        </is>
      </c>
      <c r="B359" s="1" t="n">
        <v>44077</v>
      </c>
      <c r="C359" s="1" t="n">
        <v>45803</v>
      </c>
      <c r="D359" t="inlineStr">
        <is>
          <t>NORRBOTTENS LÄN</t>
        </is>
      </c>
      <c r="E359" t="inlineStr">
        <is>
          <t>BODEN</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42618-2020</t>
        </is>
      </c>
      <c r="B360" s="1" t="n">
        <v>44077</v>
      </c>
      <c r="C360" s="1" t="n">
        <v>45803</v>
      </c>
      <c r="D360" t="inlineStr">
        <is>
          <t>NORRBOTTENS LÄN</t>
        </is>
      </c>
      <c r="E360" t="inlineStr">
        <is>
          <t>BODEN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45676-2020</t>
        </is>
      </c>
      <c r="B361" s="1" t="n">
        <v>44090</v>
      </c>
      <c r="C361" s="1" t="n">
        <v>45803</v>
      </c>
      <c r="D361" t="inlineStr">
        <is>
          <t>NORRBOTTENS LÄN</t>
        </is>
      </c>
      <c r="E361" t="inlineStr">
        <is>
          <t>BODEN</t>
        </is>
      </c>
      <c r="G361" t="n">
        <v>0.2</v>
      </c>
      <c r="H361" t="n">
        <v>0</v>
      </c>
      <c r="I361" t="n">
        <v>0</v>
      </c>
      <c r="J361" t="n">
        <v>0</v>
      </c>
      <c r="K361" t="n">
        <v>0</v>
      </c>
      <c r="L361" t="n">
        <v>0</v>
      </c>
      <c r="M361" t="n">
        <v>0</v>
      </c>
      <c r="N361" t="n">
        <v>0</v>
      </c>
      <c r="O361" t="n">
        <v>0</v>
      </c>
      <c r="P361" t="n">
        <v>0</v>
      </c>
      <c r="Q361" t="n">
        <v>0</v>
      </c>
      <c r="R361" s="2" t="inlineStr"/>
    </row>
    <row r="362" ht="15" customHeight="1">
      <c r="A362" t="inlineStr">
        <is>
          <t>A 46292-2020</t>
        </is>
      </c>
      <c r="B362" s="1" t="n">
        <v>44092</v>
      </c>
      <c r="C362" s="1" t="n">
        <v>45803</v>
      </c>
      <c r="D362" t="inlineStr">
        <is>
          <t>NORRBOTTENS LÄN</t>
        </is>
      </c>
      <c r="E362" t="inlineStr">
        <is>
          <t>BODEN</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48777-2020</t>
        </is>
      </c>
      <c r="B363" s="1" t="n">
        <v>44099</v>
      </c>
      <c r="C363" s="1" t="n">
        <v>45803</v>
      </c>
      <c r="D363" t="inlineStr">
        <is>
          <t>NORRBOTTENS LÄN</t>
        </is>
      </c>
      <c r="E363" t="inlineStr">
        <is>
          <t>BODEN</t>
        </is>
      </c>
      <c r="G363" t="n">
        <v>2.3</v>
      </c>
      <c r="H363" t="n">
        <v>0</v>
      </c>
      <c r="I363" t="n">
        <v>0</v>
      </c>
      <c r="J363" t="n">
        <v>0</v>
      </c>
      <c r="K363" t="n">
        <v>0</v>
      </c>
      <c r="L363" t="n">
        <v>0</v>
      </c>
      <c r="M363" t="n">
        <v>0</v>
      </c>
      <c r="N363" t="n">
        <v>0</v>
      </c>
      <c r="O363" t="n">
        <v>0</v>
      </c>
      <c r="P363" t="n">
        <v>0</v>
      </c>
      <c r="Q363" t="n">
        <v>0</v>
      </c>
      <c r="R363" s="2" t="inlineStr"/>
    </row>
    <row r="364" ht="15" customHeight="1">
      <c r="A364" t="inlineStr">
        <is>
          <t>A 50526-2020</t>
        </is>
      </c>
      <c r="B364" s="1" t="n">
        <v>44110</v>
      </c>
      <c r="C364" s="1" t="n">
        <v>45803</v>
      </c>
      <c r="D364" t="inlineStr">
        <is>
          <t>NORRBOTTENS LÄN</t>
        </is>
      </c>
      <c r="E364" t="inlineStr">
        <is>
          <t>BODEN</t>
        </is>
      </c>
      <c r="G364" t="n">
        <v>5</v>
      </c>
      <c r="H364" t="n">
        <v>0</v>
      </c>
      <c r="I364" t="n">
        <v>0</v>
      </c>
      <c r="J364" t="n">
        <v>0</v>
      </c>
      <c r="K364" t="n">
        <v>0</v>
      </c>
      <c r="L364" t="n">
        <v>0</v>
      </c>
      <c r="M364" t="n">
        <v>0</v>
      </c>
      <c r="N364" t="n">
        <v>0</v>
      </c>
      <c r="O364" t="n">
        <v>0</v>
      </c>
      <c r="P364" t="n">
        <v>0</v>
      </c>
      <c r="Q364" t="n">
        <v>0</v>
      </c>
      <c r="R364" s="2" t="inlineStr"/>
    </row>
    <row r="365" ht="15" customHeight="1">
      <c r="A365" t="inlineStr">
        <is>
          <t>A 50545-2020</t>
        </is>
      </c>
      <c r="B365" s="1" t="n">
        <v>44110</v>
      </c>
      <c r="C365" s="1" t="n">
        <v>45803</v>
      </c>
      <c r="D365" t="inlineStr">
        <is>
          <t>NORRBOTTENS LÄN</t>
        </is>
      </c>
      <c r="E365" t="inlineStr">
        <is>
          <t>BODEN</t>
        </is>
      </c>
      <c r="G365" t="n">
        <v>4.2</v>
      </c>
      <c r="H365" t="n">
        <v>0</v>
      </c>
      <c r="I365" t="n">
        <v>0</v>
      </c>
      <c r="J365" t="n">
        <v>0</v>
      </c>
      <c r="K365" t="n">
        <v>0</v>
      </c>
      <c r="L365" t="n">
        <v>0</v>
      </c>
      <c r="M365" t="n">
        <v>0</v>
      </c>
      <c r="N365" t="n">
        <v>0</v>
      </c>
      <c r="O365" t="n">
        <v>0</v>
      </c>
      <c r="P365" t="n">
        <v>0</v>
      </c>
      <c r="Q365" t="n">
        <v>0</v>
      </c>
      <c r="R365" s="2" t="inlineStr"/>
    </row>
    <row r="366" ht="15" customHeight="1">
      <c r="A366" t="inlineStr">
        <is>
          <t>A 50621-2020</t>
        </is>
      </c>
      <c r="B366" s="1" t="n">
        <v>44110</v>
      </c>
      <c r="C366" s="1" t="n">
        <v>45803</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50618-2020</t>
        </is>
      </c>
      <c r="B367" s="1" t="n">
        <v>44110</v>
      </c>
      <c r="C367" s="1" t="n">
        <v>45803</v>
      </c>
      <c r="D367" t="inlineStr">
        <is>
          <t>NORRBOTTENS LÄN</t>
        </is>
      </c>
      <c r="E367" t="inlineStr">
        <is>
          <t>BODEN</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50623-2020</t>
        </is>
      </c>
      <c r="B368" s="1" t="n">
        <v>44110</v>
      </c>
      <c r="C368" s="1" t="n">
        <v>45803</v>
      </c>
      <c r="D368" t="inlineStr">
        <is>
          <t>NORRBOTTENS LÄN</t>
        </is>
      </c>
      <c r="E368" t="inlineStr">
        <is>
          <t>BODEN</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50617-2020</t>
        </is>
      </c>
      <c r="B369" s="1" t="n">
        <v>44110</v>
      </c>
      <c r="C369" s="1" t="n">
        <v>45803</v>
      </c>
      <c r="D369" t="inlineStr">
        <is>
          <t>NORRBOTTENS LÄN</t>
        </is>
      </c>
      <c r="E369" t="inlineStr">
        <is>
          <t>BODEN</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50736-2020</t>
        </is>
      </c>
      <c r="B370" s="1" t="n">
        <v>44111</v>
      </c>
      <c r="C370" s="1" t="n">
        <v>45803</v>
      </c>
      <c r="D370" t="inlineStr">
        <is>
          <t>NORRBOTTENS LÄN</t>
        </is>
      </c>
      <c r="E370" t="inlineStr">
        <is>
          <t>BODEN</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52591-2020</t>
        </is>
      </c>
      <c r="B371" s="1" t="n">
        <v>44116</v>
      </c>
      <c r="C371" s="1" t="n">
        <v>45803</v>
      </c>
      <c r="D371" t="inlineStr">
        <is>
          <t>NORRBOTTENS LÄN</t>
        </is>
      </c>
      <c r="E371" t="inlineStr">
        <is>
          <t>BODEN</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52903-2020</t>
        </is>
      </c>
      <c r="B372" s="1" t="n">
        <v>44119</v>
      </c>
      <c r="C372" s="1" t="n">
        <v>45803</v>
      </c>
      <c r="D372" t="inlineStr">
        <is>
          <t>NORRBOTTENS LÄN</t>
        </is>
      </c>
      <c r="E372" t="inlineStr">
        <is>
          <t>BODEN</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53102-2020</t>
        </is>
      </c>
      <c r="B373" s="1" t="n">
        <v>44120</v>
      </c>
      <c r="C373" s="1" t="n">
        <v>45803</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53065-2020</t>
        </is>
      </c>
      <c r="B374" s="1" t="n">
        <v>44120</v>
      </c>
      <c r="C374" s="1" t="n">
        <v>45803</v>
      </c>
      <c r="D374" t="inlineStr">
        <is>
          <t>NORRBOTTENS LÄN</t>
        </is>
      </c>
      <c r="E374" t="inlineStr">
        <is>
          <t>BODEN</t>
        </is>
      </c>
      <c r="G374" t="n">
        <v>3</v>
      </c>
      <c r="H374" t="n">
        <v>0</v>
      </c>
      <c r="I374" t="n">
        <v>0</v>
      </c>
      <c r="J374" t="n">
        <v>0</v>
      </c>
      <c r="K374" t="n">
        <v>0</v>
      </c>
      <c r="L374" t="n">
        <v>0</v>
      </c>
      <c r="M374" t="n">
        <v>0</v>
      </c>
      <c r="N374" t="n">
        <v>0</v>
      </c>
      <c r="O374" t="n">
        <v>0</v>
      </c>
      <c r="P374" t="n">
        <v>0</v>
      </c>
      <c r="Q374" t="n">
        <v>0</v>
      </c>
      <c r="R374" s="2" t="inlineStr"/>
    </row>
    <row r="375" ht="15" customHeight="1">
      <c r="A375" t="inlineStr">
        <is>
          <t>A 53069-2020</t>
        </is>
      </c>
      <c r="B375" s="1" t="n">
        <v>44120</v>
      </c>
      <c r="C375" s="1" t="n">
        <v>45803</v>
      </c>
      <c r="D375" t="inlineStr">
        <is>
          <t>NORRBOTTENS LÄN</t>
        </is>
      </c>
      <c r="E375" t="inlineStr">
        <is>
          <t>BODEN</t>
        </is>
      </c>
      <c r="G375" t="n">
        <v>2.8</v>
      </c>
      <c r="H375" t="n">
        <v>0</v>
      </c>
      <c r="I375" t="n">
        <v>0</v>
      </c>
      <c r="J375" t="n">
        <v>0</v>
      </c>
      <c r="K375" t="n">
        <v>0</v>
      </c>
      <c r="L375" t="n">
        <v>0</v>
      </c>
      <c r="M375" t="n">
        <v>0</v>
      </c>
      <c r="N375" t="n">
        <v>0</v>
      </c>
      <c r="O375" t="n">
        <v>0</v>
      </c>
      <c r="P375" t="n">
        <v>0</v>
      </c>
      <c r="Q375" t="n">
        <v>0</v>
      </c>
      <c r="R375" s="2" t="inlineStr"/>
    </row>
    <row r="376" ht="15" customHeight="1">
      <c r="A376" t="inlineStr">
        <is>
          <t>A 53829-2020</t>
        </is>
      </c>
      <c r="B376" s="1" t="n">
        <v>44124</v>
      </c>
      <c r="C376" s="1" t="n">
        <v>45803</v>
      </c>
      <c r="D376" t="inlineStr">
        <is>
          <t>NORRBOTTENS LÄN</t>
        </is>
      </c>
      <c r="E376" t="inlineStr">
        <is>
          <t>BODEN</t>
        </is>
      </c>
      <c r="G376" t="n">
        <v>3.2</v>
      </c>
      <c r="H376" t="n">
        <v>0</v>
      </c>
      <c r="I376" t="n">
        <v>0</v>
      </c>
      <c r="J376" t="n">
        <v>0</v>
      </c>
      <c r="K376" t="n">
        <v>0</v>
      </c>
      <c r="L376" t="n">
        <v>0</v>
      </c>
      <c r="M376" t="n">
        <v>0</v>
      </c>
      <c r="N376" t="n">
        <v>0</v>
      </c>
      <c r="O376" t="n">
        <v>0</v>
      </c>
      <c r="P376" t="n">
        <v>0</v>
      </c>
      <c r="Q376" t="n">
        <v>0</v>
      </c>
      <c r="R376" s="2" t="inlineStr"/>
    </row>
    <row r="377" ht="15" customHeight="1">
      <c r="A377" t="inlineStr">
        <is>
          <t>A 53744-2020</t>
        </is>
      </c>
      <c r="B377" s="1" t="n">
        <v>44124</v>
      </c>
      <c r="C377" s="1" t="n">
        <v>45803</v>
      </c>
      <c r="D377" t="inlineStr">
        <is>
          <t>NORRBOTTENS LÄN</t>
        </is>
      </c>
      <c r="E377" t="inlineStr">
        <is>
          <t>BODEN</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53859-2020</t>
        </is>
      </c>
      <c r="B378" s="1" t="n">
        <v>44125</v>
      </c>
      <c r="C378" s="1" t="n">
        <v>45803</v>
      </c>
      <c r="D378" t="inlineStr">
        <is>
          <t>NORRBOTTENS LÄN</t>
        </is>
      </c>
      <c r="E378" t="inlineStr">
        <is>
          <t>BODEN</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54451-2020</t>
        </is>
      </c>
      <c r="B379" s="1" t="n">
        <v>44126</v>
      </c>
      <c r="C379" s="1" t="n">
        <v>45803</v>
      </c>
      <c r="D379" t="inlineStr">
        <is>
          <t>NORRBOTTENS LÄN</t>
        </is>
      </c>
      <c r="E379" t="inlineStr">
        <is>
          <t>BODEN</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54614-2020</t>
        </is>
      </c>
      <c r="B380" s="1" t="n">
        <v>44127</v>
      </c>
      <c r="C380" s="1" t="n">
        <v>45803</v>
      </c>
      <c r="D380" t="inlineStr">
        <is>
          <t>NORRBOTTENS LÄN</t>
        </is>
      </c>
      <c r="E380" t="inlineStr">
        <is>
          <t>BODEN</t>
        </is>
      </c>
      <c r="G380" t="n">
        <v>49.1</v>
      </c>
      <c r="H380" t="n">
        <v>0</v>
      </c>
      <c r="I380" t="n">
        <v>0</v>
      </c>
      <c r="J380" t="n">
        <v>0</v>
      </c>
      <c r="K380" t="n">
        <v>0</v>
      </c>
      <c r="L380" t="n">
        <v>0</v>
      </c>
      <c r="M380" t="n">
        <v>0</v>
      </c>
      <c r="N380" t="n">
        <v>0</v>
      </c>
      <c r="O380" t="n">
        <v>0</v>
      </c>
      <c r="P380" t="n">
        <v>0</v>
      </c>
      <c r="Q380" t="n">
        <v>0</v>
      </c>
      <c r="R380" s="2" t="inlineStr"/>
    </row>
    <row r="381" ht="15" customHeight="1">
      <c r="A381" t="inlineStr">
        <is>
          <t>A 55059-2020</t>
        </is>
      </c>
      <c r="B381" s="1" t="n">
        <v>44130</v>
      </c>
      <c r="C381" s="1" t="n">
        <v>45803</v>
      </c>
      <c r="D381" t="inlineStr">
        <is>
          <t>NORRBOTTENS LÄN</t>
        </is>
      </c>
      <c r="E381" t="inlineStr">
        <is>
          <t>BODEN</t>
        </is>
      </c>
      <c r="G381" t="n">
        <v>1.1</v>
      </c>
      <c r="H381" t="n">
        <v>0</v>
      </c>
      <c r="I381" t="n">
        <v>0</v>
      </c>
      <c r="J381" t="n">
        <v>0</v>
      </c>
      <c r="K381" t="n">
        <v>0</v>
      </c>
      <c r="L381" t="n">
        <v>0</v>
      </c>
      <c r="M381" t="n">
        <v>0</v>
      </c>
      <c r="N381" t="n">
        <v>0</v>
      </c>
      <c r="O381" t="n">
        <v>0</v>
      </c>
      <c r="P381" t="n">
        <v>0</v>
      </c>
      <c r="Q381" t="n">
        <v>0</v>
      </c>
      <c r="R381" s="2" t="inlineStr"/>
    </row>
    <row r="382" ht="15" customHeight="1">
      <c r="A382" t="inlineStr">
        <is>
          <t>A 57089-2020</t>
        </is>
      </c>
      <c r="B382" s="1" t="n">
        <v>44138</v>
      </c>
      <c r="C382" s="1" t="n">
        <v>45803</v>
      </c>
      <c r="D382" t="inlineStr">
        <is>
          <t>NORRBOTTENS LÄN</t>
        </is>
      </c>
      <c r="E382" t="inlineStr">
        <is>
          <t>BODEN</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57988-2020</t>
        </is>
      </c>
      <c r="B383" s="1" t="n">
        <v>44143</v>
      </c>
      <c r="C383" s="1" t="n">
        <v>45803</v>
      </c>
      <c r="D383" t="inlineStr">
        <is>
          <t>NORRBOTTENS LÄN</t>
        </is>
      </c>
      <c r="E383" t="inlineStr">
        <is>
          <t>BODEN</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59775-2020</t>
        </is>
      </c>
      <c r="B384" s="1" t="n">
        <v>44151</v>
      </c>
      <c r="C384" s="1" t="n">
        <v>45803</v>
      </c>
      <c r="D384" t="inlineStr">
        <is>
          <t>NORRBOTTENS LÄN</t>
        </is>
      </c>
      <c r="E384" t="inlineStr">
        <is>
          <t>BODEN</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60047-2020</t>
        </is>
      </c>
      <c r="B385" s="1" t="n">
        <v>44151</v>
      </c>
      <c r="C385" s="1" t="n">
        <v>45803</v>
      </c>
      <c r="D385" t="inlineStr">
        <is>
          <t>NORRBOTTENS LÄN</t>
        </is>
      </c>
      <c r="E385" t="inlineStr">
        <is>
          <t>BODEN</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60984-2020</t>
        </is>
      </c>
      <c r="B386" s="1" t="n">
        <v>44153</v>
      </c>
      <c r="C386" s="1" t="n">
        <v>45803</v>
      </c>
      <c r="D386" t="inlineStr">
        <is>
          <t>NORRBOTTENS LÄN</t>
        </is>
      </c>
      <c r="E386" t="inlineStr">
        <is>
          <t>BODEN</t>
        </is>
      </c>
      <c r="F386" t="inlineStr">
        <is>
          <t>Kyrkan</t>
        </is>
      </c>
      <c r="G386" t="n">
        <v>3.6</v>
      </c>
      <c r="H386" t="n">
        <v>0</v>
      </c>
      <c r="I386" t="n">
        <v>0</v>
      </c>
      <c r="J386" t="n">
        <v>0</v>
      </c>
      <c r="K386" t="n">
        <v>0</v>
      </c>
      <c r="L386" t="n">
        <v>0</v>
      </c>
      <c r="M386" t="n">
        <v>0</v>
      </c>
      <c r="N386" t="n">
        <v>0</v>
      </c>
      <c r="O386" t="n">
        <v>0</v>
      </c>
      <c r="P386" t="n">
        <v>0</v>
      </c>
      <c r="Q386" t="n">
        <v>0</v>
      </c>
      <c r="R386" s="2" t="inlineStr"/>
    </row>
    <row r="387" ht="15" customHeight="1">
      <c r="A387" t="inlineStr">
        <is>
          <t>A 61328-2020</t>
        </is>
      </c>
      <c r="B387" s="1" t="n">
        <v>44154</v>
      </c>
      <c r="C387" s="1" t="n">
        <v>45803</v>
      </c>
      <c r="D387" t="inlineStr">
        <is>
          <t>NORRBOTTENS LÄN</t>
        </is>
      </c>
      <c r="E387" t="inlineStr">
        <is>
          <t>BODEN</t>
        </is>
      </c>
      <c r="G387" t="n">
        <v>4.7</v>
      </c>
      <c r="H387" t="n">
        <v>0</v>
      </c>
      <c r="I387" t="n">
        <v>0</v>
      </c>
      <c r="J387" t="n">
        <v>0</v>
      </c>
      <c r="K387" t="n">
        <v>0</v>
      </c>
      <c r="L387" t="n">
        <v>0</v>
      </c>
      <c r="M387" t="n">
        <v>0</v>
      </c>
      <c r="N387" t="n">
        <v>0</v>
      </c>
      <c r="O387" t="n">
        <v>0</v>
      </c>
      <c r="P387" t="n">
        <v>0</v>
      </c>
      <c r="Q387" t="n">
        <v>0</v>
      </c>
      <c r="R387" s="2" t="inlineStr"/>
    </row>
    <row r="388" ht="15" customHeight="1">
      <c r="A388" t="inlineStr">
        <is>
          <t>A 62066-2020</t>
        </is>
      </c>
      <c r="B388" s="1" t="n">
        <v>44158</v>
      </c>
      <c r="C388" s="1" t="n">
        <v>45803</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62079-2020</t>
        </is>
      </c>
      <c r="B389" s="1" t="n">
        <v>44158</v>
      </c>
      <c r="C389" s="1" t="n">
        <v>45803</v>
      </c>
      <c r="D389" t="inlineStr">
        <is>
          <t>NORRBOTTENS LÄN</t>
        </is>
      </c>
      <c r="E389" t="inlineStr">
        <is>
          <t>BODEN</t>
        </is>
      </c>
      <c r="G389" t="n">
        <v>5.5</v>
      </c>
      <c r="H389" t="n">
        <v>0</v>
      </c>
      <c r="I389" t="n">
        <v>0</v>
      </c>
      <c r="J389" t="n">
        <v>0</v>
      </c>
      <c r="K389" t="n">
        <v>0</v>
      </c>
      <c r="L389" t="n">
        <v>0</v>
      </c>
      <c r="M389" t="n">
        <v>0</v>
      </c>
      <c r="N389" t="n">
        <v>0</v>
      </c>
      <c r="O389" t="n">
        <v>0</v>
      </c>
      <c r="P389" t="n">
        <v>0</v>
      </c>
      <c r="Q389" t="n">
        <v>0</v>
      </c>
      <c r="R389" s="2" t="inlineStr"/>
    </row>
    <row r="390" ht="15" customHeight="1">
      <c r="A390" t="inlineStr">
        <is>
          <t>A 62321-2020</t>
        </is>
      </c>
      <c r="B390" s="1" t="n">
        <v>44158</v>
      </c>
      <c r="C390" s="1" t="n">
        <v>45803</v>
      </c>
      <c r="D390" t="inlineStr">
        <is>
          <t>NORRBOTTENS LÄN</t>
        </is>
      </c>
      <c r="E390" t="inlineStr">
        <is>
          <t>BODEN</t>
        </is>
      </c>
      <c r="G390" t="n">
        <v>3.2</v>
      </c>
      <c r="H390" t="n">
        <v>0</v>
      </c>
      <c r="I390" t="n">
        <v>0</v>
      </c>
      <c r="J390" t="n">
        <v>0</v>
      </c>
      <c r="K390" t="n">
        <v>0</v>
      </c>
      <c r="L390" t="n">
        <v>0</v>
      </c>
      <c r="M390" t="n">
        <v>0</v>
      </c>
      <c r="N390" t="n">
        <v>0</v>
      </c>
      <c r="O390" t="n">
        <v>0</v>
      </c>
      <c r="P390" t="n">
        <v>0</v>
      </c>
      <c r="Q390" t="n">
        <v>0</v>
      </c>
      <c r="R390" s="2" t="inlineStr"/>
    </row>
    <row r="391" ht="15" customHeight="1">
      <c r="A391" t="inlineStr">
        <is>
          <t>A 62068-2020</t>
        </is>
      </c>
      <c r="B391" s="1" t="n">
        <v>44158</v>
      </c>
      <c r="C391" s="1" t="n">
        <v>45803</v>
      </c>
      <c r="D391" t="inlineStr">
        <is>
          <t>NORRBOTTENS LÄN</t>
        </is>
      </c>
      <c r="E391" t="inlineStr">
        <is>
          <t>BODEN</t>
        </is>
      </c>
      <c r="G391" t="n">
        <v>7.5</v>
      </c>
      <c r="H391" t="n">
        <v>0</v>
      </c>
      <c r="I391" t="n">
        <v>0</v>
      </c>
      <c r="J391" t="n">
        <v>0</v>
      </c>
      <c r="K391" t="n">
        <v>0</v>
      </c>
      <c r="L391" t="n">
        <v>0</v>
      </c>
      <c r="M391" t="n">
        <v>0</v>
      </c>
      <c r="N391" t="n">
        <v>0</v>
      </c>
      <c r="O391" t="n">
        <v>0</v>
      </c>
      <c r="P391" t="n">
        <v>0</v>
      </c>
      <c r="Q391" t="n">
        <v>0</v>
      </c>
      <c r="R391" s="2" t="inlineStr"/>
    </row>
    <row r="392" ht="15" customHeight="1">
      <c r="A392" t="inlineStr">
        <is>
          <t>A 63264-2020</t>
        </is>
      </c>
      <c r="B392" s="1" t="n">
        <v>44164</v>
      </c>
      <c r="C392" s="1" t="n">
        <v>45803</v>
      </c>
      <c r="D392" t="inlineStr">
        <is>
          <t>NORRBOTTENS LÄN</t>
        </is>
      </c>
      <c r="E392" t="inlineStr">
        <is>
          <t>BODEN</t>
        </is>
      </c>
      <c r="F392" t="inlineStr">
        <is>
          <t>Kommuner</t>
        </is>
      </c>
      <c r="G392" t="n">
        <v>6.8</v>
      </c>
      <c r="H392" t="n">
        <v>0</v>
      </c>
      <c r="I392" t="n">
        <v>0</v>
      </c>
      <c r="J392" t="n">
        <v>0</v>
      </c>
      <c r="K392" t="n">
        <v>0</v>
      </c>
      <c r="L392" t="n">
        <v>0</v>
      </c>
      <c r="M392" t="n">
        <v>0</v>
      </c>
      <c r="N392" t="n">
        <v>0</v>
      </c>
      <c r="O392" t="n">
        <v>0</v>
      </c>
      <c r="P392" t="n">
        <v>0</v>
      </c>
      <c r="Q392" t="n">
        <v>0</v>
      </c>
      <c r="R392" s="2" t="inlineStr"/>
    </row>
    <row r="393" ht="15" customHeight="1">
      <c r="A393" t="inlineStr">
        <is>
          <t>A 63286-2020</t>
        </is>
      </c>
      <c r="B393" s="1" t="n">
        <v>44165</v>
      </c>
      <c r="C393" s="1" t="n">
        <v>45803</v>
      </c>
      <c r="D393" t="inlineStr">
        <is>
          <t>NORRBOTTENS LÄN</t>
        </is>
      </c>
      <c r="E393" t="inlineStr">
        <is>
          <t>BODEN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63772-2020</t>
        </is>
      </c>
      <c r="B394" s="1" t="n">
        <v>44165</v>
      </c>
      <c r="C394" s="1" t="n">
        <v>45803</v>
      </c>
      <c r="D394" t="inlineStr">
        <is>
          <t>NORRBOTTENS LÄN</t>
        </is>
      </c>
      <c r="E394" t="inlineStr">
        <is>
          <t>BODEN</t>
        </is>
      </c>
      <c r="G394" t="n">
        <v>1.8</v>
      </c>
      <c r="H394" t="n">
        <v>0</v>
      </c>
      <c r="I394" t="n">
        <v>0</v>
      </c>
      <c r="J394" t="n">
        <v>0</v>
      </c>
      <c r="K394" t="n">
        <v>0</v>
      </c>
      <c r="L394" t="n">
        <v>0</v>
      </c>
      <c r="M394" t="n">
        <v>0</v>
      </c>
      <c r="N394" t="n">
        <v>0</v>
      </c>
      <c r="O394" t="n">
        <v>0</v>
      </c>
      <c r="P394" t="n">
        <v>0</v>
      </c>
      <c r="Q394" t="n">
        <v>0</v>
      </c>
      <c r="R394" s="2" t="inlineStr"/>
    </row>
    <row r="395" ht="15" customHeight="1">
      <c r="A395" t="inlineStr">
        <is>
          <t>A 64354-2020</t>
        </is>
      </c>
      <c r="B395" s="1" t="n">
        <v>44168</v>
      </c>
      <c r="C395" s="1" t="n">
        <v>45803</v>
      </c>
      <c r="D395" t="inlineStr">
        <is>
          <t>NORRBOTTENS LÄN</t>
        </is>
      </c>
      <c r="E395" t="inlineStr">
        <is>
          <t>BODEN</t>
        </is>
      </c>
      <c r="F395" t="inlineStr">
        <is>
          <t>Sveaskog</t>
        </is>
      </c>
      <c r="G395" t="n">
        <v>58.6</v>
      </c>
      <c r="H395" t="n">
        <v>0</v>
      </c>
      <c r="I395" t="n">
        <v>0</v>
      </c>
      <c r="J395" t="n">
        <v>0</v>
      </c>
      <c r="K395" t="n">
        <v>0</v>
      </c>
      <c r="L395" t="n">
        <v>0</v>
      </c>
      <c r="M395" t="n">
        <v>0</v>
      </c>
      <c r="N395" t="n">
        <v>0</v>
      </c>
      <c r="O395" t="n">
        <v>0</v>
      </c>
      <c r="P395" t="n">
        <v>0</v>
      </c>
      <c r="Q395" t="n">
        <v>0</v>
      </c>
      <c r="R395" s="2" t="inlineStr"/>
    </row>
    <row r="396" ht="15" customHeight="1">
      <c r="A396" t="inlineStr">
        <is>
          <t>A 65378-2020</t>
        </is>
      </c>
      <c r="B396" s="1" t="n">
        <v>44168</v>
      </c>
      <c r="C396" s="1" t="n">
        <v>45803</v>
      </c>
      <c r="D396" t="inlineStr">
        <is>
          <t>NORRBOTTENS LÄN</t>
        </is>
      </c>
      <c r="E396" t="inlineStr">
        <is>
          <t>BODEN</t>
        </is>
      </c>
      <c r="G396" t="n">
        <v>10.8</v>
      </c>
      <c r="H396" t="n">
        <v>0</v>
      </c>
      <c r="I396" t="n">
        <v>0</v>
      </c>
      <c r="J396" t="n">
        <v>0</v>
      </c>
      <c r="K396" t="n">
        <v>0</v>
      </c>
      <c r="L396" t="n">
        <v>0</v>
      </c>
      <c r="M396" t="n">
        <v>0</v>
      </c>
      <c r="N396" t="n">
        <v>0</v>
      </c>
      <c r="O396" t="n">
        <v>0</v>
      </c>
      <c r="P396" t="n">
        <v>0</v>
      </c>
      <c r="Q396" t="n">
        <v>0</v>
      </c>
      <c r="R396" s="2" t="inlineStr"/>
    </row>
    <row r="397" ht="15" customHeight="1">
      <c r="A397" t="inlineStr">
        <is>
          <t>A 65634-2020</t>
        </is>
      </c>
      <c r="B397" s="1" t="n">
        <v>44173</v>
      </c>
      <c r="C397" s="1" t="n">
        <v>45803</v>
      </c>
      <c r="D397" t="inlineStr">
        <is>
          <t>NORRBOTTENS LÄN</t>
        </is>
      </c>
      <c r="E397" t="inlineStr">
        <is>
          <t>BODEN</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65635-2020</t>
        </is>
      </c>
      <c r="B398" s="1" t="n">
        <v>44173</v>
      </c>
      <c r="C398" s="1" t="n">
        <v>45803</v>
      </c>
      <c r="D398" t="inlineStr">
        <is>
          <t>NORRBOTTENS LÄN</t>
        </is>
      </c>
      <c r="E398" t="inlineStr">
        <is>
          <t>BODEN</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65717-2020</t>
        </is>
      </c>
      <c r="B399" s="1" t="n">
        <v>44174</v>
      </c>
      <c r="C399" s="1" t="n">
        <v>45803</v>
      </c>
      <c r="D399" t="inlineStr">
        <is>
          <t>NORRBOTTENS LÄN</t>
        </is>
      </c>
      <c r="E399" t="inlineStr">
        <is>
          <t>BODEN</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66696-2020</t>
        </is>
      </c>
      <c r="B400" s="1" t="n">
        <v>44174</v>
      </c>
      <c r="C400" s="1" t="n">
        <v>45803</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c r="U400">
        <f>HYPERLINK("https://klasma.github.io/Logging_2582/knärot/A 66696-2020 karta knärot.png", "A 66696-2020")</f>
        <v/>
      </c>
      <c r="V400">
        <f>HYPERLINK("https://klasma.github.io/Logging_2582/klagomål/A 66696-2020 FSC-klagomål.docx", "A 66696-2020")</f>
        <v/>
      </c>
      <c r="W400">
        <f>HYPERLINK("https://klasma.github.io/Logging_2582/klagomålsmail/A 66696-2020 FSC-klagomål mail.docx", "A 66696-2020")</f>
        <v/>
      </c>
      <c r="X400">
        <f>HYPERLINK("https://klasma.github.io/Logging_2582/tillsyn/A 66696-2020 tillsynsbegäran.docx", "A 66696-2020")</f>
        <v/>
      </c>
      <c r="Y400">
        <f>HYPERLINK("https://klasma.github.io/Logging_2582/tillsynsmail/A 66696-2020 tillsynsbegäran mail.docx", "A 66696-2020")</f>
        <v/>
      </c>
    </row>
    <row r="401" ht="15" customHeight="1">
      <c r="A401" t="inlineStr">
        <is>
          <t>A 68205-2020</t>
        </is>
      </c>
      <c r="B401" s="1" t="n">
        <v>44182</v>
      </c>
      <c r="C401" s="1" t="n">
        <v>45803</v>
      </c>
      <c r="D401" t="inlineStr">
        <is>
          <t>NORRBOTTENS LÄN</t>
        </is>
      </c>
      <c r="E401" t="inlineStr">
        <is>
          <t>BODEN</t>
        </is>
      </c>
      <c r="G401" t="n">
        <v>0.8</v>
      </c>
      <c r="H401" t="n">
        <v>0</v>
      </c>
      <c r="I401" t="n">
        <v>0</v>
      </c>
      <c r="J401" t="n">
        <v>0</v>
      </c>
      <c r="K401" t="n">
        <v>0</v>
      </c>
      <c r="L401" t="n">
        <v>0</v>
      </c>
      <c r="M401" t="n">
        <v>0</v>
      </c>
      <c r="N401" t="n">
        <v>0</v>
      </c>
      <c r="O401" t="n">
        <v>0</v>
      </c>
      <c r="P401" t="n">
        <v>0</v>
      </c>
      <c r="Q401" t="n">
        <v>0</v>
      </c>
      <c r="R401" s="2" t="inlineStr"/>
    </row>
    <row r="402" ht="15" customHeight="1">
      <c r="A402" t="inlineStr">
        <is>
          <t>A 68210-2020</t>
        </is>
      </c>
      <c r="B402" s="1" t="n">
        <v>44182</v>
      </c>
      <c r="C402" s="1" t="n">
        <v>45803</v>
      </c>
      <c r="D402" t="inlineStr">
        <is>
          <t>NORRBOTTENS LÄN</t>
        </is>
      </c>
      <c r="E402" t="inlineStr">
        <is>
          <t>BODEN</t>
        </is>
      </c>
      <c r="G402" t="n">
        <v>0.7</v>
      </c>
      <c r="H402" t="n">
        <v>0</v>
      </c>
      <c r="I402" t="n">
        <v>0</v>
      </c>
      <c r="J402" t="n">
        <v>0</v>
      </c>
      <c r="K402" t="n">
        <v>0</v>
      </c>
      <c r="L402" t="n">
        <v>0</v>
      </c>
      <c r="M402" t="n">
        <v>0</v>
      </c>
      <c r="N402" t="n">
        <v>0</v>
      </c>
      <c r="O402" t="n">
        <v>0</v>
      </c>
      <c r="P402" t="n">
        <v>0</v>
      </c>
      <c r="Q402" t="n">
        <v>0</v>
      </c>
      <c r="R402" s="2" t="inlineStr"/>
    </row>
    <row r="403" ht="15" customHeight="1">
      <c r="A403" t="inlineStr">
        <is>
          <t>A 68098-2020</t>
        </is>
      </c>
      <c r="B403" s="1" t="n">
        <v>44182</v>
      </c>
      <c r="C403" s="1" t="n">
        <v>45803</v>
      </c>
      <c r="D403" t="inlineStr">
        <is>
          <t>NORRBOTTENS LÄN</t>
        </is>
      </c>
      <c r="E403" t="inlineStr">
        <is>
          <t>BODEN</t>
        </is>
      </c>
      <c r="G403" t="n">
        <v>8.4</v>
      </c>
      <c r="H403" t="n">
        <v>0</v>
      </c>
      <c r="I403" t="n">
        <v>0</v>
      </c>
      <c r="J403" t="n">
        <v>0</v>
      </c>
      <c r="K403" t="n">
        <v>0</v>
      </c>
      <c r="L403" t="n">
        <v>0</v>
      </c>
      <c r="M403" t="n">
        <v>0</v>
      </c>
      <c r="N403" t="n">
        <v>0</v>
      </c>
      <c r="O403" t="n">
        <v>0</v>
      </c>
      <c r="P403" t="n">
        <v>0</v>
      </c>
      <c r="Q403" t="n">
        <v>0</v>
      </c>
      <c r="R403" s="2" t="inlineStr"/>
    </row>
    <row r="404" ht="15" customHeight="1">
      <c r="A404" t="inlineStr">
        <is>
          <t>A 68267-2020</t>
        </is>
      </c>
      <c r="B404" s="1" t="n">
        <v>44182</v>
      </c>
      <c r="C404" s="1" t="n">
        <v>45803</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68109-2020</t>
        </is>
      </c>
      <c r="B405" s="1" t="n">
        <v>44182</v>
      </c>
      <c r="C405" s="1" t="n">
        <v>45803</v>
      </c>
      <c r="D405" t="inlineStr">
        <is>
          <t>NORRBOTTENS LÄN</t>
        </is>
      </c>
      <c r="E405" t="inlineStr">
        <is>
          <t>BODEN</t>
        </is>
      </c>
      <c r="G405" t="n">
        <v>1.1</v>
      </c>
      <c r="H405" t="n">
        <v>0</v>
      </c>
      <c r="I405" t="n">
        <v>0</v>
      </c>
      <c r="J405" t="n">
        <v>0</v>
      </c>
      <c r="K405" t="n">
        <v>0</v>
      </c>
      <c r="L405" t="n">
        <v>0</v>
      </c>
      <c r="M405" t="n">
        <v>0</v>
      </c>
      <c r="N405" t="n">
        <v>0</v>
      </c>
      <c r="O405" t="n">
        <v>0</v>
      </c>
      <c r="P405" t="n">
        <v>0</v>
      </c>
      <c r="Q405" t="n">
        <v>0</v>
      </c>
      <c r="R405" s="2" t="inlineStr"/>
    </row>
    <row r="406" ht="15" customHeight="1">
      <c r="A406" t="inlineStr">
        <is>
          <t>A 69039-2020</t>
        </is>
      </c>
      <c r="B406" s="1" t="n">
        <v>44187</v>
      </c>
      <c r="C406" s="1" t="n">
        <v>45803</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920-2021</t>
        </is>
      </c>
      <c r="B407" s="1" t="n">
        <v>44204</v>
      </c>
      <c r="C407" s="1" t="n">
        <v>45803</v>
      </c>
      <c r="D407" t="inlineStr">
        <is>
          <t>NORRBOTTENS LÄN</t>
        </is>
      </c>
      <c r="E407" t="inlineStr">
        <is>
          <t>BODEN</t>
        </is>
      </c>
      <c r="G407" t="n">
        <v>1.9</v>
      </c>
      <c r="H407" t="n">
        <v>0</v>
      </c>
      <c r="I407" t="n">
        <v>0</v>
      </c>
      <c r="J407" t="n">
        <v>0</v>
      </c>
      <c r="K407" t="n">
        <v>0</v>
      </c>
      <c r="L407" t="n">
        <v>0</v>
      </c>
      <c r="M407" t="n">
        <v>0</v>
      </c>
      <c r="N407" t="n">
        <v>0</v>
      </c>
      <c r="O407" t="n">
        <v>0</v>
      </c>
      <c r="P407" t="n">
        <v>0</v>
      </c>
      <c r="Q407" t="n">
        <v>0</v>
      </c>
      <c r="R407" s="2" t="inlineStr"/>
    </row>
    <row r="408" ht="15" customHeight="1">
      <c r="A408" t="inlineStr">
        <is>
          <t>A 1087-2021</t>
        </is>
      </c>
      <c r="B408" s="1" t="n">
        <v>44207</v>
      </c>
      <c r="C408" s="1" t="n">
        <v>45803</v>
      </c>
      <c r="D408" t="inlineStr">
        <is>
          <t>NORRBOTTENS LÄN</t>
        </is>
      </c>
      <c r="E408" t="inlineStr">
        <is>
          <t>BODEN</t>
        </is>
      </c>
      <c r="G408" t="n">
        <v>1.1</v>
      </c>
      <c r="H408" t="n">
        <v>0</v>
      </c>
      <c r="I408" t="n">
        <v>0</v>
      </c>
      <c r="J408" t="n">
        <v>0</v>
      </c>
      <c r="K408" t="n">
        <v>0</v>
      </c>
      <c r="L408" t="n">
        <v>0</v>
      </c>
      <c r="M408" t="n">
        <v>0</v>
      </c>
      <c r="N408" t="n">
        <v>0</v>
      </c>
      <c r="O408" t="n">
        <v>0</v>
      </c>
      <c r="P408" t="n">
        <v>0</v>
      </c>
      <c r="Q408" t="n">
        <v>0</v>
      </c>
      <c r="R408" s="2" t="inlineStr"/>
    </row>
    <row r="409" ht="15" customHeight="1">
      <c r="A409" t="inlineStr">
        <is>
          <t>A 2444-2021</t>
        </is>
      </c>
      <c r="B409" s="1" t="n">
        <v>44211</v>
      </c>
      <c r="C409" s="1" t="n">
        <v>45803</v>
      </c>
      <c r="D409" t="inlineStr">
        <is>
          <t>NORRBOTTENS LÄN</t>
        </is>
      </c>
      <c r="E409" t="inlineStr">
        <is>
          <t>BODEN</t>
        </is>
      </c>
      <c r="G409" t="n">
        <v>16.4</v>
      </c>
      <c r="H409" t="n">
        <v>0</v>
      </c>
      <c r="I409" t="n">
        <v>0</v>
      </c>
      <c r="J409" t="n">
        <v>0</v>
      </c>
      <c r="K409" t="n">
        <v>0</v>
      </c>
      <c r="L409" t="n">
        <v>0</v>
      </c>
      <c r="M409" t="n">
        <v>0</v>
      </c>
      <c r="N409" t="n">
        <v>0</v>
      </c>
      <c r="O409" t="n">
        <v>0</v>
      </c>
      <c r="P409" t="n">
        <v>0</v>
      </c>
      <c r="Q409" t="n">
        <v>0</v>
      </c>
      <c r="R409" s="2" t="inlineStr"/>
    </row>
    <row r="410" ht="15" customHeight="1">
      <c r="A410" t="inlineStr">
        <is>
          <t>A 3248-2021</t>
        </is>
      </c>
      <c r="B410" s="1" t="n">
        <v>44215</v>
      </c>
      <c r="C410" s="1" t="n">
        <v>45803</v>
      </c>
      <c r="D410" t="inlineStr">
        <is>
          <t>NORRBOTTENS LÄN</t>
        </is>
      </c>
      <c r="E410" t="inlineStr">
        <is>
          <t>BODEN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3535-2021</t>
        </is>
      </c>
      <c r="B411" s="1" t="n">
        <v>44216</v>
      </c>
      <c r="C411" s="1" t="n">
        <v>45803</v>
      </c>
      <c r="D411" t="inlineStr">
        <is>
          <t>NORRBOTTENS LÄN</t>
        </is>
      </c>
      <c r="E411" t="inlineStr">
        <is>
          <t>BODEN</t>
        </is>
      </c>
      <c r="G411" t="n">
        <v>5.7</v>
      </c>
      <c r="H411" t="n">
        <v>0</v>
      </c>
      <c r="I411" t="n">
        <v>0</v>
      </c>
      <c r="J411" t="n">
        <v>0</v>
      </c>
      <c r="K411" t="n">
        <v>0</v>
      </c>
      <c r="L411" t="n">
        <v>0</v>
      </c>
      <c r="M411" t="n">
        <v>0</v>
      </c>
      <c r="N411" t="n">
        <v>0</v>
      </c>
      <c r="O411" t="n">
        <v>0</v>
      </c>
      <c r="P411" t="n">
        <v>0</v>
      </c>
      <c r="Q411" t="n">
        <v>0</v>
      </c>
      <c r="R411" s="2" t="inlineStr"/>
    </row>
    <row r="412" ht="15" customHeight="1">
      <c r="A412" t="inlineStr">
        <is>
          <t>A 3537-2021</t>
        </is>
      </c>
      <c r="B412" s="1" t="n">
        <v>44216</v>
      </c>
      <c r="C412" s="1" t="n">
        <v>45803</v>
      </c>
      <c r="D412" t="inlineStr">
        <is>
          <t>NORRBOTTENS LÄN</t>
        </is>
      </c>
      <c r="E412" t="inlineStr">
        <is>
          <t>BODEN</t>
        </is>
      </c>
      <c r="G412" t="n">
        <v>8.6</v>
      </c>
      <c r="H412" t="n">
        <v>0</v>
      </c>
      <c r="I412" t="n">
        <v>0</v>
      </c>
      <c r="J412" t="n">
        <v>0</v>
      </c>
      <c r="K412" t="n">
        <v>0</v>
      </c>
      <c r="L412" t="n">
        <v>0</v>
      </c>
      <c r="M412" t="n">
        <v>0</v>
      </c>
      <c r="N412" t="n">
        <v>0</v>
      </c>
      <c r="O412" t="n">
        <v>0</v>
      </c>
      <c r="P412" t="n">
        <v>0</v>
      </c>
      <c r="Q412" t="n">
        <v>0</v>
      </c>
      <c r="R412" s="2" t="inlineStr"/>
    </row>
    <row r="413" ht="15" customHeight="1">
      <c r="A413" t="inlineStr">
        <is>
          <t>A 3777-2021</t>
        </is>
      </c>
      <c r="B413" s="1" t="n">
        <v>44217</v>
      </c>
      <c r="C413" s="1" t="n">
        <v>45803</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3779-2021</t>
        </is>
      </c>
      <c r="B414" s="1" t="n">
        <v>44217</v>
      </c>
      <c r="C414" s="1" t="n">
        <v>45803</v>
      </c>
      <c r="D414" t="inlineStr">
        <is>
          <t>NORRBOTTENS LÄN</t>
        </is>
      </c>
      <c r="E414" t="inlineStr">
        <is>
          <t>BODEN</t>
        </is>
      </c>
      <c r="G414" t="n">
        <v>1.1</v>
      </c>
      <c r="H414" t="n">
        <v>0</v>
      </c>
      <c r="I414" t="n">
        <v>0</v>
      </c>
      <c r="J414" t="n">
        <v>0</v>
      </c>
      <c r="K414" t="n">
        <v>0</v>
      </c>
      <c r="L414" t="n">
        <v>0</v>
      </c>
      <c r="M414" t="n">
        <v>0</v>
      </c>
      <c r="N414" t="n">
        <v>0</v>
      </c>
      <c r="O414" t="n">
        <v>0</v>
      </c>
      <c r="P414" t="n">
        <v>0</v>
      </c>
      <c r="Q414" t="n">
        <v>0</v>
      </c>
      <c r="R414" s="2" t="inlineStr"/>
    </row>
    <row r="415" ht="15" customHeight="1">
      <c r="A415" t="inlineStr">
        <is>
          <t>A 3778-2021</t>
        </is>
      </c>
      <c r="B415" s="1" t="n">
        <v>44217</v>
      </c>
      <c r="C415" s="1" t="n">
        <v>45803</v>
      </c>
      <c r="D415" t="inlineStr">
        <is>
          <t>NORRBOTTENS LÄN</t>
        </is>
      </c>
      <c r="E415" t="inlineStr">
        <is>
          <t>BODEN</t>
        </is>
      </c>
      <c r="G415" t="n">
        <v>4.4</v>
      </c>
      <c r="H415" t="n">
        <v>0</v>
      </c>
      <c r="I415" t="n">
        <v>0</v>
      </c>
      <c r="J415" t="n">
        <v>0</v>
      </c>
      <c r="K415" t="n">
        <v>0</v>
      </c>
      <c r="L415" t="n">
        <v>0</v>
      </c>
      <c r="M415" t="n">
        <v>0</v>
      </c>
      <c r="N415" t="n">
        <v>0</v>
      </c>
      <c r="O415" t="n">
        <v>0</v>
      </c>
      <c r="P415" t="n">
        <v>0</v>
      </c>
      <c r="Q415" t="n">
        <v>0</v>
      </c>
      <c r="R415" s="2" t="inlineStr"/>
    </row>
    <row r="416" ht="15" customHeight="1">
      <c r="A416" t="inlineStr">
        <is>
          <t>A 4274-2021</t>
        </is>
      </c>
      <c r="B416" s="1" t="n">
        <v>44223</v>
      </c>
      <c r="C416" s="1" t="n">
        <v>45803</v>
      </c>
      <c r="D416" t="inlineStr">
        <is>
          <t>NORRBOTTENS LÄN</t>
        </is>
      </c>
      <c r="E416" t="inlineStr">
        <is>
          <t>BODEN</t>
        </is>
      </c>
      <c r="G416" t="n">
        <v>2.7</v>
      </c>
      <c r="H416" t="n">
        <v>0</v>
      </c>
      <c r="I416" t="n">
        <v>0</v>
      </c>
      <c r="J416" t="n">
        <v>0</v>
      </c>
      <c r="K416" t="n">
        <v>0</v>
      </c>
      <c r="L416" t="n">
        <v>0</v>
      </c>
      <c r="M416" t="n">
        <v>0</v>
      </c>
      <c r="N416" t="n">
        <v>0</v>
      </c>
      <c r="O416" t="n">
        <v>0</v>
      </c>
      <c r="P416" t="n">
        <v>0</v>
      </c>
      <c r="Q416" t="n">
        <v>0</v>
      </c>
      <c r="R416" s="2" t="inlineStr"/>
    </row>
    <row r="417" ht="15" customHeight="1">
      <c r="A417" t="inlineStr">
        <is>
          <t>A 4247-2021</t>
        </is>
      </c>
      <c r="B417" s="1" t="n">
        <v>44223</v>
      </c>
      <c r="C417" s="1" t="n">
        <v>45803</v>
      </c>
      <c r="D417" t="inlineStr">
        <is>
          <t>NORRBOTTENS LÄN</t>
        </is>
      </c>
      <c r="E417" t="inlineStr">
        <is>
          <t>BODEN</t>
        </is>
      </c>
      <c r="G417" t="n">
        <v>12.4</v>
      </c>
      <c r="H417" t="n">
        <v>0</v>
      </c>
      <c r="I417" t="n">
        <v>0</v>
      </c>
      <c r="J417" t="n">
        <v>0</v>
      </c>
      <c r="K417" t="n">
        <v>0</v>
      </c>
      <c r="L417" t="n">
        <v>0</v>
      </c>
      <c r="M417" t="n">
        <v>0</v>
      </c>
      <c r="N417" t="n">
        <v>0</v>
      </c>
      <c r="O417" t="n">
        <v>0</v>
      </c>
      <c r="P417" t="n">
        <v>0</v>
      </c>
      <c r="Q417" t="n">
        <v>0</v>
      </c>
      <c r="R417" s="2" t="inlineStr"/>
    </row>
    <row r="418" ht="15" customHeight="1">
      <c r="A418" t="inlineStr">
        <is>
          <t>A 7108-2021</t>
        </is>
      </c>
      <c r="B418" s="1" t="n">
        <v>44238</v>
      </c>
      <c r="C418" s="1" t="n">
        <v>45803</v>
      </c>
      <c r="D418" t="inlineStr">
        <is>
          <t>NORRBOTTENS LÄN</t>
        </is>
      </c>
      <c r="E418" t="inlineStr">
        <is>
          <t>BODEN</t>
        </is>
      </c>
      <c r="G418" t="n">
        <v>18.1</v>
      </c>
      <c r="H418" t="n">
        <v>0</v>
      </c>
      <c r="I418" t="n">
        <v>0</v>
      </c>
      <c r="J418" t="n">
        <v>0</v>
      </c>
      <c r="K418" t="n">
        <v>0</v>
      </c>
      <c r="L418" t="n">
        <v>0</v>
      </c>
      <c r="M418" t="n">
        <v>0</v>
      </c>
      <c r="N418" t="n">
        <v>0</v>
      </c>
      <c r="O418" t="n">
        <v>0</v>
      </c>
      <c r="P418" t="n">
        <v>0</v>
      </c>
      <c r="Q418" t="n">
        <v>0</v>
      </c>
      <c r="R418" s="2" t="inlineStr"/>
    </row>
    <row r="419" ht="15" customHeight="1">
      <c r="A419" t="inlineStr">
        <is>
          <t>A 8891-2021</t>
        </is>
      </c>
      <c r="B419" s="1" t="n">
        <v>44248</v>
      </c>
      <c r="C419" s="1" t="n">
        <v>45803</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8889-2021</t>
        </is>
      </c>
      <c r="B420" s="1" t="n">
        <v>44248</v>
      </c>
      <c r="C420" s="1" t="n">
        <v>45803</v>
      </c>
      <c r="D420" t="inlineStr">
        <is>
          <t>NORRBOTTENS LÄN</t>
        </is>
      </c>
      <c r="E420" t="inlineStr">
        <is>
          <t>BODEN</t>
        </is>
      </c>
      <c r="G420" t="n">
        <v>3.5</v>
      </c>
      <c r="H420" t="n">
        <v>0</v>
      </c>
      <c r="I420" t="n">
        <v>0</v>
      </c>
      <c r="J420" t="n">
        <v>0</v>
      </c>
      <c r="K420" t="n">
        <v>0</v>
      </c>
      <c r="L420" t="n">
        <v>0</v>
      </c>
      <c r="M420" t="n">
        <v>0</v>
      </c>
      <c r="N420" t="n">
        <v>0</v>
      </c>
      <c r="O420" t="n">
        <v>0</v>
      </c>
      <c r="P420" t="n">
        <v>0</v>
      </c>
      <c r="Q420" t="n">
        <v>0</v>
      </c>
      <c r="R420" s="2" t="inlineStr"/>
    </row>
    <row r="421" ht="15" customHeight="1">
      <c r="A421" t="inlineStr">
        <is>
          <t>A 8886-2021</t>
        </is>
      </c>
      <c r="B421" s="1" t="n">
        <v>44248</v>
      </c>
      <c r="C421" s="1" t="n">
        <v>45803</v>
      </c>
      <c r="D421" t="inlineStr">
        <is>
          <t>NORRBOTTENS LÄN</t>
        </is>
      </c>
      <c r="E421" t="inlineStr">
        <is>
          <t>BODEN</t>
        </is>
      </c>
      <c r="G421" t="n">
        <v>2.2</v>
      </c>
      <c r="H421" t="n">
        <v>0</v>
      </c>
      <c r="I421" t="n">
        <v>0</v>
      </c>
      <c r="J421" t="n">
        <v>0</v>
      </c>
      <c r="K421" t="n">
        <v>0</v>
      </c>
      <c r="L421" t="n">
        <v>0</v>
      </c>
      <c r="M421" t="n">
        <v>0</v>
      </c>
      <c r="N421" t="n">
        <v>0</v>
      </c>
      <c r="O421" t="n">
        <v>0</v>
      </c>
      <c r="P421" t="n">
        <v>0</v>
      </c>
      <c r="Q421" t="n">
        <v>0</v>
      </c>
      <c r="R421" s="2" t="inlineStr"/>
    </row>
    <row r="422" ht="15" customHeight="1">
      <c r="A422" t="inlineStr">
        <is>
          <t>A 13728-2021</t>
        </is>
      </c>
      <c r="B422" s="1" t="n">
        <v>44274</v>
      </c>
      <c r="C422" s="1" t="n">
        <v>45803</v>
      </c>
      <c r="D422" t="inlineStr">
        <is>
          <t>NORRBOTTENS LÄN</t>
        </is>
      </c>
      <c r="E422" t="inlineStr">
        <is>
          <t>BODEN</t>
        </is>
      </c>
      <c r="G422" t="n">
        <v>10</v>
      </c>
      <c r="H422" t="n">
        <v>0</v>
      </c>
      <c r="I422" t="n">
        <v>0</v>
      </c>
      <c r="J422" t="n">
        <v>0</v>
      </c>
      <c r="K422" t="n">
        <v>0</v>
      </c>
      <c r="L422" t="n">
        <v>0</v>
      </c>
      <c r="M422" t="n">
        <v>0</v>
      </c>
      <c r="N422" t="n">
        <v>0</v>
      </c>
      <c r="O422" t="n">
        <v>0</v>
      </c>
      <c r="P422" t="n">
        <v>0</v>
      </c>
      <c r="Q422" t="n">
        <v>0</v>
      </c>
      <c r="R422" s="2" t="inlineStr"/>
    </row>
    <row r="423" ht="15" customHeight="1">
      <c r="A423" t="inlineStr">
        <is>
          <t>A 13734-2021</t>
        </is>
      </c>
      <c r="B423" s="1" t="n">
        <v>44274</v>
      </c>
      <c r="C423" s="1" t="n">
        <v>45803</v>
      </c>
      <c r="D423" t="inlineStr">
        <is>
          <t>NORRBOTTENS LÄN</t>
        </is>
      </c>
      <c r="E423" t="inlineStr">
        <is>
          <t>BODEN</t>
        </is>
      </c>
      <c r="G423" t="n">
        <v>2.3</v>
      </c>
      <c r="H423" t="n">
        <v>0</v>
      </c>
      <c r="I423" t="n">
        <v>0</v>
      </c>
      <c r="J423" t="n">
        <v>0</v>
      </c>
      <c r="K423" t="n">
        <v>0</v>
      </c>
      <c r="L423" t="n">
        <v>0</v>
      </c>
      <c r="M423" t="n">
        <v>0</v>
      </c>
      <c r="N423" t="n">
        <v>0</v>
      </c>
      <c r="O423" t="n">
        <v>0</v>
      </c>
      <c r="P423" t="n">
        <v>0</v>
      </c>
      <c r="Q423" t="n">
        <v>0</v>
      </c>
      <c r="R423" s="2" t="inlineStr"/>
    </row>
    <row r="424" ht="15" customHeight="1">
      <c r="A424" t="inlineStr">
        <is>
          <t>A 13744-2021</t>
        </is>
      </c>
      <c r="B424" s="1" t="n">
        <v>44274</v>
      </c>
      <c r="C424" s="1" t="n">
        <v>45803</v>
      </c>
      <c r="D424" t="inlineStr">
        <is>
          <t>NORRBOTTENS LÄN</t>
        </is>
      </c>
      <c r="E424" t="inlineStr">
        <is>
          <t>BODEN</t>
        </is>
      </c>
      <c r="G424" t="n">
        <v>1.5</v>
      </c>
      <c r="H424" t="n">
        <v>0</v>
      </c>
      <c r="I424" t="n">
        <v>0</v>
      </c>
      <c r="J424" t="n">
        <v>0</v>
      </c>
      <c r="K424" t="n">
        <v>0</v>
      </c>
      <c r="L424" t="n">
        <v>0</v>
      </c>
      <c r="M424" t="n">
        <v>0</v>
      </c>
      <c r="N424" t="n">
        <v>0</v>
      </c>
      <c r="O424" t="n">
        <v>0</v>
      </c>
      <c r="P424" t="n">
        <v>0</v>
      </c>
      <c r="Q424" t="n">
        <v>0</v>
      </c>
      <c r="R424" s="2" t="inlineStr"/>
    </row>
    <row r="425" ht="15" customHeight="1">
      <c r="A425" t="inlineStr">
        <is>
          <t>A 15491-2021</t>
        </is>
      </c>
      <c r="B425" s="1" t="n">
        <v>44274</v>
      </c>
      <c r="C425" s="1" t="n">
        <v>45803</v>
      </c>
      <c r="D425" t="inlineStr">
        <is>
          <t>NORRBOTTENS LÄN</t>
        </is>
      </c>
      <c r="E425" t="inlineStr">
        <is>
          <t>BODEN</t>
        </is>
      </c>
      <c r="G425" t="n">
        <v>1</v>
      </c>
      <c r="H425" t="n">
        <v>0</v>
      </c>
      <c r="I425" t="n">
        <v>0</v>
      </c>
      <c r="J425" t="n">
        <v>0</v>
      </c>
      <c r="K425" t="n">
        <v>0</v>
      </c>
      <c r="L425" t="n">
        <v>0</v>
      </c>
      <c r="M425" t="n">
        <v>0</v>
      </c>
      <c r="N425" t="n">
        <v>0</v>
      </c>
      <c r="O425" t="n">
        <v>0</v>
      </c>
      <c r="P425" t="n">
        <v>0</v>
      </c>
      <c r="Q425" t="n">
        <v>0</v>
      </c>
      <c r="R425" s="2" t="inlineStr"/>
    </row>
    <row r="426" ht="15" customHeight="1">
      <c r="A426" t="inlineStr">
        <is>
          <t>A 13657-2021</t>
        </is>
      </c>
      <c r="B426" s="1" t="n">
        <v>44274</v>
      </c>
      <c r="C426" s="1" t="n">
        <v>45803</v>
      </c>
      <c r="D426" t="inlineStr">
        <is>
          <t>NORRBOTTENS LÄN</t>
        </is>
      </c>
      <c r="E426" t="inlineStr">
        <is>
          <t>BODEN</t>
        </is>
      </c>
      <c r="G426" t="n">
        <v>17.7</v>
      </c>
      <c r="H426" t="n">
        <v>0</v>
      </c>
      <c r="I426" t="n">
        <v>0</v>
      </c>
      <c r="J426" t="n">
        <v>0</v>
      </c>
      <c r="K426" t="n">
        <v>0</v>
      </c>
      <c r="L426" t="n">
        <v>0</v>
      </c>
      <c r="M426" t="n">
        <v>0</v>
      </c>
      <c r="N426" t="n">
        <v>0</v>
      </c>
      <c r="O426" t="n">
        <v>0</v>
      </c>
      <c r="P426" t="n">
        <v>0</v>
      </c>
      <c r="Q426" t="n">
        <v>0</v>
      </c>
      <c r="R426" s="2" t="inlineStr"/>
    </row>
    <row r="427" ht="15" customHeight="1">
      <c r="A427" t="inlineStr">
        <is>
          <t>A 13740-2021</t>
        </is>
      </c>
      <c r="B427" s="1" t="n">
        <v>44274</v>
      </c>
      <c r="C427" s="1" t="n">
        <v>45803</v>
      </c>
      <c r="D427" t="inlineStr">
        <is>
          <t>NORRBOTTENS LÄN</t>
        </is>
      </c>
      <c r="E427" t="inlineStr">
        <is>
          <t>BODEN</t>
        </is>
      </c>
      <c r="G427" t="n">
        <v>2.3</v>
      </c>
      <c r="H427" t="n">
        <v>0</v>
      </c>
      <c r="I427" t="n">
        <v>0</v>
      </c>
      <c r="J427" t="n">
        <v>0</v>
      </c>
      <c r="K427" t="n">
        <v>0</v>
      </c>
      <c r="L427" t="n">
        <v>0</v>
      </c>
      <c r="M427" t="n">
        <v>0</v>
      </c>
      <c r="N427" t="n">
        <v>0</v>
      </c>
      <c r="O427" t="n">
        <v>0</v>
      </c>
      <c r="P427" t="n">
        <v>0</v>
      </c>
      <c r="Q427" t="n">
        <v>0</v>
      </c>
      <c r="R427" s="2" t="inlineStr"/>
    </row>
    <row r="428" ht="15" customHeight="1">
      <c r="A428" t="inlineStr">
        <is>
          <t>A 14340-2021</t>
        </is>
      </c>
      <c r="B428" s="1" t="n">
        <v>44279</v>
      </c>
      <c r="C428" s="1" t="n">
        <v>45803</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14380-2021</t>
        </is>
      </c>
      <c r="B429" s="1" t="n">
        <v>44279</v>
      </c>
      <c r="C429" s="1" t="n">
        <v>45803</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15159-2021</t>
        </is>
      </c>
      <c r="B430" s="1" t="n">
        <v>44284</v>
      </c>
      <c r="C430" s="1" t="n">
        <v>45803</v>
      </c>
      <c r="D430" t="inlineStr">
        <is>
          <t>NORRBOTTENS LÄN</t>
        </is>
      </c>
      <c r="E430" t="inlineStr">
        <is>
          <t>BODEN</t>
        </is>
      </c>
      <c r="F430" t="inlineStr">
        <is>
          <t>Övriga statliga verk och myndigheter</t>
        </is>
      </c>
      <c r="G430" t="n">
        <v>12.5</v>
      </c>
      <c r="H430" t="n">
        <v>0</v>
      </c>
      <c r="I430" t="n">
        <v>0</v>
      </c>
      <c r="J430" t="n">
        <v>0</v>
      </c>
      <c r="K430" t="n">
        <v>0</v>
      </c>
      <c r="L430" t="n">
        <v>0</v>
      </c>
      <c r="M430" t="n">
        <v>0</v>
      </c>
      <c r="N430" t="n">
        <v>0</v>
      </c>
      <c r="O430" t="n">
        <v>0</v>
      </c>
      <c r="P430" t="n">
        <v>0</v>
      </c>
      <c r="Q430" t="n">
        <v>0</v>
      </c>
      <c r="R430" s="2" t="inlineStr"/>
    </row>
    <row r="431" ht="15" customHeight="1">
      <c r="A431" t="inlineStr">
        <is>
          <t>A 15880-2021</t>
        </is>
      </c>
      <c r="B431" s="1" t="n">
        <v>44286</v>
      </c>
      <c r="C431" s="1" t="n">
        <v>45803</v>
      </c>
      <c r="D431" t="inlineStr">
        <is>
          <t>NORRBOTTENS LÄN</t>
        </is>
      </c>
      <c r="E431" t="inlineStr">
        <is>
          <t>BODEN</t>
        </is>
      </c>
      <c r="G431" t="n">
        <v>7.9</v>
      </c>
      <c r="H431" t="n">
        <v>0</v>
      </c>
      <c r="I431" t="n">
        <v>0</v>
      </c>
      <c r="J431" t="n">
        <v>0</v>
      </c>
      <c r="K431" t="n">
        <v>0</v>
      </c>
      <c r="L431" t="n">
        <v>0</v>
      </c>
      <c r="M431" t="n">
        <v>0</v>
      </c>
      <c r="N431" t="n">
        <v>0</v>
      </c>
      <c r="O431" t="n">
        <v>0</v>
      </c>
      <c r="P431" t="n">
        <v>0</v>
      </c>
      <c r="Q431" t="n">
        <v>0</v>
      </c>
      <c r="R431" s="2" t="inlineStr"/>
    </row>
    <row r="432" ht="15" customHeight="1">
      <c r="A432" t="inlineStr">
        <is>
          <t>A 15885-2021</t>
        </is>
      </c>
      <c r="B432" s="1" t="n">
        <v>44286</v>
      </c>
      <c r="C432" s="1" t="n">
        <v>45803</v>
      </c>
      <c r="D432" t="inlineStr">
        <is>
          <t>NORRBOTTENS LÄN</t>
        </is>
      </c>
      <c r="E432" t="inlineStr">
        <is>
          <t>BODEN</t>
        </is>
      </c>
      <c r="G432" t="n">
        <v>0.9</v>
      </c>
      <c r="H432" t="n">
        <v>0</v>
      </c>
      <c r="I432" t="n">
        <v>0</v>
      </c>
      <c r="J432" t="n">
        <v>0</v>
      </c>
      <c r="K432" t="n">
        <v>0</v>
      </c>
      <c r="L432" t="n">
        <v>0</v>
      </c>
      <c r="M432" t="n">
        <v>0</v>
      </c>
      <c r="N432" t="n">
        <v>0</v>
      </c>
      <c r="O432" t="n">
        <v>0</v>
      </c>
      <c r="P432" t="n">
        <v>0</v>
      </c>
      <c r="Q432" t="n">
        <v>0</v>
      </c>
      <c r="R432" s="2" t="inlineStr"/>
    </row>
    <row r="433" ht="15" customHeight="1">
      <c r="A433" t="inlineStr">
        <is>
          <t>A 15884-2021</t>
        </is>
      </c>
      <c r="B433" s="1" t="n">
        <v>44286</v>
      </c>
      <c r="C433" s="1" t="n">
        <v>45803</v>
      </c>
      <c r="D433" t="inlineStr">
        <is>
          <t>NORRBOTTENS LÄN</t>
        </is>
      </c>
      <c r="E433" t="inlineStr">
        <is>
          <t>BODEN</t>
        </is>
      </c>
      <c r="G433" t="n">
        <v>0.9</v>
      </c>
      <c r="H433" t="n">
        <v>0</v>
      </c>
      <c r="I433" t="n">
        <v>0</v>
      </c>
      <c r="J433" t="n">
        <v>0</v>
      </c>
      <c r="K433" t="n">
        <v>0</v>
      </c>
      <c r="L433" t="n">
        <v>0</v>
      </c>
      <c r="M433" t="n">
        <v>0</v>
      </c>
      <c r="N433" t="n">
        <v>0</v>
      </c>
      <c r="O433" t="n">
        <v>0</v>
      </c>
      <c r="P433" t="n">
        <v>0</v>
      </c>
      <c r="Q433" t="n">
        <v>0</v>
      </c>
      <c r="R433" s="2" t="inlineStr"/>
    </row>
    <row r="434" ht="15" customHeight="1">
      <c r="A434" t="inlineStr">
        <is>
          <t>A 16213-2021</t>
        </is>
      </c>
      <c r="B434" s="1" t="n">
        <v>44292</v>
      </c>
      <c r="C434" s="1" t="n">
        <v>45803</v>
      </c>
      <c r="D434" t="inlineStr">
        <is>
          <t>NORRBOTTENS LÄN</t>
        </is>
      </c>
      <c r="E434" t="inlineStr">
        <is>
          <t>BODEN</t>
        </is>
      </c>
      <c r="G434" t="n">
        <v>21.2</v>
      </c>
      <c r="H434" t="n">
        <v>0</v>
      </c>
      <c r="I434" t="n">
        <v>0</v>
      </c>
      <c r="J434" t="n">
        <v>0</v>
      </c>
      <c r="K434" t="n">
        <v>0</v>
      </c>
      <c r="L434" t="n">
        <v>0</v>
      </c>
      <c r="M434" t="n">
        <v>0</v>
      </c>
      <c r="N434" t="n">
        <v>0</v>
      </c>
      <c r="O434" t="n">
        <v>0</v>
      </c>
      <c r="P434" t="n">
        <v>0</v>
      </c>
      <c r="Q434" t="n">
        <v>0</v>
      </c>
      <c r="R434" s="2" t="inlineStr"/>
    </row>
    <row r="435" ht="15" customHeight="1">
      <c r="A435" t="inlineStr">
        <is>
          <t>A 16554-2021</t>
        </is>
      </c>
      <c r="B435" s="1" t="n">
        <v>44293</v>
      </c>
      <c r="C435" s="1" t="n">
        <v>45803</v>
      </c>
      <c r="D435" t="inlineStr">
        <is>
          <t>NORRBOTTENS LÄN</t>
        </is>
      </c>
      <c r="E435" t="inlineStr">
        <is>
          <t>BODEN</t>
        </is>
      </c>
      <c r="F435" t="inlineStr">
        <is>
          <t>Övriga statliga verk och myndigheter</t>
        </is>
      </c>
      <c r="G435" t="n">
        <v>2.5</v>
      </c>
      <c r="H435" t="n">
        <v>0</v>
      </c>
      <c r="I435" t="n">
        <v>0</v>
      </c>
      <c r="J435" t="n">
        <v>0</v>
      </c>
      <c r="K435" t="n">
        <v>0</v>
      </c>
      <c r="L435" t="n">
        <v>0</v>
      </c>
      <c r="M435" t="n">
        <v>0</v>
      </c>
      <c r="N435" t="n">
        <v>0</v>
      </c>
      <c r="O435" t="n">
        <v>0</v>
      </c>
      <c r="P435" t="n">
        <v>0</v>
      </c>
      <c r="Q435" t="n">
        <v>0</v>
      </c>
      <c r="R435" s="2" t="inlineStr"/>
    </row>
    <row r="436" ht="15" customHeight="1">
      <c r="A436" t="inlineStr">
        <is>
          <t>A 17313-2021</t>
        </is>
      </c>
      <c r="B436" s="1" t="n">
        <v>44298</v>
      </c>
      <c r="C436" s="1" t="n">
        <v>45803</v>
      </c>
      <c r="D436" t="inlineStr">
        <is>
          <t>NORRBOTTENS LÄN</t>
        </is>
      </c>
      <c r="E436" t="inlineStr">
        <is>
          <t>BODEN</t>
        </is>
      </c>
      <c r="G436" t="n">
        <v>2.6</v>
      </c>
      <c r="H436" t="n">
        <v>0</v>
      </c>
      <c r="I436" t="n">
        <v>0</v>
      </c>
      <c r="J436" t="n">
        <v>0</v>
      </c>
      <c r="K436" t="n">
        <v>0</v>
      </c>
      <c r="L436" t="n">
        <v>0</v>
      </c>
      <c r="M436" t="n">
        <v>0</v>
      </c>
      <c r="N436" t="n">
        <v>0</v>
      </c>
      <c r="O436" t="n">
        <v>0</v>
      </c>
      <c r="P436" t="n">
        <v>0</v>
      </c>
      <c r="Q436" t="n">
        <v>0</v>
      </c>
      <c r="R436" s="2" t="inlineStr"/>
    </row>
    <row r="437" ht="15" customHeight="1">
      <c r="A437" t="inlineStr">
        <is>
          <t>A 17597-2021</t>
        </is>
      </c>
      <c r="B437" s="1" t="n">
        <v>44299</v>
      </c>
      <c r="C437" s="1" t="n">
        <v>45803</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17980-2021</t>
        </is>
      </c>
      <c r="B438" s="1" t="n">
        <v>44301</v>
      </c>
      <c r="C438" s="1" t="n">
        <v>45803</v>
      </c>
      <c r="D438" t="inlineStr">
        <is>
          <t>NORRBOTTENS LÄN</t>
        </is>
      </c>
      <c r="E438" t="inlineStr">
        <is>
          <t>BODEN</t>
        </is>
      </c>
      <c r="G438" t="n">
        <v>2.6</v>
      </c>
      <c r="H438" t="n">
        <v>0</v>
      </c>
      <c r="I438" t="n">
        <v>0</v>
      </c>
      <c r="J438" t="n">
        <v>0</v>
      </c>
      <c r="K438" t="n">
        <v>0</v>
      </c>
      <c r="L438" t="n">
        <v>0</v>
      </c>
      <c r="M438" t="n">
        <v>0</v>
      </c>
      <c r="N438" t="n">
        <v>0</v>
      </c>
      <c r="O438" t="n">
        <v>0</v>
      </c>
      <c r="P438" t="n">
        <v>0</v>
      </c>
      <c r="Q438" t="n">
        <v>0</v>
      </c>
      <c r="R438" s="2" t="inlineStr"/>
    </row>
    <row r="439" ht="15" customHeight="1">
      <c r="A439" t="inlineStr">
        <is>
          <t>A 20738-2021</t>
        </is>
      </c>
      <c r="B439" s="1" t="n">
        <v>44313</v>
      </c>
      <c r="C439" s="1" t="n">
        <v>45803</v>
      </c>
      <c r="D439" t="inlineStr">
        <is>
          <t>NORRBOTTENS LÄN</t>
        </is>
      </c>
      <c r="E439" t="inlineStr">
        <is>
          <t>BODEN</t>
        </is>
      </c>
      <c r="G439" t="n">
        <v>1.9</v>
      </c>
      <c r="H439" t="n">
        <v>0</v>
      </c>
      <c r="I439" t="n">
        <v>0</v>
      </c>
      <c r="J439" t="n">
        <v>0</v>
      </c>
      <c r="K439" t="n">
        <v>0</v>
      </c>
      <c r="L439" t="n">
        <v>0</v>
      </c>
      <c r="M439" t="n">
        <v>0</v>
      </c>
      <c r="N439" t="n">
        <v>0</v>
      </c>
      <c r="O439" t="n">
        <v>0</v>
      </c>
      <c r="P439" t="n">
        <v>0</v>
      </c>
      <c r="Q439" t="n">
        <v>0</v>
      </c>
      <c r="R439" s="2" t="inlineStr"/>
    </row>
    <row r="440" ht="15" customHeight="1">
      <c r="A440" t="inlineStr">
        <is>
          <t>A 20756-2021</t>
        </is>
      </c>
      <c r="B440" s="1" t="n">
        <v>44313</v>
      </c>
      <c r="C440" s="1" t="n">
        <v>45803</v>
      </c>
      <c r="D440" t="inlineStr">
        <is>
          <t>NORRBOTTENS LÄN</t>
        </is>
      </c>
      <c r="E440" t="inlineStr">
        <is>
          <t>BODEN</t>
        </is>
      </c>
      <c r="G440" t="n">
        <v>5.8</v>
      </c>
      <c r="H440" t="n">
        <v>0</v>
      </c>
      <c r="I440" t="n">
        <v>0</v>
      </c>
      <c r="J440" t="n">
        <v>0</v>
      </c>
      <c r="K440" t="n">
        <v>0</v>
      </c>
      <c r="L440" t="n">
        <v>0</v>
      </c>
      <c r="M440" t="n">
        <v>0</v>
      </c>
      <c r="N440" t="n">
        <v>0</v>
      </c>
      <c r="O440" t="n">
        <v>0</v>
      </c>
      <c r="P440" t="n">
        <v>0</v>
      </c>
      <c r="Q440" t="n">
        <v>0</v>
      </c>
      <c r="R440" s="2" t="inlineStr"/>
    </row>
    <row r="441" ht="15" customHeight="1">
      <c r="A441" t="inlineStr">
        <is>
          <t>A 20753-2021</t>
        </is>
      </c>
      <c r="B441" s="1" t="n">
        <v>44313</v>
      </c>
      <c r="C441" s="1" t="n">
        <v>45803</v>
      </c>
      <c r="D441" t="inlineStr">
        <is>
          <t>NORRBOTTENS LÄN</t>
        </is>
      </c>
      <c r="E441" t="inlineStr">
        <is>
          <t>BODEN</t>
        </is>
      </c>
      <c r="G441" t="n">
        <v>2.4</v>
      </c>
      <c r="H441" t="n">
        <v>0</v>
      </c>
      <c r="I441" t="n">
        <v>0</v>
      </c>
      <c r="J441" t="n">
        <v>0</v>
      </c>
      <c r="K441" t="n">
        <v>0</v>
      </c>
      <c r="L441" t="n">
        <v>0</v>
      </c>
      <c r="M441" t="n">
        <v>0</v>
      </c>
      <c r="N441" t="n">
        <v>0</v>
      </c>
      <c r="O441" t="n">
        <v>0</v>
      </c>
      <c r="P441" t="n">
        <v>0</v>
      </c>
      <c r="Q441" t="n">
        <v>0</v>
      </c>
      <c r="R441" s="2" t="inlineStr"/>
    </row>
    <row r="442" ht="15" customHeight="1">
      <c r="A442" t="inlineStr">
        <is>
          <t>A 20754-2021</t>
        </is>
      </c>
      <c r="B442" s="1" t="n">
        <v>44313</v>
      </c>
      <c r="C442" s="1" t="n">
        <v>45803</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20752-2021</t>
        </is>
      </c>
      <c r="B443" s="1" t="n">
        <v>44313</v>
      </c>
      <c r="C443" s="1" t="n">
        <v>45803</v>
      </c>
      <c r="D443" t="inlineStr">
        <is>
          <t>NORRBOTTENS LÄN</t>
        </is>
      </c>
      <c r="E443" t="inlineStr">
        <is>
          <t>BODEN</t>
        </is>
      </c>
      <c r="G443" t="n">
        <v>9</v>
      </c>
      <c r="H443" t="n">
        <v>0</v>
      </c>
      <c r="I443" t="n">
        <v>0</v>
      </c>
      <c r="J443" t="n">
        <v>0</v>
      </c>
      <c r="K443" t="n">
        <v>0</v>
      </c>
      <c r="L443" t="n">
        <v>0</v>
      </c>
      <c r="M443" t="n">
        <v>0</v>
      </c>
      <c r="N443" t="n">
        <v>0</v>
      </c>
      <c r="O443" t="n">
        <v>0</v>
      </c>
      <c r="P443" t="n">
        <v>0</v>
      </c>
      <c r="Q443" t="n">
        <v>0</v>
      </c>
      <c r="R443" s="2" t="inlineStr"/>
    </row>
    <row r="444" ht="15" customHeight="1">
      <c r="A444" t="inlineStr">
        <is>
          <t>A 21861-2021</t>
        </is>
      </c>
      <c r="B444" s="1" t="n">
        <v>44322</v>
      </c>
      <c r="C444" s="1" t="n">
        <v>45803</v>
      </c>
      <c r="D444" t="inlineStr">
        <is>
          <t>NORRBOTTENS LÄN</t>
        </is>
      </c>
      <c r="E444" t="inlineStr">
        <is>
          <t>BODEN</t>
        </is>
      </c>
      <c r="G444" t="n">
        <v>34.6</v>
      </c>
      <c r="H444" t="n">
        <v>0</v>
      </c>
      <c r="I444" t="n">
        <v>0</v>
      </c>
      <c r="J444" t="n">
        <v>0</v>
      </c>
      <c r="K444" t="n">
        <v>0</v>
      </c>
      <c r="L444" t="n">
        <v>0</v>
      </c>
      <c r="M444" t="n">
        <v>0</v>
      </c>
      <c r="N444" t="n">
        <v>0</v>
      </c>
      <c r="O444" t="n">
        <v>0</v>
      </c>
      <c r="P444" t="n">
        <v>0</v>
      </c>
      <c r="Q444" t="n">
        <v>0</v>
      </c>
      <c r="R444" s="2" t="inlineStr"/>
    </row>
    <row r="445" ht="15" customHeight="1">
      <c r="A445" t="inlineStr">
        <is>
          <t>A 23131-2021</t>
        </is>
      </c>
      <c r="B445" s="1" t="n">
        <v>44330</v>
      </c>
      <c r="C445" s="1" t="n">
        <v>45803</v>
      </c>
      <c r="D445" t="inlineStr">
        <is>
          <t>NORRBOTTENS LÄN</t>
        </is>
      </c>
      <c r="E445" t="inlineStr">
        <is>
          <t>BODEN</t>
        </is>
      </c>
      <c r="G445" t="n">
        <v>15.8</v>
      </c>
      <c r="H445" t="n">
        <v>0</v>
      </c>
      <c r="I445" t="n">
        <v>0</v>
      </c>
      <c r="J445" t="n">
        <v>0</v>
      </c>
      <c r="K445" t="n">
        <v>0</v>
      </c>
      <c r="L445" t="n">
        <v>0</v>
      </c>
      <c r="M445" t="n">
        <v>0</v>
      </c>
      <c r="N445" t="n">
        <v>0</v>
      </c>
      <c r="O445" t="n">
        <v>0</v>
      </c>
      <c r="P445" t="n">
        <v>0</v>
      </c>
      <c r="Q445" t="n">
        <v>0</v>
      </c>
      <c r="R445" s="2" t="inlineStr"/>
    </row>
    <row r="446" ht="15" customHeight="1">
      <c r="A446" t="inlineStr">
        <is>
          <t>A 23454-2021</t>
        </is>
      </c>
      <c r="B446" s="1" t="n">
        <v>44333</v>
      </c>
      <c r="C446" s="1" t="n">
        <v>45803</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26199-2021</t>
        </is>
      </c>
      <c r="B447" s="1" t="n">
        <v>44347</v>
      </c>
      <c r="C447" s="1" t="n">
        <v>45803</v>
      </c>
      <c r="D447" t="inlineStr">
        <is>
          <t>NORRBOTTENS LÄN</t>
        </is>
      </c>
      <c r="E447" t="inlineStr">
        <is>
          <t>BODEN</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26331-2021</t>
        </is>
      </c>
      <c r="B448" s="1" t="n">
        <v>44347</v>
      </c>
      <c r="C448" s="1" t="n">
        <v>45803</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27136-2021</t>
        </is>
      </c>
      <c r="B449" s="1" t="n">
        <v>44350</v>
      </c>
      <c r="C449" s="1" t="n">
        <v>45803</v>
      </c>
      <c r="D449" t="inlineStr">
        <is>
          <t>NORRBOTTENS LÄN</t>
        </is>
      </c>
      <c r="E449" t="inlineStr">
        <is>
          <t>BODEN</t>
        </is>
      </c>
      <c r="G449" t="n">
        <v>0.4</v>
      </c>
      <c r="H449" t="n">
        <v>0</v>
      </c>
      <c r="I449" t="n">
        <v>0</v>
      </c>
      <c r="J449" t="n">
        <v>0</v>
      </c>
      <c r="K449" t="n">
        <v>0</v>
      </c>
      <c r="L449" t="n">
        <v>0</v>
      </c>
      <c r="M449" t="n">
        <v>0</v>
      </c>
      <c r="N449" t="n">
        <v>0</v>
      </c>
      <c r="O449" t="n">
        <v>0</v>
      </c>
      <c r="P449" t="n">
        <v>0</v>
      </c>
      <c r="Q449" t="n">
        <v>0</v>
      </c>
      <c r="R449" s="2" t="inlineStr"/>
    </row>
    <row r="450" ht="15" customHeight="1">
      <c r="A450" t="inlineStr">
        <is>
          <t>A 27241-2021</t>
        </is>
      </c>
      <c r="B450" s="1" t="n">
        <v>44350</v>
      </c>
      <c r="C450" s="1" t="n">
        <v>45803</v>
      </c>
      <c r="D450" t="inlineStr">
        <is>
          <t>NORRBOTTENS LÄN</t>
        </is>
      </c>
      <c r="E450" t="inlineStr">
        <is>
          <t>BODEN</t>
        </is>
      </c>
      <c r="G450" t="n">
        <v>7.6</v>
      </c>
      <c r="H450" t="n">
        <v>0</v>
      </c>
      <c r="I450" t="n">
        <v>0</v>
      </c>
      <c r="J450" t="n">
        <v>0</v>
      </c>
      <c r="K450" t="n">
        <v>0</v>
      </c>
      <c r="L450" t="n">
        <v>0</v>
      </c>
      <c r="M450" t="n">
        <v>0</v>
      </c>
      <c r="N450" t="n">
        <v>0</v>
      </c>
      <c r="O450" t="n">
        <v>0</v>
      </c>
      <c r="P450" t="n">
        <v>0</v>
      </c>
      <c r="Q450" t="n">
        <v>0</v>
      </c>
      <c r="R450" s="2" t="inlineStr"/>
    </row>
    <row r="451" ht="15" customHeight="1">
      <c r="A451" t="inlineStr">
        <is>
          <t>A 27248-2021</t>
        </is>
      </c>
      <c r="B451" s="1" t="n">
        <v>44350</v>
      </c>
      <c r="C451" s="1" t="n">
        <v>45803</v>
      </c>
      <c r="D451" t="inlineStr">
        <is>
          <t>NORRBOTTENS LÄN</t>
        </is>
      </c>
      <c r="E451" t="inlineStr">
        <is>
          <t>BODEN</t>
        </is>
      </c>
      <c r="G451" t="n">
        <v>10.9</v>
      </c>
      <c r="H451" t="n">
        <v>0</v>
      </c>
      <c r="I451" t="n">
        <v>0</v>
      </c>
      <c r="J451" t="n">
        <v>0</v>
      </c>
      <c r="K451" t="n">
        <v>0</v>
      </c>
      <c r="L451" t="n">
        <v>0</v>
      </c>
      <c r="M451" t="n">
        <v>0</v>
      </c>
      <c r="N451" t="n">
        <v>0</v>
      </c>
      <c r="O451" t="n">
        <v>0</v>
      </c>
      <c r="P451" t="n">
        <v>0</v>
      </c>
      <c r="Q451" t="n">
        <v>0</v>
      </c>
      <c r="R451" s="2" t="inlineStr"/>
    </row>
    <row r="452" ht="15" customHeight="1">
      <c r="A452" t="inlineStr">
        <is>
          <t>A 27596-2021</t>
        </is>
      </c>
      <c r="B452" s="1" t="n">
        <v>44354</v>
      </c>
      <c r="C452" s="1" t="n">
        <v>45803</v>
      </c>
      <c r="D452" t="inlineStr">
        <is>
          <t>NORRBOTTENS LÄN</t>
        </is>
      </c>
      <c r="E452" t="inlineStr">
        <is>
          <t>BODEN</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28370-2021</t>
        </is>
      </c>
      <c r="B453" s="1" t="n">
        <v>44356</v>
      </c>
      <c r="C453" s="1" t="n">
        <v>45803</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28367-2021</t>
        </is>
      </c>
      <c r="B454" s="1" t="n">
        <v>44356</v>
      </c>
      <c r="C454" s="1" t="n">
        <v>45803</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28378-2021</t>
        </is>
      </c>
      <c r="B455" s="1" t="n">
        <v>44356</v>
      </c>
      <c r="C455" s="1" t="n">
        <v>45803</v>
      </c>
      <c r="D455" t="inlineStr">
        <is>
          <t>NORRBOTTENS LÄN</t>
        </is>
      </c>
      <c r="E455" t="inlineStr">
        <is>
          <t>BODEN</t>
        </is>
      </c>
      <c r="G455" t="n">
        <v>0.2</v>
      </c>
      <c r="H455" t="n">
        <v>0</v>
      </c>
      <c r="I455" t="n">
        <v>0</v>
      </c>
      <c r="J455" t="n">
        <v>0</v>
      </c>
      <c r="K455" t="n">
        <v>0</v>
      </c>
      <c r="L455" t="n">
        <v>0</v>
      </c>
      <c r="M455" t="n">
        <v>0</v>
      </c>
      <c r="N455" t="n">
        <v>0</v>
      </c>
      <c r="O455" t="n">
        <v>0</v>
      </c>
      <c r="P455" t="n">
        <v>0</v>
      </c>
      <c r="Q455" t="n">
        <v>0</v>
      </c>
      <c r="R455" s="2" t="inlineStr"/>
    </row>
    <row r="456" ht="15" customHeight="1">
      <c r="A456" t="inlineStr">
        <is>
          <t>A 28933-2021</t>
        </is>
      </c>
      <c r="B456" s="1" t="n">
        <v>44358</v>
      </c>
      <c r="C456" s="1" t="n">
        <v>45803</v>
      </c>
      <c r="D456" t="inlineStr">
        <is>
          <t>NORRBOTTENS LÄN</t>
        </is>
      </c>
      <c r="E456" t="inlineStr">
        <is>
          <t>BODEN</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29107-2021</t>
        </is>
      </c>
      <c r="B457" s="1" t="n">
        <v>44358</v>
      </c>
      <c r="C457" s="1" t="n">
        <v>45803</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v>
      </c>
      <c r="C458" s="1" t="n">
        <v>45803</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31513-2021</t>
        </is>
      </c>
      <c r="B459" s="1" t="n">
        <v>44369</v>
      </c>
      <c r="C459" s="1" t="n">
        <v>45803</v>
      </c>
      <c r="D459" t="inlineStr">
        <is>
          <t>NORRBOTTENS LÄN</t>
        </is>
      </c>
      <c r="E459" t="inlineStr">
        <is>
          <t>BODEN</t>
        </is>
      </c>
      <c r="G459" t="n">
        <v>2.8</v>
      </c>
      <c r="H459" t="n">
        <v>0</v>
      </c>
      <c r="I459" t="n">
        <v>0</v>
      </c>
      <c r="J459" t="n">
        <v>0</v>
      </c>
      <c r="K459" t="n">
        <v>0</v>
      </c>
      <c r="L459" t="n">
        <v>0</v>
      </c>
      <c r="M459" t="n">
        <v>0</v>
      </c>
      <c r="N459" t="n">
        <v>0</v>
      </c>
      <c r="O459" t="n">
        <v>0</v>
      </c>
      <c r="P459" t="n">
        <v>0</v>
      </c>
      <c r="Q459" t="n">
        <v>0</v>
      </c>
      <c r="R459" s="2" t="inlineStr"/>
    </row>
    <row r="460" ht="15" customHeight="1">
      <c r="A460" t="inlineStr">
        <is>
          <t>A 31720-2021</t>
        </is>
      </c>
      <c r="B460" s="1" t="n">
        <v>44369</v>
      </c>
      <c r="C460" s="1" t="n">
        <v>45803</v>
      </c>
      <c r="D460" t="inlineStr">
        <is>
          <t>NORRBOTTENS LÄN</t>
        </is>
      </c>
      <c r="E460" t="inlineStr">
        <is>
          <t>BODEN</t>
        </is>
      </c>
      <c r="G460" t="n">
        <v>1.1</v>
      </c>
      <c r="H460" t="n">
        <v>0</v>
      </c>
      <c r="I460" t="n">
        <v>0</v>
      </c>
      <c r="J460" t="n">
        <v>0</v>
      </c>
      <c r="K460" t="n">
        <v>0</v>
      </c>
      <c r="L460" t="n">
        <v>0</v>
      </c>
      <c r="M460" t="n">
        <v>0</v>
      </c>
      <c r="N460" t="n">
        <v>0</v>
      </c>
      <c r="O460" t="n">
        <v>0</v>
      </c>
      <c r="P460" t="n">
        <v>0</v>
      </c>
      <c r="Q460" t="n">
        <v>0</v>
      </c>
      <c r="R460" s="2" t="inlineStr"/>
    </row>
    <row r="461" ht="15" customHeight="1">
      <c r="A461" t="inlineStr">
        <is>
          <t>A 31719-2021</t>
        </is>
      </c>
      <c r="B461" s="1" t="n">
        <v>44369</v>
      </c>
      <c r="C461" s="1" t="n">
        <v>45803</v>
      </c>
      <c r="D461" t="inlineStr">
        <is>
          <t>NORRBOTTENS LÄN</t>
        </is>
      </c>
      <c r="E461" t="inlineStr">
        <is>
          <t>BODEN</t>
        </is>
      </c>
      <c r="G461" t="n">
        <v>6.4</v>
      </c>
      <c r="H461" t="n">
        <v>0</v>
      </c>
      <c r="I461" t="n">
        <v>0</v>
      </c>
      <c r="J461" t="n">
        <v>0</v>
      </c>
      <c r="K461" t="n">
        <v>0</v>
      </c>
      <c r="L461" t="n">
        <v>0</v>
      </c>
      <c r="M461" t="n">
        <v>0</v>
      </c>
      <c r="N461" t="n">
        <v>0</v>
      </c>
      <c r="O461" t="n">
        <v>0</v>
      </c>
      <c r="P461" t="n">
        <v>0</v>
      </c>
      <c r="Q461" t="n">
        <v>0</v>
      </c>
      <c r="R461" s="2" t="inlineStr"/>
    </row>
    <row r="462" ht="15" customHeight="1">
      <c r="A462" t="inlineStr">
        <is>
          <t>A 32373-2021</t>
        </is>
      </c>
      <c r="B462" s="1" t="n">
        <v>44371</v>
      </c>
      <c r="C462" s="1" t="n">
        <v>45803</v>
      </c>
      <c r="D462" t="inlineStr">
        <is>
          <t>NORRBOTTENS LÄN</t>
        </is>
      </c>
      <c r="E462" t="inlineStr">
        <is>
          <t>BODEN</t>
        </is>
      </c>
      <c r="F462" t="inlineStr">
        <is>
          <t>Sveaskog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32511-2021</t>
        </is>
      </c>
      <c r="B463" s="1" t="n">
        <v>44374</v>
      </c>
      <c r="C463" s="1" t="n">
        <v>45803</v>
      </c>
      <c r="D463" t="inlineStr">
        <is>
          <t>NORRBOTTENS LÄN</t>
        </is>
      </c>
      <c r="E463" t="inlineStr">
        <is>
          <t>BODEN</t>
        </is>
      </c>
      <c r="G463" t="n">
        <v>3.7</v>
      </c>
      <c r="H463" t="n">
        <v>0</v>
      </c>
      <c r="I463" t="n">
        <v>0</v>
      </c>
      <c r="J463" t="n">
        <v>0</v>
      </c>
      <c r="K463" t="n">
        <v>0</v>
      </c>
      <c r="L463" t="n">
        <v>0</v>
      </c>
      <c r="M463" t="n">
        <v>0</v>
      </c>
      <c r="N463" t="n">
        <v>0</v>
      </c>
      <c r="O463" t="n">
        <v>0</v>
      </c>
      <c r="P463" t="n">
        <v>0</v>
      </c>
      <c r="Q463" t="n">
        <v>0</v>
      </c>
      <c r="R463" s="2" t="inlineStr"/>
    </row>
    <row r="464" ht="15" customHeight="1">
      <c r="A464" t="inlineStr">
        <is>
          <t>A 33353-2021</t>
        </is>
      </c>
      <c r="B464" s="1" t="n">
        <v>44377</v>
      </c>
      <c r="C464" s="1" t="n">
        <v>45803</v>
      </c>
      <c r="D464" t="inlineStr">
        <is>
          <t>NORRBOTTENS LÄN</t>
        </is>
      </c>
      <c r="E464" t="inlineStr">
        <is>
          <t>BODEN</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33908-2021</t>
        </is>
      </c>
      <c r="B465" s="1" t="n">
        <v>44378</v>
      </c>
      <c r="C465" s="1" t="n">
        <v>45803</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33903-2021</t>
        </is>
      </c>
      <c r="B466" s="1" t="n">
        <v>44378</v>
      </c>
      <c r="C466" s="1" t="n">
        <v>45803</v>
      </c>
      <c r="D466" t="inlineStr">
        <is>
          <t>NORRBOTTENS LÄN</t>
        </is>
      </c>
      <c r="E466" t="inlineStr">
        <is>
          <t>BODEN</t>
        </is>
      </c>
      <c r="G466" t="n">
        <v>1.7</v>
      </c>
      <c r="H466" t="n">
        <v>0</v>
      </c>
      <c r="I466" t="n">
        <v>0</v>
      </c>
      <c r="J466" t="n">
        <v>0</v>
      </c>
      <c r="K466" t="n">
        <v>0</v>
      </c>
      <c r="L466" t="n">
        <v>0</v>
      </c>
      <c r="M466" t="n">
        <v>0</v>
      </c>
      <c r="N466" t="n">
        <v>0</v>
      </c>
      <c r="O466" t="n">
        <v>0</v>
      </c>
      <c r="P466" t="n">
        <v>0</v>
      </c>
      <c r="Q466" t="n">
        <v>0</v>
      </c>
      <c r="R466" s="2" t="inlineStr"/>
    </row>
    <row r="467" ht="15" customHeight="1">
      <c r="A467" t="inlineStr">
        <is>
          <t>A 34021-2021</t>
        </is>
      </c>
      <c r="B467" s="1" t="n">
        <v>44378</v>
      </c>
      <c r="C467" s="1" t="n">
        <v>45803</v>
      </c>
      <c r="D467" t="inlineStr">
        <is>
          <t>NORRBOTTENS LÄN</t>
        </is>
      </c>
      <c r="E467" t="inlineStr">
        <is>
          <t>BODEN</t>
        </is>
      </c>
      <c r="G467" t="n">
        <v>2</v>
      </c>
      <c r="H467" t="n">
        <v>0</v>
      </c>
      <c r="I467" t="n">
        <v>0</v>
      </c>
      <c r="J467" t="n">
        <v>0</v>
      </c>
      <c r="K467" t="n">
        <v>0</v>
      </c>
      <c r="L467" t="n">
        <v>0</v>
      </c>
      <c r="M467" t="n">
        <v>0</v>
      </c>
      <c r="N467" t="n">
        <v>0</v>
      </c>
      <c r="O467" t="n">
        <v>0</v>
      </c>
      <c r="P467" t="n">
        <v>0</v>
      </c>
      <c r="Q467" t="n">
        <v>0</v>
      </c>
      <c r="R467" s="2" t="inlineStr"/>
    </row>
    <row r="468" ht="15" customHeight="1">
      <c r="A468" t="inlineStr">
        <is>
          <t>A 35843-2021</t>
        </is>
      </c>
      <c r="B468" s="1" t="n">
        <v>44386</v>
      </c>
      <c r="C468" s="1" t="n">
        <v>45803</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36017-2021</t>
        </is>
      </c>
      <c r="B469" s="1" t="n">
        <v>44389</v>
      </c>
      <c r="C469" s="1" t="n">
        <v>45803</v>
      </c>
      <c r="D469" t="inlineStr">
        <is>
          <t>NORRBOTTENS LÄN</t>
        </is>
      </c>
      <c r="E469" t="inlineStr">
        <is>
          <t>BODEN</t>
        </is>
      </c>
      <c r="G469" t="n">
        <v>4.8</v>
      </c>
      <c r="H469" t="n">
        <v>0</v>
      </c>
      <c r="I469" t="n">
        <v>0</v>
      </c>
      <c r="J469" t="n">
        <v>0</v>
      </c>
      <c r="K469" t="n">
        <v>0</v>
      </c>
      <c r="L469" t="n">
        <v>0</v>
      </c>
      <c r="M469" t="n">
        <v>0</v>
      </c>
      <c r="N469" t="n">
        <v>0</v>
      </c>
      <c r="O469" t="n">
        <v>0</v>
      </c>
      <c r="P469" t="n">
        <v>0</v>
      </c>
      <c r="Q469" t="n">
        <v>0</v>
      </c>
      <c r="R469" s="2" t="inlineStr"/>
    </row>
    <row r="470" ht="15" customHeight="1">
      <c r="A470" t="inlineStr">
        <is>
          <t>A 36517-2021</t>
        </is>
      </c>
      <c r="B470" s="1" t="n">
        <v>44391</v>
      </c>
      <c r="C470" s="1" t="n">
        <v>45803</v>
      </c>
      <c r="D470" t="inlineStr">
        <is>
          <t>NORRBOTTENS LÄN</t>
        </is>
      </c>
      <c r="E470" t="inlineStr">
        <is>
          <t>BODEN</t>
        </is>
      </c>
      <c r="G470" t="n">
        <v>10.1</v>
      </c>
      <c r="H470" t="n">
        <v>0</v>
      </c>
      <c r="I470" t="n">
        <v>0</v>
      </c>
      <c r="J470" t="n">
        <v>0</v>
      </c>
      <c r="K470" t="n">
        <v>0</v>
      </c>
      <c r="L470" t="n">
        <v>0</v>
      </c>
      <c r="M470" t="n">
        <v>0</v>
      </c>
      <c r="N470" t="n">
        <v>0</v>
      </c>
      <c r="O470" t="n">
        <v>0</v>
      </c>
      <c r="P470" t="n">
        <v>0</v>
      </c>
      <c r="Q470" t="n">
        <v>0</v>
      </c>
      <c r="R470" s="2" t="inlineStr"/>
    </row>
    <row r="471" ht="15" customHeight="1">
      <c r="A471" t="inlineStr">
        <is>
          <t>A 36463-2021</t>
        </is>
      </c>
      <c r="B471" s="1" t="n">
        <v>44391</v>
      </c>
      <c r="C471" s="1" t="n">
        <v>45803</v>
      </c>
      <c r="D471" t="inlineStr">
        <is>
          <t>NORRBOTTENS LÄN</t>
        </is>
      </c>
      <c r="E471" t="inlineStr">
        <is>
          <t>BODEN</t>
        </is>
      </c>
      <c r="G471" t="n">
        <v>7.4</v>
      </c>
      <c r="H471" t="n">
        <v>0</v>
      </c>
      <c r="I471" t="n">
        <v>0</v>
      </c>
      <c r="J471" t="n">
        <v>0</v>
      </c>
      <c r="K471" t="n">
        <v>0</v>
      </c>
      <c r="L471" t="n">
        <v>0</v>
      </c>
      <c r="M471" t="n">
        <v>0</v>
      </c>
      <c r="N471" t="n">
        <v>0</v>
      </c>
      <c r="O471" t="n">
        <v>0</v>
      </c>
      <c r="P471" t="n">
        <v>0</v>
      </c>
      <c r="Q471" t="n">
        <v>0</v>
      </c>
      <c r="R471" s="2" t="inlineStr"/>
    </row>
    <row r="472" ht="15" customHeight="1">
      <c r="A472" t="inlineStr">
        <is>
          <t>A 36138-2021</t>
        </is>
      </c>
      <c r="B472" s="1" t="n">
        <v>44392</v>
      </c>
      <c r="C472" s="1" t="n">
        <v>45803</v>
      </c>
      <c r="D472" t="inlineStr">
        <is>
          <t>NORRBOTTENS LÄN</t>
        </is>
      </c>
      <c r="E472" t="inlineStr">
        <is>
          <t>BODEN</t>
        </is>
      </c>
      <c r="G472" t="n">
        <v>18.5</v>
      </c>
      <c r="H472" t="n">
        <v>0</v>
      </c>
      <c r="I472" t="n">
        <v>0</v>
      </c>
      <c r="J472" t="n">
        <v>0</v>
      </c>
      <c r="K472" t="n">
        <v>0</v>
      </c>
      <c r="L472" t="n">
        <v>0</v>
      </c>
      <c r="M472" t="n">
        <v>0</v>
      </c>
      <c r="N472" t="n">
        <v>0</v>
      </c>
      <c r="O472" t="n">
        <v>0</v>
      </c>
      <c r="P472" t="n">
        <v>0</v>
      </c>
      <c r="Q472" t="n">
        <v>0</v>
      </c>
      <c r="R472" s="2" t="inlineStr"/>
    </row>
    <row r="473" ht="15" customHeight="1">
      <c r="A473" t="inlineStr">
        <is>
          <t>A 36999-2021</t>
        </is>
      </c>
      <c r="B473" s="1" t="n">
        <v>44393</v>
      </c>
      <c r="C473" s="1" t="n">
        <v>45803</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39291-2021</t>
        </is>
      </c>
      <c r="B474" s="1" t="n">
        <v>44413</v>
      </c>
      <c r="C474" s="1" t="n">
        <v>45803</v>
      </c>
      <c r="D474" t="inlineStr">
        <is>
          <t>NORRBOTTENS LÄN</t>
        </is>
      </c>
      <c r="E474" t="inlineStr">
        <is>
          <t>BODEN</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39673-2021</t>
        </is>
      </c>
      <c r="B475" s="1" t="n">
        <v>44414</v>
      </c>
      <c r="C475" s="1" t="n">
        <v>45803</v>
      </c>
      <c r="D475" t="inlineStr">
        <is>
          <t>NORRBOTTENS LÄN</t>
        </is>
      </c>
      <c r="E475" t="inlineStr">
        <is>
          <t>BODEN</t>
        </is>
      </c>
      <c r="G475" t="n">
        <v>2.7</v>
      </c>
      <c r="H475" t="n">
        <v>0</v>
      </c>
      <c r="I475" t="n">
        <v>0</v>
      </c>
      <c r="J475" t="n">
        <v>0</v>
      </c>
      <c r="K475" t="n">
        <v>0</v>
      </c>
      <c r="L475" t="n">
        <v>0</v>
      </c>
      <c r="M475" t="n">
        <v>0</v>
      </c>
      <c r="N475" t="n">
        <v>0</v>
      </c>
      <c r="O475" t="n">
        <v>0</v>
      </c>
      <c r="P475" t="n">
        <v>0</v>
      </c>
      <c r="Q475" t="n">
        <v>0</v>
      </c>
      <c r="R475" s="2" t="inlineStr"/>
    </row>
    <row r="476" ht="15" customHeight="1">
      <c r="A476" t="inlineStr">
        <is>
          <t>A 39701-2021</t>
        </is>
      </c>
      <c r="B476" s="1" t="n">
        <v>44414</v>
      </c>
      <c r="C476" s="1" t="n">
        <v>45803</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39689-2021</t>
        </is>
      </c>
      <c r="B477" s="1" t="n">
        <v>44414</v>
      </c>
      <c r="C477" s="1" t="n">
        <v>45803</v>
      </c>
      <c r="D477" t="inlineStr">
        <is>
          <t>NORRBOTTENS LÄN</t>
        </is>
      </c>
      <c r="E477" t="inlineStr">
        <is>
          <t>BODEN</t>
        </is>
      </c>
      <c r="G477" t="n">
        <v>1.5</v>
      </c>
      <c r="H477" t="n">
        <v>0</v>
      </c>
      <c r="I477" t="n">
        <v>0</v>
      </c>
      <c r="J477" t="n">
        <v>0</v>
      </c>
      <c r="K477" t="n">
        <v>0</v>
      </c>
      <c r="L477" t="n">
        <v>0</v>
      </c>
      <c r="M477" t="n">
        <v>0</v>
      </c>
      <c r="N477" t="n">
        <v>0</v>
      </c>
      <c r="O477" t="n">
        <v>0</v>
      </c>
      <c r="P477" t="n">
        <v>0</v>
      </c>
      <c r="Q477" t="n">
        <v>0</v>
      </c>
      <c r="R477" s="2" t="inlineStr"/>
    </row>
    <row r="478" ht="15" customHeight="1">
      <c r="A478" t="inlineStr">
        <is>
          <t>A 39833-2021</t>
        </is>
      </c>
      <c r="B478" s="1" t="n">
        <v>44414</v>
      </c>
      <c r="C478" s="1" t="n">
        <v>45803</v>
      </c>
      <c r="D478" t="inlineStr">
        <is>
          <t>NORRBOTTENS LÄN</t>
        </is>
      </c>
      <c r="E478" t="inlineStr">
        <is>
          <t>BODEN</t>
        </is>
      </c>
      <c r="G478" t="n">
        <v>1.8</v>
      </c>
      <c r="H478" t="n">
        <v>0</v>
      </c>
      <c r="I478" t="n">
        <v>0</v>
      </c>
      <c r="J478" t="n">
        <v>0</v>
      </c>
      <c r="K478" t="n">
        <v>0</v>
      </c>
      <c r="L478" t="n">
        <v>0</v>
      </c>
      <c r="M478" t="n">
        <v>0</v>
      </c>
      <c r="N478" t="n">
        <v>0</v>
      </c>
      <c r="O478" t="n">
        <v>0</v>
      </c>
      <c r="P478" t="n">
        <v>0</v>
      </c>
      <c r="Q478" t="n">
        <v>0</v>
      </c>
      <c r="R478" s="2" t="inlineStr"/>
    </row>
    <row r="479" ht="15" customHeight="1">
      <c r="A479" t="inlineStr">
        <is>
          <t>A 39711-2021</t>
        </is>
      </c>
      <c r="B479" s="1" t="n">
        <v>44414</v>
      </c>
      <c r="C479" s="1" t="n">
        <v>45803</v>
      </c>
      <c r="D479" t="inlineStr">
        <is>
          <t>NORRBOTTENS LÄN</t>
        </is>
      </c>
      <c r="E479" t="inlineStr">
        <is>
          <t>BODEN</t>
        </is>
      </c>
      <c r="G479" t="n">
        <v>7</v>
      </c>
      <c r="H479" t="n">
        <v>0</v>
      </c>
      <c r="I479" t="n">
        <v>0</v>
      </c>
      <c r="J479" t="n">
        <v>0</v>
      </c>
      <c r="K479" t="n">
        <v>0</v>
      </c>
      <c r="L479" t="n">
        <v>0</v>
      </c>
      <c r="M479" t="n">
        <v>0</v>
      </c>
      <c r="N479" t="n">
        <v>0</v>
      </c>
      <c r="O479" t="n">
        <v>0</v>
      </c>
      <c r="P479" t="n">
        <v>0</v>
      </c>
      <c r="Q479" t="n">
        <v>0</v>
      </c>
      <c r="R479" s="2" t="inlineStr"/>
    </row>
    <row r="480" ht="15" customHeight="1">
      <c r="A480" t="inlineStr">
        <is>
          <t>A 39740-2021</t>
        </is>
      </c>
      <c r="B480" s="1" t="n">
        <v>44414</v>
      </c>
      <c r="C480" s="1" t="n">
        <v>45803</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39695-2021</t>
        </is>
      </c>
      <c r="B481" s="1" t="n">
        <v>44414</v>
      </c>
      <c r="C481" s="1" t="n">
        <v>45803</v>
      </c>
      <c r="D481" t="inlineStr">
        <is>
          <t>NORRBOTTENS LÄN</t>
        </is>
      </c>
      <c r="E481" t="inlineStr">
        <is>
          <t>BODEN</t>
        </is>
      </c>
      <c r="G481" t="n">
        <v>2.5</v>
      </c>
      <c r="H481" t="n">
        <v>0</v>
      </c>
      <c r="I481" t="n">
        <v>0</v>
      </c>
      <c r="J481" t="n">
        <v>0</v>
      </c>
      <c r="K481" t="n">
        <v>0</v>
      </c>
      <c r="L481" t="n">
        <v>0</v>
      </c>
      <c r="M481" t="n">
        <v>0</v>
      </c>
      <c r="N481" t="n">
        <v>0</v>
      </c>
      <c r="O481" t="n">
        <v>0</v>
      </c>
      <c r="P481" t="n">
        <v>0</v>
      </c>
      <c r="Q481" t="n">
        <v>0</v>
      </c>
      <c r="R481" s="2" t="inlineStr"/>
    </row>
    <row r="482" ht="15" customHeight="1">
      <c r="A482" t="inlineStr">
        <is>
          <t>A 39750-2021</t>
        </is>
      </c>
      <c r="B482" s="1" t="n">
        <v>44417</v>
      </c>
      <c r="C482" s="1" t="n">
        <v>45803</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39884-2021</t>
        </is>
      </c>
      <c r="B483" s="1" t="n">
        <v>44417</v>
      </c>
      <c r="C483" s="1" t="n">
        <v>45803</v>
      </c>
      <c r="D483" t="inlineStr">
        <is>
          <t>NORRBOTTENS LÄN</t>
        </is>
      </c>
      <c r="E483" t="inlineStr">
        <is>
          <t>BODEN</t>
        </is>
      </c>
      <c r="G483" t="n">
        <v>5.1</v>
      </c>
      <c r="H483" t="n">
        <v>0</v>
      </c>
      <c r="I483" t="n">
        <v>0</v>
      </c>
      <c r="J483" t="n">
        <v>0</v>
      </c>
      <c r="K483" t="n">
        <v>0</v>
      </c>
      <c r="L483" t="n">
        <v>0</v>
      </c>
      <c r="M483" t="n">
        <v>0</v>
      </c>
      <c r="N483" t="n">
        <v>0</v>
      </c>
      <c r="O483" t="n">
        <v>0</v>
      </c>
      <c r="P483" t="n">
        <v>0</v>
      </c>
      <c r="Q483" t="n">
        <v>0</v>
      </c>
      <c r="R483" s="2" t="inlineStr"/>
    </row>
    <row r="484" ht="15" customHeight="1">
      <c r="A484" t="inlineStr">
        <is>
          <t>A 40781-2021</t>
        </is>
      </c>
      <c r="B484" s="1" t="n">
        <v>44421</v>
      </c>
      <c r="C484" s="1" t="n">
        <v>45803</v>
      </c>
      <c r="D484" t="inlineStr">
        <is>
          <t>NORRBOTTENS LÄN</t>
        </is>
      </c>
      <c r="E484" t="inlineStr">
        <is>
          <t>BODEN</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41180-2021</t>
        </is>
      </c>
      <c r="B485" s="1" t="n">
        <v>44423</v>
      </c>
      <c r="C485" s="1" t="n">
        <v>45803</v>
      </c>
      <c r="D485" t="inlineStr">
        <is>
          <t>NORRBOTTENS LÄN</t>
        </is>
      </c>
      <c r="E485" t="inlineStr">
        <is>
          <t>BODEN</t>
        </is>
      </c>
      <c r="G485" t="n">
        <v>0.5</v>
      </c>
      <c r="H485" t="n">
        <v>0</v>
      </c>
      <c r="I485" t="n">
        <v>0</v>
      </c>
      <c r="J485" t="n">
        <v>0</v>
      </c>
      <c r="K485" t="n">
        <v>0</v>
      </c>
      <c r="L485" t="n">
        <v>0</v>
      </c>
      <c r="M485" t="n">
        <v>0</v>
      </c>
      <c r="N485" t="n">
        <v>0</v>
      </c>
      <c r="O485" t="n">
        <v>0</v>
      </c>
      <c r="P485" t="n">
        <v>0</v>
      </c>
      <c r="Q485" t="n">
        <v>0</v>
      </c>
      <c r="R485" s="2" t="inlineStr"/>
    </row>
    <row r="486" ht="15" customHeight="1">
      <c r="A486" t="inlineStr">
        <is>
          <t>A 41943-2021</t>
        </is>
      </c>
      <c r="B486" s="1" t="n">
        <v>44426</v>
      </c>
      <c r="C486" s="1" t="n">
        <v>45803</v>
      </c>
      <c r="D486" t="inlineStr">
        <is>
          <t>NORRBOTTENS LÄN</t>
        </is>
      </c>
      <c r="E486" t="inlineStr">
        <is>
          <t>BODEN</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42711-2021</t>
        </is>
      </c>
      <c r="B487" s="1" t="n">
        <v>44428</v>
      </c>
      <c r="C487" s="1" t="n">
        <v>45803</v>
      </c>
      <c r="D487" t="inlineStr">
        <is>
          <t>NORRBOTTENS LÄN</t>
        </is>
      </c>
      <c r="E487" t="inlineStr">
        <is>
          <t>BODEN</t>
        </is>
      </c>
      <c r="G487" t="n">
        <v>2.7</v>
      </c>
      <c r="H487" t="n">
        <v>0</v>
      </c>
      <c r="I487" t="n">
        <v>0</v>
      </c>
      <c r="J487" t="n">
        <v>0</v>
      </c>
      <c r="K487" t="n">
        <v>0</v>
      </c>
      <c r="L487" t="n">
        <v>0</v>
      </c>
      <c r="M487" t="n">
        <v>0</v>
      </c>
      <c r="N487" t="n">
        <v>0</v>
      </c>
      <c r="O487" t="n">
        <v>0</v>
      </c>
      <c r="P487" t="n">
        <v>0</v>
      </c>
      <c r="Q487" t="n">
        <v>0</v>
      </c>
      <c r="R487" s="2" t="inlineStr"/>
    </row>
    <row r="488" ht="15" customHeight="1">
      <c r="A488" t="inlineStr">
        <is>
          <t>A 45002-2021</t>
        </is>
      </c>
      <c r="B488" s="1" t="n">
        <v>44438</v>
      </c>
      <c r="C488" s="1" t="n">
        <v>45803</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45115-2021</t>
        </is>
      </c>
      <c r="B489" s="1" t="n">
        <v>44438</v>
      </c>
      <c r="C489" s="1" t="n">
        <v>45803</v>
      </c>
      <c r="D489" t="inlineStr">
        <is>
          <t>NORRBOTTENS LÄN</t>
        </is>
      </c>
      <c r="E489" t="inlineStr">
        <is>
          <t>BODEN</t>
        </is>
      </c>
      <c r="G489" t="n">
        <v>4.7</v>
      </c>
      <c r="H489" t="n">
        <v>0</v>
      </c>
      <c r="I489" t="n">
        <v>0</v>
      </c>
      <c r="J489" t="n">
        <v>0</v>
      </c>
      <c r="K489" t="n">
        <v>0</v>
      </c>
      <c r="L489" t="n">
        <v>0</v>
      </c>
      <c r="M489" t="n">
        <v>0</v>
      </c>
      <c r="N489" t="n">
        <v>0</v>
      </c>
      <c r="O489" t="n">
        <v>0</v>
      </c>
      <c r="P489" t="n">
        <v>0</v>
      </c>
      <c r="Q489" t="n">
        <v>0</v>
      </c>
      <c r="R489" s="2" t="inlineStr"/>
    </row>
    <row r="490" ht="15" customHeight="1">
      <c r="A490" t="inlineStr">
        <is>
          <t>A 45189-2021</t>
        </is>
      </c>
      <c r="B490" s="1" t="n">
        <v>44439</v>
      </c>
      <c r="C490" s="1" t="n">
        <v>45803</v>
      </c>
      <c r="D490" t="inlineStr">
        <is>
          <t>NORRBOTTENS LÄN</t>
        </is>
      </c>
      <c r="E490" t="inlineStr">
        <is>
          <t>BODEN</t>
        </is>
      </c>
      <c r="G490" t="n">
        <v>1</v>
      </c>
      <c r="H490" t="n">
        <v>0</v>
      </c>
      <c r="I490" t="n">
        <v>0</v>
      </c>
      <c r="J490" t="n">
        <v>0</v>
      </c>
      <c r="K490" t="n">
        <v>0</v>
      </c>
      <c r="L490" t="n">
        <v>0</v>
      </c>
      <c r="M490" t="n">
        <v>0</v>
      </c>
      <c r="N490" t="n">
        <v>0</v>
      </c>
      <c r="O490" t="n">
        <v>0</v>
      </c>
      <c r="P490" t="n">
        <v>0</v>
      </c>
      <c r="Q490" t="n">
        <v>0</v>
      </c>
      <c r="R490" s="2" t="inlineStr"/>
    </row>
    <row r="491" ht="15" customHeight="1">
      <c r="A491" t="inlineStr">
        <is>
          <t>A 45185-2021</t>
        </is>
      </c>
      <c r="B491" s="1" t="n">
        <v>44439</v>
      </c>
      <c r="C491" s="1" t="n">
        <v>45803</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45677-2021</t>
        </is>
      </c>
      <c r="B492" s="1" t="n">
        <v>44441</v>
      </c>
      <c r="C492" s="1" t="n">
        <v>45803</v>
      </c>
      <c r="D492" t="inlineStr">
        <is>
          <t>NORRBOTTENS LÄN</t>
        </is>
      </c>
      <c r="E492" t="inlineStr">
        <is>
          <t>BODEN</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46183-2021</t>
        </is>
      </c>
      <c r="B493" s="1" t="n">
        <v>44441</v>
      </c>
      <c r="C493" s="1" t="n">
        <v>45803</v>
      </c>
      <c r="D493" t="inlineStr">
        <is>
          <t>NORRBOTTENS LÄN</t>
        </is>
      </c>
      <c r="E493" t="inlineStr">
        <is>
          <t>BODEN</t>
        </is>
      </c>
      <c r="G493" t="n">
        <v>13.6</v>
      </c>
      <c r="H493" t="n">
        <v>0</v>
      </c>
      <c r="I493" t="n">
        <v>0</v>
      </c>
      <c r="J493" t="n">
        <v>0</v>
      </c>
      <c r="K493" t="n">
        <v>0</v>
      </c>
      <c r="L493" t="n">
        <v>0</v>
      </c>
      <c r="M493" t="n">
        <v>0</v>
      </c>
      <c r="N493" t="n">
        <v>0</v>
      </c>
      <c r="O493" t="n">
        <v>0</v>
      </c>
      <c r="P493" t="n">
        <v>0</v>
      </c>
      <c r="Q493" t="n">
        <v>0</v>
      </c>
      <c r="R493" s="2" t="inlineStr"/>
    </row>
    <row r="494" ht="15" customHeight="1">
      <c r="A494" t="inlineStr">
        <is>
          <t>A 46541-2021</t>
        </is>
      </c>
      <c r="B494" s="1" t="n">
        <v>44445</v>
      </c>
      <c r="C494" s="1" t="n">
        <v>45803</v>
      </c>
      <c r="D494" t="inlineStr">
        <is>
          <t>NORRBOTTENS LÄN</t>
        </is>
      </c>
      <c r="E494" t="inlineStr">
        <is>
          <t>BODEN</t>
        </is>
      </c>
      <c r="G494" t="n">
        <v>0.8</v>
      </c>
      <c r="H494" t="n">
        <v>0</v>
      </c>
      <c r="I494" t="n">
        <v>0</v>
      </c>
      <c r="J494" t="n">
        <v>0</v>
      </c>
      <c r="K494" t="n">
        <v>0</v>
      </c>
      <c r="L494" t="n">
        <v>0</v>
      </c>
      <c r="M494" t="n">
        <v>0</v>
      </c>
      <c r="N494" t="n">
        <v>0</v>
      </c>
      <c r="O494" t="n">
        <v>0</v>
      </c>
      <c r="P494" t="n">
        <v>0</v>
      </c>
      <c r="Q494" t="n">
        <v>0</v>
      </c>
      <c r="R494" s="2" t="inlineStr"/>
    </row>
    <row r="495" ht="15" customHeight="1">
      <c r="A495" t="inlineStr">
        <is>
          <t>A 46512-2021</t>
        </is>
      </c>
      <c r="B495" s="1" t="n">
        <v>44445</v>
      </c>
      <c r="C495" s="1" t="n">
        <v>45803</v>
      </c>
      <c r="D495" t="inlineStr">
        <is>
          <t>NORRBOTTENS LÄN</t>
        </is>
      </c>
      <c r="E495" t="inlineStr">
        <is>
          <t>BODEN</t>
        </is>
      </c>
      <c r="G495" t="n">
        <v>7.2</v>
      </c>
      <c r="H495" t="n">
        <v>0</v>
      </c>
      <c r="I495" t="n">
        <v>0</v>
      </c>
      <c r="J495" t="n">
        <v>0</v>
      </c>
      <c r="K495" t="n">
        <v>0</v>
      </c>
      <c r="L495" t="n">
        <v>0</v>
      </c>
      <c r="M495" t="n">
        <v>0</v>
      </c>
      <c r="N495" t="n">
        <v>0</v>
      </c>
      <c r="O495" t="n">
        <v>0</v>
      </c>
      <c r="P495" t="n">
        <v>0</v>
      </c>
      <c r="Q495" t="n">
        <v>0</v>
      </c>
      <c r="R495" s="2" t="inlineStr"/>
    </row>
    <row r="496" ht="15" customHeight="1">
      <c r="A496" t="inlineStr">
        <is>
          <t>A 49823-2021</t>
        </is>
      </c>
      <c r="B496" s="1" t="n">
        <v>44455</v>
      </c>
      <c r="C496" s="1" t="n">
        <v>45803</v>
      </c>
      <c r="D496" t="inlineStr">
        <is>
          <t>NORRBOTTENS LÄN</t>
        </is>
      </c>
      <c r="E496" t="inlineStr">
        <is>
          <t>BODEN</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51328-2021</t>
        </is>
      </c>
      <c r="B497" s="1" t="n">
        <v>44461</v>
      </c>
      <c r="C497" s="1" t="n">
        <v>45803</v>
      </c>
      <c r="D497" t="inlineStr">
        <is>
          <t>NORRBOTTENS LÄN</t>
        </is>
      </c>
      <c r="E497" t="inlineStr">
        <is>
          <t>BODEN</t>
        </is>
      </c>
      <c r="G497" t="n">
        <v>5.6</v>
      </c>
      <c r="H497" t="n">
        <v>0</v>
      </c>
      <c r="I497" t="n">
        <v>0</v>
      </c>
      <c r="J497" t="n">
        <v>0</v>
      </c>
      <c r="K497" t="n">
        <v>0</v>
      </c>
      <c r="L497" t="n">
        <v>0</v>
      </c>
      <c r="M497" t="n">
        <v>0</v>
      </c>
      <c r="N497" t="n">
        <v>0</v>
      </c>
      <c r="O497" t="n">
        <v>0</v>
      </c>
      <c r="P497" t="n">
        <v>0</v>
      </c>
      <c r="Q497" t="n">
        <v>0</v>
      </c>
      <c r="R497" s="2" t="inlineStr"/>
    </row>
    <row r="498" ht="15" customHeight="1">
      <c r="A498" t="inlineStr">
        <is>
          <t>A 51902-2021</t>
        </is>
      </c>
      <c r="B498" s="1" t="n">
        <v>44463</v>
      </c>
      <c r="C498" s="1" t="n">
        <v>45803</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51963-2021</t>
        </is>
      </c>
      <c r="B499" s="1" t="n">
        <v>44463</v>
      </c>
      <c r="C499" s="1" t="n">
        <v>45803</v>
      </c>
      <c r="D499" t="inlineStr">
        <is>
          <t>NORRBOTTENS LÄN</t>
        </is>
      </c>
      <c r="E499" t="inlineStr">
        <is>
          <t>BODEN</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52075-2021</t>
        </is>
      </c>
      <c r="B500" s="1" t="n">
        <v>44463</v>
      </c>
      <c r="C500" s="1" t="n">
        <v>45803</v>
      </c>
      <c r="D500" t="inlineStr">
        <is>
          <t>NORRBOTTENS LÄN</t>
        </is>
      </c>
      <c r="E500" t="inlineStr">
        <is>
          <t>BODEN</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51973-2021</t>
        </is>
      </c>
      <c r="B501" s="1" t="n">
        <v>44463</v>
      </c>
      <c r="C501" s="1" t="n">
        <v>45803</v>
      </c>
      <c r="D501" t="inlineStr">
        <is>
          <t>NORRBOTTENS LÄN</t>
        </is>
      </c>
      <c r="E501" t="inlineStr">
        <is>
          <t>BODEN</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52345-2021</t>
        </is>
      </c>
      <c r="B502" s="1" t="n">
        <v>44464</v>
      </c>
      <c r="C502" s="1" t="n">
        <v>45803</v>
      </c>
      <c r="D502" t="inlineStr">
        <is>
          <t>NORRBOTTENS LÄN</t>
        </is>
      </c>
      <c r="E502" t="inlineStr">
        <is>
          <t>BODEN</t>
        </is>
      </c>
      <c r="G502" t="n">
        <v>11.7</v>
      </c>
      <c r="H502" t="n">
        <v>0</v>
      </c>
      <c r="I502" t="n">
        <v>0</v>
      </c>
      <c r="J502" t="n">
        <v>0</v>
      </c>
      <c r="K502" t="n">
        <v>0</v>
      </c>
      <c r="L502" t="n">
        <v>0</v>
      </c>
      <c r="M502" t="n">
        <v>0</v>
      </c>
      <c r="N502" t="n">
        <v>0</v>
      </c>
      <c r="O502" t="n">
        <v>0</v>
      </c>
      <c r="P502" t="n">
        <v>0</v>
      </c>
      <c r="Q502" t="n">
        <v>0</v>
      </c>
      <c r="R502" s="2" t="inlineStr"/>
    </row>
    <row r="503" ht="15" customHeight="1">
      <c r="A503" t="inlineStr">
        <is>
          <t>A 53005-2021</t>
        </is>
      </c>
      <c r="B503" s="1" t="n">
        <v>44467</v>
      </c>
      <c r="C503" s="1" t="n">
        <v>45803</v>
      </c>
      <c r="D503" t="inlineStr">
        <is>
          <t>NORRBOTTENS LÄN</t>
        </is>
      </c>
      <c r="E503" t="inlineStr">
        <is>
          <t>BODEN</t>
        </is>
      </c>
      <c r="G503" t="n">
        <v>2</v>
      </c>
      <c r="H503" t="n">
        <v>0</v>
      </c>
      <c r="I503" t="n">
        <v>0</v>
      </c>
      <c r="J503" t="n">
        <v>0</v>
      </c>
      <c r="K503" t="n">
        <v>0</v>
      </c>
      <c r="L503" t="n">
        <v>0</v>
      </c>
      <c r="M503" t="n">
        <v>0</v>
      </c>
      <c r="N503" t="n">
        <v>0</v>
      </c>
      <c r="O503" t="n">
        <v>0</v>
      </c>
      <c r="P503" t="n">
        <v>0</v>
      </c>
      <c r="Q503" t="n">
        <v>0</v>
      </c>
      <c r="R503" s="2" t="inlineStr"/>
    </row>
    <row r="504" ht="15" customHeight="1">
      <c r="A504" t="inlineStr">
        <is>
          <t>A 53628-2021</t>
        </is>
      </c>
      <c r="B504" s="1" t="n">
        <v>44469</v>
      </c>
      <c r="C504" s="1" t="n">
        <v>45803</v>
      </c>
      <c r="D504" t="inlineStr">
        <is>
          <t>NORRBOTTENS LÄN</t>
        </is>
      </c>
      <c r="E504" t="inlineStr">
        <is>
          <t>BODEN</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53630-2021</t>
        </is>
      </c>
      <c r="B505" s="1" t="n">
        <v>44469</v>
      </c>
      <c r="C505" s="1" t="n">
        <v>45803</v>
      </c>
      <c r="D505" t="inlineStr">
        <is>
          <t>NORRBOTTENS LÄN</t>
        </is>
      </c>
      <c r="E505" t="inlineStr">
        <is>
          <t>BODEN</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53633-2021</t>
        </is>
      </c>
      <c r="B506" s="1" t="n">
        <v>44469</v>
      </c>
      <c r="C506" s="1" t="n">
        <v>45803</v>
      </c>
      <c r="D506" t="inlineStr">
        <is>
          <t>NORRBOTTENS LÄN</t>
        </is>
      </c>
      <c r="E506" t="inlineStr">
        <is>
          <t>BODEN</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54818-2021</t>
        </is>
      </c>
      <c r="B507" s="1" t="n">
        <v>44473</v>
      </c>
      <c r="C507" s="1" t="n">
        <v>45803</v>
      </c>
      <c r="D507" t="inlineStr">
        <is>
          <t>NORRBOTTENS LÄN</t>
        </is>
      </c>
      <c r="E507" t="inlineStr">
        <is>
          <t>BODEN</t>
        </is>
      </c>
      <c r="F507" t="inlineStr">
        <is>
          <t>SCA</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55024-2021</t>
        </is>
      </c>
      <c r="B508" s="1" t="n">
        <v>44474</v>
      </c>
      <c r="C508" s="1" t="n">
        <v>45803</v>
      </c>
      <c r="D508" t="inlineStr">
        <is>
          <t>NORRBOTTENS LÄN</t>
        </is>
      </c>
      <c r="E508" t="inlineStr">
        <is>
          <t>BODEN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55080-2021</t>
        </is>
      </c>
      <c r="B509" s="1" t="n">
        <v>44474</v>
      </c>
      <c r="C509" s="1" t="n">
        <v>45803</v>
      </c>
      <c r="D509" t="inlineStr">
        <is>
          <t>NORRBOTTENS LÄN</t>
        </is>
      </c>
      <c r="E509" t="inlineStr">
        <is>
          <t>BODEN</t>
        </is>
      </c>
      <c r="G509" t="n">
        <v>2.8</v>
      </c>
      <c r="H509" t="n">
        <v>0</v>
      </c>
      <c r="I509" t="n">
        <v>0</v>
      </c>
      <c r="J509" t="n">
        <v>0</v>
      </c>
      <c r="K509" t="n">
        <v>0</v>
      </c>
      <c r="L509" t="n">
        <v>0</v>
      </c>
      <c r="M509" t="n">
        <v>0</v>
      </c>
      <c r="N509" t="n">
        <v>0</v>
      </c>
      <c r="O509" t="n">
        <v>0</v>
      </c>
      <c r="P509" t="n">
        <v>0</v>
      </c>
      <c r="Q509" t="n">
        <v>0</v>
      </c>
      <c r="R509" s="2" t="inlineStr"/>
    </row>
    <row r="510" ht="15" customHeight="1">
      <c r="A510" t="inlineStr">
        <is>
          <t>A 54935-2021</t>
        </is>
      </c>
      <c r="B510" s="1" t="n">
        <v>44474</v>
      </c>
      <c r="C510" s="1" t="n">
        <v>45803</v>
      </c>
      <c r="D510" t="inlineStr">
        <is>
          <t>NORRBOTTENS LÄN</t>
        </is>
      </c>
      <c r="E510" t="inlineStr">
        <is>
          <t>BODEN</t>
        </is>
      </c>
      <c r="G510" t="n">
        <v>2.9</v>
      </c>
      <c r="H510" t="n">
        <v>0</v>
      </c>
      <c r="I510" t="n">
        <v>0</v>
      </c>
      <c r="J510" t="n">
        <v>0</v>
      </c>
      <c r="K510" t="n">
        <v>0</v>
      </c>
      <c r="L510" t="n">
        <v>0</v>
      </c>
      <c r="M510" t="n">
        <v>0</v>
      </c>
      <c r="N510" t="n">
        <v>0</v>
      </c>
      <c r="O510" t="n">
        <v>0</v>
      </c>
      <c r="P510" t="n">
        <v>0</v>
      </c>
      <c r="Q510" t="n">
        <v>0</v>
      </c>
      <c r="R510" s="2" t="inlineStr"/>
    </row>
    <row r="511" ht="15" customHeight="1">
      <c r="A511" t="inlineStr">
        <is>
          <t>A 54881-2021</t>
        </is>
      </c>
      <c r="B511" s="1" t="n">
        <v>44474</v>
      </c>
      <c r="C511" s="1" t="n">
        <v>45803</v>
      </c>
      <c r="D511" t="inlineStr">
        <is>
          <t>NORRBOTTENS LÄN</t>
        </is>
      </c>
      <c r="E511" t="inlineStr">
        <is>
          <t>BODEN</t>
        </is>
      </c>
      <c r="G511" t="n">
        <v>2.8</v>
      </c>
      <c r="H511" t="n">
        <v>0</v>
      </c>
      <c r="I511" t="n">
        <v>0</v>
      </c>
      <c r="J511" t="n">
        <v>0</v>
      </c>
      <c r="K511" t="n">
        <v>0</v>
      </c>
      <c r="L511" t="n">
        <v>0</v>
      </c>
      <c r="M511" t="n">
        <v>0</v>
      </c>
      <c r="N511" t="n">
        <v>0</v>
      </c>
      <c r="O511" t="n">
        <v>0</v>
      </c>
      <c r="P511" t="n">
        <v>0</v>
      </c>
      <c r="Q511" t="n">
        <v>0</v>
      </c>
      <c r="R511" s="2" t="inlineStr"/>
    </row>
    <row r="512" ht="15" customHeight="1">
      <c r="A512" t="inlineStr">
        <is>
          <t>A 56111-2021</t>
        </is>
      </c>
      <c r="B512" s="1" t="n">
        <v>44477</v>
      </c>
      <c r="C512" s="1" t="n">
        <v>45803</v>
      </c>
      <c r="D512" t="inlineStr">
        <is>
          <t>NORRBOTTENS LÄN</t>
        </is>
      </c>
      <c r="E512" t="inlineStr">
        <is>
          <t>BODEN</t>
        </is>
      </c>
      <c r="G512" t="n">
        <v>2.3</v>
      </c>
      <c r="H512" t="n">
        <v>0</v>
      </c>
      <c r="I512" t="n">
        <v>0</v>
      </c>
      <c r="J512" t="n">
        <v>0</v>
      </c>
      <c r="K512" t="n">
        <v>0</v>
      </c>
      <c r="L512" t="n">
        <v>0</v>
      </c>
      <c r="M512" t="n">
        <v>0</v>
      </c>
      <c r="N512" t="n">
        <v>0</v>
      </c>
      <c r="O512" t="n">
        <v>0</v>
      </c>
      <c r="P512" t="n">
        <v>0</v>
      </c>
      <c r="Q512" t="n">
        <v>0</v>
      </c>
      <c r="R512" s="2" t="inlineStr"/>
    </row>
    <row r="513" ht="15" customHeight="1">
      <c r="A513" t="inlineStr">
        <is>
          <t>A 56467-2021</t>
        </is>
      </c>
      <c r="B513" s="1" t="n">
        <v>44480</v>
      </c>
      <c r="C513" s="1" t="n">
        <v>45803</v>
      </c>
      <c r="D513" t="inlineStr">
        <is>
          <t>NORRBOTTENS LÄN</t>
        </is>
      </c>
      <c r="E513" t="inlineStr">
        <is>
          <t>BODEN</t>
        </is>
      </c>
      <c r="G513" t="n">
        <v>2.8</v>
      </c>
      <c r="H513" t="n">
        <v>0</v>
      </c>
      <c r="I513" t="n">
        <v>0</v>
      </c>
      <c r="J513" t="n">
        <v>0</v>
      </c>
      <c r="K513" t="n">
        <v>0</v>
      </c>
      <c r="L513" t="n">
        <v>0</v>
      </c>
      <c r="M513" t="n">
        <v>0</v>
      </c>
      <c r="N513" t="n">
        <v>0</v>
      </c>
      <c r="O513" t="n">
        <v>0</v>
      </c>
      <c r="P513" t="n">
        <v>0</v>
      </c>
      <c r="Q513" t="n">
        <v>0</v>
      </c>
      <c r="R513" s="2" t="inlineStr"/>
    </row>
    <row r="514" ht="15" customHeight="1">
      <c r="A514" t="inlineStr">
        <is>
          <t>A 56485-2021</t>
        </is>
      </c>
      <c r="B514" s="1" t="n">
        <v>44480</v>
      </c>
      <c r="C514" s="1" t="n">
        <v>45803</v>
      </c>
      <c r="D514" t="inlineStr">
        <is>
          <t>NORRBOTTENS LÄN</t>
        </is>
      </c>
      <c r="E514" t="inlineStr">
        <is>
          <t>BODEN</t>
        </is>
      </c>
      <c r="G514" t="n">
        <v>6.1</v>
      </c>
      <c r="H514" t="n">
        <v>0</v>
      </c>
      <c r="I514" t="n">
        <v>0</v>
      </c>
      <c r="J514" t="n">
        <v>0</v>
      </c>
      <c r="K514" t="n">
        <v>0</v>
      </c>
      <c r="L514" t="n">
        <v>0</v>
      </c>
      <c r="M514" t="n">
        <v>0</v>
      </c>
      <c r="N514" t="n">
        <v>0</v>
      </c>
      <c r="O514" t="n">
        <v>0</v>
      </c>
      <c r="P514" t="n">
        <v>0</v>
      </c>
      <c r="Q514" t="n">
        <v>0</v>
      </c>
      <c r="R514" s="2" t="inlineStr"/>
    </row>
    <row r="515" ht="15" customHeight="1">
      <c r="A515" t="inlineStr">
        <is>
          <t>A 57583-2021</t>
        </is>
      </c>
      <c r="B515" s="1" t="n">
        <v>44484</v>
      </c>
      <c r="C515" s="1" t="n">
        <v>45803</v>
      </c>
      <c r="D515" t="inlineStr">
        <is>
          <t>NORRBOTTENS LÄN</t>
        </is>
      </c>
      <c r="E515" t="inlineStr">
        <is>
          <t>BODEN</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57578-2021</t>
        </is>
      </c>
      <c r="B516" s="1" t="n">
        <v>44484</v>
      </c>
      <c r="C516" s="1" t="n">
        <v>45803</v>
      </c>
      <c r="D516" t="inlineStr">
        <is>
          <t>NORRBOTTENS LÄN</t>
        </is>
      </c>
      <c r="E516" t="inlineStr">
        <is>
          <t>BODEN</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57600-2021</t>
        </is>
      </c>
      <c r="B517" s="1" t="n">
        <v>44484</v>
      </c>
      <c r="C517" s="1" t="n">
        <v>45803</v>
      </c>
      <c r="D517" t="inlineStr">
        <is>
          <t>NORRBOTTENS LÄN</t>
        </is>
      </c>
      <c r="E517" t="inlineStr">
        <is>
          <t>BODEN</t>
        </is>
      </c>
      <c r="G517" t="n">
        <v>5.3</v>
      </c>
      <c r="H517" t="n">
        <v>0</v>
      </c>
      <c r="I517" t="n">
        <v>0</v>
      </c>
      <c r="J517" t="n">
        <v>0</v>
      </c>
      <c r="K517" t="n">
        <v>0</v>
      </c>
      <c r="L517" t="n">
        <v>0</v>
      </c>
      <c r="M517" t="n">
        <v>0</v>
      </c>
      <c r="N517" t="n">
        <v>0</v>
      </c>
      <c r="O517" t="n">
        <v>0</v>
      </c>
      <c r="P517" t="n">
        <v>0</v>
      </c>
      <c r="Q517" t="n">
        <v>0</v>
      </c>
      <c r="R517" s="2" t="inlineStr"/>
    </row>
    <row r="518" ht="15" customHeight="1">
      <c r="A518" t="inlineStr">
        <is>
          <t>A 57604-2021</t>
        </is>
      </c>
      <c r="B518" s="1" t="n">
        <v>44484</v>
      </c>
      <c r="C518" s="1" t="n">
        <v>45803</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57873-2021</t>
        </is>
      </c>
      <c r="B519" s="1" t="n">
        <v>44484</v>
      </c>
      <c r="C519" s="1" t="n">
        <v>45803</v>
      </c>
      <c r="D519" t="inlineStr">
        <is>
          <t>NORRBOTTENS LÄN</t>
        </is>
      </c>
      <c r="E519" t="inlineStr">
        <is>
          <t>BODEN</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57895-2021</t>
        </is>
      </c>
      <c r="B520" s="1" t="n">
        <v>44486</v>
      </c>
      <c r="C520" s="1" t="n">
        <v>45803</v>
      </c>
      <c r="D520" t="inlineStr">
        <is>
          <t>NORRBOTTENS LÄN</t>
        </is>
      </c>
      <c r="E520" t="inlineStr">
        <is>
          <t>BODEN</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58036-2021</t>
        </is>
      </c>
      <c r="B521" s="1" t="n">
        <v>44487</v>
      </c>
      <c r="C521" s="1" t="n">
        <v>45803</v>
      </c>
      <c r="D521" t="inlineStr">
        <is>
          <t>NORRBOTTENS LÄN</t>
        </is>
      </c>
      <c r="E521" t="inlineStr">
        <is>
          <t>BODEN</t>
        </is>
      </c>
      <c r="G521" t="n">
        <v>1.8</v>
      </c>
      <c r="H521" t="n">
        <v>0</v>
      </c>
      <c r="I521" t="n">
        <v>0</v>
      </c>
      <c r="J521" t="n">
        <v>0</v>
      </c>
      <c r="K521" t="n">
        <v>0</v>
      </c>
      <c r="L521" t="n">
        <v>0</v>
      </c>
      <c r="M521" t="n">
        <v>0</v>
      </c>
      <c r="N521" t="n">
        <v>0</v>
      </c>
      <c r="O521" t="n">
        <v>0</v>
      </c>
      <c r="P521" t="n">
        <v>0</v>
      </c>
      <c r="Q521" t="n">
        <v>0</v>
      </c>
      <c r="R521" s="2" t="inlineStr"/>
    </row>
    <row r="522" ht="15" customHeight="1">
      <c r="A522" t="inlineStr">
        <is>
          <t>A 58101-2021</t>
        </is>
      </c>
      <c r="B522" s="1" t="n">
        <v>44487</v>
      </c>
      <c r="C522" s="1" t="n">
        <v>45803</v>
      </c>
      <c r="D522" t="inlineStr">
        <is>
          <t>NORRBOTTENS LÄN</t>
        </is>
      </c>
      <c r="E522" t="inlineStr">
        <is>
          <t>BODEN</t>
        </is>
      </c>
      <c r="G522" t="n">
        <v>3.3</v>
      </c>
      <c r="H522" t="n">
        <v>0</v>
      </c>
      <c r="I522" t="n">
        <v>0</v>
      </c>
      <c r="J522" t="n">
        <v>0</v>
      </c>
      <c r="K522" t="n">
        <v>0</v>
      </c>
      <c r="L522" t="n">
        <v>0</v>
      </c>
      <c r="M522" t="n">
        <v>0</v>
      </c>
      <c r="N522" t="n">
        <v>0</v>
      </c>
      <c r="O522" t="n">
        <v>0</v>
      </c>
      <c r="P522" t="n">
        <v>0</v>
      </c>
      <c r="Q522" t="n">
        <v>0</v>
      </c>
      <c r="R522" s="2" t="inlineStr"/>
    </row>
    <row r="523" ht="15" customHeight="1">
      <c r="A523" t="inlineStr">
        <is>
          <t>A 58877-2021</t>
        </is>
      </c>
      <c r="B523" s="1" t="n">
        <v>44489</v>
      </c>
      <c r="C523" s="1" t="n">
        <v>45803</v>
      </c>
      <c r="D523" t="inlineStr">
        <is>
          <t>NORRBOTTENS LÄN</t>
        </is>
      </c>
      <c r="E523" t="inlineStr">
        <is>
          <t>BODEN</t>
        </is>
      </c>
      <c r="G523" t="n">
        <v>5.9</v>
      </c>
      <c r="H523" t="n">
        <v>0</v>
      </c>
      <c r="I523" t="n">
        <v>0</v>
      </c>
      <c r="J523" t="n">
        <v>0</v>
      </c>
      <c r="K523" t="n">
        <v>0</v>
      </c>
      <c r="L523" t="n">
        <v>0</v>
      </c>
      <c r="M523" t="n">
        <v>0</v>
      </c>
      <c r="N523" t="n">
        <v>0</v>
      </c>
      <c r="O523" t="n">
        <v>0</v>
      </c>
      <c r="P523" t="n">
        <v>0</v>
      </c>
      <c r="Q523" t="n">
        <v>0</v>
      </c>
      <c r="R523" s="2" t="inlineStr"/>
    </row>
    <row r="524" ht="15" customHeight="1">
      <c r="A524" t="inlineStr">
        <is>
          <t>A 58898-2021</t>
        </is>
      </c>
      <c r="B524" s="1" t="n">
        <v>44489</v>
      </c>
      <c r="C524" s="1" t="n">
        <v>45803</v>
      </c>
      <c r="D524" t="inlineStr">
        <is>
          <t>NORRBOTTENS LÄN</t>
        </is>
      </c>
      <c r="E524" t="inlineStr">
        <is>
          <t>BODEN</t>
        </is>
      </c>
      <c r="G524" t="n">
        <v>0.7</v>
      </c>
      <c r="H524" t="n">
        <v>0</v>
      </c>
      <c r="I524" t="n">
        <v>0</v>
      </c>
      <c r="J524" t="n">
        <v>0</v>
      </c>
      <c r="K524" t="n">
        <v>0</v>
      </c>
      <c r="L524" t="n">
        <v>0</v>
      </c>
      <c r="M524" t="n">
        <v>0</v>
      </c>
      <c r="N524" t="n">
        <v>0</v>
      </c>
      <c r="O524" t="n">
        <v>0</v>
      </c>
      <c r="P524" t="n">
        <v>0</v>
      </c>
      <c r="Q524" t="n">
        <v>0</v>
      </c>
      <c r="R524" s="2" t="inlineStr"/>
    </row>
    <row r="525" ht="15" customHeight="1">
      <c r="A525" t="inlineStr">
        <is>
          <t>A 58977-2021</t>
        </is>
      </c>
      <c r="B525" s="1" t="n">
        <v>44489</v>
      </c>
      <c r="C525" s="1" t="n">
        <v>45803</v>
      </c>
      <c r="D525" t="inlineStr">
        <is>
          <t>NORRBOTTENS LÄN</t>
        </is>
      </c>
      <c r="E525" t="inlineStr">
        <is>
          <t>BODEN</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59331-2021</t>
        </is>
      </c>
      <c r="B526" s="1" t="n">
        <v>44490</v>
      </c>
      <c r="C526" s="1" t="n">
        <v>45803</v>
      </c>
      <c r="D526" t="inlineStr">
        <is>
          <t>NORRBOTTENS LÄN</t>
        </is>
      </c>
      <c r="E526" t="inlineStr">
        <is>
          <t>BODEN</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59540-2021</t>
        </is>
      </c>
      <c r="B527" s="1" t="n">
        <v>44491</v>
      </c>
      <c r="C527" s="1" t="n">
        <v>45803</v>
      </c>
      <c r="D527" t="inlineStr">
        <is>
          <t>NORRBOTTENS LÄN</t>
        </is>
      </c>
      <c r="E527" t="inlineStr">
        <is>
          <t>BODEN</t>
        </is>
      </c>
      <c r="G527" t="n">
        <v>8.1</v>
      </c>
      <c r="H527" t="n">
        <v>0</v>
      </c>
      <c r="I527" t="n">
        <v>0</v>
      </c>
      <c r="J527" t="n">
        <v>0</v>
      </c>
      <c r="K527" t="n">
        <v>0</v>
      </c>
      <c r="L527" t="n">
        <v>0</v>
      </c>
      <c r="M527" t="n">
        <v>0</v>
      </c>
      <c r="N527" t="n">
        <v>0</v>
      </c>
      <c r="O527" t="n">
        <v>0</v>
      </c>
      <c r="P527" t="n">
        <v>0</v>
      </c>
      <c r="Q527" t="n">
        <v>0</v>
      </c>
      <c r="R527" s="2" t="inlineStr"/>
    </row>
    <row r="528" ht="15" customHeight="1">
      <c r="A528" t="inlineStr">
        <is>
          <t>A 61412-2021</t>
        </is>
      </c>
      <c r="B528" s="1" t="n">
        <v>44500</v>
      </c>
      <c r="C528" s="1" t="n">
        <v>45803</v>
      </c>
      <c r="D528" t="inlineStr">
        <is>
          <t>NORRBOTTENS LÄN</t>
        </is>
      </c>
      <c r="E528" t="inlineStr">
        <is>
          <t>BODEN</t>
        </is>
      </c>
      <c r="G528" t="n">
        <v>2.1</v>
      </c>
      <c r="H528" t="n">
        <v>0</v>
      </c>
      <c r="I528" t="n">
        <v>0</v>
      </c>
      <c r="J528" t="n">
        <v>0</v>
      </c>
      <c r="K528" t="n">
        <v>0</v>
      </c>
      <c r="L528" t="n">
        <v>0</v>
      </c>
      <c r="M528" t="n">
        <v>0</v>
      </c>
      <c r="N528" t="n">
        <v>0</v>
      </c>
      <c r="O528" t="n">
        <v>0</v>
      </c>
      <c r="P528" t="n">
        <v>0</v>
      </c>
      <c r="Q528" t="n">
        <v>0</v>
      </c>
      <c r="R528" s="2" t="inlineStr"/>
    </row>
    <row r="529" ht="15" customHeight="1">
      <c r="A529" t="inlineStr">
        <is>
          <t>A 63790-2021</t>
        </is>
      </c>
      <c r="B529" s="1" t="n">
        <v>44509</v>
      </c>
      <c r="C529" s="1" t="n">
        <v>45803</v>
      </c>
      <c r="D529" t="inlineStr">
        <is>
          <t>NORRBOTTENS LÄN</t>
        </is>
      </c>
      <c r="E529" t="inlineStr">
        <is>
          <t>BODEN</t>
        </is>
      </c>
      <c r="G529" t="n">
        <v>1.1</v>
      </c>
      <c r="H529" t="n">
        <v>0</v>
      </c>
      <c r="I529" t="n">
        <v>0</v>
      </c>
      <c r="J529" t="n">
        <v>0</v>
      </c>
      <c r="K529" t="n">
        <v>0</v>
      </c>
      <c r="L529" t="n">
        <v>0</v>
      </c>
      <c r="M529" t="n">
        <v>0</v>
      </c>
      <c r="N529" t="n">
        <v>0</v>
      </c>
      <c r="O529" t="n">
        <v>0</v>
      </c>
      <c r="P529" t="n">
        <v>0</v>
      </c>
      <c r="Q529" t="n">
        <v>0</v>
      </c>
      <c r="R529" s="2" t="inlineStr"/>
    </row>
    <row r="530" ht="15" customHeight="1">
      <c r="A530" t="inlineStr">
        <is>
          <t>A 65218-2021</t>
        </is>
      </c>
      <c r="B530" s="1" t="n">
        <v>44515</v>
      </c>
      <c r="C530" s="1" t="n">
        <v>45803</v>
      </c>
      <c r="D530" t="inlineStr">
        <is>
          <t>NORRBOTTENS LÄN</t>
        </is>
      </c>
      <c r="E530" t="inlineStr">
        <is>
          <t>BODEN</t>
        </is>
      </c>
      <c r="G530" t="n">
        <v>5.8</v>
      </c>
      <c r="H530" t="n">
        <v>0</v>
      </c>
      <c r="I530" t="n">
        <v>0</v>
      </c>
      <c r="J530" t="n">
        <v>0</v>
      </c>
      <c r="K530" t="n">
        <v>0</v>
      </c>
      <c r="L530" t="n">
        <v>0</v>
      </c>
      <c r="M530" t="n">
        <v>0</v>
      </c>
      <c r="N530" t="n">
        <v>0</v>
      </c>
      <c r="O530" t="n">
        <v>0</v>
      </c>
      <c r="P530" t="n">
        <v>0</v>
      </c>
      <c r="Q530" t="n">
        <v>0</v>
      </c>
      <c r="R530" s="2" t="inlineStr"/>
    </row>
    <row r="531" ht="15" customHeight="1">
      <c r="A531" t="inlineStr">
        <is>
          <t>A 65225-2021</t>
        </is>
      </c>
      <c r="B531" s="1" t="n">
        <v>44515</v>
      </c>
      <c r="C531" s="1" t="n">
        <v>45803</v>
      </c>
      <c r="D531" t="inlineStr">
        <is>
          <t>NORRBOTTENS LÄN</t>
        </is>
      </c>
      <c r="E531" t="inlineStr">
        <is>
          <t>BODEN</t>
        </is>
      </c>
      <c r="G531" t="n">
        <v>8.1</v>
      </c>
      <c r="H531" t="n">
        <v>0</v>
      </c>
      <c r="I531" t="n">
        <v>0</v>
      </c>
      <c r="J531" t="n">
        <v>0</v>
      </c>
      <c r="K531" t="n">
        <v>0</v>
      </c>
      <c r="L531" t="n">
        <v>0</v>
      </c>
      <c r="M531" t="n">
        <v>0</v>
      </c>
      <c r="N531" t="n">
        <v>0</v>
      </c>
      <c r="O531" t="n">
        <v>0</v>
      </c>
      <c r="P531" t="n">
        <v>0</v>
      </c>
      <c r="Q531" t="n">
        <v>0</v>
      </c>
      <c r="R531" s="2" t="inlineStr"/>
    </row>
    <row r="532" ht="15" customHeight="1">
      <c r="A532" t="inlineStr">
        <is>
          <t>A 66464-2021</t>
        </is>
      </c>
      <c r="B532" s="1" t="n">
        <v>44518</v>
      </c>
      <c r="C532" s="1" t="n">
        <v>45803</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67068-2021</t>
        </is>
      </c>
      <c r="B533" s="1" t="n">
        <v>44522</v>
      </c>
      <c r="C533" s="1" t="n">
        <v>45803</v>
      </c>
      <c r="D533" t="inlineStr">
        <is>
          <t>NORRBOTTENS LÄN</t>
        </is>
      </c>
      <c r="E533" t="inlineStr">
        <is>
          <t>BODEN</t>
        </is>
      </c>
      <c r="G533" t="n">
        <v>5.1</v>
      </c>
      <c r="H533" t="n">
        <v>0</v>
      </c>
      <c r="I533" t="n">
        <v>0</v>
      </c>
      <c r="J533" t="n">
        <v>0</v>
      </c>
      <c r="K533" t="n">
        <v>0</v>
      </c>
      <c r="L533" t="n">
        <v>0</v>
      </c>
      <c r="M533" t="n">
        <v>0</v>
      </c>
      <c r="N533" t="n">
        <v>0</v>
      </c>
      <c r="O533" t="n">
        <v>0</v>
      </c>
      <c r="P533" t="n">
        <v>0</v>
      </c>
      <c r="Q533" t="n">
        <v>0</v>
      </c>
      <c r="R533" s="2" t="inlineStr"/>
    </row>
    <row r="534" ht="15" customHeight="1">
      <c r="A534" t="inlineStr">
        <is>
          <t>A 67430-2021</t>
        </is>
      </c>
      <c r="B534" s="1" t="n">
        <v>44524</v>
      </c>
      <c r="C534" s="1" t="n">
        <v>45803</v>
      </c>
      <c r="D534" t="inlineStr">
        <is>
          <t>NORRBOTTENS LÄN</t>
        </is>
      </c>
      <c r="E534" t="inlineStr">
        <is>
          <t>BODEN</t>
        </is>
      </c>
      <c r="G534" t="n">
        <v>10.6</v>
      </c>
      <c r="H534" t="n">
        <v>0</v>
      </c>
      <c r="I534" t="n">
        <v>0</v>
      </c>
      <c r="J534" t="n">
        <v>0</v>
      </c>
      <c r="K534" t="n">
        <v>0</v>
      </c>
      <c r="L534" t="n">
        <v>0</v>
      </c>
      <c r="M534" t="n">
        <v>0</v>
      </c>
      <c r="N534" t="n">
        <v>0</v>
      </c>
      <c r="O534" t="n">
        <v>0</v>
      </c>
      <c r="P534" t="n">
        <v>0</v>
      </c>
      <c r="Q534" t="n">
        <v>0</v>
      </c>
      <c r="R534" s="2" t="inlineStr"/>
    </row>
    <row r="535" ht="15" customHeight="1">
      <c r="A535" t="inlineStr">
        <is>
          <t>A 67438-2021</t>
        </is>
      </c>
      <c r="B535" s="1" t="n">
        <v>44524</v>
      </c>
      <c r="C535" s="1" t="n">
        <v>45803</v>
      </c>
      <c r="D535" t="inlineStr">
        <is>
          <t>NORRBOTTENS LÄN</t>
        </is>
      </c>
      <c r="E535" t="inlineStr">
        <is>
          <t>BODEN</t>
        </is>
      </c>
      <c r="G535" t="n">
        <v>3.2</v>
      </c>
      <c r="H535" t="n">
        <v>0</v>
      </c>
      <c r="I535" t="n">
        <v>0</v>
      </c>
      <c r="J535" t="n">
        <v>0</v>
      </c>
      <c r="K535" t="n">
        <v>0</v>
      </c>
      <c r="L535" t="n">
        <v>0</v>
      </c>
      <c r="M535" t="n">
        <v>0</v>
      </c>
      <c r="N535" t="n">
        <v>0</v>
      </c>
      <c r="O535" t="n">
        <v>0</v>
      </c>
      <c r="P535" t="n">
        <v>0</v>
      </c>
      <c r="Q535" t="n">
        <v>0</v>
      </c>
      <c r="R535" s="2" t="inlineStr"/>
    </row>
    <row r="536" ht="15" customHeight="1">
      <c r="A536" t="inlineStr">
        <is>
          <t>A 68569-2021</t>
        </is>
      </c>
      <c r="B536" s="1" t="n">
        <v>44529</v>
      </c>
      <c r="C536" s="1" t="n">
        <v>45803</v>
      </c>
      <c r="D536" t="inlineStr">
        <is>
          <t>NORRBOTTENS LÄN</t>
        </is>
      </c>
      <c r="E536" t="inlineStr">
        <is>
          <t>BODEN</t>
        </is>
      </c>
      <c r="G536" t="n">
        <v>0.8</v>
      </c>
      <c r="H536" t="n">
        <v>0</v>
      </c>
      <c r="I536" t="n">
        <v>0</v>
      </c>
      <c r="J536" t="n">
        <v>0</v>
      </c>
      <c r="K536" t="n">
        <v>0</v>
      </c>
      <c r="L536" t="n">
        <v>0</v>
      </c>
      <c r="M536" t="n">
        <v>0</v>
      </c>
      <c r="N536" t="n">
        <v>0</v>
      </c>
      <c r="O536" t="n">
        <v>0</v>
      </c>
      <c r="P536" t="n">
        <v>0</v>
      </c>
      <c r="Q536" t="n">
        <v>0</v>
      </c>
      <c r="R536" s="2" t="inlineStr"/>
    </row>
    <row r="537" ht="15" customHeight="1">
      <c r="A537" t="inlineStr">
        <is>
          <t>A 68591-2021</t>
        </is>
      </c>
      <c r="B537" s="1" t="n">
        <v>44529</v>
      </c>
      <c r="C537" s="1" t="n">
        <v>45803</v>
      </c>
      <c r="D537" t="inlineStr">
        <is>
          <t>NORRBOTTENS LÄN</t>
        </is>
      </c>
      <c r="E537" t="inlineStr">
        <is>
          <t>BODEN</t>
        </is>
      </c>
      <c r="G537" t="n">
        <v>2.2</v>
      </c>
      <c r="H537" t="n">
        <v>0</v>
      </c>
      <c r="I537" t="n">
        <v>0</v>
      </c>
      <c r="J537" t="n">
        <v>0</v>
      </c>
      <c r="K537" t="n">
        <v>0</v>
      </c>
      <c r="L537" t="n">
        <v>0</v>
      </c>
      <c r="M537" t="n">
        <v>0</v>
      </c>
      <c r="N537" t="n">
        <v>0</v>
      </c>
      <c r="O537" t="n">
        <v>0</v>
      </c>
      <c r="P537" t="n">
        <v>0</v>
      </c>
      <c r="Q537" t="n">
        <v>0</v>
      </c>
      <c r="R537" s="2" t="inlineStr"/>
    </row>
    <row r="538" ht="15" customHeight="1">
      <c r="A538" t="inlineStr">
        <is>
          <t>A 68560-2021</t>
        </is>
      </c>
      <c r="B538" s="1" t="n">
        <v>44529</v>
      </c>
      <c r="C538" s="1" t="n">
        <v>45803</v>
      </c>
      <c r="D538" t="inlineStr">
        <is>
          <t>NORRBOTTENS LÄN</t>
        </is>
      </c>
      <c r="E538" t="inlineStr">
        <is>
          <t>BODEN</t>
        </is>
      </c>
      <c r="G538" t="n">
        <v>3.5</v>
      </c>
      <c r="H538" t="n">
        <v>0</v>
      </c>
      <c r="I538" t="n">
        <v>0</v>
      </c>
      <c r="J538" t="n">
        <v>0</v>
      </c>
      <c r="K538" t="n">
        <v>0</v>
      </c>
      <c r="L538" t="n">
        <v>0</v>
      </c>
      <c r="M538" t="n">
        <v>0</v>
      </c>
      <c r="N538" t="n">
        <v>0</v>
      </c>
      <c r="O538" t="n">
        <v>0</v>
      </c>
      <c r="P538" t="n">
        <v>0</v>
      </c>
      <c r="Q538" t="n">
        <v>0</v>
      </c>
      <c r="R538" s="2" t="inlineStr"/>
    </row>
    <row r="539" ht="15" customHeight="1">
      <c r="A539" t="inlineStr">
        <is>
          <t>A 68514-2021</t>
        </is>
      </c>
      <c r="B539" s="1" t="n">
        <v>44529</v>
      </c>
      <c r="C539" s="1" t="n">
        <v>45803</v>
      </c>
      <c r="D539" t="inlineStr">
        <is>
          <t>NORRBOTTENS LÄN</t>
        </is>
      </c>
      <c r="E539" t="inlineStr">
        <is>
          <t>BODEN</t>
        </is>
      </c>
      <c r="G539" t="n">
        <v>6.2</v>
      </c>
      <c r="H539" t="n">
        <v>0</v>
      </c>
      <c r="I539" t="n">
        <v>0</v>
      </c>
      <c r="J539" t="n">
        <v>0</v>
      </c>
      <c r="K539" t="n">
        <v>0</v>
      </c>
      <c r="L539" t="n">
        <v>0</v>
      </c>
      <c r="M539" t="n">
        <v>0</v>
      </c>
      <c r="N539" t="n">
        <v>0</v>
      </c>
      <c r="O539" t="n">
        <v>0</v>
      </c>
      <c r="P539" t="n">
        <v>0</v>
      </c>
      <c r="Q539" t="n">
        <v>0</v>
      </c>
      <c r="R539" s="2" t="inlineStr"/>
    </row>
    <row r="540" ht="15" customHeight="1">
      <c r="A540" t="inlineStr">
        <is>
          <t>A 68565-2021</t>
        </is>
      </c>
      <c r="B540" s="1" t="n">
        <v>44529</v>
      </c>
      <c r="C540" s="1" t="n">
        <v>45803</v>
      </c>
      <c r="D540" t="inlineStr">
        <is>
          <t>NORRBOTTENS LÄN</t>
        </is>
      </c>
      <c r="E540" t="inlineStr">
        <is>
          <t>BODEN</t>
        </is>
      </c>
      <c r="G540" t="n">
        <v>2.2</v>
      </c>
      <c r="H540" t="n">
        <v>0</v>
      </c>
      <c r="I540" t="n">
        <v>0</v>
      </c>
      <c r="J540" t="n">
        <v>0</v>
      </c>
      <c r="K540" t="n">
        <v>0</v>
      </c>
      <c r="L540" t="n">
        <v>0</v>
      </c>
      <c r="M540" t="n">
        <v>0</v>
      </c>
      <c r="N540" t="n">
        <v>0</v>
      </c>
      <c r="O540" t="n">
        <v>0</v>
      </c>
      <c r="P540" t="n">
        <v>0</v>
      </c>
      <c r="Q540" t="n">
        <v>0</v>
      </c>
      <c r="R540" s="2" t="inlineStr"/>
    </row>
    <row r="541" ht="15" customHeight="1">
      <c r="A541" t="inlineStr">
        <is>
          <t>A 68589-2021</t>
        </is>
      </c>
      <c r="B541" s="1" t="n">
        <v>44529</v>
      </c>
      <c r="C541" s="1" t="n">
        <v>45803</v>
      </c>
      <c r="D541" t="inlineStr">
        <is>
          <t>NORRBOTTENS LÄN</t>
        </is>
      </c>
      <c r="E541" t="inlineStr">
        <is>
          <t>BODEN</t>
        </is>
      </c>
      <c r="G541" t="n">
        <v>3.1</v>
      </c>
      <c r="H541" t="n">
        <v>0</v>
      </c>
      <c r="I541" t="n">
        <v>0</v>
      </c>
      <c r="J541" t="n">
        <v>0</v>
      </c>
      <c r="K541" t="n">
        <v>0</v>
      </c>
      <c r="L541" t="n">
        <v>0</v>
      </c>
      <c r="M541" t="n">
        <v>0</v>
      </c>
      <c r="N541" t="n">
        <v>0</v>
      </c>
      <c r="O541" t="n">
        <v>0</v>
      </c>
      <c r="P541" t="n">
        <v>0</v>
      </c>
      <c r="Q541" t="n">
        <v>0</v>
      </c>
      <c r="R541" s="2" t="inlineStr"/>
    </row>
    <row r="542" ht="15" customHeight="1">
      <c r="A542" t="inlineStr">
        <is>
          <t>A 68611-2021</t>
        </is>
      </c>
      <c r="B542" s="1" t="n">
        <v>44529</v>
      </c>
      <c r="C542" s="1" t="n">
        <v>45803</v>
      </c>
      <c r="D542" t="inlineStr">
        <is>
          <t>NORRBOTTENS LÄN</t>
        </is>
      </c>
      <c r="E542" t="inlineStr">
        <is>
          <t>BODEN</t>
        </is>
      </c>
      <c r="G542" t="n">
        <v>1.9</v>
      </c>
      <c r="H542" t="n">
        <v>0</v>
      </c>
      <c r="I542" t="n">
        <v>0</v>
      </c>
      <c r="J542" t="n">
        <v>0</v>
      </c>
      <c r="K542" t="n">
        <v>0</v>
      </c>
      <c r="L542" t="n">
        <v>0</v>
      </c>
      <c r="M542" t="n">
        <v>0</v>
      </c>
      <c r="N542" t="n">
        <v>0</v>
      </c>
      <c r="O542" t="n">
        <v>0</v>
      </c>
      <c r="P542" t="n">
        <v>0</v>
      </c>
      <c r="Q542" t="n">
        <v>0</v>
      </c>
      <c r="R542" s="2" t="inlineStr"/>
    </row>
    <row r="543" ht="15" customHeight="1">
      <c r="A543" t="inlineStr">
        <is>
          <t>A 68914-2021</t>
        </is>
      </c>
      <c r="B543" s="1" t="n">
        <v>44530</v>
      </c>
      <c r="C543" s="1" t="n">
        <v>45803</v>
      </c>
      <c r="D543" t="inlineStr">
        <is>
          <t>NORRBOTTENS LÄN</t>
        </is>
      </c>
      <c r="E543" t="inlineStr">
        <is>
          <t>BODEN</t>
        </is>
      </c>
      <c r="G543" t="n">
        <v>1.2</v>
      </c>
      <c r="H543" t="n">
        <v>0</v>
      </c>
      <c r="I543" t="n">
        <v>0</v>
      </c>
      <c r="J543" t="n">
        <v>0</v>
      </c>
      <c r="K543" t="n">
        <v>0</v>
      </c>
      <c r="L543" t="n">
        <v>0</v>
      </c>
      <c r="M543" t="n">
        <v>0</v>
      </c>
      <c r="N543" t="n">
        <v>0</v>
      </c>
      <c r="O543" t="n">
        <v>0</v>
      </c>
      <c r="P543" t="n">
        <v>0</v>
      </c>
      <c r="Q543" t="n">
        <v>0</v>
      </c>
      <c r="R543" s="2" t="inlineStr"/>
    </row>
    <row r="544" ht="15" customHeight="1">
      <c r="A544" t="inlineStr">
        <is>
          <t>A 69124-2021</t>
        </is>
      </c>
      <c r="B544" s="1" t="n">
        <v>44530</v>
      </c>
      <c r="C544" s="1" t="n">
        <v>45803</v>
      </c>
      <c r="D544" t="inlineStr">
        <is>
          <t>NORRBOTTENS LÄN</t>
        </is>
      </c>
      <c r="E544" t="inlineStr">
        <is>
          <t>BODEN</t>
        </is>
      </c>
      <c r="G544" t="n">
        <v>3.7</v>
      </c>
      <c r="H544" t="n">
        <v>0</v>
      </c>
      <c r="I544" t="n">
        <v>0</v>
      </c>
      <c r="J544" t="n">
        <v>0</v>
      </c>
      <c r="K544" t="n">
        <v>0</v>
      </c>
      <c r="L544" t="n">
        <v>0</v>
      </c>
      <c r="M544" t="n">
        <v>0</v>
      </c>
      <c r="N544" t="n">
        <v>0</v>
      </c>
      <c r="O544" t="n">
        <v>0</v>
      </c>
      <c r="P544" t="n">
        <v>0</v>
      </c>
      <c r="Q544" t="n">
        <v>0</v>
      </c>
      <c r="R544" s="2" t="inlineStr"/>
    </row>
    <row r="545" ht="15" customHeight="1">
      <c r="A545" t="inlineStr">
        <is>
          <t>A 69808-2021</t>
        </is>
      </c>
      <c r="B545" s="1" t="n">
        <v>44532</v>
      </c>
      <c r="C545" s="1" t="n">
        <v>45803</v>
      </c>
      <c r="D545" t="inlineStr">
        <is>
          <t>NORRBOTTENS LÄN</t>
        </is>
      </c>
      <c r="E545" t="inlineStr">
        <is>
          <t>BODEN</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70956-2021</t>
        </is>
      </c>
      <c r="B546" s="1" t="n">
        <v>44538</v>
      </c>
      <c r="C546" s="1" t="n">
        <v>45803</v>
      </c>
      <c r="D546" t="inlineStr">
        <is>
          <t>NORRBOTTENS LÄN</t>
        </is>
      </c>
      <c r="E546" t="inlineStr">
        <is>
          <t>BODEN</t>
        </is>
      </c>
      <c r="G546" t="n">
        <v>5.3</v>
      </c>
      <c r="H546" t="n">
        <v>0</v>
      </c>
      <c r="I546" t="n">
        <v>0</v>
      </c>
      <c r="J546" t="n">
        <v>0</v>
      </c>
      <c r="K546" t="n">
        <v>0</v>
      </c>
      <c r="L546" t="n">
        <v>0</v>
      </c>
      <c r="M546" t="n">
        <v>0</v>
      </c>
      <c r="N546" t="n">
        <v>0</v>
      </c>
      <c r="O546" t="n">
        <v>0</v>
      </c>
      <c r="P546" t="n">
        <v>0</v>
      </c>
      <c r="Q546" t="n">
        <v>0</v>
      </c>
      <c r="R546" s="2" t="inlineStr"/>
    </row>
    <row r="547" ht="15" customHeight="1">
      <c r="A547" t="inlineStr">
        <is>
          <t>A 71833-2021</t>
        </is>
      </c>
      <c r="B547" s="1" t="n">
        <v>44543</v>
      </c>
      <c r="C547" s="1" t="n">
        <v>45803</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73910-2021</t>
        </is>
      </c>
      <c r="B548" s="1" t="n">
        <v>44552</v>
      </c>
      <c r="C548" s="1" t="n">
        <v>45803</v>
      </c>
      <c r="D548" t="inlineStr">
        <is>
          <t>NORRBOTTENS LÄN</t>
        </is>
      </c>
      <c r="E548" t="inlineStr">
        <is>
          <t>BODEN</t>
        </is>
      </c>
      <c r="G548" t="n">
        <v>2.8</v>
      </c>
      <c r="H548" t="n">
        <v>0</v>
      </c>
      <c r="I548" t="n">
        <v>0</v>
      </c>
      <c r="J548" t="n">
        <v>0</v>
      </c>
      <c r="K548" t="n">
        <v>0</v>
      </c>
      <c r="L548" t="n">
        <v>0</v>
      </c>
      <c r="M548" t="n">
        <v>0</v>
      </c>
      <c r="N548" t="n">
        <v>0</v>
      </c>
      <c r="O548" t="n">
        <v>0</v>
      </c>
      <c r="P548" t="n">
        <v>0</v>
      </c>
      <c r="Q548" t="n">
        <v>0</v>
      </c>
      <c r="R548" s="2" t="inlineStr"/>
    </row>
    <row r="549" ht="15" customHeight="1">
      <c r="A549" t="inlineStr">
        <is>
          <t>A 74264-2021</t>
        </is>
      </c>
      <c r="B549" s="1" t="n">
        <v>44558</v>
      </c>
      <c r="C549" s="1" t="n">
        <v>45803</v>
      </c>
      <c r="D549" t="inlineStr">
        <is>
          <t>NORRBOTTENS LÄN</t>
        </is>
      </c>
      <c r="E549" t="inlineStr">
        <is>
          <t>BODEN</t>
        </is>
      </c>
      <c r="G549" t="n">
        <v>4.5</v>
      </c>
      <c r="H549" t="n">
        <v>0</v>
      </c>
      <c r="I549" t="n">
        <v>0</v>
      </c>
      <c r="J549" t="n">
        <v>0</v>
      </c>
      <c r="K549" t="n">
        <v>0</v>
      </c>
      <c r="L549" t="n">
        <v>0</v>
      </c>
      <c r="M549" t="n">
        <v>0</v>
      </c>
      <c r="N549" t="n">
        <v>0</v>
      </c>
      <c r="O549" t="n">
        <v>0</v>
      </c>
      <c r="P549" t="n">
        <v>0</v>
      </c>
      <c r="Q549" t="n">
        <v>0</v>
      </c>
      <c r="R549" s="2" t="inlineStr"/>
    </row>
    <row r="550" ht="15" customHeight="1">
      <c r="A550" t="inlineStr">
        <is>
          <t>A 452-2022</t>
        </is>
      </c>
      <c r="B550" s="1" t="n">
        <v>44565</v>
      </c>
      <c r="C550" s="1" t="n">
        <v>45803</v>
      </c>
      <c r="D550" t="inlineStr">
        <is>
          <t>NORRBOTTENS LÄN</t>
        </is>
      </c>
      <c r="E550" t="inlineStr">
        <is>
          <t>BODEN</t>
        </is>
      </c>
      <c r="G550" t="n">
        <v>3.7</v>
      </c>
      <c r="H550" t="n">
        <v>0</v>
      </c>
      <c r="I550" t="n">
        <v>0</v>
      </c>
      <c r="J550" t="n">
        <v>0</v>
      </c>
      <c r="K550" t="n">
        <v>0</v>
      </c>
      <c r="L550" t="n">
        <v>0</v>
      </c>
      <c r="M550" t="n">
        <v>0</v>
      </c>
      <c r="N550" t="n">
        <v>0</v>
      </c>
      <c r="O550" t="n">
        <v>0</v>
      </c>
      <c r="P550" t="n">
        <v>0</v>
      </c>
      <c r="Q550" t="n">
        <v>0</v>
      </c>
      <c r="R550" s="2" t="inlineStr"/>
    </row>
    <row r="551" ht="15" customHeight="1">
      <c r="A551" t="inlineStr">
        <is>
          <t>A 467-2022</t>
        </is>
      </c>
      <c r="B551" s="1" t="n">
        <v>44565</v>
      </c>
      <c r="C551" s="1" t="n">
        <v>45803</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446-2022</t>
        </is>
      </c>
      <c r="B552" s="1" t="n">
        <v>44565</v>
      </c>
      <c r="C552" s="1" t="n">
        <v>45803</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706-2022</t>
        </is>
      </c>
      <c r="B553" s="1" t="n">
        <v>44566</v>
      </c>
      <c r="C553" s="1" t="n">
        <v>45803</v>
      </c>
      <c r="D553" t="inlineStr">
        <is>
          <t>NORRBOTTENS LÄN</t>
        </is>
      </c>
      <c r="E553" t="inlineStr">
        <is>
          <t>BODEN</t>
        </is>
      </c>
      <c r="G553" t="n">
        <v>12.4</v>
      </c>
      <c r="H553" t="n">
        <v>0</v>
      </c>
      <c r="I553" t="n">
        <v>0</v>
      </c>
      <c r="J553" t="n">
        <v>0</v>
      </c>
      <c r="K553" t="n">
        <v>0</v>
      </c>
      <c r="L553" t="n">
        <v>0</v>
      </c>
      <c r="M553" t="n">
        <v>0</v>
      </c>
      <c r="N553" t="n">
        <v>0</v>
      </c>
      <c r="O553" t="n">
        <v>0</v>
      </c>
      <c r="P553" t="n">
        <v>0</v>
      </c>
      <c r="Q553" t="n">
        <v>0</v>
      </c>
      <c r="R553" s="2" t="inlineStr"/>
    </row>
    <row r="554" ht="15" customHeight="1">
      <c r="A554" t="inlineStr">
        <is>
          <t>A 710-2022</t>
        </is>
      </c>
      <c r="B554" s="1" t="n">
        <v>44566</v>
      </c>
      <c r="C554" s="1" t="n">
        <v>45803</v>
      </c>
      <c r="D554" t="inlineStr">
        <is>
          <t>NORRBOTTENS LÄN</t>
        </is>
      </c>
      <c r="E554" t="inlineStr">
        <is>
          <t>BODEN</t>
        </is>
      </c>
      <c r="G554" t="n">
        <v>4.6</v>
      </c>
      <c r="H554" t="n">
        <v>0</v>
      </c>
      <c r="I554" t="n">
        <v>0</v>
      </c>
      <c r="J554" t="n">
        <v>0</v>
      </c>
      <c r="K554" t="n">
        <v>0</v>
      </c>
      <c r="L554" t="n">
        <v>0</v>
      </c>
      <c r="M554" t="n">
        <v>0</v>
      </c>
      <c r="N554" t="n">
        <v>0</v>
      </c>
      <c r="O554" t="n">
        <v>0</v>
      </c>
      <c r="P554" t="n">
        <v>0</v>
      </c>
      <c r="Q554" t="n">
        <v>0</v>
      </c>
      <c r="R554" s="2" t="inlineStr"/>
    </row>
    <row r="555" ht="15" customHeight="1">
      <c r="A555" t="inlineStr">
        <is>
          <t>A 711-2022</t>
        </is>
      </c>
      <c r="B555" s="1" t="n">
        <v>44566</v>
      </c>
      <c r="C555" s="1" t="n">
        <v>45803</v>
      </c>
      <c r="D555" t="inlineStr">
        <is>
          <t>NORRBOTTENS LÄN</t>
        </is>
      </c>
      <c r="E555" t="inlineStr">
        <is>
          <t>BODEN</t>
        </is>
      </c>
      <c r="G555" t="n">
        <v>4</v>
      </c>
      <c r="H555" t="n">
        <v>0</v>
      </c>
      <c r="I555" t="n">
        <v>0</v>
      </c>
      <c r="J555" t="n">
        <v>0</v>
      </c>
      <c r="K555" t="n">
        <v>0</v>
      </c>
      <c r="L555" t="n">
        <v>0</v>
      </c>
      <c r="M555" t="n">
        <v>0</v>
      </c>
      <c r="N555" t="n">
        <v>0</v>
      </c>
      <c r="O555" t="n">
        <v>0</v>
      </c>
      <c r="P555" t="n">
        <v>0</v>
      </c>
      <c r="Q555" t="n">
        <v>0</v>
      </c>
      <c r="R555" s="2" t="inlineStr"/>
    </row>
    <row r="556" ht="15" customHeight="1">
      <c r="A556" t="inlineStr">
        <is>
          <t>A 714-2022</t>
        </is>
      </c>
      <c r="B556" s="1" t="n">
        <v>44566</v>
      </c>
      <c r="C556" s="1" t="n">
        <v>45803</v>
      </c>
      <c r="D556" t="inlineStr">
        <is>
          <t>NORRBOTTENS LÄN</t>
        </is>
      </c>
      <c r="E556" t="inlineStr">
        <is>
          <t>BODEN</t>
        </is>
      </c>
      <c r="G556" t="n">
        <v>5.6</v>
      </c>
      <c r="H556" t="n">
        <v>0</v>
      </c>
      <c r="I556" t="n">
        <v>0</v>
      </c>
      <c r="J556" t="n">
        <v>0</v>
      </c>
      <c r="K556" t="n">
        <v>0</v>
      </c>
      <c r="L556" t="n">
        <v>0</v>
      </c>
      <c r="M556" t="n">
        <v>0</v>
      </c>
      <c r="N556" t="n">
        <v>0</v>
      </c>
      <c r="O556" t="n">
        <v>0</v>
      </c>
      <c r="P556" t="n">
        <v>0</v>
      </c>
      <c r="Q556" t="n">
        <v>0</v>
      </c>
      <c r="R556" s="2" t="inlineStr"/>
    </row>
    <row r="557" ht="15" customHeight="1">
      <c r="A557" t="inlineStr">
        <is>
          <t>A 708-2022</t>
        </is>
      </c>
      <c r="B557" s="1" t="n">
        <v>44566</v>
      </c>
      <c r="C557" s="1" t="n">
        <v>45803</v>
      </c>
      <c r="D557" t="inlineStr">
        <is>
          <t>NORRBOTTENS LÄN</t>
        </is>
      </c>
      <c r="E557" t="inlineStr">
        <is>
          <t>BODEN</t>
        </is>
      </c>
      <c r="G557" t="n">
        <v>3</v>
      </c>
      <c r="H557" t="n">
        <v>0</v>
      </c>
      <c r="I557" t="n">
        <v>0</v>
      </c>
      <c r="J557" t="n">
        <v>0</v>
      </c>
      <c r="K557" t="n">
        <v>0</v>
      </c>
      <c r="L557" t="n">
        <v>0</v>
      </c>
      <c r="M557" t="n">
        <v>0</v>
      </c>
      <c r="N557" t="n">
        <v>0</v>
      </c>
      <c r="O557" t="n">
        <v>0</v>
      </c>
      <c r="P557" t="n">
        <v>0</v>
      </c>
      <c r="Q557" t="n">
        <v>0</v>
      </c>
      <c r="R557" s="2" t="inlineStr"/>
    </row>
    <row r="558" ht="15" customHeight="1">
      <c r="A558" t="inlineStr">
        <is>
          <t>A 718-2022</t>
        </is>
      </c>
      <c r="B558" s="1" t="n">
        <v>44568</v>
      </c>
      <c r="C558" s="1" t="n">
        <v>45803</v>
      </c>
      <c r="D558" t="inlineStr">
        <is>
          <t>NORRBOTTENS LÄN</t>
        </is>
      </c>
      <c r="E558" t="inlineStr">
        <is>
          <t>BODEN</t>
        </is>
      </c>
      <c r="G558" t="n">
        <v>5.5</v>
      </c>
      <c r="H558" t="n">
        <v>0</v>
      </c>
      <c r="I558" t="n">
        <v>0</v>
      </c>
      <c r="J558" t="n">
        <v>0</v>
      </c>
      <c r="K558" t="n">
        <v>0</v>
      </c>
      <c r="L558" t="n">
        <v>0</v>
      </c>
      <c r="M558" t="n">
        <v>0</v>
      </c>
      <c r="N558" t="n">
        <v>0</v>
      </c>
      <c r="O558" t="n">
        <v>0</v>
      </c>
      <c r="P558" t="n">
        <v>0</v>
      </c>
      <c r="Q558" t="n">
        <v>0</v>
      </c>
      <c r="R558" s="2" t="inlineStr"/>
    </row>
    <row r="559" ht="15" customHeight="1">
      <c r="A559" t="inlineStr">
        <is>
          <t>A 1454-2022</t>
        </is>
      </c>
      <c r="B559" s="1" t="n">
        <v>44573</v>
      </c>
      <c r="C559" s="1" t="n">
        <v>45803</v>
      </c>
      <c r="D559" t="inlineStr">
        <is>
          <t>NORRBOTTENS LÄN</t>
        </is>
      </c>
      <c r="E559" t="inlineStr">
        <is>
          <t>BODEN</t>
        </is>
      </c>
      <c r="F559" t="inlineStr">
        <is>
          <t>Sveaskog</t>
        </is>
      </c>
      <c r="G559" t="n">
        <v>4.6</v>
      </c>
      <c r="H559" t="n">
        <v>0</v>
      </c>
      <c r="I559" t="n">
        <v>0</v>
      </c>
      <c r="J559" t="n">
        <v>0</v>
      </c>
      <c r="K559" t="n">
        <v>0</v>
      </c>
      <c r="L559" t="n">
        <v>0</v>
      </c>
      <c r="M559" t="n">
        <v>0</v>
      </c>
      <c r="N559" t="n">
        <v>0</v>
      </c>
      <c r="O559" t="n">
        <v>0</v>
      </c>
      <c r="P559" t="n">
        <v>0</v>
      </c>
      <c r="Q559" t="n">
        <v>0</v>
      </c>
      <c r="R559" s="2" t="inlineStr"/>
    </row>
    <row r="560" ht="15" customHeight="1">
      <c r="A560" t="inlineStr">
        <is>
          <t>A 1497-2022</t>
        </is>
      </c>
      <c r="B560" s="1" t="n">
        <v>44573</v>
      </c>
      <c r="C560" s="1" t="n">
        <v>45803</v>
      </c>
      <c r="D560" t="inlineStr">
        <is>
          <t>NORRBOTTENS LÄN</t>
        </is>
      </c>
      <c r="E560" t="inlineStr">
        <is>
          <t>BODEN</t>
        </is>
      </c>
      <c r="F560" t="inlineStr">
        <is>
          <t>Övriga statliga verk och myndigheter</t>
        </is>
      </c>
      <c r="G560" t="n">
        <v>9.9</v>
      </c>
      <c r="H560" t="n">
        <v>0</v>
      </c>
      <c r="I560" t="n">
        <v>0</v>
      </c>
      <c r="J560" t="n">
        <v>0</v>
      </c>
      <c r="K560" t="n">
        <v>0</v>
      </c>
      <c r="L560" t="n">
        <v>0</v>
      </c>
      <c r="M560" t="n">
        <v>0</v>
      </c>
      <c r="N560" t="n">
        <v>0</v>
      </c>
      <c r="O560" t="n">
        <v>0</v>
      </c>
      <c r="P560" t="n">
        <v>0</v>
      </c>
      <c r="Q560" t="n">
        <v>0</v>
      </c>
      <c r="R560" s="2" t="inlineStr"/>
    </row>
    <row r="561" ht="15" customHeight="1">
      <c r="A561" t="inlineStr">
        <is>
          <t>A 1447-2022</t>
        </is>
      </c>
      <c r="B561" s="1" t="n">
        <v>44573</v>
      </c>
      <c r="C561" s="1" t="n">
        <v>45803</v>
      </c>
      <c r="D561" t="inlineStr">
        <is>
          <t>NORRBOTTENS LÄN</t>
        </is>
      </c>
      <c r="E561" t="inlineStr">
        <is>
          <t>BODEN</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1507-2022</t>
        </is>
      </c>
      <c r="B562" s="1" t="n">
        <v>44573</v>
      </c>
      <c r="C562" s="1" t="n">
        <v>45803</v>
      </c>
      <c r="D562" t="inlineStr">
        <is>
          <t>NORRBOTTENS LÄN</t>
        </is>
      </c>
      <c r="E562" t="inlineStr">
        <is>
          <t>BODEN</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2100-2022</t>
        </is>
      </c>
      <c r="B563" s="1" t="n">
        <v>44577</v>
      </c>
      <c r="C563" s="1" t="n">
        <v>45803</v>
      </c>
      <c r="D563" t="inlineStr">
        <is>
          <t>NORRBOTTENS LÄN</t>
        </is>
      </c>
      <c r="E563" t="inlineStr">
        <is>
          <t>BODEN</t>
        </is>
      </c>
      <c r="G563" t="n">
        <v>1.3</v>
      </c>
      <c r="H563" t="n">
        <v>0</v>
      </c>
      <c r="I563" t="n">
        <v>0</v>
      </c>
      <c r="J563" t="n">
        <v>0</v>
      </c>
      <c r="K563" t="n">
        <v>0</v>
      </c>
      <c r="L563" t="n">
        <v>0</v>
      </c>
      <c r="M563" t="n">
        <v>0</v>
      </c>
      <c r="N563" t="n">
        <v>0</v>
      </c>
      <c r="O563" t="n">
        <v>0</v>
      </c>
      <c r="P563" t="n">
        <v>0</v>
      </c>
      <c r="Q563" t="n">
        <v>0</v>
      </c>
      <c r="R563" s="2" t="inlineStr"/>
    </row>
    <row r="564" ht="15" customHeight="1">
      <c r="A564" t="inlineStr">
        <is>
          <t>A 3462-2022</t>
        </is>
      </c>
      <c r="B564" s="1" t="n">
        <v>44585</v>
      </c>
      <c r="C564" s="1" t="n">
        <v>45803</v>
      </c>
      <c r="D564" t="inlineStr">
        <is>
          <t>NORRBOTTENS LÄN</t>
        </is>
      </c>
      <c r="E564" t="inlineStr">
        <is>
          <t>BODEN</t>
        </is>
      </c>
      <c r="G564" t="n">
        <v>3.1</v>
      </c>
      <c r="H564" t="n">
        <v>0</v>
      </c>
      <c r="I564" t="n">
        <v>0</v>
      </c>
      <c r="J564" t="n">
        <v>0</v>
      </c>
      <c r="K564" t="n">
        <v>0</v>
      </c>
      <c r="L564" t="n">
        <v>0</v>
      </c>
      <c r="M564" t="n">
        <v>0</v>
      </c>
      <c r="N564" t="n">
        <v>0</v>
      </c>
      <c r="O564" t="n">
        <v>0</v>
      </c>
      <c r="P564" t="n">
        <v>0</v>
      </c>
      <c r="Q564" t="n">
        <v>0</v>
      </c>
      <c r="R564" s="2" t="inlineStr"/>
    </row>
    <row r="565" ht="15" customHeight="1">
      <c r="A565" t="inlineStr">
        <is>
          <t>A 4975-2022</t>
        </is>
      </c>
      <c r="B565" s="1" t="n">
        <v>44593</v>
      </c>
      <c r="C565" s="1" t="n">
        <v>45803</v>
      </c>
      <c r="D565" t="inlineStr">
        <is>
          <t>NORRBOTTENS LÄN</t>
        </is>
      </c>
      <c r="E565" t="inlineStr">
        <is>
          <t>BODEN</t>
        </is>
      </c>
      <c r="F565" t="inlineStr">
        <is>
          <t>Sveaskog</t>
        </is>
      </c>
      <c r="G565" t="n">
        <v>5.1</v>
      </c>
      <c r="H565" t="n">
        <v>0</v>
      </c>
      <c r="I565" t="n">
        <v>0</v>
      </c>
      <c r="J565" t="n">
        <v>0</v>
      </c>
      <c r="K565" t="n">
        <v>0</v>
      </c>
      <c r="L565" t="n">
        <v>0</v>
      </c>
      <c r="M565" t="n">
        <v>0</v>
      </c>
      <c r="N565" t="n">
        <v>0</v>
      </c>
      <c r="O565" t="n">
        <v>0</v>
      </c>
      <c r="P565" t="n">
        <v>0</v>
      </c>
      <c r="Q565" t="n">
        <v>0</v>
      </c>
      <c r="R565" s="2" t="inlineStr"/>
    </row>
    <row r="566" ht="15" customHeight="1">
      <c r="A566" t="inlineStr">
        <is>
          <t>A 5733-2022</t>
        </is>
      </c>
      <c r="B566" s="1" t="n">
        <v>44596</v>
      </c>
      <c r="C566" s="1" t="n">
        <v>45803</v>
      </c>
      <c r="D566" t="inlineStr">
        <is>
          <t>NORRBOTTENS LÄN</t>
        </is>
      </c>
      <c r="E566" t="inlineStr">
        <is>
          <t>BODEN</t>
        </is>
      </c>
      <c r="F566" t="inlineStr">
        <is>
          <t>Övriga statliga verk och myndigheter</t>
        </is>
      </c>
      <c r="G566" t="n">
        <v>7.3</v>
      </c>
      <c r="H566" t="n">
        <v>0</v>
      </c>
      <c r="I566" t="n">
        <v>0</v>
      </c>
      <c r="J566" t="n">
        <v>0</v>
      </c>
      <c r="K566" t="n">
        <v>0</v>
      </c>
      <c r="L566" t="n">
        <v>0</v>
      </c>
      <c r="M566" t="n">
        <v>0</v>
      </c>
      <c r="N566" t="n">
        <v>0</v>
      </c>
      <c r="O566" t="n">
        <v>0</v>
      </c>
      <c r="P566" t="n">
        <v>0</v>
      </c>
      <c r="Q566" t="n">
        <v>0</v>
      </c>
      <c r="R566" s="2" t="inlineStr"/>
    </row>
    <row r="567" ht="15" customHeight="1">
      <c r="A567" t="inlineStr">
        <is>
          <t>A 6181-2022</t>
        </is>
      </c>
      <c r="B567" s="1" t="n">
        <v>44600</v>
      </c>
      <c r="C567" s="1" t="n">
        <v>45803</v>
      </c>
      <c r="D567" t="inlineStr">
        <is>
          <t>NORRBOTTENS LÄN</t>
        </is>
      </c>
      <c r="E567" t="inlineStr">
        <is>
          <t>BODEN</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6738-2022</t>
        </is>
      </c>
      <c r="B568" s="1" t="n">
        <v>44602</v>
      </c>
      <c r="C568" s="1" t="n">
        <v>45803</v>
      </c>
      <c r="D568" t="inlineStr">
        <is>
          <t>NORRBOTTENS LÄN</t>
        </is>
      </c>
      <c r="E568" t="inlineStr">
        <is>
          <t>BODEN</t>
        </is>
      </c>
      <c r="G568" t="n">
        <v>6.5</v>
      </c>
      <c r="H568" t="n">
        <v>0</v>
      </c>
      <c r="I568" t="n">
        <v>0</v>
      </c>
      <c r="J568" t="n">
        <v>0</v>
      </c>
      <c r="K568" t="n">
        <v>0</v>
      </c>
      <c r="L568" t="n">
        <v>0</v>
      </c>
      <c r="M568" t="n">
        <v>0</v>
      </c>
      <c r="N568" t="n">
        <v>0</v>
      </c>
      <c r="O568" t="n">
        <v>0</v>
      </c>
      <c r="P568" t="n">
        <v>0</v>
      </c>
      <c r="Q568" t="n">
        <v>0</v>
      </c>
      <c r="R568" s="2" t="inlineStr"/>
    </row>
    <row r="569" ht="15" customHeight="1">
      <c r="A569" t="inlineStr">
        <is>
          <t>A 8112-2022</t>
        </is>
      </c>
      <c r="B569" s="1" t="n">
        <v>44609</v>
      </c>
      <c r="C569" s="1" t="n">
        <v>45803</v>
      </c>
      <c r="D569" t="inlineStr">
        <is>
          <t>NORRBOTTENS LÄN</t>
        </is>
      </c>
      <c r="E569" t="inlineStr">
        <is>
          <t>BODEN</t>
        </is>
      </c>
      <c r="G569" t="n">
        <v>0.5</v>
      </c>
      <c r="H569" t="n">
        <v>0</v>
      </c>
      <c r="I569" t="n">
        <v>0</v>
      </c>
      <c r="J569" t="n">
        <v>0</v>
      </c>
      <c r="K569" t="n">
        <v>0</v>
      </c>
      <c r="L569" t="n">
        <v>0</v>
      </c>
      <c r="M569" t="n">
        <v>0</v>
      </c>
      <c r="N569" t="n">
        <v>0</v>
      </c>
      <c r="O569" t="n">
        <v>0</v>
      </c>
      <c r="P569" t="n">
        <v>0</v>
      </c>
      <c r="Q569" t="n">
        <v>0</v>
      </c>
      <c r="R569" s="2" t="inlineStr"/>
    </row>
    <row r="570" ht="15" customHeight="1">
      <c r="A570" t="inlineStr">
        <is>
          <t>A 8120-2022</t>
        </is>
      </c>
      <c r="B570" s="1" t="n">
        <v>44609</v>
      </c>
      <c r="C570" s="1" t="n">
        <v>45803</v>
      </c>
      <c r="D570" t="inlineStr">
        <is>
          <t>NORRBOTTENS LÄN</t>
        </is>
      </c>
      <c r="E570" t="inlineStr">
        <is>
          <t>BODEN</t>
        </is>
      </c>
      <c r="G570" t="n">
        <v>1.7</v>
      </c>
      <c r="H570" t="n">
        <v>0</v>
      </c>
      <c r="I570" t="n">
        <v>0</v>
      </c>
      <c r="J570" t="n">
        <v>0</v>
      </c>
      <c r="K570" t="n">
        <v>0</v>
      </c>
      <c r="L570" t="n">
        <v>0</v>
      </c>
      <c r="M570" t="n">
        <v>0</v>
      </c>
      <c r="N570" t="n">
        <v>0</v>
      </c>
      <c r="O570" t="n">
        <v>0</v>
      </c>
      <c r="P570" t="n">
        <v>0</v>
      </c>
      <c r="Q570" t="n">
        <v>0</v>
      </c>
      <c r="R570" s="2" t="inlineStr"/>
    </row>
    <row r="571" ht="15" customHeight="1">
      <c r="A571" t="inlineStr">
        <is>
          <t>A 8078-2022</t>
        </is>
      </c>
      <c r="B571" s="1" t="n">
        <v>44609</v>
      </c>
      <c r="C571" s="1" t="n">
        <v>45803</v>
      </c>
      <c r="D571" t="inlineStr">
        <is>
          <t>NORRBOTTENS LÄN</t>
        </is>
      </c>
      <c r="E571" t="inlineStr">
        <is>
          <t>BODEN</t>
        </is>
      </c>
      <c r="G571" t="n">
        <v>2.3</v>
      </c>
      <c r="H571" t="n">
        <v>0</v>
      </c>
      <c r="I571" t="n">
        <v>0</v>
      </c>
      <c r="J571" t="n">
        <v>0</v>
      </c>
      <c r="K571" t="n">
        <v>0</v>
      </c>
      <c r="L571" t="n">
        <v>0</v>
      </c>
      <c r="M571" t="n">
        <v>0</v>
      </c>
      <c r="N571" t="n">
        <v>0</v>
      </c>
      <c r="O571" t="n">
        <v>0</v>
      </c>
      <c r="P571" t="n">
        <v>0</v>
      </c>
      <c r="Q571" t="n">
        <v>0</v>
      </c>
      <c r="R571" s="2" t="inlineStr"/>
    </row>
    <row r="572" ht="15" customHeight="1">
      <c r="A572" t="inlineStr">
        <is>
          <t>A 8125-2022</t>
        </is>
      </c>
      <c r="B572" s="1" t="n">
        <v>44609</v>
      </c>
      <c r="C572" s="1" t="n">
        <v>45803</v>
      </c>
      <c r="D572" t="inlineStr">
        <is>
          <t>NORRBOTTENS LÄN</t>
        </is>
      </c>
      <c r="E572" t="inlineStr">
        <is>
          <t>BODEN</t>
        </is>
      </c>
      <c r="G572" t="n">
        <v>2.9</v>
      </c>
      <c r="H572" t="n">
        <v>0</v>
      </c>
      <c r="I572" t="n">
        <v>0</v>
      </c>
      <c r="J572" t="n">
        <v>0</v>
      </c>
      <c r="K572" t="n">
        <v>0</v>
      </c>
      <c r="L572" t="n">
        <v>0</v>
      </c>
      <c r="M572" t="n">
        <v>0</v>
      </c>
      <c r="N572" t="n">
        <v>0</v>
      </c>
      <c r="O572" t="n">
        <v>0</v>
      </c>
      <c r="P572" t="n">
        <v>0</v>
      </c>
      <c r="Q572" t="n">
        <v>0</v>
      </c>
      <c r="R572" s="2" t="inlineStr"/>
    </row>
    <row r="573" ht="15" customHeight="1">
      <c r="A573" t="inlineStr">
        <is>
          <t>A 8118-2022</t>
        </is>
      </c>
      <c r="B573" s="1" t="n">
        <v>44609</v>
      </c>
      <c r="C573" s="1" t="n">
        <v>45803</v>
      </c>
      <c r="D573" t="inlineStr">
        <is>
          <t>NORRBOTTENS LÄN</t>
        </is>
      </c>
      <c r="E573" t="inlineStr">
        <is>
          <t>BODEN</t>
        </is>
      </c>
      <c r="G573" t="n">
        <v>1.1</v>
      </c>
      <c r="H573" t="n">
        <v>0</v>
      </c>
      <c r="I573" t="n">
        <v>0</v>
      </c>
      <c r="J573" t="n">
        <v>0</v>
      </c>
      <c r="K573" t="n">
        <v>0</v>
      </c>
      <c r="L573" t="n">
        <v>0</v>
      </c>
      <c r="M573" t="n">
        <v>0</v>
      </c>
      <c r="N573" t="n">
        <v>0</v>
      </c>
      <c r="O573" t="n">
        <v>0</v>
      </c>
      <c r="P573" t="n">
        <v>0</v>
      </c>
      <c r="Q573" t="n">
        <v>0</v>
      </c>
      <c r="R573" s="2" t="inlineStr"/>
    </row>
    <row r="574" ht="15" customHeight="1">
      <c r="A574" t="inlineStr">
        <is>
          <t>A 8123-2022</t>
        </is>
      </c>
      <c r="B574" s="1" t="n">
        <v>44609</v>
      </c>
      <c r="C574" s="1" t="n">
        <v>45803</v>
      </c>
      <c r="D574" t="inlineStr">
        <is>
          <t>NORRBOTTENS LÄN</t>
        </is>
      </c>
      <c r="E574" t="inlineStr">
        <is>
          <t>BODEN</t>
        </is>
      </c>
      <c r="G574" t="n">
        <v>1.8</v>
      </c>
      <c r="H574" t="n">
        <v>0</v>
      </c>
      <c r="I574" t="n">
        <v>0</v>
      </c>
      <c r="J574" t="n">
        <v>0</v>
      </c>
      <c r="K574" t="n">
        <v>0</v>
      </c>
      <c r="L574" t="n">
        <v>0</v>
      </c>
      <c r="M574" t="n">
        <v>0</v>
      </c>
      <c r="N574" t="n">
        <v>0</v>
      </c>
      <c r="O574" t="n">
        <v>0</v>
      </c>
      <c r="P574" t="n">
        <v>0</v>
      </c>
      <c r="Q574" t="n">
        <v>0</v>
      </c>
      <c r="R574" s="2" t="inlineStr"/>
    </row>
    <row r="575" ht="15" customHeight="1">
      <c r="A575" t="inlineStr">
        <is>
          <t>A 8121-2022</t>
        </is>
      </c>
      <c r="B575" s="1" t="n">
        <v>44609</v>
      </c>
      <c r="C575" s="1" t="n">
        <v>45803</v>
      </c>
      <c r="D575" t="inlineStr">
        <is>
          <t>NORRBOTTENS LÄN</t>
        </is>
      </c>
      <c r="E575" t="inlineStr">
        <is>
          <t>BODEN</t>
        </is>
      </c>
      <c r="G575" t="n">
        <v>1.5</v>
      </c>
      <c r="H575" t="n">
        <v>0</v>
      </c>
      <c r="I575" t="n">
        <v>0</v>
      </c>
      <c r="J575" t="n">
        <v>0</v>
      </c>
      <c r="K575" t="n">
        <v>0</v>
      </c>
      <c r="L575" t="n">
        <v>0</v>
      </c>
      <c r="M575" t="n">
        <v>0</v>
      </c>
      <c r="N575" t="n">
        <v>0</v>
      </c>
      <c r="O575" t="n">
        <v>0</v>
      </c>
      <c r="P575" t="n">
        <v>0</v>
      </c>
      <c r="Q575" t="n">
        <v>0</v>
      </c>
      <c r="R575" s="2" t="inlineStr"/>
    </row>
    <row r="576" ht="15" customHeight="1">
      <c r="A576" t="inlineStr">
        <is>
          <t>A 8776-2022</t>
        </is>
      </c>
      <c r="B576" s="1" t="n">
        <v>44614</v>
      </c>
      <c r="C576" s="1" t="n">
        <v>45803</v>
      </c>
      <c r="D576" t="inlineStr">
        <is>
          <t>NORRBOTTENS LÄN</t>
        </is>
      </c>
      <c r="E576" t="inlineStr">
        <is>
          <t>BODEN</t>
        </is>
      </c>
      <c r="G576" t="n">
        <v>4</v>
      </c>
      <c r="H576" t="n">
        <v>0</v>
      </c>
      <c r="I576" t="n">
        <v>0</v>
      </c>
      <c r="J576" t="n">
        <v>0</v>
      </c>
      <c r="K576" t="n">
        <v>0</v>
      </c>
      <c r="L576" t="n">
        <v>0</v>
      </c>
      <c r="M576" t="n">
        <v>0</v>
      </c>
      <c r="N576" t="n">
        <v>0</v>
      </c>
      <c r="O576" t="n">
        <v>0</v>
      </c>
      <c r="P576" t="n">
        <v>0</v>
      </c>
      <c r="Q576" t="n">
        <v>0</v>
      </c>
      <c r="R576" s="2" t="inlineStr"/>
    </row>
    <row r="577" ht="15" customHeight="1">
      <c r="A577" t="inlineStr">
        <is>
          <t>A 9494-2022</t>
        </is>
      </c>
      <c r="B577" s="1" t="n">
        <v>44616</v>
      </c>
      <c r="C577" s="1" t="n">
        <v>45803</v>
      </c>
      <c r="D577" t="inlineStr">
        <is>
          <t>NORRBOTTENS LÄN</t>
        </is>
      </c>
      <c r="E577" t="inlineStr">
        <is>
          <t>BODEN</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9495-2022</t>
        </is>
      </c>
      <c r="B578" s="1" t="n">
        <v>44616</v>
      </c>
      <c r="C578" s="1" t="n">
        <v>45803</v>
      </c>
      <c r="D578" t="inlineStr">
        <is>
          <t>NORRBOTTENS LÄN</t>
        </is>
      </c>
      <c r="E578" t="inlineStr">
        <is>
          <t>BODEN</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9530-2022</t>
        </is>
      </c>
      <c r="B579" s="1" t="n">
        <v>44617</v>
      </c>
      <c r="C579" s="1" t="n">
        <v>45803</v>
      </c>
      <c r="D579" t="inlineStr">
        <is>
          <t>NORRBOTTENS LÄN</t>
        </is>
      </c>
      <c r="E579" t="inlineStr">
        <is>
          <t>BODEN</t>
        </is>
      </c>
      <c r="G579" t="n">
        <v>1</v>
      </c>
      <c r="H579" t="n">
        <v>0</v>
      </c>
      <c r="I579" t="n">
        <v>0</v>
      </c>
      <c r="J579" t="n">
        <v>0</v>
      </c>
      <c r="K579" t="n">
        <v>0</v>
      </c>
      <c r="L579" t="n">
        <v>0</v>
      </c>
      <c r="M579" t="n">
        <v>0</v>
      </c>
      <c r="N579" t="n">
        <v>0</v>
      </c>
      <c r="O579" t="n">
        <v>0</v>
      </c>
      <c r="P579" t="n">
        <v>0</v>
      </c>
      <c r="Q579" t="n">
        <v>0</v>
      </c>
      <c r="R579" s="2" t="inlineStr"/>
    </row>
    <row r="580" ht="15" customHeight="1">
      <c r="A580" t="inlineStr">
        <is>
          <t>A 9527-2022</t>
        </is>
      </c>
      <c r="B580" s="1" t="n">
        <v>44617</v>
      </c>
      <c r="C580" s="1" t="n">
        <v>45803</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10216-2022</t>
        </is>
      </c>
      <c r="B581" s="1" t="n">
        <v>44622</v>
      </c>
      <c r="C581" s="1" t="n">
        <v>45803</v>
      </c>
      <c r="D581" t="inlineStr">
        <is>
          <t>NORRBOTTENS LÄN</t>
        </is>
      </c>
      <c r="E581" t="inlineStr">
        <is>
          <t>BODEN</t>
        </is>
      </c>
      <c r="G581" t="n">
        <v>6.4</v>
      </c>
      <c r="H581" t="n">
        <v>0</v>
      </c>
      <c r="I581" t="n">
        <v>0</v>
      </c>
      <c r="J581" t="n">
        <v>0</v>
      </c>
      <c r="K581" t="n">
        <v>0</v>
      </c>
      <c r="L581" t="n">
        <v>0</v>
      </c>
      <c r="M581" t="n">
        <v>0</v>
      </c>
      <c r="N581" t="n">
        <v>0</v>
      </c>
      <c r="O581" t="n">
        <v>0</v>
      </c>
      <c r="P581" t="n">
        <v>0</v>
      </c>
      <c r="Q581" t="n">
        <v>0</v>
      </c>
      <c r="R581" s="2" t="inlineStr"/>
    </row>
    <row r="582" ht="15" customHeight="1">
      <c r="A582" t="inlineStr">
        <is>
          <t>A 10709-2022</t>
        </is>
      </c>
      <c r="B582" s="1" t="n">
        <v>44625</v>
      </c>
      <c r="C582" s="1" t="n">
        <v>45803</v>
      </c>
      <c r="D582" t="inlineStr">
        <is>
          <t>NORRBOTTENS LÄN</t>
        </is>
      </c>
      <c r="E582" t="inlineStr">
        <is>
          <t>BODEN</t>
        </is>
      </c>
      <c r="G582" t="n">
        <v>0.4</v>
      </c>
      <c r="H582" t="n">
        <v>0</v>
      </c>
      <c r="I582" t="n">
        <v>0</v>
      </c>
      <c r="J582" t="n">
        <v>0</v>
      </c>
      <c r="K582" t="n">
        <v>0</v>
      </c>
      <c r="L582" t="n">
        <v>0</v>
      </c>
      <c r="M582" t="n">
        <v>0</v>
      </c>
      <c r="N582" t="n">
        <v>0</v>
      </c>
      <c r="O582" t="n">
        <v>0</v>
      </c>
      <c r="P582" t="n">
        <v>0</v>
      </c>
      <c r="Q582" t="n">
        <v>0</v>
      </c>
      <c r="R582" s="2" t="inlineStr"/>
    </row>
    <row r="583" ht="15" customHeight="1">
      <c r="A583" t="inlineStr">
        <is>
          <t>A 11092-2022</t>
        </is>
      </c>
      <c r="B583" s="1" t="n">
        <v>44628</v>
      </c>
      <c r="C583" s="1" t="n">
        <v>45803</v>
      </c>
      <c r="D583" t="inlineStr">
        <is>
          <t>NORRBOTTENS LÄN</t>
        </is>
      </c>
      <c r="E583" t="inlineStr">
        <is>
          <t>BODEN</t>
        </is>
      </c>
      <c r="G583" t="n">
        <v>4.8</v>
      </c>
      <c r="H583" t="n">
        <v>0</v>
      </c>
      <c r="I583" t="n">
        <v>0</v>
      </c>
      <c r="J583" t="n">
        <v>0</v>
      </c>
      <c r="K583" t="n">
        <v>0</v>
      </c>
      <c r="L583" t="n">
        <v>0</v>
      </c>
      <c r="M583" t="n">
        <v>0</v>
      </c>
      <c r="N583" t="n">
        <v>0</v>
      </c>
      <c r="O583" t="n">
        <v>0</v>
      </c>
      <c r="P583" t="n">
        <v>0</v>
      </c>
      <c r="Q583" t="n">
        <v>0</v>
      </c>
      <c r="R583" s="2" t="inlineStr"/>
    </row>
    <row r="584" ht="15" customHeight="1">
      <c r="A584" t="inlineStr">
        <is>
          <t>A 11935-2022</t>
        </is>
      </c>
      <c r="B584" s="1" t="n">
        <v>44635</v>
      </c>
      <c r="C584" s="1" t="n">
        <v>45803</v>
      </c>
      <c r="D584" t="inlineStr">
        <is>
          <t>NORRBOTTENS LÄN</t>
        </is>
      </c>
      <c r="E584" t="inlineStr">
        <is>
          <t>BODEN</t>
        </is>
      </c>
      <c r="F584" t="inlineStr">
        <is>
          <t>Kyrkan</t>
        </is>
      </c>
      <c r="G584" t="n">
        <v>16.5</v>
      </c>
      <c r="H584" t="n">
        <v>0</v>
      </c>
      <c r="I584" t="n">
        <v>0</v>
      </c>
      <c r="J584" t="n">
        <v>0</v>
      </c>
      <c r="K584" t="n">
        <v>0</v>
      </c>
      <c r="L584" t="n">
        <v>0</v>
      </c>
      <c r="M584" t="n">
        <v>0</v>
      </c>
      <c r="N584" t="n">
        <v>0</v>
      </c>
      <c r="O584" t="n">
        <v>0</v>
      </c>
      <c r="P584" t="n">
        <v>0</v>
      </c>
      <c r="Q584" t="n">
        <v>0</v>
      </c>
      <c r="R584" s="2" t="inlineStr"/>
    </row>
    <row r="585" ht="15" customHeight="1">
      <c r="A585" t="inlineStr">
        <is>
          <t>A 12832-2022</t>
        </is>
      </c>
      <c r="B585" s="1" t="n">
        <v>44642</v>
      </c>
      <c r="C585" s="1" t="n">
        <v>45803</v>
      </c>
      <c r="D585" t="inlineStr">
        <is>
          <t>NORRBOTTENS LÄN</t>
        </is>
      </c>
      <c r="E585" t="inlineStr">
        <is>
          <t>BODEN</t>
        </is>
      </c>
      <c r="G585" t="n">
        <v>6.6</v>
      </c>
      <c r="H585" t="n">
        <v>0</v>
      </c>
      <c r="I585" t="n">
        <v>0</v>
      </c>
      <c r="J585" t="n">
        <v>0</v>
      </c>
      <c r="K585" t="n">
        <v>0</v>
      </c>
      <c r="L585" t="n">
        <v>0</v>
      </c>
      <c r="M585" t="n">
        <v>0</v>
      </c>
      <c r="N585" t="n">
        <v>0</v>
      </c>
      <c r="O585" t="n">
        <v>0</v>
      </c>
      <c r="P585" t="n">
        <v>0</v>
      </c>
      <c r="Q585" t="n">
        <v>0</v>
      </c>
      <c r="R585" s="2" t="inlineStr"/>
    </row>
    <row r="586" ht="15" customHeight="1">
      <c r="A586" t="inlineStr">
        <is>
          <t>A 12902-2022</t>
        </is>
      </c>
      <c r="B586" s="1" t="n">
        <v>44642</v>
      </c>
      <c r="C586" s="1" t="n">
        <v>45803</v>
      </c>
      <c r="D586" t="inlineStr">
        <is>
          <t>NORRBOTTENS LÄN</t>
        </is>
      </c>
      <c r="E586" t="inlineStr">
        <is>
          <t>BODEN</t>
        </is>
      </c>
      <c r="F586" t="inlineStr">
        <is>
          <t>Övriga statliga verk och myndigheter</t>
        </is>
      </c>
      <c r="G586" t="n">
        <v>5.4</v>
      </c>
      <c r="H586" t="n">
        <v>0</v>
      </c>
      <c r="I586" t="n">
        <v>0</v>
      </c>
      <c r="J586" t="n">
        <v>0</v>
      </c>
      <c r="K586" t="n">
        <v>0</v>
      </c>
      <c r="L586" t="n">
        <v>0</v>
      </c>
      <c r="M586" t="n">
        <v>0</v>
      </c>
      <c r="N586" t="n">
        <v>0</v>
      </c>
      <c r="O586" t="n">
        <v>0</v>
      </c>
      <c r="P586" t="n">
        <v>0</v>
      </c>
      <c r="Q586" t="n">
        <v>0</v>
      </c>
      <c r="R586" s="2" t="inlineStr"/>
    </row>
    <row r="587" ht="15" customHeight="1">
      <c r="A587" t="inlineStr">
        <is>
          <t>A 12893-2022</t>
        </is>
      </c>
      <c r="B587" s="1" t="n">
        <v>44642</v>
      </c>
      <c r="C587" s="1" t="n">
        <v>45803</v>
      </c>
      <c r="D587" t="inlineStr">
        <is>
          <t>NORRBOTTENS LÄN</t>
        </is>
      </c>
      <c r="E587" t="inlineStr">
        <is>
          <t>BODEN</t>
        </is>
      </c>
      <c r="F587" t="inlineStr">
        <is>
          <t>Övriga statliga verk och myndigheter</t>
        </is>
      </c>
      <c r="G587" t="n">
        <v>15.8</v>
      </c>
      <c r="H587" t="n">
        <v>0</v>
      </c>
      <c r="I587" t="n">
        <v>0</v>
      </c>
      <c r="J587" t="n">
        <v>0</v>
      </c>
      <c r="K587" t="n">
        <v>0</v>
      </c>
      <c r="L587" t="n">
        <v>0</v>
      </c>
      <c r="M587" t="n">
        <v>0</v>
      </c>
      <c r="N587" t="n">
        <v>0</v>
      </c>
      <c r="O587" t="n">
        <v>0</v>
      </c>
      <c r="P587" t="n">
        <v>0</v>
      </c>
      <c r="Q587" t="n">
        <v>0</v>
      </c>
      <c r="R587" s="2" t="inlineStr"/>
    </row>
    <row r="588" ht="15" customHeight="1">
      <c r="A588" t="inlineStr">
        <is>
          <t>A 13556-2022</t>
        </is>
      </c>
      <c r="B588" s="1" t="n">
        <v>44648</v>
      </c>
      <c r="C588" s="1" t="n">
        <v>45803</v>
      </c>
      <c r="D588" t="inlineStr">
        <is>
          <t>NORRBOTTENS LÄN</t>
        </is>
      </c>
      <c r="E588" t="inlineStr">
        <is>
          <t>BODEN</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13573-2022</t>
        </is>
      </c>
      <c r="B589" s="1" t="n">
        <v>44648</v>
      </c>
      <c r="C589" s="1" t="n">
        <v>45803</v>
      </c>
      <c r="D589" t="inlineStr">
        <is>
          <t>NORRBOTTENS LÄN</t>
        </is>
      </c>
      <c r="E589" t="inlineStr">
        <is>
          <t>BODEN</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13592-2022</t>
        </is>
      </c>
      <c r="B590" s="1" t="n">
        <v>44648</v>
      </c>
      <c r="C590" s="1" t="n">
        <v>45803</v>
      </c>
      <c r="D590" t="inlineStr">
        <is>
          <t>NORRBOTTENS LÄN</t>
        </is>
      </c>
      <c r="E590" t="inlineStr">
        <is>
          <t>BODEN</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13552-2022</t>
        </is>
      </c>
      <c r="B591" s="1" t="n">
        <v>44648</v>
      </c>
      <c r="C591" s="1" t="n">
        <v>45803</v>
      </c>
      <c r="D591" t="inlineStr">
        <is>
          <t>NORRBOTTENS LÄN</t>
        </is>
      </c>
      <c r="E591" t="inlineStr">
        <is>
          <t>BODEN</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13577-2022</t>
        </is>
      </c>
      <c r="B592" s="1" t="n">
        <v>44648</v>
      </c>
      <c r="C592" s="1" t="n">
        <v>45803</v>
      </c>
      <c r="D592" t="inlineStr">
        <is>
          <t>NORRBOTTENS LÄN</t>
        </is>
      </c>
      <c r="E592" t="inlineStr">
        <is>
          <t>BODEN</t>
        </is>
      </c>
      <c r="F592" t="inlineStr">
        <is>
          <t>Sveaskog</t>
        </is>
      </c>
      <c r="G592" t="n">
        <v>6</v>
      </c>
      <c r="H592" t="n">
        <v>0</v>
      </c>
      <c r="I592" t="n">
        <v>0</v>
      </c>
      <c r="J592" t="n">
        <v>0</v>
      </c>
      <c r="K592" t="n">
        <v>0</v>
      </c>
      <c r="L592" t="n">
        <v>0</v>
      </c>
      <c r="M592" t="n">
        <v>0</v>
      </c>
      <c r="N592" t="n">
        <v>0</v>
      </c>
      <c r="O592" t="n">
        <v>0</v>
      </c>
      <c r="P592" t="n">
        <v>0</v>
      </c>
      <c r="Q592" t="n">
        <v>0</v>
      </c>
      <c r="R592" s="2" t="inlineStr"/>
    </row>
    <row r="593" ht="15" customHeight="1">
      <c r="A593" t="inlineStr">
        <is>
          <t>A 13535-2022</t>
        </is>
      </c>
      <c r="B593" s="1" t="n">
        <v>44648</v>
      </c>
      <c r="C593" s="1" t="n">
        <v>45803</v>
      </c>
      <c r="D593" t="inlineStr">
        <is>
          <t>NORRBOTTENS LÄN</t>
        </is>
      </c>
      <c r="E593" t="inlineStr">
        <is>
          <t>BODEN</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13568-2022</t>
        </is>
      </c>
      <c r="B594" s="1" t="n">
        <v>44648</v>
      </c>
      <c r="C594" s="1" t="n">
        <v>45803</v>
      </c>
      <c r="D594" t="inlineStr">
        <is>
          <t>NORRBOTTENS LÄN</t>
        </is>
      </c>
      <c r="E594" t="inlineStr">
        <is>
          <t>BODEN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13663-2022</t>
        </is>
      </c>
      <c r="B595" s="1" t="n">
        <v>44648</v>
      </c>
      <c r="C595" s="1" t="n">
        <v>45803</v>
      </c>
      <c r="D595" t="inlineStr">
        <is>
          <t>NORRBOTTENS LÄN</t>
        </is>
      </c>
      <c r="E595" t="inlineStr">
        <is>
          <t>BODEN</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13715-2022</t>
        </is>
      </c>
      <c r="B596" s="1" t="n">
        <v>44648</v>
      </c>
      <c r="C596" s="1" t="n">
        <v>45803</v>
      </c>
      <c r="D596" t="inlineStr">
        <is>
          <t>NORRBOTTENS LÄN</t>
        </is>
      </c>
      <c r="E596" t="inlineStr">
        <is>
          <t>BODEN</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13659-2022</t>
        </is>
      </c>
      <c r="B597" s="1" t="n">
        <v>44648</v>
      </c>
      <c r="C597" s="1" t="n">
        <v>45803</v>
      </c>
      <c r="D597" t="inlineStr">
        <is>
          <t>NORRBOTTENS LÄN</t>
        </is>
      </c>
      <c r="E597" t="inlineStr">
        <is>
          <t>BODEN</t>
        </is>
      </c>
      <c r="F597" t="inlineStr">
        <is>
          <t>Sveaskog</t>
        </is>
      </c>
      <c r="G597" t="n">
        <v>7.3</v>
      </c>
      <c r="H597" t="n">
        <v>0</v>
      </c>
      <c r="I597" t="n">
        <v>0</v>
      </c>
      <c r="J597" t="n">
        <v>0</v>
      </c>
      <c r="K597" t="n">
        <v>0</v>
      </c>
      <c r="L597" t="n">
        <v>0</v>
      </c>
      <c r="M597" t="n">
        <v>0</v>
      </c>
      <c r="N597" t="n">
        <v>0</v>
      </c>
      <c r="O597" t="n">
        <v>0</v>
      </c>
      <c r="P597" t="n">
        <v>0</v>
      </c>
      <c r="Q597" t="n">
        <v>0</v>
      </c>
      <c r="R597" s="2" t="inlineStr"/>
    </row>
    <row r="598" ht="15" customHeight="1">
      <c r="A598" t="inlineStr">
        <is>
          <t>A 13714-2022</t>
        </is>
      </c>
      <c r="B598" s="1" t="n">
        <v>44648</v>
      </c>
      <c r="C598" s="1" t="n">
        <v>45803</v>
      </c>
      <c r="D598" t="inlineStr">
        <is>
          <t>NORRBOTTENS LÄN</t>
        </is>
      </c>
      <c r="E598" t="inlineStr">
        <is>
          <t>BODEN</t>
        </is>
      </c>
      <c r="F598" t="inlineStr">
        <is>
          <t>Sveaskog</t>
        </is>
      </c>
      <c r="G598" t="n">
        <v>4.5</v>
      </c>
      <c r="H598" t="n">
        <v>0</v>
      </c>
      <c r="I598" t="n">
        <v>0</v>
      </c>
      <c r="J598" t="n">
        <v>0</v>
      </c>
      <c r="K598" t="n">
        <v>0</v>
      </c>
      <c r="L598" t="n">
        <v>0</v>
      </c>
      <c r="M598" t="n">
        <v>0</v>
      </c>
      <c r="N598" t="n">
        <v>0</v>
      </c>
      <c r="O598" t="n">
        <v>0</v>
      </c>
      <c r="P598" t="n">
        <v>0</v>
      </c>
      <c r="Q598" t="n">
        <v>0</v>
      </c>
      <c r="R598" s="2" t="inlineStr"/>
    </row>
    <row r="599" ht="15" customHeight="1">
      <c r="A599" t="inlineStr">
        <is>
          <t>A 14307-2022</t>
        </is>
      </c>
      <c r="B599" s="1" t="n">
        <v>44651</v>
      </c>
      <c r="C599" s="1" t="n">
        <v>45803</v>
      </c>
      <c r="D599" t="inlineStr">
        <is>
          <t>NORRBOTTENS LÄN</t>
        </is>
      </c>
      <c r="E599" t="inlineStr">
        <is>
          <t>BODEN</t>
        </is>
      </c>
      <c r="F599" t="inlineStr">
        <is>
          <t>SCA</t>
        </is>
      </c>
      <c r="G599" t="n">
        <v>17.2</v>
      </c>
      <c r="H599" t="n">
        <v>0</v>
      </c>
      <c r="I599" t="n">
        <v>0</v>
      </c>
      <c r="J599" t="n">
        <v>0</v>
      </c>
      <c r="K599" t="n">
        <v>0</v>
      </c>
      <c r="L599" t="n">
        <v>0</v>
      </c>
      <c r="M599" t="n">
        <v>0</v>
      </c>
      <c r="N599" t="n">
        <v>0</v>
      </c>
      <c r="O599" t="n">
        <v>0</v>
      </c>
      <c r="P599" t="n">
        <v>0</v>
      </c>
      <c r="Q599" t="n">
        <v>0</v>
      </c>
      <c r="R599" s="2" t="inlineStr"/>
    </row>
    <row r="600" ht="15" customHeight="1">
      <c r="A600" t="inlineStr">
        <is>
          <t>A 14545-2022</t>
        </is>
      </c>
      <c r="B600" s="1" t="n">
        <v>44657</v>
      </c>
      <c r="C600" s="1" t="n">
        <v>45803</v>
      </c>
      <c r="D600" t="inlineStr">
        <is>
          <t>NORRBOTTENS LÄN</t>
        </is>
      </c>
      <c r="E600" t="inlineStr">
        <is>
          <t>BODEN</t>
        </is>
      </c>
      <c r="G600" t="n">
        <v>4.1</v>
      </c>
      <c r="H600" t="n">
        <v>0</v>
      </c>
      <c r="I600" t="n">
        <v>0</v>
      </c>
      <c r="J600" t="n">
        <v>0</v>
      </c>
      <c r="K600" t="n">
        <v>0</v>
      </c>
      <c r="L600" t="n">
        <v>0</v>
      </c>
      <c r="M600" t="n">
        <v>0</v>
      </c>
      <c r="N600" t="n">
        <v>0</v>
      </c>
      <c r="O600" t="n">
        <v>0</v>
      </c>
      <c r="P600" t="n">
        <v>0</v>
      </c>
      <c r="Q600" t="n">
        <v>0</v>
      </c>
      <c r="R600" s="2" t="inlineStr"/>
    </row>
    <row r="601" ht="15" customHeight="1">
      <c r="A601" t="inlineStr">
        <is>
          <t>A 14995-2022</t>
        </is>
      </c>
      <c r="B601" s="1" t="n">
        <v>44657</v>
      </c>
      <c r="C601" s="1" t="n">
        <v>45803</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15017-2022</t>
        </is>
      </c>
      <c r="B602" s="1" t="n">
        <v>44657</v>
      </c>
      <c r="C602" s="1" t="n">
        <v>45803</v>
      </c>
      <c r="D602" t="inlineStr">
        <is>
          <t>NORRBOTTENS LÄN</t>
        </is>
      </c>
      <c r="E602" t="inlineStr">
        <is>
          <t>BODEN</t>
        </is>
      </c>
      <c r="G602" t="n">
        <v>3.7</v>
      </c>
      <c r="H602" t="n">
        <v>0</v>
      </c>
      <c r="I602" t="n">
        <v>0</v>
      </c>
      <c r="J602" t="n">
        <v>0</v>
      </c>
      <c r="K602" t="n">
        <v>0</v>
      </c>
      <c r="L602" t="n">
        <v>0</v>
      </c>
      <c r="M602" t="n">
        <v>0</v>
      </c>
      <c r="N602" t="n">
        <v>0</v>
      </c>
      <c r="O602" t="n">
        <v>0</v>
      </c>
      <c r="P602" t="n">
        <v>0</v>
      </c>
      <c r="Q602" t="n">
        <v>0</v>
      </c>
      <c r="R602" s="2" t="inlineStr"/>
    </row>
    <row r="603" ht="15" customHeight="1">
      <c r="A603" t="inlineStr">
        <is>
          <t>A 15000-2022</t>
        </is>
      </c>
      <c r="B603" s="1" t="n">
        <v>44657</v>
      </c>
      <c r="C603" s="1" t="n">
        <v>45803</v>
      </c>
      <c r="D603" t="inlineStr">
        <is>
          <t>NORRBOTTENS LÄN</t>
        </is>
      </c>
      <c r="E603" t="inlineStr">
        <is>
          <t>BODEN</t>
        </is>
      </c>
      <c r="G603" t="n">
        <v>2.6</v>
      </c>
      <c r="H603" t="n">
        <v>0</v>
      </c>
      <c r="I603" t="n">
        <v>0</v>
      </c>
      <c r="J603" t="n">
        <v>0</v>
      </c>
      <c r="K603" t="n">
        <v>0</v>
      </c>
      <c r="L603" t="n">
        <v>0</v>
      </c>
      <c r="M603" t="n">
        <v>0</v>
      </c>
      <c r="N603" t="n">
        <v>0</v>
      </c>
      <c r="O603" t="n">
        <v>0</v>
      </c>
      <c r="P603" t="n">
        <v>0</v>
      </c>
      <c r="Q603" t="n">
        <v>0</v>
      </c>
      <c r="R603" s="2" t="inlineStr"/>
    </row>
    <row r="604" ht="15" customHeight="1">
      <c r="A604" t="inlineStr">
        <is>
          <t>A 15406-2022</t>
        </is>
      </c>
      <c r="B604" s="1" t="n">
        <v>44659</v>
      </c>
      <c r="C604" s="1" t="n">
        <v>45803</v>
      </c>
      <c r="D604" t="inlineStr">
        <is>
          <t>NORRBOTTENS LÄN</t>
        </is>
      </c>
      <c r="E604" t="inlineStr">
        <is>
          <t>BODEN</t>
        </is>
      </c>
      <c r="G604" t="n">
        <v>11.2</v>
      </c>
      <c r="H604" t="n">
        <v>0</v>
      </c>
      <c r="I604" t="n">
        <v>0</v>
      </c>
      <c r="J604" t="n">
        <v>0</v>
      </c>
      <c r="K604" t="n">
        <v>0</v>
      </c>
      <c r="L604" t="n">
        <v>0</v>
      </c>
      <c r="M604" t="n">
        <v>0</v>
      </c>
      <c r="N604" t="n">
        <v>0</v>
      </c>
      <c r="O604" t="n">
        <v>0</v>
      </c>
      <c r="P604" t="n">
        <v>0</v>
      </c>
      <c r="Q604" t="n">
        <v>0</v>
      </c>
      <c r="R604" s="2" t="inlineStr"/>
    </row>
    <row r="605" ht="15" customHeight="1">
      <c r="A605" t="inlineStr">
        <is>
          <t>A 15807-2022</t>
        </is>
      </c>
      <c r="B605" s="1" t="n">
        <v>44663</v>
      </c>
      <c r="C605" s="1" t="n">
        <v>45803</v>
      </c>
      <c r="D605" t="inlineStr">
        <is>
          <t>NORRBOTTENS LÄN</t>
        </is>
      </c>
      <c r="E605" t="inlineStr">
        <is>
          <t>BODEN</t>
        </is>
      </c>
      <c r="F605" t="inlineStr">
        <is>
          <t>SCA</t>
        </is>
      </c>
      <c r="G605" t="n">
        <v>32.9</v>
      </c>
      <c r="H605" t="n">
        <v>0</v>
      </c>
      <c r="I605" t="n">
        <v>0</v>
      </c>
      <c r="J605" t="n">
        <v>0</v>
      </c>
      <c r="K605" t="n">
        <v>0</v>
      </c>
      <c r="L605" t="n">
        <v>0</v>
      </c>
      <c r="M605" t="n">
        <v>0</v>
      </c>
      <c r="N605" t="n">
        <v>0</v>
      </c>
      <c r="O605" t="n">
        <v>0</v>
      </c>
      <c r="P605" t="n">
        <v>0</v>
      </c>
      <c r="Q605" t="n">
        <v>0</v>
      </c>
      <c r="R605" s="2" t="inlineStr"/>
    </row>
    <row r="606" ht="15" customHeight="1">
      <c r="A606" t="inlineStr">
        <is>
          <t>A 16478-2022</t>
        </is>
      </c>
      <c r="B606" s="1" t="n">
        <v>44671</v>
      </c>
      <c r="C606" s="1" t="n">
        <v>45803</v>
      </c>
      <c r="D606" t="inlineStr">
        <is>
          <t>NORRBOTTENS LÄN</t>
        </is>
      </c>
      <c r="E606" t="inlineStr">
        <is>
          <t>BODEN</t>
        </is>
      </c>
      <c r="G606" t="n">
        <v>1.9</v>
      </c>
      <c r="H606" t="n">
        <v>0</v>
      </c>
      <c r="I606" t="n">
        <v>0</v>
      </c>
      <c r="J606" t="n">
        <v>0</v>
      </c>
      <c r="K606" t="n">
        <v>0</v>
      </c>
      <c r="L606" t="n">
        <v>0</v>
      </c>
      <c r="M606" t="n">
        <v>0</v>
      </c>
      <c r="N606" t="n">
        <v>0</v>
      </c>
      <c r="O606" t="n">
        <v>0</v>
      </c>
      <c r="P606" t="n">
        <v>0</v>
      </c>
      <c r="Q606" t="n">
        <v>0</v>
      </c>
      <c r="R606" s="2" t="inlineStr"/>
    </row>
    <row r="607" ht="15" customHeight="1">
      <c r="A607" t="inlineStr">
        <is>
          <t>A 16531-2022</t>
        </is>
      </c>
      <c r="B607" s="1" t="n">
        <v>44671</v>
      </c>
      <c r="C607" s="1" t="n">
        <v>45803</v>
      </c>
      <c r="D607" t="inlineStr">
        <is>
          <t>NORRBOTTENS LÄN</t>
        </is>
      </c>
      <c r="E607" t="inlineStr">
        <is>
          <t>BODEN</t>
        </is>
      </c>
      <c r="G607" t="n">
        <v>2</v>
      </c>
      <c r="H607" t="n">
        <v>0</v>
      </c>
      <c r="I607" t="n">
        <v>0</v>
      </c>
      <c r="J607" t="n">
        <v>0</v>
      </c>
      <c r="K607" t="n">
        <v>0</v>
      </c>
      <c r="L607" t="n">
        <v>0</v>
      </c>
      <c r="M607" t="n">
        <v>0</v>
      </c>
      <c r="N607" t="n">
        <v>0</v>
      </c>
      <c r="O607" t="n">
        <v>0</v>
      </c>
      <c r="P607" t="n">
        <v>0</v>
      </c>
      <c r="Q607" t="n">
        <v>0</v>
      </c>
      <c r="R607" s="2" t="inlineStr"/>
    </row>
    <row r="608" ht="15" customHeight="1">
      <c r="A608" t="inlineStr">
        <is>
          <t>A 16530-2022</t>
        </is>
      </c>
      <c r="B608" s="1" t="n">
        <v>44671</v>
      </c>
      <c r="C608" s="1" t="n">
        <v>45803</v>
      </c>
      <c r="D608" t="inlineStr">
        <is>
          <t>NORRBOTTENS LÄN</t>
        </is>
      </c>
      <c r="E608" t="inlineStr">
        <is>
          <t>BODEN</t>
        </is>
      </c>
      <c r="G608" t="n">
        <v>8.9</v>
      </c>
      <c r="H608" t="n">
        <v>0</v>
      </c>
      <c r="I608" t="n">
        <v>0</v>
      </c>
      <c r="J608" t="n">
        <v>0</v>
      </c>
      <c r="K608" t="n">
        <v>0</v>
      </c>
      <c r="L608" t="n">
        <v>0</v>
      </c>
      <c r="M608" t="n">
        <v>0</v>
      </c>
      <c r="N608" t="n">
        <v>0</v>
      </c>
      <c r="O608" t="n">
        <v>0</v>
      </c>
      <c r="P608" t="n">
        <v>0</v>
      </c>
      <c r="Q608" t="n">
        <v>0</v>
      </c>
      <c r="R608" s="2" t="inlineStr"/>
    </row>
    <row r="609" ht="15" customHeight="1">
      <c r="A609" t="inlineStr">
        <is>
          <t>A 16741-2022</t>
        </is>
      </c>
      <c r="B609" s="1" t="n">
        <v>44673</v>
      </c>
      <c r="C609" s="1" t="n">
        <v>45803</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17121-2022</t>
        </is>
      </c>
      <c r="B610" s="1" t="n">
        <v>44677</v>
      </c>
      <c r="C610" s="1" t="n">
        <v>45803</v>
      </c>
      <c r="D610" t="inlineStr">
        <is>
          <t>NORRBOTTENS LÄN</t>
        </is>
      </c>
      <c r="E610" t="inlineStr">
        <is>
          <t>BODEN</t>
        </is>
      </c>
      <c r="G610" t="n">
        <v>0.5</v>
      </c>
      <c r="H610" t="n">
        <v>0</v>
      </c>
      <c r="I610" t="n">
        <v>0</v>
      </c>
      <c r="J610" t="n">
        <v>0</v>
      </c>
      <c r="K610" t="n">
        <v>0</v>
      </c>
      <c r="L610" t="n">
        <v>0</v>
      </c>
      <c r="M610" t="n">
        <v>0</v>
      </c>
      <c r="N610" t="n">
        <v>0</v>
      </c>
      <c r="O610" t="n">
        <v>0</v>
      </c>
      <c r="P610" t="n">
        <v>0</v>
      </c>
      <c r="Q610" t="n">
        <v>0</v>
      </c>
      <c r="R610" s="2" t="inlineStr"/>
    </row>
    <row r="611" ht="15" customHeight="1">
      <c r="A611" t="inlineStr">
        <is>
          <t>A 17289-2022</t>
        </is>
      </c>
      <c r="B611" s="1" t="n">
        <v>44678</v>
      </c>
      <c r="C611" s="1" t="n">
        <v>45803</v>
      </c>
      <c r="D611" t="inlineStr">
        <is>
          <t>NORRBOTTENS LÄN</t>
        </is>
      </c>
      <c r="E611" t="inlineStr">
        <is>
          <t>BODEN</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19403-2022</t>
        </is>
      </c>
      <c r="B612" s="1" t="n">
        <v>44693</v>
      </c>
      <c r="C612" s="1" t="n">
        <v>45803</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19404-2022</t>
        </is>
      </c>
      <c r="B613" s="1" t="n">
        <v>44693</v>
      </c>
      <c r="C613" s="1" t="n">
        <v>45803</v>
      </c>
      <c r="D613" t="inlineStr">
        <is>
          <t>NORRBOTTENS LÄN</t>
        </is>
      </c>
      <c r="E613" t="inlineStr">
        <is>
          <t>BODEN</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21216-2022</t>
        </is>
      </c>
      <c r="B614" s="1" t="n">
        <v>44705</v>
      </c>
      <c r="C614" s="1" t="n">
        <v>45803</v>
      </c>
      <c r="D614" t="inlineStr">
        <is>
          <t>NORRBOTTENS LÄN</t>
        </is>
      </c>
      <c r="E614" t="inlineStr">
        <is>
          <t>BODEN</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21421-2022</t>
        </is>
      </c>
      <c r="B615" s="1" t="n">
        <v>44706</v>
      </c>
      <c r="C615" s="1" t="n">
        <v>45803</v>
      </c>
      <c r="D615" t="inlineStr">
        <is>
          <t>NORRBOTTENS LÄN</t>
        </is>
      </c>
      <c r="E615" t="inlineStr">
        <is>
          <t>BODEN</t>
        </is>
      </c>
      <c r="G615" t="n">
        <v>1</v>
      </c>
      <c r="H615" t="n">
        <v>0</v>
      </c>
      <c r="I615" t="n">
        <v>0</v>
      </c>
      <c r="J615" t="n">
        <v>0</v>
      </c>
      <c r="K615" t="n">
        <v>0</v>
      </c>
      <c r="L615" t="n">
        <v>0</v>
      </c>
      <c r="M615" t="n">
        <v>0</v>
      </c>
      <c r="N615" t="n">
        <v>0</v>
      </c>
      <c r="O615" t="n">
        <v>0</v>
      </c>
      <c r="P615" t="n">
        <v>0</v>
      </c>
      <c r="Q615" t="n">
        <v>0</v>
      </c>
      <c r="R615" s="2" t="inlineStr"/>
    </row>
    <row r="616" ht="15" customHeight="1">
      <c r="A616" t="inlineStr">
        <is>
          <t>A 21420-2022</t>
        </is>
      </c>
      <c r="B616" s="1" t="n">
        <v>44706</v>
      </c>
      <c r="C616" s="1" t="n">
        <v>45803</v>
      </c>
      <c r="D616" t="inlineStr">
        <is>
          <t>NORRBOTTENS LÄN</t>
        </is>
      </c>
      <c r="E616" t="inlineStr">
        <is>
          <t>BODEN</t>
        </is>
      </c>
      <c r="G616" t="n">
        <v>4</v>
      </c>
      <c r="H616" t="n">
        <v>0</v>
      </c>
      <c r="I616" t="n">
        <v>0</v>
      </c>
      <c r="J616" t="n">
        <v>0</v>
      </c>
      <c r="K616" t="n">
        <v>0</v>
      </c>
      <c r="L616" t="n">
        <v>0</v>
      </c>
      <c r="M616" t="n">
        <v>0</v>
      </c>
      <c r="N616" t="n">
        <v>0</v>
      </c>
      <c r="O616" t="n">
        <v>0</v>
      </c>
      <c r="P616" t="n">
        <v>0</v>
      </c>
      <c r="Q616" t="n">
        <v>0</v>
      </c>
      <c r="R616" s="2" t="inlineStr"/>
    </row>
    <row r="617" ht="15" customHeight="1">
      <c r="A617" t="inlineStr">
        <is>
          <t>A 22959-2022</t>
        </is>
      </c>
      <c r="B617" s="1" t="n">
        <v>44715</v>
      </c>
      <c r="C617" s="1" t="n">
        <v>45803</v>
      </c>
      <c r="D617" t="inlineStr">
        <is>
          <t>NORRBOTTENS LÄN</t>
        </is>
      </c>
      <c r="E617" t="inlineStr">
        <is>
          <t>BODEN</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23546-2022</t>
        </is>
      </c>
      <c r="B618" s="1" t="n">
        <v>44721</v>
      </c>
      <c r="C618" s="1" t="n">
        <v>45803</v>
      </c>
      <c r="D618" t="inlineStr">
        <is>
          <t>NORRBOTTENS LÄN</t>
        </is>
      </c>
      <c r="E618" t="inlineStr">
        <is>
          <t>BODEN</t>
        </is>
      </c>
      <c r="G618" t="n">
        <v>6.7</v>
      </c>
      <c r="H618" t="n">
        <v>0</v>
      </c>
      <c r="I618" t="n">
        <v>0</v>
      </c>
      <c r="J618" t="n">
        <v>0</v>
      </c>
      <c r="K618" t="n">
        <v>0</v>
      </c>
      <c r="L618" t="n">
        <v>0</v>
      </c>
      <c r="M618" t="n">
        <v>0</v>
      </c>
      <c r="N618" t="n">
        <v>0</v>
      </c>
      <c r="O618" t="n">
        <v>0</v>
      </c>
      <c r="P618" t="n">
        <v>0</v>
      </c>
      <c r="Q618" t="n">
        <v>0</v>
      </c>
      <c r="R618" s="2" t="inlineStr"/>
    </row>
    <row r="619" ht="15" customHeight="1">
      <c r="A619" t="inlineStr">
        <is>
          <t>A 23871-2022</t>
        </is>
      </c>
      <c r="B619" s="1" t="n">
        <v>44722</v>
      </c>
      <c r="C619" s="1" t="n">
        <v>45803</v>
      </c>
      <c r="D619" t="inlineStr">
        <is>
          <t>NORRBOTTENS LÄN</t>
        </is>
      </c>
      <c r="E619" t="inlineStr">
        <is>
          <t>BODEN</t>
        </is>
      </c>
      <c r="G619" t="n">
        <v>4.8</v>
      </c>
      <c r="H619" t="n">
        <v>0</v>
      </c>
      <c r="I619" t="n">
        <v>0</v>
      </c>
      <c r="J619" t="n">
        <v>0</v>
      </c>
      <c r="K619" t="n">
        <v>0</v>
      </c>
      <c r="L619" t="n">
        <v>0</v>
      </c>
      <c r="M619" t="n">
        <v>0</v>
      </c>
      <c r="N619" t="n">
        <v>0</v>
      </c>
      <c r="O619" t="n">
        <v>0</v>
      </c>
      <c r="P619" t="n">
        <v>0</v>
      </c>
      <c r="Q619" t="n">
        <v>0</v>
      </c>
      <c r="R619" s="2" t="inlineStr"/>
    </row>
    <row r="620" ht="15" customHeight="1">
      <c r="A620" t="inlineStr">
        <is>
          <t>A 24400-2022</t>
        </is>
      </c>
      <c r="B620" s="1" t="n">
        <v>44726</v>
      </c>
      <c r="C620" s="1" t="n">
        <v>45803</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24691-2022</t>
        </is>
      </c>
      <c r="B621" s="1" t="n">
        <v>44727</v>
      </c>
      <c r="C621" s="1" t="n">
        <v>45803</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25070-2022</t>
        </is>
      </c>
      <c r="B622" s="1" t="n">
        <v>44729</v>
      </c>
      <c r="C622" s="1" t="n">
        <v>45803</v>
      </c>
      <c r="D622" t="inlineStr">
        <is>
          <t>NORRBOTTENS LÄN</t>
        </is>
      </c>
      <c r="E622" t="inlineStr">
        <is>
          <t>BODEN</t>
        </is>
      </c>
      <c r="G622" t="n">
        <v>19.5</v>
      </c>
      <c r="H622" t="n">
        <v>0</v>
      </c>
      <c r="I622" t="n">
        <v>0</v>
      </c>
      <c r="J622" t="n">
        <v>0</v>
      </c>
      <c r="K622" t="n">
        <v>0</v>
      </c>
      <c r="L622" t="n">
        <v>0</v>
      </c>
      <c r="M622" t="n">
        <v>0</v>
      </c>
      <c r="N622" t="n">
        <v>0</v>
      </c>
      <c r="O622" t="n">
        <v>0</v>
      </c>
      <c r="P622" t="n">
        <v>0</v>
      </c>
      <c r="Q622" t="n">
        <v>0</v>
      </c>
      <c r="R622" s="2" t="inlineStr"/>
    </row>
    <row r="623" ht="15" customHeight="1">
      <c r="A623" t="inlineStr">
        <is>
          <t>A 25627-2022</t>
        </is>
      </c>
      <c r="B623" s="1" t="n">
        <v>44733</v>
      </c>
      <c r="C623" s="1" t="n">
        <v>45803</v>
      </c>
      <c r="D623" t="inlineStr">
        <is>
          <t>NORRBOTTENS LÄN</t>
        </is>
      </c>
      <c r="E623" t="inlineStr">
        <is>
          <t>BODEN</t>
        </is>
      </c>
      <c r="G623" t="n">
        <v>4.4</v>
      </c>
      <c r="H623" t="n">
        <v>0</v>
      </c>
      <c r="I623" t="n">
        <v>0</v>
      </c>
      <c r="J623" t="n">
        <v>0</v>
      </c>
      <c r="K623" t="n">
        <v>0</v>
      </c>
      <c r="L623" t="n">
        <v>0</v>
      </c>
      <c r="M623" t="n">
        <v>0</v>
      </c>
      <c r="N623" t="n">
        <v>0</v>
      </c>
      <c r="O623" t="n">
        <v>0</v>
      </c>
      <c r="P623" t="n">
        <v>0</v>
      </c>
      <c r="Q623" t="n">
        <v>0</v>
      </c>
      <c r="R623" s="2" t="inlineStr"/>
    </row>
    <row r="624" ht="15" customHeight="1">
      <c r="A624" t="inlineStr">
        <is>
          <t>A 26022-2022</t>
        </is>
      </c>
      <c r="B624" s="1" t="n">
        <v>44734</v>
      </c>
      <c r="C624" s="1" t="n">
        <v>45803</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26014-2022</t>
        </is>
      </c>
      <c r="B625" s="1" t="n">
        <v>44734</v>
      </c>
      <c r="C625" s="1" t="n">
        <v>45803</v>
      </c>
      <c r="D625" t="inlineStr">
        <is>
          <t>NORRBOTTENS LÄN</t>
        </is>
      </c>
      <c r="E625" t="inlineStr">
        <is>
          <t>BODEN</t>
        </is>
      </c>
      <c r="G625" t="n">
        <v>1.4</v>
      </c>
      <c r="H625" t="n">
        <v>0</v>
      </c>
      <c r="I625" t="n">
        <v>0</v>
      </c>
      <c r="J625" t="n">
        <v>0</v>
      </c>
      <c r="K625" t="n">
        <v>0</v>
      </c>
      <c r="L625" t="n">
        <v>0</v>
      </c>
      <c r="M625" t="n">
        <v>0</v>
      </c>
      <c r="N625" t="n">
        <v>0</v>
      </c>
      <c r="O625" t="n">
        <v>0</v>
      </c>
      <c r="P625" t="n">
        <v>0</v>
      </c>
      <c r="Q625" t="n">
        <v>0</v>
      </c>
      <c r="R625" s="2" t="inlineStr"/>
    </row>
    <row r="626" ht="15" customHeight="1">
      <c r="A626" t="inlineStr">
        <is>
          <t>A 26013-2022</t>
        </is>
      </c>
      <c r="B626" s="1" t="n">
        <v>44734</v>
      </c>
      <c r="C626" s="1" t="n">
        <v>45803</v>
      </c>
      <c r="D626" t="inlineStr">
        <is>
          <t>NORRBOTTENS LÄN</t>
        </is>
      </c>
      <c r="E626" t="inlineStr">
        <is>
          <t>BODEN</t>
        </is>
      </c>
      <c r="G626" t="n">
        <v>9.1</v>
      </c>
      <c r="H626" t="n">
        <v>0</v>
      </c>
      <c r="I626" t="n">
        <v>0</v>
      </c>
      <c r="J626" t="n">
        <v>0</v>
      </c>
      <c r="K626" t="n">
        <v>0</v>
      </c>
      <c r="L626" t="n">
        <v>0</v>
      </c>
      <c r="M626" t="n">
        <v>0</v>
      </c>
      <c r="N626" t="n">
        <v>0</v>
      </c>
      <c r="O626" t="n">
        <v>0</v>
      </c>
      <c r="P626" t="n">
        <v>0</v>
      </c>
      <c r="Q626" t="n">
        <v>0</v>
      </c>
      <c r="R626" s="2" t="inlineStr"/>
    </row>
    <row r="627" ht="15" customHeight="1">
      <c r="A627" t="inlineStr">
        <is>
          <t>A 26359-2022</t>
        </is>
      </c>
      <c r="B627" s="1" t="n">
        <v>44735</v>
      </c>
      <c r="C627" s="1" t="n">
        <v>45803</v>
      </c>
      <c r="D627" t="inlineStr">
        <is>
          <t>NORRBOTTENS LÄN</t>
        </is>
      </c>
      <c r="E627" t="inlineStr">
        <is>
          <t>BODEN</t>
        </is>
      </c>
      <c r="F627" t="inlineStr">
        <is>
          <t>Sveaskog</t>
        </is>
      </c>
      <c r="G627" t="n">
        <v>11.4</v>
      </c>
      <c r="H627" t="n">
        <v>0</v>
      </c>
      <c r="I627" t="n">
        <v>0</v>
      </c>
      <c r="J627" t="n">
        <v>0</v>
      </c>
      <c r="K627" t="n">
        <v>0</v>
      </c>
      <c r="L627" t="n">
        <v>0</v>
      </c>
      <c r="M627" t="n">
        <v>0</v>
      </c>
      <c r="N627" t="n">
        <v>0</v>
      </c>
      <c r="O627" t="n">
        <v>0</v>
      </c>
      <c r="P627" t="n">
        <v>0</v>
      </c>
      <c r="Q627" t="n">
        <v>0</v>
      </c>
      <c r="R627" s="2" t="inlineStr"/>
    </row>
    <row r="628" ht="15" customHeight="1">
      <c r="A628" t="inlineStr">
        <is>
          <t>A 27688-2022</t>
        </is>
      </c>
      <c r="B628" s="1" t="n">
        <v>44743</v>
      </c>
      <c r="C628" s="1" t="n">
        <v>45803</v>
      </c>
      <c r="D628" t="inlineStr">
        <is>
          <t>NORRBOTTENS LÄN</t>
        </is>
      </c>
      <c r="E628" t="inlineStr">
        <is>
          <t>BODEN</t>
        </is>
      </c>
      <c r="G628" t="n">
        <v>13.5</v>
      </c>
      <c r="H628" t="n">
        <v>0</v>
      </c>
      <c r="I628" t="n">
        <v>0</v>
      </c>
      <c r="J628" t="n">
        <v>0</v>
      </c>
      <c r="K628" t="n">
        <v>0</v>
      </c>
      <c r="L628" t="n">
        <v>0</v>
      </c>
      <c r="M628" t="n">
        <v>0</v>
      </c>
      <c r="N628" t="n">
        <v>0</v>
      </c>
      <c r="O628" t="n">
        <v>0</v>
      </c>
      <c r="P628" t="n">
        <v>0</v>
      </c>
      <c r="Q628" t="n">
        <v>0</v>
      </c>
      <c r="R628" s="2" t="inlineStr"/>
    </row>
    <row r="629" ht="15" customHeight="1">
      <c r="A629" t="inlineStr">
        <is>
          <t>A 27716-2022</t>
        </is>
      </c>
      <c r="B629" s="1" t="n">
        <v>44743</v>
      </c>
      <c r="C629" s="1" t="n">
        <v>45803</v>
      </c>
      <c r="D629" t="inlineStr">
        <is>
          <t>NORRBOTTENS LÄN</t>
        </is>
      </c>
      <c r="E629" t="inlineStr">
        <is>
          <t>BODEN</t>
        </is>
      </c>
      <c r="G629" t="n">
        <v>4.1</v>
      </c>
      <c r="H629" t="n">
        <v>0</v>
      </c>
      <c r="I629" t="n">
        <v>0</v>
      </c>
      <c r="J629" t="n">
        <v>0</v>
      </c>
      <c r="K629" t="n">
        <v>0</v>
      </c>
      <c r="L629" t="n">
        <v>0</v>
      </c>
      <c r="M629" t="n">
        <v>0</v>
      </c>
      <c r="N629" t="n">
        <v>0</v>
      </c>
      <c r="O629" t="n">
        <v>0</v>
      </c>
      <c r="P629" t="n">
        <v>0</v>
      </c>
      <c r="Q629" t="n">
        <v>0</v>
      </c>
      <c r="R629" s="2" t="inlineStr"/>
    </row>
    <row r="630" ht="15" customHeight="1">
      <c r="A630" t="inlineStr">
        <is>
          <t>A 27894-2022</t>
        </is>
      </c>
      <c r="B630" s="1" t="n">
        <v>44743</v>
      </c>
      <c r="C630" s="1" t="n">
        <v>45803</v>
      </c>
      <c r="D630" t="inlineStr">
        <is>
          <t>NORRBOTTENS LÄN</t>
        </is>
      </c>
      <c r="E630" t="inlineStr">
        <is>
          <t>BODEN</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28432-2022</t>
        </is>
      </c>
      <c r="B631" s="1" t="n">
        <v>44747</v>
      </c>
      <c r="C631" s="1" t="n">
        <v>45803</v>
      </c>
      <c r="D631" t="inlineStr">
        <is>
          <t>NORRBOTTENS LÄN</t>
        </is>
      </c>
      <c r="E631" t="inlineStr">
        <is>
          <t>BODEN</t>
        </is>
      </c>
      <c r="G631" t="n">
        <v>2.4</v>
      </c>
      <c r="H631" t="n">
        <v>0</v>
      </c>
      <c r="I631" t="n">
        <v>0</v>
      </c>
      <c r="J631" t="n">
        <v>0</v>
      </c>
      <c r="K631" t="n">
        <v>0</v>
      </c>
      <c r="L631" t="n">
        <v>0</v>
      </c>
      <c r="M631" t="n">
        <v>0</v>
      </c>
      <c r="N631" t="n">
        <v>0</v>
      </c>
      <c r="O631" t="n">
        <v>0</v>
      </c>
      <c r="P631" t="n">
        <v>0</v>
      </c>
      <c r="Q631" t="n">
        <v>0</v>
      </c>
      <c r="R631" s="2" t="inlineStr"/>
    </row>
    <row r="632" ht="15" customHeight="1">
      <c r="A632" t="inlineStr">
        <is>
          <t>A 29119-2022</t>
        </is>
      </c>
      <c r="B632" s="1" t="n">
        <v>44749</v>
      </c>
      <c r="C632" s="1" t="n">
        <v>45803</v>
      </c>
      <c r="D632" t="inlineStr">
        <is>
          <t>NORRBOTTENS LÄN</t>
        </is>
      </c>
      <c r="E632" t="inlineStr">
        <is>
          <t>BODEN</t>
        </is>
      </c>
      <c r="G632" t="n">
        <v>10.4</v>
      </c>
      <c r="H632" t="n">
        <v>0</v>
      </c>
      <c r="I632" t="n">
        <v>0</v>
      </c>
      <c r="J632" t="n">
        <v>0</v>
      </c>
      <c r="K632" t="n">
        <v>0</v>
      </c>
      <c r="L632" t="n">
        <v>0</v>
      </c>
      <c r="M632" t="n">
        <v>0</v>
      </c>
      <c r="N632" t="n">
        <v>0</v>
      </c>
      <c r="O632" t="n">
        <v>0</v>
      </c>
      <c r="P632" t="n">
        <v>0</v>
      </c>
      <c r="Q632" t="n">
        <v>0</v>
      </c>
      <c r="R632" s="2" t="inlineStr"/>
    </row>
    <row r="633" ht="15" customHeight="1">
      <c r="A633" t="inlineStr">
        <is>
          <t>A 29797-2022</t>
        </is>
      </c>
      <c r="B633" s="1" t="n">
        <v>44755</v>
      </c>
      <c r="C633" s="1" t="n">
        <v>45803</v>
      </c>
      <c r="D633" t="inlineStr">
        <is>
          <t>NORRBOTTENS LÄN</t>
        </is>
      </c>
      <c r="E633" t="inlineStr">
        <is>
          <t>BODEN</t>
        </is>
      </c>
      <c r="F633" t="inlineStr">
        <is>
          <t>Kyrkan</t>
        </is>
      </c>
      <c r="G633" t="n">
        <v>29.2</v>
      </c>
      <c r="H633" t="n">
        <v>0</v>
      </c>
      <c r="I633" t="n">
        <v>0</v>
      </c>
      <c r="J633" t="n">
        <v>0</v>
      </c>
      <c r="K633" t="n">
        <v>0</v>
      </c>
      <c r="L633" t="n">
        <v>0</v>
      </c>
      <c r="M633" t="n">
        <v>0</v>
      </c>
      <c r="N633" t="n">
        <v>0</v>
      </c>
      <c r="O633" t="n">
        <v>0</v>
      </c>
      <c r="P633" t="n">
        <v>0</v>
      </c>
      <c r="Q633" t="n">
        <v>0</v>
      </c>
      <c r="R633" s="2" t="inlineStr"/>
    </row>
    <row r="634" ht="15" customHeight="1">
      <c r="A634" t="inlineStr">
        <is>
          <t>A 30178-2022</t>
        </is>
      </c>
      <c r="B634" s="1" t="n">
        <v>44757</v>
      </c>
      <c r="C634" s="1" t="n">
        <v>45803</v>
      </c>
      <c r="D634" t="inlineStr">
        <is>
          <t>NORRBOTTENS LÄN</t>
        </is>
      </c>
      <c r="E634" t="inlineStr">
        <is>
          <t>BODEN</t>
        </is>
      </c>
      <c r="F634" t="inlineStr">
        <is>
          <t>Sveaskog</t>
        </is>
      </c>
      <c r="G634" t="n">
        <v>16.7</v>
      </c>
      <c r="H634" t="n">
        <v>0</v>
      </c>
      <c r="I634" t="n">
        <v>0</v>
      </c>
      <c r="J634" t="n">
        <v>0</v>
      </c>
      <c r="K634" t="n">
        <v>0</v>
      </c>
      <c r="L634" t="n">
        <v>0</v>
      </c>
      <c r="M634" t="n">
        <v>0</v>
      </c>
      <c r="N634" t="n">
        <v>0</v>
      </c>
      <c r="O634" t="n">
        <v>0</v>
      </c>
      <c r="P634" t="n">
        <v>0</v>
      </c>
      <c r="Q634" t="n">
        <v>0</v>
      </c>
      <c r="R634" s="2" t="inlineStr"/>
    </row>
    <row r="635" ht="15" customHeight="1">
      <c r="A635" t="inlineStr">
        <is>
          <t>A 31766-2022</t>
        </is>
      </c>
      <c r="B635" s="1" t="n">
        <v>44776</v>
      </c>
      <c r="C635" s="1" t="n">
        <v>45803</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32754-2022</t>
        </is>
      </c>
      <c r="B636" s="1" t="n">
        <v>44783</v>
      </c>
      <c r="C636" s="1" t="n">
        <v>45803</v>
      </c>
      <c r="D636" t="inlineStr">
        <is>
          <t>NORRBOTTENS LÄN</t>
        </is>
      </c>
      <c r="E636" t="inlineStr">
        <is>
          <t>BODEN</t>
        </is>
      </c>
      <c r="G636" t="n">
        <v>0.9</v>
      </c>
      <c r="H636" t="n">
        <v>0</v>
      </c>
      <c r="I636" t="n">
        <v>0</v>
      </c>
      <c r="J636" t="n">
        <v>0</v>
      </c>
      <c r="K636" t="n">
        <v>0</v>
      </c>
      <c r="L636" t="n">
        <v>0</v>
      </c>
      <c r="M636" t="n">
        <v>0</v>
      </c>
      <c r="N636" t="n">
        <v>0</v>
      </c>
      <c r="O636" t="n">
        <v>0</v>
      </c>
      <c r="P636" t="n">
        <v>0</v>
      </c>
      <c r="Q636" t="n">
        <v>0</v>
      </c>
      <c r="R636" s="2" t="inlineStr"/>
    </row>
    <row r="637" ht="15" customHeight="1">
      <c r="A637" t="inlineStr">
        <is>
          <t>A 33399-2022</t>
        </is>
      </c>
      <c r="B637" s="1" t="n">
        <v>44788</v>
      </c>
      <c r="C637" s="1" t="n">
        <v>45803</v>
      </c>
      <c r="D637" t="inlineStr">
        <is>
          <t>NORRBOTTENS LÄN</t>
        </is>
      </c>
      <c r="E637" t="inlineStr">
        <is>
          <t>BODEN</t>
        </is>
      </c>
      <c r="G637" t="n">
        <v>9.9</v>
      </c>
      <c r="H637" t="n">
        <v>0</v>
      </c>
      <c r="I637" t="n">
        <v>0</v>
      </c>
      <c r="J637" t="n">
        <v>0</v>
      </c>
      <c r="K637" t="n">
        <v>0</v>
      </c>
      <c r="L637" t="n">
        <v>0</v>
      </c>
      <c r="M637" t="n">
        <v>0</v>
      </c>
      <c r="N637" t="n">
        <v>0</v>
      </c>
      <c r="O637" t="n">
        <v>0</v>
      </c>
      <c r="P637" t="n">
        <v>0</v>
      </c>
      <c r="Q637" t="n">
        <v>0</v>
      </c>
      <c r="R637" s="2" t="inlineStr"/>
    </row>
    <row r="638" ht="15" customHeight="1">
      <c r="A638" t="inlineStr">
        <is>
          <t>A 33454-2022</t>
        </is>
      </c>
      <c r="B638" s="1" t="n">
        <v>44788</v>
      </c>
      <c r="C638" s="1" t="n">
        <v>45803</v>
      </c>
      <c r="D638" t="inlineStr">
        <is>
          <t>NORRBOTTENS LÄN</t>
        </is>
      </c>
      <c r="E638" t="inlineStr">
        <is>
          <t>BODEN</t>
        </is>
      </c>
      <c r="G638" t="n">
        <v>2.7</v>
      </c>
      <c r="H638" t="n">
        <v>0</v>
      </c>
      <c r="I638" t="n">
        <v>0</v>
      </c>
      <c r="J638" t="n">
        <v>0</v>
      </c>
      <c r="K638" t="n">
        <v>0</v>
      </c>
      <c r="L638" t="n">
        <v>0</v>
      </c>
      <c r="M638" t="n">
        <v>0</v>
      </c>
      <c r="N638" t="n">
        <v>0</v>
      </c>
      <c r="O638" t="n">
        <v>0</v>
      </c>
      <c r="P638" t="n">
        <v>0</v>
      </c>
      <c r="Q638" t="n">
        <v>0</v>
      </c>
      <c r="R638" s="2" t="inlineStr"/>
    </row>
    <row r="639" ht="15" customHeight="1">
      <c r="A639" t="inlineStr">
        <is>
          <t>A 33517-2022</t>
        </is>
      </c>
      <c r="B639" s="1" t="n">
        <v>44789</v>
      </c>
      <c r="C639" s="1" t="n">
        <v>45803</v>
      </c>
      <c r="D639" t="inlineStr">
        <is>
          <t>NORRBOTTENS LÄN</t>
        </is>
      </c>
      <c r="E639" t="inlineStr">
        <is>
          <t>BODEN</t>
        </is>
      </c>
      <c r="F639" t="inlineStr">
        <is>
          <t>SCA</t>
        </is>
      </c>
      <c r="G639" t="n">
        <v>7.1</v>
      </c>
      <c r="H639" t="n">
        <v>0</v>
      </c>
      <c r="I639" t="n">
        <v>0</v>
      </c>
      <c r="J639" t="n">
        <v>0</v>
      </c>
      <c r="K639" t="n">
        <v>0</v>
      </c>
      <c r="L639" t="n">
        <v>0</v>
      </c>
      <c r="M639" t="n">
        <v>0</v>
      </c>
      <c r="N639" t="n">
        <v>0</v>
      </c>
      <c r="O639" t="n">
        <v>0</v>
      </c>
      <c r="P639" t="n">
        <v>0</v>
      </c>
      <c r="Q639" t="n">
        <v>0</v>
      </c>
      <c r="R639" s="2" t="inlineStr"/>
    </row>
    <row r="640" ht="15" customHeight="1">
      <c r="A640" t="inlineStr">
        <is>
          <t>A 33518-2022</t>
        </is>
      </c>
      <c r="B640" s="1" t="n">
        <v>44789</v>
      </c>
      <c r="C640" s="1" t="n">
        <v>45803</v>
      </c>
      <c r="D640" t="inlineStr">
        <is>
          <t>NORRBOTTENS LÄN</t>
        </is>
      </c>
      <c r="E640" t="inlineStr">
        <is>
          <t>BODEN</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33516-2022</t>
        </is>
      </c>
      <c r="B641" s="1" t="n">
        <v>44789</v>
      </c>
      <c r="C641" s="1" t="n">
        <v>45803</v>
      </c>
      <c r="D641" t="inlineStr">
        <is>
          <t>NORRBOTTENS LÄN</t>
        </is>
      </c>
      <c r="E641" t="inlineStr">
        <is>
          <t>BODEN</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33739-2022</t>
        </is>
      </c>
      <c r="B642" s="1" t="n">
        <v>44790</v>
      </c>
      <c r="C642" s="1" t="n">
        <v>45803</v>
      </c>
      <c r="D642" t="inlineStr">
        <is>
          <t>NORRBOTTENS LÄN</t>
        </is>
      </c>
      <c r="E642" t="inlineStr">
        <is>
          <t>BODEN</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34760-2022</t>
        </is>
      </c>
      <c r="B643" s="1" t="n">
        <v>44795</v>
      </c>
      <c r="C643" s="1" t="n">
        <v>45803</v>
      </c>
      <c r="D643" t="inlineStr">
        <is>
          <t>NORRBOTTENS LÄN</t>
        </is>
      </c>
      <c r="E643" t="inlineStr">
        <is>
          <t>BODEN</t>
        </is>
      </c>
      <c r="G643" t="n">
        <v>4.9</v>
      </c>
      <c r="H643" t="n">
        <v>0</v>
      </c>
      <c r="I643" t="n">
        <v>0</v>
      </c>
      <c r="J643" t="n">
        <v>0</v>
      </c>
      <c r="K643" t="n">
        <v>0</v>
      </c>
      <c r="L643" t="n">
        <v>0</v>
      </c>
      <c r="M643" t="n">
        <v>0</v>
      </c>
      <c r="N643" t="n">
        <v>0</v>
      </c>
      <c r="O643" t="n">
        <v>0</v>
      </c>
      <c r="P643" t="n">
        <v>0</v>
      </c>
      <c r="Q643" t="n">
        <v>0</v>
      </c>
      <c r="R643" s="2" t="inlineStr"/>
    </row>
    <row r="644" ht="15" customHeight="1">
      <c r="A644" t="inlineStr">
        <is>
          <t>A 34811-2022</t>
        </is>
      </c>
      <c r="B644" s="1" t="n">
        <v>44796</v>
      </c>
      <c r="C644" s="1" t="n">
        <v>45803</v>
      </c>
      <c r="D644" t="inlineStr">
        <is>
          <t>NORRBOTTENS LÄN</t>
        </is>
      </c>
      <c r="E644" t="inlineStr">
        <is>
          <t>BODEN</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34789-2022</t>
        </is>
      </c>
      <c r="B645" s="1" t="n">
        <v>44795</v>
      </c>
      <c r="C645" s="1" t="n">
        <v>45803</v>
      </c>
      <c r="D645" t="inlineStr">
        <is>
          <t>NORRBOTTENS LÄN</t>
        </is>
      </c>
      <c r="E645" t="inlineStr">
        <is>
          <t>BODEN</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34796-2022</t>
        </is>
      </c>
      <c r="B646" s="1" t="n">
        <v>44796</v>
      </c>
      <c r="C646" s="1" t="n">
        <v>45803</v>
      </c>
      <c r="D646" t="inlineStr">
        <is>
          <t>NORRBOTTENS LÄN</t>
        </is>
      </c>
      <c r="E646" t="inlineStr">
        <is>
          <t>BODEN</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35044-2022</t>
        </is>
      </c>
      <c r="B647" s="1" t="n">
        <v>44796</v>
      </c>
      <c r="C647" s="1" t="n">
        <v>45803</v>
      </c>
      <c r="D647" t="inlineStr">
        <is>
          <t>NORRBOTTENS LÄN</t>
        </is>
      </c>
      <c r="E647" t="inlineStr">
        <is>
          <t>BODEN</t>
        </is>
      </c>
      <c r="G647" t="n">
        <v>0.4</v>
      </c>
      <c r="H647" t="n">
        <v>0</v>
      </c>
      <c r="I647" t="n">
        <v>0</v>
      </c>
      <c r="J647" t="n">
        <v>0</v>
      </c>
      <c r="K647" t="n">
        <v>0</v>
      </c>
      <c r="L647" t="n">
        <v>0</v>
      </c>
      <c r="M647" t="n">
        <v>0</v>
      </c>
      <c r="N647" t="n">
        <v>0</v>
      </c>
      <c r="O647" t="n">
        <v>0</v>
      </c>
      <c r="P647" t="n">
        <v>0</v>
      </c>
      <c r="Q647" t="n">
        <v>0</v>
      </c>
      <c r="R647" s="2" t="inlineStr"/>
    </row>
    <row r="648" ht="15" customHeight="1">
      <c r="A648" t="inlineStr">
        <is>
          <t>A 35046-2022</t>
        </is>
      </c>
      <c r="B648" s="1" t="n">
        <v>44796</v>
      </c>
      <c r="C648" s="1" t="n">
        <v>45803</v>
      </c>
      <c r="D648" t="inlineStr">
        <is>
          <t>NORRBOTTENS LÄN</t>
        </is>
      </c>
      <c r="E648" t="inlineStr">
        <is>
          <t>BODEN</t>
        </is>
      </c>
      <c r="G648" t="n">
        <v>1.2</v>
      </c>
      <c r="H648" t="n">
        <v>0</v>
      </c>
      <c r="I648" t="n">
        <v>0</v>
      </c>
      <c r="J648" t="n">
        <v>0</v>
      </c>
      <c r="K648" t="n">
        <v>0</v>
      </c>
      <c r="L648" t="n">
        <v>0</v>
      </c>
      <c r="M648" t="n">
        <v>0</v>
      </c>
      <c r="N648" t="n">
        <v>0</v>
      </c>
      <c r="O648" t="n">
        <v>0</v>
      </c>
      <c r="P648" t="n">
        <v>0</v>
      </c>
      <c r="Q648" t="n">
        <v>0</v>
      </c>
      <c r="R648" s="2" t="inlineStr"/>
    </row>
    <row r="649" ht="15" customHeight="1">
      <c r="A649" t="inlineStr">
        <is>
          <t>A 35041-2022</t>
        </is>
      </c>
      <c r="B649" s="1" t="n">
        <v>44796</v>
      </c>
      <c r="C649" s="1" t="n">
        <v>45803</v>
      </c>
      <c r="D649" t="inlineStr">
        <is>
          <t>NORRBOTTENS LÄN</t>
        </is>
      </c>
      <c r="E649" t="inlineStr">
        <is>
          <t>BODEN</t>
        </is>
      </c>
      <c r="G649" t="n">
        <v>0.8</v>
      </c>
      <c r="H649" t="n">
        <v>0</v>
      </c>
      <c r="I649" t="n">
        <v>0</v>
      </c>
      <c r="J649" t="n">
        <v>0</v>
      </c>
      <c r="K649" t="n">
        <v>0</v>
      </c>
      <c r="L649" t="n">
        <v>0</v>
      </c>
      <c r="M649" t="n">
        <v>0</v>
      </c>
      <c r="N649" t="n">
        <v>0</v>
      </c>
      <c r="O649" t="n">
        <v>0</v>
      </c>
      <c r="P649" t="n">
        <v>0</v>
      </c>
      <c r="Q649" t="n">
        <v>0</v>
      </c>
      <c r="R649" s="2" t="inlineStr"/>
    </row>
    <row r="650" ht="15" customHeight="1">
      <c r="A650" t="inlineStr">
        <is>
          <t>A 35040-2022</t>
        </is>
      </c>
      <c r="B650" s="1" t="n">
        <v>44796</v>
      </c>
      <c r="C650" s="1" t="n">
        <v>45803</v>
      </c>
      <c r="D650" t="inlineStr">
        <is>
          <t>NORRBOTTENS LÄN</t>
        </is>
      </c>
      <c r="E650" t="inlineStr">
        <is>
          <t>BODEN</t>
        </is>
      </c>
      <c r="G650" t="n">
        <v>1.4</v>
      </c>
      <c r="H650" t="n">
        <v>0</v>
      </c>
      <c r="I650" t="n">
        <v>0</v>
      </c>
      <c r="J650" t="n">
        <v>0</v>
      </c>
      <c r="K650" t="n">
        <v>0</v>
      </c>
      <c r="L650" t="n">
        <v>0</v>
      </c>
      <c r="M650" t="n">
        <v>0</v>
      </c>
      <c r="N650" t="n">
        <v>0</v>
      </c>
      <c r="O650" t="n">
        <v>0</v>
      </c>
      <c r="P650" t="n">
        <v>0</v>
      </c>
      <c r="Q650" t="n">
        <v>0</v>
      </c>
      <c r="R650" s="2" t="inlineStr"/>
    </row>
    <row r="651" ht="15" customHeight="1">
      <c r="A651" t="inlineStr">
        <is>
          <t>A 35069-2022</t>
        </is>
      </c>
      <c r="B651" s="1" t="n">
        <v>44797</v>
      </c>
      <c r="C651" s="1" t="n">
        <v>45803</v>
      </c>
      <c r="D651" t="inlineStr">
        <is>
          <t>NORRBOTTENS LÄN</t>
        </is>
      </c>
      <c r="E651" t="inlineStr">
        <is>
          <t>BODEN</t>
        </is>
      </c>
      <c r="G651" t="n">
        <v>9.1</v>
      </c>
      <c r="H651" t="n">
        <v>0</v>
      </c>
      <c r="I651" t="n">
        <v>0</v>
      </c>
      <c r="J651" t="n">
        <v>0</v>
      </c>
      <c r="K651" t="n">
        <v>0</v>
      </c>
      <c r="L651" t="n">
        <v>0</v>
      </c>
      <c r="M651" t="n">
        <v>0</v>
      </c>
      <c r="N651" t="n">
        <v>0</v>
      </c>
      <c r="O651" t="n">
        <v>0</v>
      </c>
      <c r="P651" t="n">
        <v>0</v>
      </c>
      <c r="Q651" t="n">
        <v>0</v>
      </c>
      <c r="R651" s="2" t="inlineStr"/>
    </row>
    <row r="652" ht="15" customHeight="1">
      <c r="A652" t="inlineStr">
        <is>
          <t>A 35237-2022</t>
        </is>
      </c>
      <c r="B652" s="1" t="n">
        <v>44797</v>
      </c>
      <c r="C652" s="1" t="n">
        <v>45803</v>
      </c>
      <c r="D652" t="inlineStr">
        <is>
          <t>NORRBOTTENS LÄN</t>
        </is>
      </c>
      <c r="E652" t="inlineStr">
        <is>
          <t>BODEN</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35323-2022</t>
        </is>
      </c>
      <c r="B653" s="1" t="n">
        <v>44798</v>
      </c>
      <c r="C653" s="1" t="n">
        <v>45803</v>
      </c>
      <c r="D653" t="inlineStr">
        <is>
          <t>NORRBOTTENS LÄN</t>
        </is>
      </c>
      <c r="E653" t="inlineStr">
        <is>
          <t>BODEN</t>
        </is>
      </c>
      <c r="G653" t="n">
        <v>7.1</v>
      </c>
      <c r="H653" t="n">
        <v>0</v>
      </c>
      <c r="I653" t="n">
        <v>0</v>
      </c>
      <c r="J653" t="n">
        <v>0</v>
      </c>
      <c r="K653" t="n">
        <v>0</v>
      </c>
      <c r="L653" t="n">
        <v>0</v>
      </c>
      <c r="M653" t="n">
        <v>0</v>
      </c>
      <c r="N653" t="n">
        <v>0</v>
      </c>
      <c r="O653" t="n">
        <v>0</v>
      </c>
      <c r="P653" t="n">
        <v>0</v>
      </c>
      <c r="Q653" t="n">
        <v>0</v>
      </c>
      <c r="R653" s="2" t="inlineStr"/>
    </row>
    <row r="654" ht="15" customHeight="1">
      <c r="A654" t="inlineStr">
        <is>
          <t>A 35752-2022</t>
        </is>
      </c>
      <c r="B654" s="1" t="n">
        <v>44800</v>
      </c>
      <c r="C654" s="1" t="n">
        <v>45803</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35753-2022</t>
        </is>
      </c>
      <c r="B655" s="1" t="n">
        <v>44800</v>
      </c>
      <c r="C655" s="1" t="n">
        <v>45803</v>
      </c>
      <c r="D655" t="inlineStr">
        <is>
          <t>NORRBOTTENS LÄN</t>
        </is>
      </c>
      <c r="E655" t="inlineStr">
        <is>
          <t>BODEN</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35755-2022</t>
        </is>
      </c>
      <c r="B656" s="1" t="n">
        <v>44799</v>
      </c>
      <c r="C656" s="1" t="n">
        <v>45803</v>
      </c>
      <c r="D656" t="inlineStr">
        <is>
          <t>NORRBOTTENS LÄN</t>
        </is>
      </c>
      <c r="E656" t="inlineStr">
        <is>
          <t>BODEN</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37594-2022</t>
        </is>
      </c>
      <c r="B657" s="1" t="n">
        <v>44809</v>
      </c>
      <c r="C657" s="1" t="n">
        <v>45803</v>
      </c>
      <c r="D657" t="inlineStr">
        <is>
          <t>NORRBOTTENS LÄN</t>
        </is>
      </c>
      <c r="E657" t="inlineStr">
        <is>
          <t>BODEN</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38213-2022</t>
        </is>
      </c>
      <c r="B658" s="1" t="n">
        <v>44812</v>
      </c>
      <c r="C658" s="1" t="n">
        <v>45803</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38219-2022</t>
        </is>
      </c>
      <c r="B659" s="1" t="n">
        <v>44812</v>
      </c>
      <c r="C659" s="1" t="n">
        <v>45803</v>
      </c>
      <c r="D659" t="inlineStr">
        <is>
          <t>NORRBOTTENS LÄN</t>
        </is>
      </c>
      <c r="E659" t="inlineStr">
        <is>
          <t>BODEN</t>
        </is>
      </c>
      <c r="G659" t="n">
        <v>2</v>
      </c>
      <c r="H659" t="n">
        <v>0</v>
      </c>
      <c r="I659" t="n">
        <v>0</v>
      </c>
      <c r="J659" t="n">
        <v>0</v>
      </c>
      <c r="K659" t="n">
        <v>0</v>
      </c>
      <c r="L659" t="n">
        <v>0</v>
      </c>
      <c r="M659" t="n">
        <v>0</v>
      </c>
      <c r="N659" t="n">
        <v>0</v>
      </c>
      <c r="O659" t="n">
        <v>0</v>
      </c>
      <c r="P659" t="n">
        <v>0</v>
      </c>
      <c r="Q659" t="n">
        <v>0</v>
      </c>
      <c r="R659" s="2" t="inlineStr"/>
    </row>
    <row r="660" ht="15" customHeight="1">
      <c r="A660" t="inlineStr">
        <is>
          <t>A 38722-2022</t>
        </is>
      </c>
      <c r="B660" s="1" t="n">
        <v>44815</v>
      </c>
      <c r="C660" s="1" t="n">
        <v>45803</v>
      </c>
      <c r="D660" t="inlineStr">
        <is>
          <t>NORRBOTTENS LÄN</t>
        </is>
      </c>
      <c r="E660" t="inlineStr">
        <is>
          <t>BODEN</t>
        </is>
      </c>
      <c r="F660" t="inlineStr">
        <is>
          <t>Övriga statliga verk och myndigheter</t>
        </is>
      </c>
      <c r="G660" t="n">
        <v>8.5</v>
      </c>
      <c r="H660" t="n">
        <v>0</v>
      </c>
      <c r="I660" t="n">
        <v>0</v>
      </c>
      <c r="J660" t="n">
        <v>0</v>
      </c>
      <c r="K660" t="n">
        <v>0</v>
      </c>
      <c r="L660" t="n">
        <v>0</v>
      </c>
      <c r="M660" t="n">
        <v>0</v>
      </c>
      <c r="N660" t="n">
        <v>0</v>
      </c>
      <c r="O660" t="n">
        <v>0</v>
      </c>
      <c r="P660" t="n">
        <v>0</v>
      </c>
      <c r="Q660" t="n">
        <v>0</v>
      </c>
      <c r="R660" s="2" t="inlineStr"/>
    </row>
    <row r="661" ht="15" customHeight="1">
      <c r="A661" t="inlineStr">
        <is>
          <t>A 40418-2022</t>
        </is>
      </c>
      <c r="B661" s="1" t="n">
        <v>44818</v>
      </c>
      <c r="C661" s="1" t="n">
        <v>45803</v>
      </c>
      <c r="D661" t="inlineStr">
        <is>
          <t>NORRBOTTENS LÄN</t>
        </is>
      </c>
      <c r="E661" t="inlineStr">
        <is>
          <t>BODEN</t>
        </is>
      </c>
      <c r="G661" t="n">
        <v>3.9</v>
      </c>
      <c r="H661" t="n">
        <v>0</v>
      </c>
      <c r="I661" t="n">
        <v>0</v>
      </c>
      <c r="J661" t="n">
        <v>0</v>
      </c>
      <c r="K661" t="n">
        <v>0</v>
      </c>
      <c r="L661" t="n">
        <v>0</v>
      </c>
      <c r="M661" t="n">
        <v>0</v>
      </c>
      <c r="N661" t="n">
        <v>0</v>
      </c>
      <c r="O661" t="n">
        <v>0</v>
      </c>
      <c r="P661" t="n">
        <v>0</v>
      </c>
      <c r="Q661" t="n">
        <v>0</v>
      </c>
      <c r="R661" s="2" t="inlineStr"/>
    </row>
    <row r="662" ht="15" customHeight="1">
      <c r="A662" t="inlineStr">
        <is>
          <t>A 39838-2022</t>
        </is>
      </c>
      <c r="B662" s="1" t="n">
        <v>44819</v>
      </c>
      <c r="C662" s="1" t="n">
        <v>45803</v>
      </c>
      <c r="D662" t="inlineStr">
        <is>
          <t>NORRBOTTENS LÄN</t>
        </is>
      </c>
      <c r="E662" t="inlineStr">
        <is>
          <t>BODEN</t>
        </is>
      </c>
      <c r="F662" t="inlineStr">
        <is>
          <t>Sveaskog</t>
        </is>
      </c>
      <c r="G662" t="n">
        <v>16.5</v>
      </c>
      <c r="H662" t="n">
        <v>0</v>
      </c>
      <c r="I662" t="n">
        <v>0</v>
      </c>
      <c r="J662" t="n">
        <v>0</v>
      </c>
      <c r="K662" t="n">
        <v>0</v>
      </c>
      <c r="L662" t="n">
        <v>0</v>
      </c>
      <c r="M662" t="n">
        <v>0</v>
      </c>
      <c r="N662" t="n">
        <v>0</v>
      </c>
      <c r="O662" t="n">
        <v>0</v>
      </c>
      <c r="P662" t="n">
        <v>0</v>
      </c>
      <c r="Q662" t="n">
        <v>0</v>
      </c>
      <c r="R662" s="2" t="inlineStr"/>
    </row>
    <row r="663" ht="15" customHeight="1">
      <c r="A663" t="inlineStr">
        <is>
          <t>A 39971-2022</t>
        </is>
      </c>
      <c r="B663" s="1" t="n">
        <v>44820</v>
      </c>
      <c r="C663" s="1" t="n">
        <v>45803</v>
      </c>
      <c r="D663" t="inlineStr">
        <is>
          <t>NORRBOTTENS LÄN</t>
        </is>
      </c>
      <c r="E663" t="inlineStr">
        <is>
          <t>BODEN</t>
        </is>
      </c>
      <c r="F663" t="inlineStr">
        <is>
          <t>Sveaskog</t>
        </is>
      </c>
      <c r="G663" t="n">
        <v>11.3</v>
      </c>
      <c r="H663" t="n">
        <v>0</v>
      </c>
      <c r="I663" t="n">
        <v>0</v>
      </c>
      <c r="J663" t="n">
        <v>0</v>
      </c>
      <c r="K663" t="n">
        <v>0</v>
      </c>
      <c r="L663" t="n">
        <v>0</v>
      </c>
      <c r="M663" t="n">
        <v>0</v>
      </c>
      <c r="N663" t="n">
        <v>0</v>
      </c>
      <c r="O663" t="n">
        <v>0</v>
      </c>
      <c r="P663" t="n">
        <v>0</v>
      </c>
      <c r="Q663" t="n">
        <v>0</v>
      </c>
      <c r="R663" s="2" t="inlineStr"/>
    </row>
    <row r="664" ht="15" customHeight="1">
      <c r="A664" t="inlineStr">
        <is>
          <t>A 40136-2022</t>
        </is>
      </c>
      <c r="B664" s="1" t="n">
        <v>44820</v>
      </c>
      <c r="C664" s="1" t="n">
        <v>45803</v>
      </c>
      <c r="D664" t="inlineStr">
        <is>
          <t>NORRBOTTENS LÄN</t>
        </is>
      </c>
      <c r="E664" t="inlineStr">
        <is>
          <t>BODEN</t>
        </is>
      </c>
      <c r="F664" t="inlineStr">
        <is>
          <t>Sveaskog</t>
        </is>
      </c>
      <c r="G664" t="n">
        <v>8</v>
      </c>
      <c r="H664" t="n">
        <v>0</v>
      </c>
      <c r="I664" t="n">
        <v>0</v>
      </c>
      <c r="J664" t="n">
        <v>0</v>
      </c>
      <c r="K664" t="n">
        <v>0</v>
      </c>
      <c r="L664" t="n">
        <v>0</v>
      </c>
      <c r="M664" t="n">
        <v>0</v>
      </c>
      <c r="N664" t="n">
        <v>0</v>
      </c>
      <c r="O664" t="n">
        <v>0</v>
      </c>
      <c r="P664" t="n">
        <v>0</v>
      </c>
      <c r="Q664" t="n">
        <v>0</v>
      </c>
      <c r="R664" s="2" t="inlineStr"/>
    </row>
    <row r="665" ht="15" customHeight="1">
      <c r="A665" t="inlineStr">
        <is>
          <t>A 40624-2022</t>
        </is>
      </c>
      <c r="B665" s="1" t="n">
        <v>44823</v>
      </c>
      <c r="C665" s="1" t="n">
        <v>45803</v>
      </c>
      <c r="D665" t="inlineStr">
        <is>
          <t>NORRBOTTENS LÄN</t>
        </is>
      </c>
      <c r="E665" t="inlineStr">
        <is>
          <t>BODEN</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40854-2022</t>
        </is>
      </c>
      <c r="B666" s="1" t="n">
        <v>44825</v>
      </c>
      <c r="C666" s="1" t="n">
        <v>45803</v>
      </c>
      <c r="D666" t="inlineStr">
        <is>
          <t>NORRBOTTENS LÄN</t>
        </is>
      </c>
      <c r="E666" t="inlineStr">
        <is>
          <t>BODEN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42641-2022</t>
        </is>
      </c>
      <c r="B667" s="1" t="n">
        <v>44831</v>
      </c>
      <c r="C667" s="1" t="n">
        <v>45803</v>
      </c>
      <c r="D667" t="inlineStr">
        <is>
          <t>NORRBOTTENS LÄN</t>
        </is>
      </c>
      <c r="E667" t="inlineStr">
        <is>
          <t>BODEN</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42642-2022</t>
        </is>
      </c>
      <c r="B668" s="1" t="n">
        <v>44831</v>
      </c>
      <c r="C668" s="1" t="n">
        <v>45803</v>
      </c>
      <c r="D668" t="inlineStr">
        <is>
          <t>NORRBOTTENS LÄN</t>
        </is>
      </c>
      <c r="E668" t="inlineStr">
        <is>
          <t>BODEN</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42632-2022</t>
        </is>
      </c>
      <c r="B669" s="1" t="n">
        <v>44832</v>
      </c>
      <c r="C669" s="1" t="n">
        <v>45803</v>
      </c>
      <c r="D669" t="inlineStr">
        <is>
          <t>NORRBOTTENS LÄN</t>
        </is>
      </c>
      <c r="E669" t="inlineStr">
        <is>
          <t>BODEN</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42643-2022</t>
        </is>
      </c>
      <c r="B670" s="1" t="n">
        <v>44831</v>
      </c>
      <c r="C670" s="1" t="n">
        <v>45803</v>
      </c>
      <c r="D670" t="inlineStr">
        <is>
          <t>NORRBOTTENS LÄN</t>
        </is>
      </c>
      <c r="E670" t="inlineStr">
        <is>
          <t>BODEN</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42667-2022</t>
        </is>
      </c>
      <c r="B671" s="1" t="n">
        <v>44832</v>
      </c>
      <c r="C671" s="1" t="n">
        <v>45803</v>
      </c>
      <c r="D671" t="inlineStr">
        <is>
          <t>NORRBOTTENS LÄN</t>
        </is>
      </c>
      <c r="E671" t="inlineStr">
        <is>
          <t>BODEN</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42990-2022</t>
        </is>
      </c>
      <c r="B672" s="1" t="n">
        <v>44832</v>
      </c>
      <c r="C672" s="1" t="n">
        <v>45803</v>
      </c>
      <c r="D672" t="inlineStr">
        <is>
          <t>NORRBOTTENS LÄN</t>
        </is>
      </c>
      <c r="E672" t="inlineStr">
        <is>
          <t>BODEN</t>
        </is>
      </c>
      <c r="G672" t="n">
        <v>1.7</v>
      </c>
      <c r="H672" t="n">
        <v>0</v>
      </c>
      <c r="I672" t="n">
        <v>0</v>
      </c>
      <c r="J672" t="n">
        <v>0</v>
      </c>
      <c r="K672" t="n">
        <v>0</v>
      </c>
      <c r="L672" t="n">
        <v>0</v>
      </c>
      <c r="M672" t="n">
        <v>0</v>
      </c>
      <c r="N672" t="n">
        <v>0</v>
      </c>
      <c r="O672" t="n">
        <v>0</v>
      </c>
      <c r="P672" t="n">
        <v>0</v>
      </c>
      <c r="Q672" t="n">
        <v>0</v>
      </c>
      <c r="R672" s="2" t="inlineStr"/>
    </row>
    <row r="673" ht="15" customHeight="1">
      <c r="A673" t="inlineStr">
        <is>
          <t>A 42995-2022</t>
        </is>
      </c>
      <c r="B673" s="1" t="n">
        <v>44833</v>
      </c>
      <c r="C673" s="1" t="n">
        <v>45803</v>
      </c>
      <c r="D673" t="inlineStr">
        <is>
          <t>NORRBOTTENS LÄN</t>
        </is>
      </c>
      <c r="E673" t="inlineStr">
        <is>
          <t>BODEN</t>
        </is>
      </c>
      <c r="G673" t="n">
        <v>4.2</v>
      </c>
      <c r="H673" t="n">
        <v>0</v>
      </c>
      <c r="I673" t="n">
        <v>0</v>
      </c>
      <c r="J673" t="n">
        <v>0</v>
      </c>
      <c r="K673" t="n">
        <v>0</v>
      </c>
      <c r="L673" t="n">
        <v>0</v>
      </c>
      <c r="M673" t="n">
        <v>0</v>
      </c>
      <c r="N673" t="n">
        <v>0</v>
      </c>
      <c r="O673" t="n">
        <v>0</v>
      </c>
      <c r="P673" t="n">
        <v>0</v>
      </c>
      <c r="Q673" t="n">
        <v>0</v>
      </c>
      <c r="R673" s="2" t="inlineStr"/>
    </row>
    <row r="674" ht="15" customHeight="1">
      <c r="A674" t="inlineStr">
        <is>
          <t>A 43007-2022</t>
        </is>
      </c>
      <c r="B674" s="1" t="n">
        <v>44833</v>
      </c>
      <c r="C674" s="1" t="n">
        <v>45803</v>
      </c>
      <c r="D674" t="inlineStr">
        <is>
          <t>NORRBOTTENS LÄN</t>
        </is>
      </c>
      <c r="E674" t="inlineStr">
        <is>
          <t>BODEN</t>
        </is>
      </c>
      <c r="G674" t="n">
        <v>1.8</v>
      </c>
      <c r="H674" t="n">
        <v>0</v>
      </c>
      <c r="I674" t="n">
        <v>0</v>
      </c>
      <c r="J674" t="n">
        <v>0</v>
      </c>
      <c r="K674" t="n">
        <v>0</v>
      </c>
      <c r="L674" t="n">
        <v>0</v>
      </c>
      <c r="M674" t="n">
        <v>0</v>
      </c>
      <c r="N674" t="n">
        <v>0</v>
      </c>
      <c r="O674" t="n">
        <v>0</v>
      </c>
      <c r="P674" t="n">
        <v>0</v>
      </c>
      <c r="Q674" t="n">
        <v>0</v>
      </c>
      <c r="R674" s="2" t="inlineStr"/>
    </row>
    <row r="675" ht="15" customHeight="1">
      <c r="A675" t="inlineStr">
        <is>
          <t>A 43464-2022</t>
        </is>
      </c>
      <c r="B675" s="1" t="n">
        <v>44836</v>
      </c>
      <c r="C675" s="1" t="n">
        <v>45803</v>
      </c>
      <c r="D675" t="inlineStr">
        <is>
          <t>NORRBOTTENS LÄN</t>
        </is>
      </c>
      <c r="E675" t="inlineStr">
        <is>
          <t>BODEN</t>
        </is>
      </c>
      <c r="G675" t="n">
        <v>2.7</v>
      </c>
      <c r="H675" t="n">
        <v>0</v>
      </c>
      <c r="I675" t="n">
        <v>0</v>
      </c>
      <c r="J675" t="n">
        <v>0</v>
      </c>
      <c r="K675" t="n">
        <v>0</v>
      </c>
      <c r="L675" t="n">
        <v>0</v>
      </c>
      <c r="M675" t="n">
        <v>0</v>
      </c>
      <c r="N675" t="n">
        <v>0</v>
      </c>
      <c r="O675" t="n">
        <v>0</v>
      </c>
      <c r="P675" t="n">
        <v>0</v>
      </c>
      <c r="Q675" t="n">
        <v>0</v>
      </c>
      <c r="R675" s="2" t="inlineStr"/>
    </row>
    <row r="676" ht="15" customHeight="1">
      <c r="A676" t="inlineStr">
        <is>
          <t>A 44046-2022</t>
        </is>
      </c>
      <c r="B676" s="1" t="n">
        <v>44839</v>
      </c>
      <c r="C676" s="1" t="n">
        <v>45803</v>
      </c>
      <c r="D676" t="inlineStr">
        <is>
          <t>NORRBOTTENS LÄN</t>
        </is>
      </c>
      <c r="E676" t="inlineStr">
        <is>
          <t>BODEN</t>
        </is>
      </c>
      <c r="F676" t="inlineStr">
        <is>
          <t>SCA</t>
        </is>
      </c>
      <c r="G676" t="n">
        <v>5.6</v>
      </c>
      <c r="H676" t="n">
        <v>0</v>
      </c>
      <c r="I676" t="n">
        <v>0</v>
      </c>
      <c r="J676" t="n">
        <v>0</v>
      </c>
      <c r="K676" t="n">
        <v>0</v>
      </c>
      <c r="L676" t="n">
        <v>0</v>
      </c>
      <c r="M676" t="n">
        <v>0</v>
      </c>
      <c r="N676" t="n">
        <v>0</v>
      </c>
      <c r="O676" t="n">
        <v>0</v>
      </c>
      <c r="P676" t="n">
        <v>0</v>
      </c>
      <c r="Q676" t="n">
        <v>0</v>
      </c>
      <c r="R676" s="2" t="inlineStr"/>
    </row>
    <row r="677" ht="15" customHeight="1">
      <c r="A677" t="inlineStr">
        <is>
          <t>A 44051-2022</t>
        </is>
      </c>
      <c r="B677" s="1" t="n">
        <v>44838</v>
      </c>
      <c r="C677" s="1" t="n">
        <v>45803</v>
      </c>
      <c r="D677" t="inlineStr">
        <is>
          <t>NORRBOTTENS LÄN</t>
        </is>
      </c>
      <c r="E677" t="inlineStr">
        <is>
          <t>BODEN</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44258-2022</t>
        </is>
      </c>
      <c r="B678" s="1" t="n">
        <v>44839</v>
      </c>
      <c r="C678" s="1" t="n">
        <v>45803</v>
      </c>
      <c r="D678" t="inlineStr">
        <is>
          <t>NORRBOTTENS LÄN</t>
        </is>
      </c>
      <c r="E678" t="inlineStr">
        <is>
          <t>BODEN</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44345-2022</t>
        </is>
      </c>
      <c r="B679" s="1" t="n">
        <v>44839</v>
      </c>
      <c r="C679" s="1" t="n">
        <v>45803</v>
      </c>
      <c r="D679" t="inlineStr">
        <is>
          <t>NORRBOTTENS LÄN</t>
        </is>
      </c>
      <c r="E679" t="inlineStr">
        <is>
          <t>BODEN</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44682-2022</t>
        </is>
      </c>
      <c r="B680" s="1" t="n">
        <v>44840</v>
      </c>
      <c r="C680" s="1" t="n">
        <v>45803</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44686-2022</t>
        </is>
      </c>
      <c r="B681" s="1" t="n">
        <v>44840</v>
      </c>
      <c r="C681" s="1" t="n">
        <v>45803</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44679-2022</t>
        </is>
      </c>
      <c r="B682" s="1" t="n">
        <v>44840</v>
      </c>
      <c r="C682" s="1" t="n">
        <v>45803</v>
      </c>
      <c r="D682" t="inlineStr">
        <is>
          <t>NORRBOTTENS LÄN</t>
        </is>
      </c>
      <c r="E682" t="inlineStr">
        <is>
          <t>BODEN</t>
        </is>
      </c>
      <c r="G682" t="n">
        <v>4.4</v>
      </c>
      <c r="H682" t="n">
        <v>0</v>
      </c>
      <c r="I682" t="n">
        <v>0</v>
      </c>
      <c r="J682" t="n">
        <v>0</v>
      </c>
      <c r="K682" t="n">
        <v>0</v>
      </c>
      <c r="L682" t="n">
        <v>0</v>
      </c>
      <c r="M682" t="n">
        <v>0</v>
      </c>
      <c r="N682" t="n">
        <v>0</v>
      </c>
      <c r="O682" t="n">
        <v>0</v>
      </c>
      <c r="P682" t="n">
        <v>0</v>
      </c>
      <c r="Q682" t="n">
        <v>0</v>
      </c>
      <c r="R682" s="2" t="inlineStr"/>
    </row>
    <row r="683" ht="15" customHeight="1">
      <c r="A683" t="inlineStr">
        <is>
          <t>A 45035-2022</t>
        </is>
      </c>
      <c r="B683" s="1" t="n">
        <v>44841</v>
      </c>
      <c r="C683" s="1" t="n">
        <v>45803</v>
      </c>
      <c r="D683" t="inlineStr">
        <is>
          <t>NORRBOTTENS LÄN</t>
        </is>
      </c>
      <c r="E683" t="inlineStr">
        <is>
          <t>BODEN</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45164-2022</t>
        </is>
      </c>
      <c r="B684" s="1" t="n">
        <v>44844</v>
      </c>
      <c r="C684" s="1" t="n">
        <v>45803</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45176-2022</t>
        </is>
      </c>
      <c r="B685" s="1" t="n">
        <v>44844</v>
      </c>
      <c r="C685" s="1" t="n">
        <v>45803</v>
      </c>
      <c r="D685" t="inlineStr">
        <is>
          <t>NORRBOTTENS LÄN</t>
        </is>
      </c>
      <c r="E685" t="inlineStr">
        <is>
          <t>BODEN</t>
        </is>
      </c>
      <c r="G685" t="n">
        <v>9.5</v>
      </c>
      <c r="H685" t="n">
        <v>0</v>
      </c>
      <c r="I685" t="n">
        <v>0</v>
      </c>
      <c r="J685" t="n">
        <v>0</v>
      </c>
      <c r="K685" t="n">
        <v>0</v>
      </c>
      <c r="L685" t="n">
        <v>0</v>
      </c>
      <c r="M685" t="n">
        <v>0</v>
      </c>
      <c r="N685" t="n">
        <v>0</v>
      </c>
      <c r="O685" t="n">
        <v>0</v>
      </c>
      <c r="P685" t="n">
        <v>0</v>
      </c>
      <c r="Q685" t="n">
        <v>0</v>
      </c>
      <c r="R685" s="2" t="inlineStr"/>
    </row>
    <row r="686" ht="15" customHeight="1">
      <c r="A686" t="inlineStr">
        <is>
          <t>A 46564-2022</t>
        </is>
      </c>
      <c r="B686" s="1" t="n">
        <v>44847</v>
      </c>
      <c r="C686" s="1" t="n">
        <v>45803</v>
      </c>
      <c r="D686" t="inlineStr">
        <is>
          <t>NORRBOTTENS LÄN</t>
        </is>
      </c>
      <c r="E686" t="inlineStr">
        <is>
          <t>BODEN</t>
        </is>
      </c>
      <c r="G686" t="n">
        <v>28</v>
      </c>
      <c r="H686" t="n">
        <v>0</v>
      </c>
      <c r="I686" t="n">
        <v>0</v>
      </c>
      <c r="J686" t="n">
        <v>0</v>
      </c>
      <c r="K686" t="n">
        <v>0</v>
      </c>
      <c r="L686" t="n">
        <v>0</v>
      </c>
      <c r="M686" t="n">
        <v>0</v>
      </c>
      <c r="N686" t="n">
        <v>0</v>
      </c>
      <c r="O686" t="n">
        <v>0</v>
      </c>
      <c r="P686" t="n">
        <v>0</v>
      </c>
      <c r="Q686" t="n">
        <v>0</v>
      </c>
      <c r="R686" s="2" t="inlineStr"/>
    </row>
    <row r="687" ht="15" customHeight="1">
      <c r="A687" t="inlineStr">
        <is>
          <t>A 46594-2022</t>
        </is>
      </c>
      <c r="B687" s="1" t="n">
        <v>44848</v>
      </c>
      <c r="C687" s="1" t="n">
        <v>45803</v>
      </c>
      <c r="D687" t="inlineStr">
        <is>
          <t>NORRBOTTENS LÄN</t>
        </is>
      </c>
      <c r="E687" t="inlineStr">
        <is>
          <t>BODEN</t>
        </is>
      </c>
      <c r="G687" t="n">
        <v>4.2</v>
      </c>
      <c r="H687" t="n">
        <v>0</v>
      </c>
      <c r="I687" t="n">
        <v>0</v>
      </c>
      <c r="J687" t="n">
        <v>0</v>
      </c>
      <c r="K687" t="n">
        <v>0</v>
      </c>
      <c r="L687" t="n">
        <v>0</v>
      </c>
      <c r="M687" t="n">
        <v>0</v>
      </c>
      <c r="N687" t="n">
        <v>0</v>
      </c>
      <c r="O687" t="n">
        <v>0</v>
      </c>
      <c r="P687" t="n">
        <v>0</v>
      </c>
      <c r="Q687" t="n">
        <v>0</v>
      </c>
      <c r="R687" s="2" t="inlineStr"/>
    </row>
    <row r="688" ht="15" customHeight="1">
      <c r="A688" t="inlineStr">
        <is>
          <t>A 47277-2022</t>
        </is>
      </c>
      <c r="B688" s="1" t="n">
        <v>44852</v>
      </c>
      <c r="C688" s="1" t="n">
        <v>45803</v>
      </c>
      <c r="D688" t="inlineStr">
        <is>
          <t>NORRBOTTENS LÄN</t>
        </is>
      </c>
      <c r="E688" t="inlineStr">
        <is>
          <t>BODEN</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47258-2022</t>
        </is>
      </c>
      <c r="B689" s="1" t="n">
        <v>44853</v>
      </c>
      <c r="C689" s="1" t="n">
        <v>45803</v>
      </c>
      <c r="D689" t="inlineStr">
        <is>
          <t>NORRBOTTENS LÄN</t>
        </is>
      </c>
      <c r="E689" t="inlineStr">
        <is>
          <t>BODEN</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47585-2022</t>
        </is>
      </c>
      <c r="B690" s="1" t="n">
        <v>44854</v>
      </c>
      <c r="C690" s="1" t="n">
        <v>45803</v>
      </c>
      <c r="D690" t="inlineStr">
        <is>
          <t>NORRBOTTENS LÄN</t>
        </is>
      </c>
      <c r="E690" t="inlineStr">
        <is>
          <t>BODEN</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47782-2022</t>
        </is>
      </c>
      <c r="B691" s="1" t="n">
        <v>44854</v>
      </c>
      <c r="C691" s="1" t="n">
        <v>45803</v>
      </c>
      <c r="D691" t="inlineStr">
        <is>
          <t>NORRBOTTENS LÄN</t>
        </is>
      </c>
      <c r="E691" t="inlineStr">
        <is>
          <t>BODEN</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48107-2022</t>
        </is>
      </c>
      <c r="B692" s="1" t="n">
        <v>44856</v>
      </c>
      <c r="C692" s="1" t="n">
        <v>45803</v>
      </c>
      <c r="D692" t="inlineStr">
        <is>
          <t>NORRBOTTENS LÄN</t>
        </is>
      </c>
      <c r="E692" t="inlineStr">
        <is>
          <t>BODEN</t>
        </is>
      </c>
      <c r="G692" t="n">
        <v>3.3</v>
      </c>
      <c r="H692" t="n">
        <v>0</v>
      </c>
      <c r="I692" t="n">
        <v>0</v>
      </c>
      <c r="J692" t="n">
        <v>0</v>
      </c>
      <c r="K692" t="n">
        <v>0</v>
      </c>
      <c r="L692" t="n">
        <v>0</v>
      </c>
      <c r="M692" t="n">
        <v>0</v>
      </c>
      <c r="N692" t="n">
        <v>0</v>
      </c>
      <c r="O692" t="n">
        <v>0</v>
      </c>
      <c r="P692" t="n">
        <v>0</v>
      </c>
      <c r="Q692" t="n">
        <v>0</v>
      </c>
      <c r="R692" s="2" t="inlineStr"/>
    </row>
    <row r="693" ht="15" customHeight="1">
      <c r="A693" t="inlineStr">
        <is>
          <t>A 48562-2022</t>
        </is>
      </c>
      <c r="B693" s="1" t="n">
        <v>44859</v>
      </c>
      <c r="C693" s="1" t="n">
        <v>45803</v>
      </c>
      <c r="D693" t="inlineStr">
        <is>
          <t>NORRBOTTENS LÄN</t>
        </is>
      </c>
      <c r="E693" t="inlineStr">
        <is>
          <t>BODEN</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48950-2022</t>
        </is>
      </c>
      <c r="B694" s="1" t="n">
        <v>44860</v>
      </c>
      <c r="C694" s="1" t="n">
        <v>45803</v>
      </c>
      <c r="D694" t="inlineStr">
        <is>
          <t>NORRBOTTENS LÄN</t>
        </is>
      </c>
      <c r="E694" t="inlineStr">
        <is>
          <t>BODEN</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49545-2022</t>
        </is>
      </c>
      <c r="B695" s="1" t="n">
        <v>44862</v>
      </c>
      <c r="C695" s="1" t="n">
        <v>45803</v>
      </c>
      <c r="D695" t="inlineStr">
        <is>
          <t>NORRBOTTENS LÄN</t>
        </is>
      </c>
      <c r="E695" t="inlineStr">
        <is>
          <t>BODEN</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49761-2022</t>
        </is>
      </c>
      <c r="B696" s="1" t="n">
        <v>44862</v>
      </c>
      <c r="C696" s="1" t="n">
        <v>45803</v>
      </c>
      <c r="D696" t="inlineStr">
        <is>
          <t>NORRBOTTENS LÄN</t>
        </is>
      </c>
      <c r="E696" t="inlineStr">
        <is>
          <t>BODEN</t>
        </is>
      </c>
      <c r="F696" t="inlineStr">
        <is>
          <t>Sveaskog</t>
        </is>
      </c>
      <c r="G696" t="n">
        <v>3.6</v>
      </c>
      <c r="H696" t="n">
        <v>0</v>
      </c>
      <c r="I696" t="n">
        <v>0</v>
      </c>
      <c r="J696" t="n">
        <v>0</v>
      </c>
      <c r="K696" t="n">
        <v>0</v>
      </c>
      <c r="L696" t="n">
        <v>0</v>
      </c>
      <c r="M696" t="n">
        <v>0</v>
      </c>
      <c r="N696" t="n">
        <v>0</v>
      </c>
      <c r="O696" t="n">
        <v>0</v>
      </c>
      <c r="P696" t="n">
        <v>0</v>
      </c>
      <c r="Q696" t="n">
        <v>0</v>
      </c>
      <c r="R696" s="2" t="inlineStr"/>
    </row>
    <row r="697" ht="15" customHeight="1">
      <c r="A697" t="inlineStr">
        <is>
          <t>A 49698-2022</t>
        </is>
      </c>
      <c r="B697" s="1" t="n">
        <v>44862</v>
      </c>
      <c r="C697" s="1" t="n">
        <v>45803</v>
      </c>
      <c r="D697" t="inlineStr">
        <is>
          <t>NORRBOTTENS LÄN</t>
        </is>
      </c>
      <c r="E697" t="inlineStr">
        <is>
          <t>BODEN</t>
        </is>
      </c>
      <c r="F697" t="inlineStr">
        <is>
          <t>Sveaskog</t>
        </is>
      </c>
      <c r="G697" t="n">
        <v>9.5</v>
      </c>
      <c r="H697" t="n">
        <v>0</v>
      </c>
      <c r="I697" t="n">
        <v>0</v>
      </c>
      <c r="J697" t="n">
        <v>0</v>
      </c>
      <c r="K697" t="n">
        <v>0</v>
      </c>
      <c r="L697" t="n">
        <v>0</v>
      </c>
      <c r="M697" t="n">
        <v>0</v>
      </c>
      <c r="N697" t="n">
        <v>0</v>
      </c>
      <c r="O697" t="n">
        <v>0</v>
      </c>
      <c r="P697" t="n">
        <v>0</v>
      </c>
      <c r="Q697" t="n">
        <v>0</v>
      </c>
      <c r="R697" s="2" t="inlineStr"/>
    </row>
    <row r="698" ht="15" customHeight="1">
      <c r="A698" t="inlineStr">
        <is>
          <t>A 49806-2022</t>
        </is>
      </c>
      <c r="B698" s="1" t="n">
        <v>44862</v>
      </c>
      <c r="C698" s="1" t="n">
        <v>45803</v>
      </c>
      <c r="D698" t="inlineStr">
        <is>
          <t>NORRBOTTENS LÄN</t>
        </is>
      </c>
      <c r="E698" t="inlineStr">
        <is>
          <t>BODEN</t>
        </is>
      </c>
      <c r="G698" t="n">
        <v>7.9</v>
      </c>
      <c r="H698" t="n">
        <v>0</v>
      </c>
      <c r="I698" t="n">
        <v>0</v>
      </c>
      <c r="J698" t="n">
        <v>0</v>
      </c>
      <c r="K698" t="n">
        <v>0</v>
      </c>
      <c r="L698" t="n">
        <v>0</v>
      </c>
      <c r="M698" t="n">
        <v>0</v>
      </c>
      <c r="N698" t="n">
        <v>0</v>
      </c>
      <c r="O698" t="n">
        <v>0</v>
      </c>
      <c r="P698" t="n">
        <v>0</v>
      </c>
      <c r="Q698" t="n">
        <v>0</v>
      </c>
      <c r="R698" s="2" t="inlineStr"/>
    </row>
    <row r="699" ht="15" customHeight="1">
      <c r="A699" t="inlineStr">
        <is>
          <t>A 50322-2022</t>
        </is>
      </c>
      <c r="B699" s="1" t="n">
        <v>44865</v>
      </c>
      <c r="C699" s="1" t="n">
        <v>45803</v>
      </c>
      <c r="D699" t="inlineStr">
        <is>
          <t>NORRBOTTENS LÄN</t>
        </is>
      </c>
      <c r="E699" t="inlineStr">
        <is>
          <t>BODEN</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50760-2022</t>
        </is>
      </c>
      <c r="B700" s="1" t="n">
        <v>44867</v>
      </c>
      <c r="C700" s="1" t="n">
        <v>45803</v>
      </c>
      <c r="D700" t="inlineStr">
        <is>
          <t>NORRBOTTENS LÄN</t>
        </is>
      </c>
      <c r="E700" t="inlineStr">
        <is>
          <t>BODEN</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50757-2022</t>
        </is>
      </c>
      <c r="B701" s="1" t="n">
        <v>44867</v>
      </c>
      <c r="C701" s="1" t="n">
        <v>45803</v>
      </c>
      <c r="D701" t="inlineStr">
        <is>
          <t>NORRBOTTENS LÄN</t>
        </is>
      </c>
      <c r="E701" t="inlineStr">
        <is>
          <t>BODEN</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50752-2022</t>
        </is>
      </c>
      <c r="B702" s="1" t="n">
        <v>44867</v>
      </c>
      <c r="C702" s="1" t="n">
        <v>45803</v>
      </c>
      <c r="D702" t="inlineStr">
        <is>
          <t>NORRBOTTENS LÄN</t>
        </is>
      </c>
      <c r="E702" t="inlineStr">
        <is>
          <t>BODEN</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51029-2022</t>
        </is>
      </c>
      <c r="B703" s="1" t="n">
        <v>44868</v>
      </c>
      <c r="C703" s="1" t="n">
        <v>45803</v>
      </c>
      <c r="D703" t="inlineStr">
        <is>
          <t>NORRBOTTENS LÄN</t>
        </is>
      </c>
      <c r="E703" t="inlineStr">
        <is>
          <t>BODEN</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51192-2022</t>
        </is>
      </c>
      <c r="B704" s="1" t="n">
        <v>44868</v>
      </c>
      <c r="C704" s="1" t="n">
        <v>45803</v>
      </c>
      <c r="D704" t="inlineStr">
        <is>
          <t>NORRBOTTENS LÄN</t>
        </is>
      </c>
      <c r="E704" t="inlineStr">
        <is>
          <t>BODEN</t>
        </is>
      </c>
      <c r="F704" t="inlineStr">
        <is>
          <t>Sveaskog</t>
        </is>
      </c>
      <c r="G704" t="n">
        <v>5.7</v>
      </c>
      <c r="H704" t="n">
        <v>0</v>
      </c>
      <c r="I704" t="n">
        <v>0</v>
      </c>
      <c r="J704" t="n">
        <v>0</v>
      </c>
      <c r="K704" t="n">
        <v>0</v>
      </c>
      <c r="L704" t="n">
        <v>0</v>
      </c>
      <c r="M704" t="n">
        <v>0</v>
      </c>
      <c r="N704" t="n">
        <v>0</v>
      </c>
      <c r="O704" t="n">
        <v>0</v>
      </c>
      <c r="P704" t="n">
        <v>0</v>
      </c>
      <c r="Q704" t="n">
        <v>0</v>
      </c>
      <c r="R704" s="2" t="inlineStr"/>
    </row>
    <row r="705" ht="15" customHeight="1">
      <c r="A705" t="inlineStr">
        <is>
          <t>A 52118-2022</t>
        </is>
      </c>
      <c r="B705" s="1" t="n">
        <v>44868</v>
      </c>
      <c r="C705" s="1" t="n">
        <v>45803</v>
      </c>
      <c r="D705" t="inlineStr">
        <is>
          <t>NORRBOTTENS LÄN</t>
        </is>
      </c>
      <c r="E705" t="inlineStr">
        <is>
          <t>BODEN</t>
        </is>
      </c>
      <c r="G705" t="n">
        <v>2.4</v>
      </c>
      <c r="H705" t="n">
        <v>0</v>
      </c>
      <c r="I705" t="n">
        <v>0</v>
      </c>
      <c r="J705" t="n">
        <v>0</v>
      </c>
      <c r="K705" t="n">
        <v>0</v>
      </c>
      <c r="L705" t="n">
        <v>0</v>
      </c>
      <c r="M705" t="n">
        <v>0</v>
      </c>
      <c r="N705" t="n">
        <v>0</v>
      </c>
      <c r="O705" t="n">
        <v>0</v>
      </c>
      <c r="P705" t="n">
        <v>0</v>
      </c>
      <c r="Q705" t="n">
        <v>0</v>
      </c>
      <c r="R705" s="2" t="inlineStr"/>
    </row>
    <row r="706" ht="15" customHeight="1">
      <c r="A706" t="inlineStr">
        <is>
          <t>A 52049-2022</t>
        </is>
      </c>
      <c r="B706" s="1" t="n">
        <v>44873</v>
      </c>
      <c r="C706" s="1" t="n">
        <v>45803</v>
      </c>
      <c r="D706" t="inlineStr">
        <is>
          <t>NORRBOTTENS LÄN</t>
        </is>
      </c>
      <c r="E706" t="inlineStr">
        <is>
          <t>BODEN</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52619-2022</t>
        </is>
      </c>
      <c r="B707" s="1" t="n">
        <v>44874</v>
      </c>
      <c r="C707" s="1" t="n">
        <v>45803</v>
      </c>
      <c r="D707" t="inlineStr">
        <is>
          <t>NORRBOTTENS LÄN</t>
        </is>
      </c>
      <c r="E707" t="inlineStr">
        <is>
          <t>BODEN</t>
        </is>
      </c>
      <c r="G707" t="n">
        <v>4.8</v>
      </c>
      <c r="H707" t="n">
        <v>0</v>
      </c>
      <c r="I707" t="n">
        <v>0</v>
      </c>
      <c r="J707" t="n">
        <v>0</v>
      </c>
      <c r="K707" t="n">
        <v>0</v>
      </c>
      <c r="L707" t="n">
        <v>0</v>
      </c>
      <c r="M707" t="n">
        <v>0</v>
      </c>
      <c r="N707" t="n">
        <v>0</v>
      </c>
      <c r="O707" t="n">
        <v>0</v>
      </c>
      <c r="P707" t="n">
        <v>0</v>
      </c>
      <c r="Q707" t="n">
        <v>0</v>
      </c>
      <c r="R707" s="2" t="inlineStr"/>
    </row>
    <row r="708" ht="15" customHeight="1">
      <c r="A708" t="inlineStr">
        <is>
          <t>A 53007-2022</t>
        </is>
      </c>
      <c r="B708" s="1" t="n">
        <v>44875</v>
      </c>
      <c r="C708" s="1" t="n">
        <v>45803</v>
      </c>
      <c r="D708" t="inlineStr">
        <is>
          <t>NORRBOTTENS LÄN</t>
        </is>
      </c>
      <c r="E708" t="inlineStr">
        <is>
          <t>BODEN</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53006-2022</t>
        </is>
      </c>
      <c r="B709" s="1" t="n">
        <v>44875</v>
      </c>
      <c r="C709" s="1" t="n">
        <v>45803</v>
      </c>
      <c r="D709" t="inlineStr">
        <is>
          <t>NORRBOTTENS LÄN</t>
        </is>
      </c>
      <c r="E709" t="inlineStr">
        <is>
          <t>BODEN</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53840-2022</t>
        </is>
      </c>
      <c r="B710" s="1" t="n">
        <v>44880</v>
      </c>
      <c r="C710" s="1" t="n">
        <v>45803</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54104-2022</t>
        </is>
      </c>
      <c r="B711" s="1" t="n">
        <v>44881</v>
      </c>
      <c r="C711" s="1" t="n">
        <v>45803</v>
      </c>
      <c r="D711" t="inlineStr">
        <is>
          <t>NORRBOTTENS LÄN</t>
        </is>
      </c>
      <c r="E711" t="inlineStr">
        <is>
          <t>BODEN</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54237-2022</t>
        </is>
      </c>
      <c r="B712" s="1" t="n">
        <v>44881</v>
      </c>
      <c r="C712" s="1" t="n">
        <v>45803</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54236-2022</t>
        </is>
      </c>
      <c r="B713" s="1" t="n">
        <v>44881</v>
      </c>
      <c r="C713" s="1" t="n">
        <v>45803</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54240-2022</t>
        </is>
      </c>
      <c r="B714" s="1" t="n">
        <v>44881</v>
      </c>
      <c r="C714" s="1" t="n">
        <v>45803</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54421-2022</t>
        </is>
      </c>
      <c r="B715" s="1" t="n">
        <v>44882</v>
      </c>
      <c r="C715" s="1" t="n">
        <v>45803</v>
      </c>
      <c r="D715" t="inlineStr">
        <is>
          <t>NORRBOTTENS LÄN</t>
        </is>
      </c>
      <c r="E715" t="inlineStr">
        <is>
          <t>BODEN</t>
        </is>
      </c>
      <c r="G715" t="n">
        <v>12.3</v>
      </c>
      <c r="H715" t="n">
        <v>0</v>
      </c>
      <c r="I715" t="n">
        <v>0</v>
      </c>
      <c r="J715" t="n">
        <v>0</v>
      </c>
      <c r="K715" t="n">
        <v>0</v>
      </c>
      <c r="L715" t="n">
        <v>0</v>
      </c>
      <c r="M715" t="n">
        <v>0</v>
      </c>
      <c r="N715" t="n">
        <v>0</v>
      </c>
      <c r="O715" t="n">
        <v>0</v>
      </c>
      <c r="P715" t="n">
        <v>0</v>
      </c>
      <c r="Q715" t="n">
        <v>0</v>
      </c>
      <c r="R715" s="2" t="inlineStr"/>
    </row>
    <row r="716" ht="15" customHeight="1">
      <c r="A716" t="inlineStr">
        <is>
          <t>A 54587-2022</t>
        </is>
      </c>
      <c r="B716" s="1" t="n">
        <v>44883</v>
      </c>
      <c r="C716" s="1" t="n">
        <v>45803</v>
      </c>
      <c r="D716" t="inlineStr">
        <is>
          <t>NORRBOTTENS LÄN</t>
        </is>
      </c>
      <c r="E716" t="inlineStr">
        <is>
          <t>BODEN</t>
        </is>
      </c>
      <c r="F716" t="inlineStr">
        <is>
          <t>Sveaskog</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54592-2022</t>
        </is>
      </c>
      <c r="B717" s="1" t="n">
        <v>44883</v>
      </c>
      <c r="C717" s="1" t="n">
        <v>45803</v>
      </c>
      <c r="D717" t="inlineStr">
        <is>
          <t>NORRBOTTENS LÄN</t>
        </is>
      </c>
      <c r="E717" t="inlineStr">
        <is>
          <t>BODEN</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54590-2022</t>
        </is>
      </c>
      <c r="B718" s="1" t="n">
        <v>44883</v>
      </c>
      <c r="C718" s="1" t="n">
        <v>45803</v>
      </c>
      <c r="D718" t="inlineStr">
        <is>
          <t>NORRBOTTENS LÄN</t>
        </is>
      </c>
      <c r="E718" t="inlineStr">
        <is>
          <t>BODEN</t>
        </is>
      </c>
      <c r="F718" t="inlineStr">
        <is>
          <t>Sveaskog</t>
        </is>
      </c>
      <c r="G718" t="n">
        <v>4.3</v>
      </c>
      <c r="H718" t="n">
        <v>0</v>
      </c>
      <c r="I718" t="n">
        <v>0</v>
      </c>
      <c r="J718" t="n">
        <v>0</v>
      </c>
      <c r="K718" t="n">
        <v>0</v>
      </c>
      <c r="L718" t="n">
        <v>0</v>
      </c>
      <c r="M718" t="n">
        <v>0</v>
      </c>
      <c r="N718" t="n">
        <v>0</v>
      </c>
      <c r="O718" t="n">
        <v>0</v>
      </c>
      <c r="P718" t="n">
        <v>0</v>
      </c>
      <c r="Q718" t="n">
        <v>0</v>
      </c>
      <c r="R718" s="2" t="inlineStr"/>
    </row>
    <row r="719" ht="15" customHeight="1">
      <c r="A719" t="inlineStr">
        <is>
          <t>A 55536-2022</t>
        </is>
      </c>
      <c r="B719" s="1" t="n">
        <v>44887</v>
      </c>
      <c r="C719" s="1" t="n">
        <v>45803</v>
      </c>
      <c r="D719" t="inlineStr">
        <is>
          <t>NORRBOTTENS LÄN</t>
        </is>
      </c>
      <c r="E719" t="inlineStr">
        <is>
          <t>BODEN</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55541-2022</t>
        </is>
      </c>
      <c r="B720" s="1" t="n">
        <v>44887</v>
      </c>
      <c r="C720" s="1" t="n">
        <v>45803</v>
      </c>
      <c r="D720" t="inlineStr">
        <is>
          <t>NORRBOTTENS LÄN</t>
        </is>
      </c>
      <c r="E720" t="inlineStr">
        <is>
          <t>BODEN</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55539-2022</t>
        </is>
      </c>
      <c r="B721" s="1" t="n">
        <v>44887</v>
      </c>
      <c r="C721" s="1" t="n">
        <v>45803</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55534-2022</t>
        </is>
      </c>
      <c r="B722" s="1" t="n">
        <v>44887</v>
      </c>
      <c r="C722" s="1" t="n">
        <v>45803</v>
      </c>
      <c r="D722" t="inlineStr">
        <is>
          <t>NORRBOTTENS LÄN</t>
        </is>
      </c>
      <c r="E722" t="inlineStr">
        <is>
          <t>BODEN</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55540-2022</t>
        </is>
      </c>
      <c r="B723" s="1" t="n">
        <v>44887</v>
      </c>
      <c r="C723" s="1" t="n">
        <v>45803</v>
      </c>
      <c r="D723" t="inlineStr">
        <is>
          <t>NORRBOTTENS LÄN</t>
        </is>
      </c>
      <c r="E723" t="inlineStr">
        <is>
          <t>BODEN</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55538-2022</t>
        </is>
      </c>
      <c r="B724" s="1" t="n">
        <v>44887</v>
      </c>
      <c r="C724" s="1" t="n">
        <v>45803</v>
      </c>
      <c r="D724" t="inlineStr">
        <is>
          <t>NORRBOTTENS LÄN</t>
        </is>
      </c>
      <c r="E724" t="inlineStr">
        <is>
          <t>BODEN</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55979-2022</t>
        </is>
      </c>
      <c r="B725" s="1" t="n">
        <v>44889</v>
      </c>
      <c r="C725" s="1" t="n">
        <v>45803</v>
      </c>
      <c r="D725" t="inlineStr">
        <is>
          <t>NORRBOTTENS LÄN</t>
        </is>
      </c>
      <c r="E725" t="inlineStr">
        <is>
          <t>BODEN</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55984-2022</t>
        </is>
      </c>
      <c r="B726" s="1" t="n">
        <v>44889</v>
      </c>
      <c r="C726" s="1" t="n">
        <v>45803</v>
      </c>
      <c r="D726" t="inlineStr">
        <is>
          <t>NORRBOTTENS LÄN</t>
        </is>
      </c>
      <c r="E726" t="inlineStr">
        <is>
          <t>BODEN</t>
        </is>
      </c>
      <c r="F726" t="inlineStr">
        <is>
          <t>Sveaskog</t>
        </is>
      </c>
      <c r="G726" t="n">
        <v>15.3</v>
      </c>
      <c r="H726" t="n">
        <v>0</v>
      </c>
      <c r="I726" t="n">
        <v>0</v>
      </c>
      <c r="J726" t="n">
        <v>0</v>
      </c>
      <c r="K726" t="n">
        <v>0</v>
      </c>
      <c r="L726" t="n">
        <v>0</v>
      </c>
      <c r="M726" t="n">
        <v>0</v>
      </c>
      <c r="N726" t="n">
        <v>0</v>
      </c>
      <c r="O726" t="n">
        <v>0</v>
      </c>
      <c r="P726" t="n">
        <v>0</v>
      </c>
      <c r="Q726" t="n">
        <v>0</v>
      </c>
      <c r="R726" s="2" t="inlineStr"/>
    </row>
    <row r="727" ht="15" customHeight="1">
      <c r="A727" t="inlineStr">
        <is>
          <t>A 56163-2022</t>
        </is>
      </c>
      <c r="B727" s="1" t="n">
        <v>44889</v>
      </c>
      <c r="C727" s="1" t="n">
        <v>45803</v>
      </c>
      <c r="D727" t="inlineStr">
        <is>
          <t>NORRBOTTENS LÄN</t>
        </is>
      </c>
      <c r="E727" t="inlineStr">
        <is>
          <t>BODEN</t>
        </is>
      </c>
      <c r="G727" t="n">
        <v>6.1</v>
      </c>
      <c r="H727" t="n">
        <v>0</v>
      </c>
      <c r="I727" t="n">
        <v>0</v>
      </c>
      <c r="J727" t="n">
        <v>0</v>
      </c>
      <c r="K727" t="n">
        <v>0</v>
      </c>
      <c r="L727" t="n">
        <v>0</v>
      </c>
      <c r="M727" t="n">
        <v>0</v>
      </c>
      <c r="N727" t="n">
        <v>0</v>
      </c>
      <c r="O727" t="n">
        <v>0</v>
      </c>
      <c r="P727" t="n">
        <v>0</v>
      </c>
      <c r="Q727" t="n">
        <v>0</v>
      </c>
      <c r="R727" s="2" t="inlineStr"/>
    </row>
    <row r="728" ht="15" customHeight="1">
      <c r="A728" t="inlineStr">
        <is>
          <t>A 56094-2022</t>
        </is>
      </c>
      <c r="B728" s="1" t="n">
        <v>44889</v>
      </c>
      <c r="C728" s="1" t="n">
        <v>45803</v>
      </c>
      <c r="D728" t="inlineStr">
        <is>
          <t>NORRBOTTENS LÄN</t>
        </is>
      </c>
      <c r="E728" t="inlineStr">
        <is>
          <t>BODEN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57739-2022</t>
        </is>
      </c>
      <c r="B729" s="1" t="n">
        <v>44897</v>
      </c>
      <c r="C729" s="1" t="n">
        <v>45803</v>
      </c>
      <c r="D729" t="inlineStr">
        <is>
          <t>NORRBOTTENS LÄN</t>
        </is>
      </c>
      <c r="E729" t="inlineStr">
        <is>
          <t>BODEN</t>
        </is>
      </c>
      <c r="G729" t="n">
        <v>4.3</v>
      </c>
      <c r="H729" t="n">
        <v>0</v>
      </c>
      <c r="I729" t="n">
        <v>0</v>
      </c>
      <c r="J729" t="n">
        <v>0</v>
      </c>
      <c r="K729" t="n">
        <v>0</v>
      </c>
      <c r="L729" t="n">
        <v>0</v>
      </c>
      <c r="M729" t="n">
        <v>0</v>
      </c>
      <c r="N729" t="n">
        <v>0</v>
      </c>
      <c r="O729" t="n">
        <v>0</v>
      </c>
      <c r="P729" t="n">
        <v>0</v>
      </c>
      <c r="Q729" t="n">
        <v>0</v>
      </c>
      <c r="R729" s="2" t="inlineStr"/>
    </row>
    <row r="730" ht="15" customHeight="1">
      <c r="A730" t="inlineStr">
        <is>
          <t>A 57813-2022</t>
        </is>
      </c>
      <c r="B730" s="1" t="n">
        <v>44897</v>
      </c>
      <c r="C730" s="1" t="n">
        <v>45803</v>
      </c>
      <c r="D730" t="inlineStr">
        <is>
          <t>NORRBOTTENS LÄN</t>
        </is>
      </c>
      <c r="E730" t="inlineStr">
        <is>
          <t>BODEN</t>
        </is>
      </c>
      <c r="G730" t="n">
        <v>3.3</v>
      </c>
      <c r="H730" t="n">
        <v>0</v>
      </c>
      <c r="I730" t="n">
        <v>0</v>
      </c>
      <c r="J730" t="n">
        <v>0</v>
      </c>
      <c r="K730" t="n">
        <v>0</v>
      </c>
      <c r="L730" t="n">
        <v>0</v>
      </c>
      <c r="M730" t="n">
        <v>0</v>
      </c>
      <c r="N730" t="n">
        <v>0</v>
      </c>
      <c r="O730" t="n">
        <v>0</v>
      </c>
      <c r="P730" t="n">
        <v>0</v>
      </c>
      <c r="Q730" t="n">
        <v>0</v>
      </c>
      <c r="R730" s="2" t="inlineStr"/>
    </row>
    <row r="731" ht="15" customHeight="1">
      <c r="A731" t="inlineStr">
        <is>
          <t>A 57897-2022</t>
        </is>
      </c>
      <c r="B731" s="1" t="n">
        <v>44900</v>
      </c>
      <c r="C731" s="1" t="n">
        <v>45803</v>
      </c>
      <c r="D731" t="inlineStr">
        <is>
          <t>NORRBOTTENS LÄN</t>
        </is>
      </c>
      <c r="E731" t="inlineStr">
        <is>
          <t>BODEN</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58062-2022</t>
        </is>
      </c>
      <c r="B732" s="1" t="n">
        <v>44900</v>
      </c>
      <c r="C732" s="1" t="n">
        <v>45803</v>
      </c>
      <c r="D732" t="inlineStr">
        <is>
          <t>NORRBOTTENS LÄN</t>
        </is>
      </c>
      <c r="E732" t="inlineStr">
        <is>
          <t>BODEN</t>
        </is>
      </c>
      <c r="G732" t="n">
        <v>5.2</v>
      </c>
      <c r="H732" t="n">
        <v>0</v>
      </c>
      <c r="I732" t="n">
        <v>0</v>
      </c>
      <c r="J732" t="n">
        <v>0</v>
      </c>
      <c r="K732" t="n">
        <v>0</v>
      </c>
      <c r="L732" t="n">
        <v>0</v>
      </c>
      <c r="M732" t="n">
        <v>0</v>
      </c>
      <c r="N732" t="n">
        <v>0</v>
      </c>
      <c r="O732" t="n">
        <v>0</v>
      </c>
      <c r="P732" t="n">
        <v>0</v>
      </c>
      <c r="Q732" t="n">
        <v>0</v>
      </c>
      <c r="R732" s="2" t="inlineStr"/>
    </row>
    <row r="733" ht="15" customHeight="1">
      <c r="A733" t="inlineStr">
        <is>
          <t>A 58373-2022</t>
        </is>
      </c>
      <c r="B733" s="1" t="n">
        <v>44901</v>
      </c>
      <c r="C733" s="1" t="n">
        <v>45803</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59930-2022</t>
        </is>
      </c>
      <c r="B734" s="1" t="n">
        <v>44901</v>
      </c>
      <c r="C734" s="1" t="n">
        <v>45803</v>
      </c>
      <c r="D734" t="inlineStr">
        <is>
          <t>NORRBOTTENS LÄN</t>
        </is>
      </c>
      <c r="E734" t="inlineStr">
        <is>
          <t>BODEN</t>
        </is>
      </c>
      <c r="G734" t="n">
        <v>8.4</v>
      </c>
      <c r="H734" t="n">
        <v>0</v>
      </c>
      <c r="I734" t="n">
        <v>0</v>
      </c>
      <c r="J734" t="n">
        <v>0</v>
      </c>
      <c r="K734" t="n">
        <v>0</v>
      </c>
      <c r="L734" t="n">
        <v>0</v>
      </c>
      <c r="M734" t="n">
        <v>0</v>
      </c>
      <c r="N734" t="n">
        <v>0</v>
      </c>
      <c r="O734" t="n">
        <v>0</v>
      </c>
      <c r="P734" t="n">
        <v>0</v>
      </c>
      <c r="Q734" t="n">
        <v>0</v>
      </c>
      <c r="R734" s="2" t="inlineStr"/>
    </row>
    <row r="735" ht="15" customHeight="1">
      <c r="A735" t="inlineStr">
        <is>
          <t>A 58788-2022</t>
        </is>
      </c>
      <c r="B735" s="1" t="n">
        <v>44903</v>
      </c>
      <c r="C735" s="1" t="n">
        <v>45803</v>
      </c>
      <c r="D735" t="inlineStr">
        <is>
          <t>NORRBOTTENS LÄN</t>
        </is>
      </c>
      <c r="E735" t="inlineStr">
        <is>
          <t>BODEN</t>
        </is>
      </c>
      <c r="G735" t="n">
        <v>2.4</v>
      </c>
      <c r="H735" t="n">
        <v>0</v>
      </c>
      <c r="I735" t="n">
        <v>0</v>
      </c>
      <c r="J735" t="n">
        <v>0</v>
      </c>
      <c r="K735" t="n">
        <v>0</v>
      </c>
      <c r="L735" t="n">
        <v>0</v>
      </c>
      <c r="M735" t="n">
        <v>0</v>
      </c>
      <c r="N735" t="n">
        <v>0</v>
      </c>
      <c r="O735" t="n">
        <v>0</v>
      </c>
      <c r="P735" t="n">
        <v>0</v>
      </c>
      <c r="Q735" t="n">
        <v>0</v>
      </c>
      <c r="R735" s="2" t="inlineStr"/>
    </row>
    <row r="736" ht="15" customHeight="1">
      <c r="A736" t="inlineStr">
        <is>
          <t>A 59028-2022</t>
        </is>
      </c>
      <c r="B736" s="1" t="n">
        <v>44903</v>
      </c>
      <c r="C736" s="1" t="n">
        <v>45803</v>
      </c>
      <c r="D736" t="inlineStr">
        <is>
          <t>NORRBOTTENS LÄN</t>
        </is>
      </c>
      <c r="E736" t="inlineStr">
        <is>
          <t>BODEN</t>
        </is>
      </c>
      <c r="G736" t="n">
        <v>16.1</v>
      </c>
      <c r="H736" t="n">
        <v>0</v>
      </c>
      <c r="I736" t="n">
        <v>0</v>
      </c>
      <c r="J736" t="n">
        <v>0</v>
      </c>
      <c r="K736" t="n">
        <v>0</v>
      </c>
      <c r="L736" t="n">
        <v>0</v>
      </c>
      <c r="M736" t="n">
        <v>0</v>
      </c>
      <c r="N736" t="n">
        <v>0</v>
      </c>
      <c r="O736" t="n">
        <v>0</v>
      </c>
      <c r="P736" t="n">
        <v>0</v>
      </c>
      <c r="Q736" t="n">
        <v>0</v>
      </c>
      <c r="R736" s="2" t="inlineStr"/>
    </row>
    <row r="737" ht="15" customHeight="1">
      <c r="A737" t="inlineStr">
        <is>
          <t>A 59029-2022</t>
        </is>
      </c>
      <c r="B737" s="1" t="n">
        <v>44903</v>
      </c>
      <c r="C737" s="1" t="n">
        <v>45803</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61107-2022</t>
        </is>
      </c>
      <c r="B738" s="1" t="n">
        <v>44908</v>
      </c>
      <c r="C738" s="1" t="n">
        <v>45803</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61103-2022</t>
        </is>
      </c>
      <c r="B739" s="1" t="n">
        <v>44908</v>
      </c>
      <c r="C739" s="1" t="n">
        <v>45803</v>
      </c>
      <c r="D739" t="inlineStr">
        <is>
          <t>NORRBOTTENS LÄN</t>
        </is>
      </c>
      <c r="E739" t="inlineStr">
        <is>
          <t>BODEN</t>
        </is>
      </c>
      <c r="G739" t="n">
        <v>1.4</v>
      </c>
      <c r="H739" t="n">
        <v>0</v>
      </c>
      <c r="I739" t="n">
        <v>0</v>
      </c>
      <c r="J739" t="n">
        <v>0</v>
      </c>
      <c r="K739" t="n">
        <v>0</v>
      </c>
      <c r="L739" t="n">
        <v>0</v>
      </c>
      <c r="M739" t="n">
        <v>0</v>
      </c>
      <c r="N739" t="n">
        <v>0</v>
      </c>
      <c r="O739" t="n">
        <v>0</v>
      </c>
      <c r="P739" t="n">
        <v>0</v>
      </c>
      <c r="Q739" t="n">
        <v>0</v>
      </c>
      <c r="R739" s="2" t="inlineStr"/>
    </row>
    <row r="740" ht="15" customHeight="1">
      <c r="A740" t="inlineStr">
        <is>
          <t>A 61086-2022</t>
        </is>
      </c>
      <c r="B740" s="1" t="n">
        <v>44908</v>
      </c>
      <c r="C740" s="1" t="n">
        <v>45803</v>
      </c>
      <c r="D740" t="inlineStr">
        <is>
          <t>NORRBOTTENS LÄN</t>
        </is>
      </c>
      <c r="E740" t="inlineStr">
        <is>
          <t>BODEN</t>
        </is>
      </c>
      <c r="G740" t="n">
        <v>7.7</v>
      </c>
      <c r="H740" t="n">
        <v>0</v>
      </c>
      <c r="I740" t="n">
        <v>0</v>
      </c>
      <c r="J740" t="n">
        <v>0</v>
      </c>
      <c r="K740" t="n">
        <v>0</v>
      </c>
      <c r="L740" t="n">
        <v>0</v>
      </c>
      <c r="M740" t="n">
        <v>0</v>
      </c>
      <c r="N740" t="n">
        <v>0</v>
      </c>
      <c r="O740" t="n">
        <v>0</v>
      </c>
      <c r="P740" t="n">
        <v>0</v>
      </c>
      <c r="Q740" t="n">
        <v>0</v>
      </c>
      <c r="R740" s="2" t="inlineStr"/>
    </row>
    <row r="741" ht="15" customHeight="1">
      <c r="A741" t="inlineStr">
        <is>
          <t>A 61488-2022</t>
        </is>
      </c>
      <c r="B741" s="1" t="n">
        <v>44910</v>
      </c>
      <c r="C741" s="1" t="n">
        <v>45803</v>
      </c>
      <c r="D741" t="inlineStr">
        <is>
          <t>NORRBOTTENS LÄN</t>
        </is>
      </c>
      <c r="E741" t="inlineStr">
        <is>
          <t>BODEN</t>
        </is>
      </c>
      <c r="F741" t="inlineStr">
        <is>
          <t>Sveaskog</t>
        </is>
      </c>
      <c r="G741" t="n">
        <v>18.6</v>
      </c>
      <c r="H741" t="n">
        <v>0</v>
      </c>
      <c r="I741" t="n">
        <v>0</v>
      </c>
      <c r="J741" t="n">
        <v>0</v>
      </c>
      <c r="K741" t="n">
        <v>0</v>
      </c>
      <c r="L741" t="n">
        <v>0</v>
      </c>
      <c r="M741" t="n">
        <v>0</v>
      </c>
      <c r="N741" t="n">
        <v>0</v>
      </c>
      <c r="O741" t="n">
        <v>0</v>
      </c>
      <c r="P741" t="n">
        <v>0</v>
      </c>
      <c r="Q741" t="n">
        <v>0</v>
      </c>
      <c r="R741" s="2" t="inlineStr"/>
    </row>
    <row r="742" ht="15" customHeight="1">
      <c r="A742" t="inlineStr">
        <is>
          <t>A 60436-2022</t>
        </is>
      </c>
      <c r="B742" s="1" t="n">
        <v>44911</v>
      </c>
      <c r="C742" s="1" t="n">
        <v>45803</v>
      </c>
      <c r="D742" t="inlineStr">
        <is>
          <t>NORRBOTTENS LÄN</t>
        </is>
      </c>
      <c r="E742" t="inlineStr">
        <is>
          <t>BODEN</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61725-2022</t>
        </is>
      </c>
      <c r="B743" s="1" t="n">
        <v>44911</v>
      </c>
      <c r="C743" s="1" t="n">
        <v>45803</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61708-2022</t>
        </is>
      </c>
      <c r="B744" s="1" t="n">
        <v>44911</v>
      </c>
      <c r="C744" s="1" t="n">
        <v>45803</v>
      </c>
      <c r="D744" t="inlineStr">
        <is>
          <t>NORRBOTTENS LÄN</t>
        </is>
      </c>
      <c r="E744" t="inlineStr">
        <is>
          <t>BODEN</t>
        </is>
      </c>
      <c r="G744" t="n">
        <v>2.7</v>
      </c>
      <c r="H744" t="n">
        <v>0</v>
      </c>
      <c r="I744" t="n">
        <v>0</v>
      </c>
      <c r="J744" t="n">
        <v>0</v>
      </c>
      <c r="K744" t="n">
        <v>0</v>
      </c>
      <c r="L744" t="n">
        <v>0</v>
      </c>
      <c r="M744" t="n">
        <v>0</v>
      </c>
      <c r="N744" t="n">
        <v>0</v>
      </c>
      <c r="O744" t="n">
        <v>0</v>
      </c>
      <c r="P744" t="n">
        <v>0</v>
      </c>
      <c r="Q744" t="n">
        <v>0</v>
      </c>
      <c r="R744" s="2" t="inlineStr"/>
    </row>
    <row r="745" ht="15" customHeight="1">
      <c r="A745" t="inlineStr">
        <is>
          <t>A 61857-2022</t>
        </is>
      </c>
      <c r="B745" s="1" t="n">
        <v>44911</v>
      </c>
      <c r="C745" s="1" t="n">
        <v>45803</v>
      </c>
      <c r="D745" t="inlineStr">
        <is>
          <t>NORRBOTTENS LÄN</t>
        </is>
      </c>
      <c r="E745" t="inlineStr">
        <is>
          <t>BODEN</t>
        </is>
      </c>
      <c r="G745" t="n">
        <v>1.9</v>
      </c>
      <c r="H745" t="n">
        <v>0</v>
      </c>
      <c r="I745" t="n">
        <v>0</v>
      </c>
      <c r="J745" t="n">
        <v>0</v>
      </c>
      <c r="K745" t="n">
        <v>0</v>
      </c>
      <c r="L745" t="n">
        <v>0</v>
      </c>
      <c r="M745" t="n">
        <v>0</v>
      </c>
      <c r="N745" t="n">
        <v>0</v>
      </c>
      <c r="O745" t="n">
        <v>0</v>
      </c>
      <c r="P745" t="n">
        <v>0</v>
      </c>
      <c r="Q745" t="n">
        <v>0</v>
      </c>
      <c r="R745" s="2" t="inlineStr"/>
    </row>
    <row r="746" ht="15" customHeight="1">
      <c r="A746" t="inlineStr">
        <is>
          <t>A 61922-2022</t>
        </is>
      </c>
      <c r="B746" s="1" t="n">
        <v>44917</v>
      </c>
      <c r="C746" s="1" t="n">
        <v>45803</v>
      </c>
      <c r="D746" t="inlineStr">
        <is>
          <t>NORRBOTTENS LÄN</t>
        </is>
      </c>
      <c r="E746" t="inlineStr">
        <is>
          <t>BODEN</t>
        </is>
      </c>
      <c r="G746" t="n">
        <v>1.3</v>
      </c>
      <c r="H746" t="n">
        <v>0</v>
      </c>
      <c r="I746" t="n">
        <v>0</v>
      </c>
      <c r="J746" t="n">
        <v>0</v>
      </c>
      <c r="K746" t="n">
        <v>0</v>
      </c>
      <c r="L746" t="n">
        <v>0</v>
      </c>
      <c r="M746" t="n">
        <v>0</v>
      </c>
      <c r="N746" t="n">
        <v>0</v>
      </c>
      <c r="O746" t="n">
        <v>0</v>
      </c>
      <c r="P746" t="n">
        <v>0</v>
      </c>
      <c r="Q746" t="n">
        <v>0</v>
      </c>
      <c r="R746" s="2" t="inlineStr"/>
    </row>
    <row r="747" ht="15" customHeight="1">
      <c r="A747" t="inlineStr">
        <is>
          <t>A 62019-2022</t>
        </is>
      </c>
      <c r="B747" s="1" t="n">
        <v>44918</v>
      </c>
      <c r="C747" s="1" t="n">
        <v>45803</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62487-2022</t>
        </is>
      </c>
      <c r="B748" s="1" t="n">
        <v>44924</v>
      </c>
      <c r="C748" s="1" t="n">
        <v>45803</v>
      </c>
      <c r="D748" t="inlineStr">
        <is>
          <t>NORRBOTTENS LÄN</t>
        </is>
      </c>
      <c r="E748" t="inlineStr">
        <is>
          <t>BODEN</t>
        </is>
      </c>
      <c r="G748" t="n">
        <v>5.7</v>
      </c>
      <c r="H748" t="n">
        <v>0</v>
      </c>
      <c r="I748" t="n">
        <v>0</v>
      </c>
      <c r="J748" t="n">
        <v>0</v>
      </c>
      <c r="K748" t="n">
        <v>0</v>
      </c>
      <c r="L748" t="n">
        <v>0</v>
      </c>
      <c r="M748" t="n">
        <v>0</v>
      </c>
      <c r="N748" t="n">
        <v>0</v>
      </c>
      <c r="O748" t="n">
        <v>0</v>
      </c>
      <c r="P748" t="n">
        <v>0</v>
      </c>
      <c r="Q748" t="n">
        <v>0</v>
      </c>
      <c r="R748" s="2" t="inlineStr"/>
    </row>
    <row r="749" ht="15" customHeight="1">
      <c r="A749" t="inlineStr">
        <is>
          <t>A 62730-2022</t>
        </is>
      </c>
      <c r="B749" s="1" t="n">
        <v>44925</v>
      </c>
      <c r="C749" s="1" t="n">
        <v>45803</v>
      </c>
      <c r="D749" t="inlineStr">
        <is>
          <t>NORRBOTTENS LÄN</t>
        </is>
      </c>
      <c r="E749" t="inlineStr">
        <is>
          <t>BODEN</t>
        </is>
      </c>
      <c r="G749" t="n">
        <v>3.1</v>
      </c>
      <c r="H749" t="n">
        <v>0</v>
      </c>
      <c r="I749" t="n">
        <v>0</v>
      </c>
      <c r="J749" t="n">
        <v>0</v>
      </c>
      <c r="K749" t="n">
        <v>0</v>
      </c>
      <c r="L749" t="n">
        <v>0</v>
      </c>
      <c r="M749" t="n">
        <v>0</v>
      </c>
      <c r="N749" t="n">
        <v>0</v>
      </c>
      <c r="O749" t="n">
        <v>0</v>
      </c>
      <c r="P749" t="n">
        <v>0</v>
      </c>
      <c r="Q749" t="n">
        <v>0</v>
      </c>
      <c r="R749" s="2" t="inlineStr"/>
    </row>
    <row r="750" ht="15" customHeight="1">
      <c r="A750" t="inlineStr">
        <is>
          <t>A 665-2023</t>
        </is>
      </c>
      <c r="B750" s="1" t="n">
        <v>44925</v>
      </c>
      <c r="C750" s="1" t="n">
        <v>45803</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406-2023</t>
        </is>
      </c>
      <c r="B751" s="1" t="n">
        <v>44929</v>
      </c>
      <c r="C751" s="1" t="n">
        <v>45803</v>
      </c>
      <c r="D751" t="inlineStr">
        <is>
          <t>NORRBOTTENS LÄN</t>
        </is>
      </c>
      <c r="E751" t="inlineStr">
        <is>
          <t>BODEN</t>
        </is>
      </c>
      <c r="G751" t="n">
        <v>8</v>
      </c>
      <c r="H751" t="n">
        <v>0</v>
      </c>
      <c r="I751" t="n">
        <v>0</v>
      </c>
      <c r="J751" t="n">
        <v>0</v>
      </c>
      <c r="K751" t="n">
        <v>0</v>
      </c>
      <c r="L751" t="n">
        <v>0</v>
      </c>
      <c r="M751" t="n">
        <v>0</v>
      </c>
      <c r="N751" t="n">
        <v>0</v>
      </c>
      <c r="O751" t="n">
        <v>0</v>
      </c>
      <c r="P751" t="n">
        <v>0</v>
      </c>
      <c r="Q751" t="n">
        <v>0</v>
      </c>
      <c r="R751" s="2" t="inlineStr"/>
    </row>
    <row r="752" ht="15" customHeight="1">
      <c r="A752" t="inlineStr">
        <is>
          <t>A 877-2023</t>
        </is>
      </c>
      <c r="B752" s="1" t="n">
        <v>44931</v>
      </c>
      <c r="C752" s="1" t="n">
        <v>45803</v>
      </c>
      <c r="D752" t="inlineStr">
        <is>
          <t>NORRBOTTENS LÄN</t>
        </is>
      </c>
      <c r="E752" t="inlineStr">
        <is>
          <t>BODEN</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1017-2023</t>
        </is>
      </c>
      <c r="B753" s="1" t="n">
        <v>44935</v>
      </c>
      <c r="C753" s="1" t="n">
        <v>45803</v>
      </c>
      <c r="D753" t="inlineStr">
        <is>
          <t>NORRBOTTENS LÄN</t>
        </is>
      </c>
      <c r="E753" t="inlineStr">
        <is>
          <t>BODEN</t>
        </is>
      </c>
      <c r="G753" t="n">
        <v>4.4</v>
      </c>
      <c r="H753" t="n">
        <v>0</v>
      </c>
      <c r="I753" t="n">
        <v>0</v>
      </c>
      <c r="J753" t="n">
        <v>0</v>
      </c>
      <c r="K753" t="n">
        <v>0</v>
      </c>
      <c r="L753" t="n">
        <v>0</v>
      </c>
      <c r="M753" t="n">
        <v>0</v>
      </c>
      <c r="N753" t="n">
        <v>0</v>
      </c>
      <c r="O753" t="n">
        <v>0</v>
      </c>
      <c r="P753" t="n">
        <v>0</v>
      </c>
      <c r="Q753" t="n">
        <v>0</v>
      </c>
      <c r="R753" s="2" t="inlineStr"/>
    </row>
    <row r="754" ht="15" customHeight="1">
      <c r="A754" t="inlineStr">
        <is>
          <t>A 1023-2023</t>
        </is>
      </c>
      <c r="B754" s="1" t="n">
        <v>44935</v>
      </c>
      <c r="C754" s="1" t="n">
        <v>45803</v>
      </c>
      <c r="D754" t="inlineStr">
        <is>
          <t>NORRBOTTENS LÄN</t>
        </is>
      </c>
      <c r="E754" t="inlineStr">
        <is>
          <t>BODEN</t>
        </is>
      </c>
      <c r="G754" t="n">
        <v>3.1</v>
      </c>
      <c r="H754" t="n">
        <v>0</v>
      </c>
      <c r="I754" t="n">
        <v>0</v>
      </c>
      <c r="J754" t="n">
        <v>0</v>
      </c>
      <c r="K754" t="n">
        <v>0</v>
      </c>
      <c r="L754" t="n">
        <v>0</v>
      </c>
      <c r="M754" t="n">
        <v>0</v>
      </c>
      <c r="N754" t="n">
        <v>0</v>
      </c>
      <c r="O754" t="n">
        <v>0</v>
      </c>
      <c r="P754" t="n">
        <v>0</v>
      </c>
      <c r="Q754" t="n">
        <v>0</v>
      </c>
      <c r="R754" s="2" t="inlineStr"/>
    </row>
    <row r="755" ht="15" customHeight="1">
      <c r="A755" t="inlineStr">
        <is>
          <t>A 1451-2023</t>
        </is>
      </c>
      <c r="B755" s="1" t="n">
        <v>44937</v>
      </c>
      <c r="C755" s="1" t="n">
        <v>45803</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2528-2023</t>
        </is>
      </c>
      <c r="B756" s="1" t="n">
        <v>44943</v>
      </c>
      <c r="C756" s="1" t="n">
        <v>45803</v>
      </c>
      <c r="D756" t="inlineStr">
        <is>
          <t>NORRBOTTENS LÄN</t>
        </is>
      </c>
      <c r="E756" t="inlineStr">
        <is>
          <t>BODEN</t>
        </is>
      </c>
      <c r="G756" t="n">
        <v>1.7</v>
      </c>
      <c r="H756" t="n">
        <v>0</v>
      </c>
      <c r="I756" t="n">
        <v>0</v>
      </c>
      <c r="J756" t="n">
        <v>0</v>
      </c>
      <c r="K756" t="n">
        <v>0</v>
      </c>
      <c r="L756" t="n">
        <v>0</v>
      </c>
      <c r="M756" t="n">
        <v>0</v>
      </c>
      <c r="N756" t="n">
        <v>0</v>
      </c>
      <c r="O756" t="n">
        <v>0</v>
      </c>
      <c r="P756" t="n">
        <v>0</v>
      </c>
      <c r="Q756" t="n">
        <v>0</v>
      </c>
      <c r="R756" s="2" t="inlineStr"/>
    </row>
    <row r="757" ht="15" customHeight="1">
      <c r="A757" t="inlineStr">
        <is>
          <t>A 3130-2023</t>
        </is>
      </c>
      <c r="B757" s="1" t="n">
        <v>44946</v>
      </c>
      <c r="C757" s="1" t="n">
        <v>45803</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3725-2023</t>
        </is>
      </c>
      <c r="B758" s="1" t="n">
        <v>44951</v>
      </c>
      <c r="C758" s="1" t="n">
        <v>45803</v>
      </c>
      <c r="D758" t="inlineStr">
        <is>
          <t>NORRBOTTENS LÄN</t>
        </is>
      </c>
      <c r="E758" t="inlineStr">
        <is>
          <t>BODEN</t>
        </is>
      </c>
      <c r="G758" t="n">
        <v>28.9</v>
      </c>
      <c r="H758" t="n">
        <v>0</v>
      </c>
      <c r="I758" t="n">
        <v>0</v>
      </c>
      <c r="J758" t="n">
        <v>0</v>
      </c>
      <c r="K758" t="n">
        <v>0</v>
      </c>
      <c r="L758" t="n">
        <v>0</v>
      </c>
      <c r="M758" t="n">
        <v>0</v>
      </c>
      <c r="N758" t="n">
        <v>0</v>
      </c>
      <c r="O758" t="n">
        <v>0</v>
      </c>
      <c r="P758" t="n">
        <v>0</v>
      </c>
      <c r="Q758" t="n">
        <v>0</v>
      </c>
      <c r="R758" s="2" t="inlineStr"/>
    </row>
    <row r="759" ht="15" customHeight="1">
      <c r="A759" t="inlineStr">
        <is>
          <t>A 5259-2023</t>
        </is>
      </c>
      <c r="B759" s="1" t="n">
        <v>44956</v>
      </c>
      <c r="C759" s="1" t="n">
        <v>45803</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6693-2023</t>
        </is>
      </c>
      <c r="B760" s="1" t="n">
        <v>44963</v>
      </c>
      <c r="C760" s="1" t="n">
        <v>45803</v>
      </c>
      <c r="D760" t="inlineStr">
        <is>
          <t>NORRBOTTENS LÄN</t>
        </is>
      </c>
      <c r="E760" t="inlineStr">
        <is>
          <t>BODEN</t>
        </is>
      </c>
      <c r="G760" t="n">
        <v>2.6</v>
      </c>
      <c r="H760" t="n">
        <v>0</v>
      </c>
      <c r="I760" t="n">
        <v>0</v>
      </c>
      <c r="J760" t="n">
        <v>0</v>
      </c>
      <c r="K760" t="n">
        <v>0</v>
      </c>
      <c r="L760" t="n">
        <v>0</v>
      </c>
      <c r="M760" t="n">
        <v>0</v>
      </c>
      <c r="N760" t="n">
        <v>0</v>
      </c>
      <c r="O760" t="n">
        <v>0</v>
      </c>
      <c r="P760" t="n">
        <v>0</v>
      </c>
      <c r="Q760" t="n">
        <v>0</v>
      </c>
      <c r="R760" s="2" t="inlineStr"/>
    </row>
    <row r="761" ht="15" customHeight="1">
      <c r="A761" t="inlineStr">
        <is>
          <t>A 6244-2023</t>
        </is>
      </c>
      <c r="B761" s="1" t="n">
        <v>44964</v>
      </c>
      <c r="C761" s="1" t="n">
        <v>45803</v>
      </c>
      <c r="D761" t="inlineStr">
        <is>
          <t>NORRBOTTENS LÄN</t>
        </is>
      </c>
      <c r="E761" t="inlineStr">
        <is>
          <t>BODEN</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6238-2023</t>
        </is>
      </c>
      <c r="B762" s="1" t="n">
        <v>44964</v>
      </c>
      <c r="C762" s="1" t="n">
        <v>45803</v>
      </c>
      <c r="D762" t="inlineStr">
        <is>
          <t>NORRBOTTENS LÄN</t>
        </is>
      </c>
      <c r="E762" t="inlineStr">
        <is>
          <t>BODEN</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6242-2023</t>
        </is>
      </c>
      <c r="B763" s="1" t="n">
        <v>44964</v>
      </c>
      <c r="C763" s="1" t="n">
        <v>45803</v>
      </c>
      <c r="D763" t="inlineStr">
        <is>
          <t>NORRBOTTENS LÄN</t>
        </is>
      </c>
      <c r="E763" t="inlineStr">
        <is>
          <t>BODEN</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6765-2023</t>
        </is>
      </c>
      <c r="B764" s="1" t="n">
        <v>44966</v>
      </c>
      <c r="C764" s="1" t="n">
        <v>45803</v>
      </c>
      <c r="D764" t="inlineStr">
        <is>
          <t>NORRBOTTENS LÄN</t>
        </is>
      </c>
      <c r="E764" t="inlineStr">
        <is>
          <t>BODEN</t>
        </is>
      </c>
      <c r="G764" t="n">
        <v>1.3</v>
      </c>
      <c r="H764" t="n">
        <v>0</v>
      </c>
      <c r="I764" t="n">
        <v>0</v>
      </c>
      <c r="J764" t="n">
        <v>0</v>
      </c>
      <c r="K764" t="n">
        <v>0</v>
      </c>
      <c r="L764" t="n">
        <v>0</v>
      </c>
      <c r="M764" t="n">
        <v>0</v>
      </c>
      <c r="N764" t="n">
        <v>0</v>
      </c>
      <c r="O764" t="n">
        <v>0</v>
      </c>
      <c r="P764" t="n">
        <v>0</v>
      </c>
      <c r="Q764" t="n">
        <v>0</v>
      </c>
      <c r="R764" s="2" t="inlineStr"/>
    </row>
    <row r="765" ht="15" customHeight="1">
      <c r="A765" t="inlineStr">
        <is>
          <t>A 6776-2023</t>
        </is>
      </c>
      <c r="B765" s="1" t="n">
        <v>44966</v>
      </c>
      <c r="C765" s="1" t="n">
        <v>45803</v>
      </c>
      <c r="D765" t="inlineStr">
        <is>
          <t>NORRBOTTENS LÄN</t>
        </is>
      </c>
      <c r="E765" t="inlineStr">
        <is>
          <t>BODEN</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6937-2023</t>
        </is>
      </c>
      <c r="B766" s="1" t="n">
        <v>44967</v>
      </c>
      <c r="C766" s="1" t="n">
        <v>45803</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7159-2023</t>
        </is>
      </c>
      <c r="B767" s="1" t="n">
        <v>44970</v>
      </c>
      <c r="C767" s="1" t="n">
        <v>45803</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9969-2023</t>
        </is>
      </c>
      <c r="B768" s="1" t="n">
        <v>44979</v>
      </c>
      <c r="C768" s="1" t="n">
        <v>45803</v>
      </c>
      <c r="D768" t="inlineStr">
        <is>
          <t>NORRBOTTENS LÄN</t>
        </is>
      </c>
      <c r="E768" t="inlineStr">
        <is>
          <t>BODEN</t>
        </is>
      </c>
      <c r="F768" t="inlineStr">
        <is>
          <t>Övriga statliga verk och myndigheter</t>
        </is>
      </c>
      <c r="G768" t="n">
        <v>18.8</v>
      </c>
      <c r="H768" t="n">
        <v>0</v>
      </c>
      <c r="I768" t="n">
        <v>0</v>
      </c>
      <c r="J768" t="n">
        <v>0</v>
      </c>
      <c r="K768" t="n">
        <v>0</v>
      </c>
      <c r="L768" t="n">
        <v>0</v>
      </c>
      <c r="M768" t="n">
        <v>0</v>
      </c>
      <c r="N768" t="n">
        <v>0</v>
      </c>
      <c r="O768" t="n">
        <v>0</v>
      </c>
      <c r="P768" t="n">
        <v>0</v>
      </c>
      <c r="Q768" t="n">
        <v>0</v>
      </c>
      <c r="R768" s="2" t="inlineStr"/>
    </row>
    <row r="769" ht="15" customHeight="1">
      <c r="A769" t="inlineStr">
        <is>
          <t>A 9480-2023</t>
        </is>
      </c>
      <c r="B769" s="1" t="n">
        <v>44981</v>
      </c>
      <c r="C769" s="1" t="n">
        <v>45803</v>
      </c>
      <c r="D769" t="inlineStr">
        <is>
          <t>NORRBOTTENS LÄN</t>
        </is>
      </c>
      <c r="E769" t="inlineStr">
        <is>
          <t>BODEN</t>
        </is>
      </c>
      <c r="G769" t="n">
        <v>8.4</v>
      </c>
      <c r="H769" t="n">
        <v>0</v>
      </c>
      <c r="I769" t="n">
        <v>0</v>
      </c>
      <c r="J769" t="n">
        <v>0</v>
      </c>
      <c r="K769" t="n">
        <v>0</v>
      </c>
      <c r="L769" t="n">
        <v>0</v>
      </c>
      <c r="M769" t="n">
        <v>0</v>
      </c>
      <c r="N769" t="n">
        <v>0</v>
      </c>
      <c r="O769" t="n">
        <v>0</v>
      </c>
      <c r="P769" t="n">
        <v>0</v>
      </c>
      <c r="Q769" t="n">
        <v>0</v>
      </c>
      <c r="R769" s="2" t="inlineStr"/>
    </row>
    <row r="770" ht="15" customHeight="1">
      <c r="A770" t="inlineStr">
        <is>
          <t>A 9596-2023</t>
        </is>
      </c>
      <c r="B770" s="1" t="n">
        <v>44983</v>
      </c>
      <c r="C770" s="1" t="n">
        <v>45803</v>
      </c>
      <c r="D770" t="inlineStr">
        <is>
          <t>NORRBOTTENS LÄN</t>
        </is>
      </c>
      <c r="E770" t="inlineStr">
        <is>
          <t>BODEN</t>
        </is>
      </c>
      <c r="G770" t="n">
        <v>37.1</v>
      </c>
      <c r="H770" t="n">
        <v>0</v>
      </c>
      <c r="I770" t="n">
        <v>0</v>
      </c>
      <c r="J770" t="n">
        <v>0</v>
      </c>
      <c r="K770" t="n">
        <v>0</v>
      </c>
      <c r="L770" t="n">
        <v>0</v>
      </c>
      <c r="M770" t="n">
        <v>0</v>
      </c>
      <c r="N770" t="n">
        <v>0</v>
      </c>
      <c r="O770" t="n">
        <v>0</v>
      </c>
      <c r="P770" t="n">
        <v>0</v>
      </c>
      <c r="Q770" t="n">
        <v>0</v>
      </c>
      <c r="R770" s="2" t="inlineStr"/>
    </row>
    <row r="771" ht="15" customHeight="1">
      <c r="A771" t="inlineStr">
        <is>
          <t>A 10999-2023</t>
        </is>
      </c>
      <c r="B771" s="1" t="n">
        <v>44991</v>
      </c>
      <c r="C771" s="1" t="n">
        <v>45803</v>
      </c>
      <c r="D771" t="inlineStr">
        <is>
          <t>NORRBOTTENS LÄN</t>
        </is>
      </c>
      <c r="E771" t="inlineStr">
        <is>
          <t>BODEN</t>
        </is>
      </c>
      <c r="G771" t="n">
        <v>3</v>
      </c>
      <c r="H771" t="n">
        <v>0</v>
      </c>
      <c r="I771" t="n">
        <v>0</v>
      </c>
      <c r="J771" t="n">
        <v>0</v>
      </c>
      <c r="K771" t="n">
        <v>0</v>
      </c>
      <c r="L771" t="n">
        <v>0</v>
      </c>
      <c r="M771" t="n">
        <v>0</v>
      </c>
      <c r="N771" t="n">
        <v>0</v>
      </c>
      <c r="O771" t="n">
        <v>0</v>
      </c>
      <c r="P771" t="n">
        <v>0</v>
      </c>
      <c r="Q771" t="n">
        <v>0</v>
      </c>
      <c r="R771" s="2" t="inlineStr"/>
    </row>
    <row r="772" ht="15" customHeight="1">
      <c r="A772" t="inlineStr">
        <is>
          <t>A 11647-2023</t>
        </is>
      </c>
      <c r="B772" s="1" t="n">
        <v>44994</v>
      </c>
      <c r="C772" s="1" t="n">
        <v>45803</v>
      </c>
      <c r="D772" t="inlineStr">
        <is>
          <t>NORRBOTTENS LÄN</t>
        </is>
      </c>
      <c r="E772" t="inlineStr">
        <is>
          <t>BODEN</t>
        </is>
      </c>
      <c r="G772" t="n">
        <v>0.3</v>
      </c>
      <c r="H772" t="n">
        <v>0</v>
      </c>
      <c r="I772" t="n">
        <v>0</v>
      </c>
      <c r="J772" t="n">
        <v>0</v>
      </c>
      <c r="K772" t="n">
        <v>0</v>
      </c>
      <c r="L772" t="n">
        <v>0</v>
      </c>
      <c r="M772" t="n">
        <v>0</v>
      </c>
      <c r="N772" t="n">
        <v>0</v>
      </c>
      <c r="O772" t="n">
        <v>0</v>
      </c>
      <c r="P772" t="n">
        <v>0</v>
      </c>
      <c r="Q772" t="n">
        <v>0</v>
      </c>
      <c r="R772" s="2" t="inlineStr"/>
    </row>
    <row r="773" ht="15" customHeight="1">
      <c r="A773" t="inlineStr">
        <is>
          <t>A 11651-2023</t>
        </is>
      </c>
      <c r="B773" s="1" t="n">
        <v>44994</v>
      </c>
      <c r="C773" s="1" t="n">
        <v>45803</v>
      </c>
      <c r="D773" t="inlineStr">
        <is>
          <t>NORRBOTTENS LÄN</t>
        </is>
      </c>
      <c r="E773" t="inlineStr">
        <is>
          <t>BODEN</t>
        </is>
      </c>
      <c r="G773" t="n">
        <v>0.7</v>
      </c>
      <c r="H773" t="n">
        <v>0</v>
      </c>
      <c r="I773" t="n">
        <v>0</v>
      </c>
      <c r="J773" t="n">
        <v>0</v>
      </c>
      <c r="K773" t="n">
        <v>0</v>
      </c>
      <c r="L773" t="n">
        <v>0</v>
      </c>
      <c r="M773" t="n">
        <v>0</v>
      </c>
      <c r="N773" t="n">
        <v>0</v>
      </c>
      <c r="O773" t="n">
        <v>0</v>
      </c>
      <c r="P773" t="n">
        <v>0</v>
      </c>
      <c r="Q773" t="n">
        <v>0</v>
      </c>
      <c r="R773" s="2" t="inlineStr"/>
    </row>
    <row r="774" ht="15" customHeight="1">
      <c r="A774" t="inlineStr">
        <is>
          <t>A 11930-2023</t>
        </is>
      </c>
      <c r="B774" s="1" t="n">
        <v>44994</v>
      </c>
      <c r="C774" s="1" t="n">
        <v>45803</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11984-2023</t>
        </is>
      </c>
      <c r="B775" s="1" t="n">
        <v>44994</v>
      </c>
      <c r="C775" s="1" t="n">
        <v>45803</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45803</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13435-2023</t>
        </is>
      </c>
      <c r="B777" s="1" t="n">
        <v>45005</v>
      </c>
      <c r="C777" s="1" t="n">
        <v>45803</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13451-2023</t>
        </is>
      </c>
      <c r="B778" s="1" t="n">
        <v>45005</v>
      </c>
      <c r="C778" s="1" t="n">
        <v>45803</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13473-2023</t>
        </is>
      </c>
      <c r="B779" s="1" t="n">
        <v>45005</v>
      </c>
      <c r="C779" s="1" t="n">
        <v>45803</v>
      </c>
      <c r="D779" t="inlineStr">
        <is>
          <t>NORRBOTTENS LÄN</t>
        </is>
      </c>
      <c r="E779" t="inlineStr">
        <is>
          <t>BODEN</t>
        </is>
      </c>
      <c r="G779" t="n">
        <v>1.7</v>
      </c>
      <c r="H779" t="n">
        <v>0</v>
      </c>
      <c r="I779" t="n">
        <v>0</v>
      </c>
      <c r="J779" t="n">
        <v>0</v>
      </c>
      <c r="K779" t="n">
        <v>0</v>
      </c>
      <c r="L779" t="n">
        <v>0</v>
      </c>
      <c r="M779" t="n">
        <v>0</v>
      </c>
      <c r="N779" t="n">
        <v>0</v>
      </c>
      <c r="O779" t="n">
        <v>0</v>
      </c>
      <c r="P779" t="n">
        <v>0</v>
      </c>
      <c r="Q779" t="n">
        <v>0</v>
      </c>
      <c r="R779" s="2" t="inlineStr"/>
    </row>
    <row r="780" ht="15" customHeight="1">
      <c r="A780" t="inlineStr">
        <is>
          <t>A 13808-2023</t>
        </is>
      </c>
      <c r="B780" s="1" t="n">
        <v>45006</v>
      </c>
      <c r="C780" s="1" t="n">
        <v>45803</v>
      </c>
      <c r="D780" t="inlineStr">
        <is>
          <t>NORRBOTTENS LÄN</t>
        </is>
      </c>
      <c r="E780" t="inlineStr">
        <is>
          <t>BODEN</t>
        </is>
      </c>
      <c r="G780" t="n">
        <v>14.5</v>
      </c>
      <c r="H780" t="n">
        <v>0</v>
      </c>
      <c r="I780" t="n">
        <v>0</v>
      </c>
      <c r="J780" t="n">
        <v>0</v>
      </c>
      <c r="K780" t="n">
        <v>0</v>
      </c>
      <c r="L780" t="n">
        <v>0</v>
      </c>
      <c r="M780" t="n">
        <v>0</v>
      </c>
      <c r="N780" t="n">
        <v>0</v>
      </c>
      <c r="O780" t="n">
        <v>0</v>
      </c>
      <c r="P780" t="n">
        <v>0</v>
      </c>
      <c r="Q780" t="n">
        <v>0</v>
      </c>
      <c r="R780" s="2" t="inlineStr"/>
    </row>
    <row r="781" ht="15" customHeight="1">
      <c r="A781" t="inlineStr">
        <is>
          <t>A 14748-2023</t>
        </is>
      </c>
      <c r="B781" s="1" t="n">
        <v>45013</v>
      </c>
      <c r="C781" s="1" t="n">
        <v>45803</v>
      </c>
      <c r="D781" t="inlineStr">
        <is>
          <t>NORRBOTTENS LÄN</t>
        </is>
      </c>
      <c r="E781" t="inlineStr">
        <is>
          <t>BODEN</t>
        </is>
      </c>
      <c r="G781" t="n">
        <v>1.6</v>
      </c>
      <c r="H781" t="n">
        <v>0</v>
      </c>
      <c r="I781" t="n">
        <v>0</v>
      </c>
      <c r="J781" t="n">
        <v>0</v>
      </c>
      <c r="K781" t="n">
        <v>0</v>
      </c>
      <c r="L781" t="n">
        <v>0</v>
      </c>
      <c r="M781" t="n">
        <v>0</v>
      </c>
      <c r="N781" t="n">
        <v>0</v>
      </c>
      <c r="O781" t="n">
        <v>0</v>
      </c>
      <c r="P781" t="n">
        <v>0</v>
      </c>
      <c r="Q781" t="n">
        <v>0</v>
      </c>
      <c r="R781" s="2" t="inlineStr"/>
    </row>
    <row r="782" ht="15" customHeight="1">
      <c r="A782" t="inlineStr">
        <is>
          <t>A 14738-2023</t>
        </is>
      </c>
      <c r="B782" s="1" t="n">
        <v>45013</v>
      </c>
      <c r="C782" s="1" t="n">
        <v>45803</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45803</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14757-2023</t>
        </is>
      </c>
      <c r="B784" s="1" t="n">
        <v>45014</v>
      </c>
      <c r="C784" s="1" t="n">
        <v>45803</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15868-2023</t>
        </is>
      </c>
      <c r="B785" s="1" t="n">
        <v>45022</v>
      </c>
      <c r="C785" s="1" t="n">
        <v>45803</v>
      </c>
      <c r="D785" t="inlineStr">
        <is>
          <t>NORRBOTTENS LÄN</t>
        </is>
      </c>
      <c r="E785" t="inlineStr">
        <is>
          <t>BODEN</t>
        </is>
      </c>
      <c r="G785" t="n">
        <v>24.8</v>
      </c>
      <c r="H785" t="n">
        <v>0</v>
      </c>
      <c r="I785" t="n">
        <v>0</v>
      </c>
      <c r="J785" t="n">
        <v>0</v>
      </c>
      <c r="K785" t="n">
        <v>0</v>
      </c>
      <c r="L785" t="n">
        <v>0</v>
      </c>
      <c r="M785" t="n">
        <v>0</v>
      </c>
      <c r="N785" t="n">
        <v>0</v>
      </c>
      <c r="O785" t="n">
        <v>0</v>
      </c>
      <c r="P785" t="n">
        <v>0</v>
      </c>
      <c r="Q785" t="n">
        <v>0</v>
      </c>
      <c r="R785" s="2" t="inlineStr"/>
    </row>
    <row r="786" ht="15" customHeight="1">
      <c r="A786" t="inlineStr">
        <is>
          <t>A 15881-2023</t>
        </is>
      </c>
      <c r="B786" s="1" t="n">
        <v>45022</v>
      </c>
      <c r="C786" s="1" t="n">
        <v>45803</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15922-2023</t>
        </is>
      </c>
      <c r="B787" s="1" t="n">
        <v>45022</v>
      </c>
      <c r="C787" s="1" t="n">
        <v>45803</v>
      </c>
      <c r="D787" t="inlineStr">
        <is>
          <t>NORRBOTTENS LÄN</t>
        </is>
      </c>
      <c r="E787" t="inlineStr">
        <is>
          <t>BODEN</t>
        </is>
      </c>
      <c r="G787" t="n">
        <v>0.9</v>
      </c>
      <c r="H787" t="n">
        <v>0</v>
      </c>
      <c r="I787" t="n">
        <v>0</v>
      </c>
      <c r="J787" t="n">
        <v>0</v>
      </c>
      <c r="K787" t="n">
        <v>0</v>
      </c>
      <c r="L787" t="n">
        <v>0</v>
      </c>
      <c r="M787" t="n">
        <v>0</v>
      </c>
      <c r="N787" t="n">
        <v>0</v>
      </c>
      <c r="O787" t="n">
        <v>0</v>
      </c>
      <c r="P787" t="n">
        <v>0</v>
      </c>
      <c r="Q787" t="n">
        <v>0</v>
      </c>
      <c r="R787" s="2" t="inlineStr"/>
    </row>
    <row r="788" ht="15" customHeight="1">
      <c r="A788" t="inlineStr">
        <is>
          <t>A 16363-2023</t>
        </is>
      </c>
      <c r="B788" s="1" t="n">
        <v>45028</v>
      </c>
      <c r="C788" s="1" t="n">
        <v>45803</v>
      </c>
      <c r="D788" t="inlineStr">
        <is>
          <t>NORRBOTTENS LÄN</t>
        </is>
      </c>
      <c r="E788" t="inlineStr">
        <is>
          <t>BODEN</t>
        </is>
      </c>
      <c r="G788" t="n">
        <v>9.1</v>
      </c>
      <c r="H788" t="n">
        <v>0</v>
      </c>
      <c r="I788" t="n">
        <v>0</v>
      </c>
      <c r="J788" t="n">
        <v>0</v>
      </c>
      <c r="K788" t="n">
        <v>0</v>
      </c>
      <c r="L788" t="n">
        <v>0</v>
      </c>
      <c r="M788" t="n">
        <v>0</v>
      </c>
      <c r="N788" t="n">
        <v>0</v>
      </c>
      <c r="O788" t="n">
        <v>0</v>
      </c>
      <c r="P788" t="n">
        <v>0</v>
      </c>
      <c r="Q788" t="n">
        <v>0</v>
      </c>
      <c r="R788" s="2" t="inlineStr"/>
    </row>
    <row r="789" ht="15" customHeight="1">
      <c r="A789" t="inlineStr">
        <is>
          <t>A 17417-2023</t>
        </is>
      </c>
      <c r="B789" s="1" t="n">
        <v>45035</v>
      </c>
      <c r="C789" s="1" t="n">
        <v>45803</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18643-2023</t>
        </is>
      </c>
      <c r="B790" s="1" t="n">
        <v>45043</v>
      </c>
      <c r="C790" s="1" t="n">
        <v>45803</v>
      </c>
      <c r="D790" t="inlineStr">
        <is>
          <t>NORRBOTTENS LÄN</t>
        </is>
      </c>
      <c r="E790" t="inlineStr">
        <is>
          <t>BODEN</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18983-2023</t>
        </is>
      </c>
      <c r="B791" s="1" t="n">
        <v>45044</v>
      </c>
      <c r="C791" s="1" t="n">
        <v>45803</v>
      </c>
      <c r="D791" t="inlineStr">
        <is>
          <t>NORRBOTTENS LÄN</t>
        </is>
      </c>
      <c r="E791" t="inlineStr">
        <is>
          <t>BODEN</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19412-2023</t>
        </is>
      </c>
      <c r="B792" s="1" t="n">
        <v>45049</v>
      </c>
      <c r="C792" s="1" t="n">
        <v>45803</v>
      </c>
      <c r="D792" t="inlineStr">
        <is>
          <t>NORRBOTTENS LÄN</t>
        </is>
      </c>
      <c r="E792" t="inlineStr">
        <is>
          <t>BODEN</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19599-2023</t>
        </is>
      </c>
      <c r="B793" s="1" t="n">
        <v>45049</v>
      </c>
      <c r="C793" s="1" t="n">
        <v>45803</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20505-2023</t>
        </is>
      </c>
      <c r="B794" s="1" t="n">
        <v>45054</v>
      </c>
      <c r="C794" s="1" t="n">
        <v>45803</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20796-2023</t>
        </is>
      </c>
      <c r="B795" s="1" t="n">
        <v>45055</v>
      </c>
      <c r="C795" s="1" t="n">
        <v>45803</v>
      </c>
      <c r="D795" t="inlineStr">
        <is>
          <t>NORRBOTTENS LÄN</t>
        </is>
      </c>
      <c r="E795" t="inlineStr">
        <is>
          <t>BODEN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21713-2023</t>
        </is>
      </c>
      <c r="B796" s="1" t="n">
        <v>45065</v>
      </c>
      <c r="C796" s="1" t="n">
        <v>45803</v>
      </c>
      <c r="D796" t="inlineStr">
        <is>
          <t>NORRBOTTENS LÄN</t>
        </is>
      </c>
      <c r="E796" t="inlineStr">
        <is>
          <t>BODEN</t>
        </is>
      </c>
      <c r="F796" t="inlineStr">
        <is>
          <t>Sveaskog</t>
        </is>
      </c>
      <c r="G796" t="n">
        <v>15.8</v>
      </c>
      <c r="H796" t="n">
        <v>0</v>
      </c>
      <c r="I796" t="n">
        <v>0</v>
      </c>
      <c r="J796" t="n">
        <v>0</v>
      </c>
      <c r="K796" t="n">
        <v>0</v>
      </c>
      <c r="L796" t="n">
        <v>0</v>
      </c>
      <c r="M796" t="n">
        <v>0</v>
      </c>
      <c r="N796" t="n">
        <v>0</v>
      </c>
      <c r="O796" t="n">
        <v>0</v>
      </c>
      <c r="P796" t="n">
        <v>0</v>
      </c>
      <c r="Q796" t="n">
        <v>0</v>
      </c>
      <c r="R796" s="2" t="inlineStr"/>
    </row>
    <row r="797" ht="15" customHeight="1">
      <c r="A797" t="inlineStr">
        <is>
          <t>A 21951-2023</t>
        </is>
      </c>
      <c r="B797" s="1" t="n">
        <v>45068</v>
      </c>
      <c r="C797" s="1" t="n">
        <v>45803</v>
      </c>
      <c r="D797" t="inlineStr">
        <is>
          <t>NORRBOTTENS LÄN</t>
        </is>
      </c>
      <c r="E797" t="inlineStr">
        <is>
          <t>BODEN</t>
        </is>
      </c>
      <c r="G797" t="n">
        <v>8.4</v>
      </c>
      <c r="H797" t="n">
        <v>0</v>
      </c>
      <c r="I797" t="n">
        <v>0</v>
      </c>
      <c r="J797" t="n">
        <v>0</v>
      </c>
      <c r="K797" t="n">
        <v>0</v>
      </c>
      <c r="L797" t="n">
        <v>0</v>
      </c>
      <c r="M797" t="n">
        <v>0</v>
      </c>
      <c r="N797" t="n">
        <v>0</v>
      </c>
      <c r="O797" t="n">
        <v>0</v>
      </c>
      <c r="P797" t="n">
        <v>0</v>
      </c>
      <c r="Q797" t="n">
        <v>0</v>
      </c>
      <c r="R797" s="2" t="inlineStr"/>
    </row>
    <row r="798" ht="15" customHeight="1">
      <c r="A798" t="inlineStr">
        <is>
          <t>A 22127-2023</t>
        </is>
      </c>
      <c r="B798" s="1" t="n">
        <v>45068</v>
      </c>
      <c r="C798" s="1" t="n">
        <v>45803</v>
      </c>
      <c r="D798" t="inlineStr">
        <is>
          <t>NORRBOTTENS LÄN</t>
        </is>
      </c>
      <c r="E798" t="inlineStr">
        <is>
          <t>BODEN</t>
        </is>
      </c>
      <c r="G798" t="n">
        <v>4.1</v>
      </c>
      <c r="H798" t="n">
        <v>0</v>
      </c>
      <c r="I798" t="n">
        <v>0</v>
      </c>
      <c r="J798" t="n">
        <v>0</v>
      </c>
      <c r="K798" t="n">
        <v>0</v>
      </c>
      <c r="L798" t="n">
        <v>0</v>
      </c>
      <c r="M798" t="n">
        <v>0</v>
      </c>
      <c r="N798" t="n">
        <v>0</v>
      </c>
      <c r="O798" t="n">
        <v>0</v>
      </c>
      <c r="P798" t="n">
        <v>0</v>
      </c>
      <c r="Q798" t="n">
        <v>0</v>
      </c>
      <c r="R798" s="2" t="inlineStr"/>
    </row>
    <row r="799" ht="15" customHeight="1">
      <c r="A799" t="inlineStr">
        <is>
          <t>A 22460-2023</t>
        </is>
      </c>
      <c r="B799" s="1" t="n">
        <v>45071</v>
      </c>
      <c r="C799" s="1" t="n">
        <v>45803</v>
      </c>
      <c r="D799" t="inlineStr">
        <is>
          <t>NORRBOTTENS LÄN</t>
        </is>
      </c>
      <c r="E799" t="inlineStr">
        <is>
          <t>BODEN</t>
        </is>
      </c>
      <c r="G799" t="n">
        <v>1.4</v>
      </c>
      <c r="H799" t="n">
        <v>0</v>
      </c>
      <c r="I799" t="n">
        <v>0</v>
      </c>
      <c r="J799" t="n">
        <v>0</v>
      </c>
      <c r="K799" t="n">
        <v>0</v>
      </c>
      <c r="L799" t="n">
        <v>0</v>
      </c>
      <c r="M799" t="n">
        <v>0</v>
      </c>
      <c r="N799" t="n">
        <v>0</v>
      </c>
      <c r="O799" t="n">
        <v>0</v>
      </c>
      <c r="P799" t="n">
        <v>0</v>
      </c>
      <c r="Q799" t="n">
        <v>0</v>
      </c>
      <c r="R799" s="2" t="inlineStr"/>
    </row>
    <row r="800" ht="15" customHeight="1">
      <c r="A800" t="inlineStr">
        <is>
          <t>A 22458-2023</t>
        </is>
      </c>
      <c r="B800" s="1" t="n">
        <v>45070</v>
      </c>
      <c r="C800" s="1" t="n">
        <v>45803</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22757-2023</t>
        </is>
      </c>
      <c r="B801" s="1" t="n">
        <v>45072</v>
      </c>
      <c r="C801" s="1" t="n">
        <v>45803</v>
      </c>
      <c r="D801" t="inlineStr">
        <is>
          <t>NORRBOTTENS LÄN</t>
        </is>
      </c>
      <c r="E801" t="inlineStr">
        <is>
          <t>BODEN</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22905-2023</t>
        </is>
      </c>
      <c r="B802" s="1" t="n">
        <v>45072</v>
      </c>
      <c r="C802" s="1" t="n">
        <v>45803</v>
      </c>
      <c r="D802" t="inlineStr">
        <is>
          <t>NORRBOTTENS LÄN</t>
        </is>
      </c>
      <c r="E802" t="inlineStr">
        <is>
          <t>BODEN</t>
        </is>
      </c>
      <c r="F802" t="inlineStr">
        <is>
          <t>Sveaskog</t>
        </is>
      </c>
      <c r="G802" t="n">
        <v>5.9</v>
      </c>
      <c r="H802" t="n">
        <v>0</v>
      </c>
      <c r="I802" t="n">
        <v>0</v>
      </c>
      <c r="J802" t="n">
        <v>0</v>
      </c>
      <c r="K802" t="n">
        <v>0</v>
      </c>
      <c r="L802" t="n">
        <v>0</v>
      </c>
      <c r="M802" t="n">
        <v>0</v>
      </c>
      <c r="N802" t="n">
        <v>0</v>
      </c>
      <c r="O802" t="n">
        <v>0</v>
      </c>
      <c r="P802" t="n">
        <v>0</v>
      </c>
      <c r="Q802" t="n">
        <v>0</v>
      </c>
      <c r="R802" s="2" t="inlineStr"/>
    </row>
    <row r="803" ht="15" customHeight="1">
      <c r="A803" t="inlineStr">
        <is>
          <t>A 23571-2023</t>
        </is>
      </c>
      <c r="B803" s="1" t="n">
        <v>45077</v>
      </c>
      <c r="C803" s="1" t="n">
        <v>45803</v>
      </c>
      <c r="D803" t="inlineStr">
        <is>
          <t>NORRBOTTENS LÄN</t>
        </is>
      </c>
      <c r="E803" t="inlineStr">
        <is>
          <t>BODEN</t>
        </is>
      </c>
      <c r="G803" t="n">
        <v>10.5</v>
      </c>
      <c r="H803" t="n">
        <v>0</v>
      </c>
      <c r="I803" t="n">
        <v>0</v>
      </c>
      <c r="J803" t="n">
        <v>0</v>
      </c>
      <c r="K803" t="n">
        <v>0</v>
      </c>
      <c r="L803" t="n">
        <v>0</v>
      </c>
      <c r="M803" t="n">
        <v>0</v>
      </c>
      <c r="N803" t="n">
        <v>0</v>
      </c>
      <c r="O803" t="n">
        <v>0</v>
      </c>
      <c r="P803" t="n">
        <v>0</v>
      </c>
      <c r="Q803" t="n">
        <v>0</v>
      </c>
      <c r="R803" s="2" t="inlineStr"/>
    </row>
    <row r="804" ht="15" customHeight="1">
      <c r="A804" t="inlineStr">
        <is>
          <t>A 23575-2023</t>
        </is>
      </c>
      <c r="B804" s="1" t="n">
        <v>45077</v>
      </c>
      <c r="C804" s="1" t="n">
        <v>45803</v>
      </c>
      <c r="D804" t="inlineStr">
        <is>
          <t>NORRBOTTENS LÄN</t>
        </is>
      </c>
      <c r="E804" t="inlineStr">
        <is>
          <t>BODEN</t>
        </is>
      </c>
      <c r="G804" t="n">
        <v>7.9</v>
      </c>
      <c r="H804" t="n">
        <v>0</v>
      </c>
      <c r="I804" t="n">
        <v>0</v>
      </c>
      <c r="J804" t="n">
        <v>0</v>
      </c>
      <c r="K804" t="n">
        <v>0</v>
      </c>
      <c r="L804" t="n">
        <v>0</v>
      </c>
      <c r="M804" t="n">
        <v>0</v>
      </c>
      <c r="N804" t="n">
        <v>0</v>
      </c>
      <c r="O804" t="n">
        <v>0</v>
      </c>
      <c r="P804" t="n">
        <v>0</v>
      </c>
      <c r="Q804" t="n">
        <v>0</v>
      </c>
      <c r="R804" s="2" t="inlineStr"/>
    </row>
    <row r="805" ht="15" customHeight="1">
      <c r="A805" t="inlineStr">
        <is>
          <t>A 23569-2023</t>
        </is>
      </c>
      <c r="B805" s="1" t="n">
        <v>45077</v>
      </c>
      <c r="C805" s="1" t="n">
        <v>45803</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25390-2023</t>
        </is>
      </c>
      <c r="B806" s="1" t="n">
        <v>45079</v>
      </c>
      <c r="C806" s="1" t="n">
        <v>45803</v>
      </c>
      <c r="D806" t="inlineStr">
        <is>
          <t>NORRBOTTENS LÄN</t>
        </is>
      </c>
      <c r="E806" t="inlineStr">
        <is>
          <t>BODEN</t>
        </is>
      </c>
      <c r="G806" t="n">
        <v>4.7</v>
      </c>
      <c r="H806" t="n">
        <v>0</v>
      </c>
      <c r="I806" t="n">
        <v>0</v>
      </c>
      <c r="J806" t="n">
        <v>0</v>
      </c>
      <c r="K806" t="n">
        <v>0</v>
      </c>
      <c r="L806" t="n">
        <v>0</v>
      </c>
      <c r="M806" t="n">
        <v>0</v>
      </c>
      <c r="N806" t="n">
        <v>0</v>
      </c>
      <c r="O806" t="n">
        <v>0</v>
      </c>
      <c r="P806" t="n">
        <v>0</v>
      </c>
      <c r="Q806" t="n">
        <v>0</v>
      </c>
      <c r="R806" s="2" t="inlineStr"/>
    </row>
    <row r="807" ht="15" customHeight="1">
      <c r="A807" t="inlineStr">
        <is>
          <t>A 25387-2023</t>
        </is>
      </c>
      <c r="B807" s="1" t="n">
        <v>45079</v>
      </c>
      <c r="C807" s="1" t="n">
        <v>45803</v>
      </c>
      <c r="D807" t="inlineStr">
        <is>
          <t>NORRBOTTENS LÄN</t>
        </is>
      </c>
      <c r="E807" t="inlineStr">
        <is>
          <t>BODEN</t>
        </is>
      </c>
      <c r="G807" t="n">
        <v>6.7</v>
      </c>
      <c r="H807" t="n">
        <v>0</v>
      </c>
      <c r="I807" t="n">
        <v>0</v>
      </c>
      <c r="J807" t="n">
        <v>0</v>
      </c>
      <c r="K807" t="n">
        <v>0</v>
      </c>
      <c r="L807" t="n">
        <v>0</v>
      </c>
      <c r="M807" t="n">
        <v>0</v>
      </c>
      <c r="N807" t="n">
        <v>0</v>
      </c>
      <c r="O807" t="n">
        <v>0</v>
      </c>
      <c r="P807" t="n">
        <v>0</v>
      </c>
      <c r="Q807" t="n">
        <v>0</v>
      </c>
      <c r="R807" s="2" t="inlineStr"/>
    </row>
    <row r="808" ht="15" customHeight="1">
      <c r="A808" t="inlineStr">
        <is>
          <t>A 24734-2023</t>
        </is>
      </c>
      <c r="B808" s="1" t="n">
        <v>45084</v>
      </c>
      <c r="C808" s="1" t="n">
        <v>45803</v>
      </c>
      <c r="D808" t="inlineStr">
        <is>
          <t>NORRBOTTENS LÄN</t>
        </is>
      </c>
      <c r="E808" t="inlineStr">
        <is>
          <t>BODEN</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24758-2023</t>
        </is>
      </c>
      <c r="B809" s="1" t="n">
        <v>45084</v>
      </c>
      <c r="C809" s="1" t="n">
        <v>45803</v>
      </c>
      <c r="D809" t="inlineStr">
        <is>
          <t>NORRBOTTENS LÄN</t>
        </is>
      </c>
      <c r="E809" t="inlineStr">
        <is>
          <t>BODEN</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24755-2023</t>
        </is>
      </c>
      <c r="B810" s="1" t="n">
        <v>45084</v>
      </c>
      <c r="C810" s="1" t="n">
        <v>45803</v>
      </c>
      <c r="D810" t="inlineStr">
        <is>
          <t>NORRBOTTENS LÄN</t>
        </is>
      </c>
      <c r="E810" t="inlineStr">
        <is>
          <t>BODEN</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25049-2023</t>
        </is>
      </c>
      <c r="B811" s="1" t="n">
        <v>45086</v>
      </c>
      <c r="C811" s="1" t="n">
        <v>45803</v>
      </c>
      <c r="D811" t="inlineStr">
        <is>
          <t>NORRBOTTENS LÄN</t>
        </is>
      </c>
      <c r="E811" t="inlineStr">
        <is>
          <t>BODEN</t>
        </is>
      </c>
      <c r="F811" t="inlineStr">
        <is>
          <t>SCA</t>
        </is>
      </c>
      <c r="G811" t="n">
        <v>17.4</v>
      </c>
      <c r="H811" t="n">
        <v>0</v>
      </c>
      <c r="I811" t="n">
        <v>0</v>
      </c>
      <c r="J811" t="n">
        <v>0</v>
      </c>
      <c r="K811" t="n">
        <v>0</v>
      </c>
      <c r="L811" t="n">
        <v>0</v>
      </c>
      <c r="M811" t="n">
        <v>0</v>
      </c>
      <c r="N811" t="n">
        <v>0</v>
      </c>
      <c r="O811" t="n">
        <v>0</v>
      </c>
      <c r="P811" t="n">
        <v>0</v>
      </c>
      <c r="Q811" t="n">
        <v>0</v>
      </c>
      <c r="R811" s="2" t="inlineStr"/>
    </row>
    <row r="812" ht="15" customHeight="1">
      <c r="A812" t="inlineStr">
        <is>
          <t>A 25920-2023</t>
        </is>
      </c>
      <c r="B812" s="1" t="n">
        <v>45085</v>
      </c>
      <c r="C812" s="1" t="n">
        <v>45803</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25916-2023</t>
        </is>
      </c>
      <c r="B813" s="1" t="n">
        <v>45085</v>
      </c>
      <c r="C813" s="1" t="n">
        <v>45803</v>
      </c>
      <c r="D813" t="inlineStr">
        <is>
          <t>NORRBOTTENS LÄN</t>
        </is>
      </c>
      <c r="E813" t="inlineStr">
        <is>
          <t>BODEN</t>
        </is>
      </c>
      <c r="G813" t="n">
        <v>0.5</v>
      </c>
      <c r="H813" t="n">
        <v>0</v>
      </c>
      <c r="I813" t="n">
        <v>0</v>
      </c>
      <c r="J813" t="n">
        <v>0</v>
      </c>
      <c r="K813" t="n">
        <v>0</v>
      </c>
      <c r="L813" t="n">
        <v>0</v>
      </c>
      <c r="M813" t="n">
        <v>0</v>
      </c>
      <c r="N813" t="n">
        <v>0</v>
      </c>
      <c r="O813" t="n">
        <v>0</v>
      </c>
      <c r="P813" t="n">
        <v>0</v>
      </c>
      <c r="Q813" t="n">
        <v>0</v>
      </c>
      <c r="R813" s="2" t="inlineStr"/>
    </row>
    <row r="814" ht="15" customHeight="1">
      <c r="A814" t="inlineStr">
        <is>
          <t>A 25414-2023</t>
        </is>
      </c>
      <c r="B814" s="1" t="n">
        <v>45089</v>
      </c>
      <c r="C814" s="1" t="n">
        <v>45803</v>
      </c>
      <c r="D814" t="inlineStr">
        <is>
          <t>NORRBOTTENS LÄN</t>
        </is>
      </c>
      <c r="E814" t="inlineStr">
        <is>
          <t>BODEN</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25622-2023</t>
        </is>
      </c>
      <c r="B815" s="1" t="n">
        <v>45089</v>
      </c>
      <c r="C815" s="1" t="n">
        <v>45803</v>
      </c>
      <c r="D815" t="inlineStr">
        <is>
          <t>NORRBOTTENS LÄN</t>
        </is>
      </c>
      <c r="E815" t="inlineStr">
        <is>
          <t>BODEN</t>
        </is>
      </c>
      <c r="F815" t="inlineStr">
        <is>
          <t>Sveaskog</t>
        </is>
      </c>
      <c r="G815" t="n">
        <v>28.2</v>
      </c>
      <c r="H815" t="n">
        <v>0</v>
      </c>
      <c r="I815" t="n">
        <v>0</v>
      </c>
      <c r="J815" t="n">
        <v>0</v>
      </c>
      <c r="K815" t="n">
        <v>0</v>
      </c>
      <c r="L815" t="n">
        <v>0</v>
      </c>
      <c r="M815" t="n">
        <v>0</v>
      </c>
      <c r="N815" t="n">
        <v>0</v>
      </c>
      <c r="O815" t="n">
        <v>0</v>
      </c>
      <c r="P815" t="n">
        <v>0</v>
      </c>
      <c r="Q815" t="n">
        <v>0</v>
      </c>
      <c r="R815" s="2" t="inlineStr"/>
    </row>
    <row r="816" ht="15" customHeight="1">
      <c r="A816" t="inlineStr">
        <is>
          <t>A 26271-2023</t>
        </is>
      </c>
      <c r="B816" s="1" t="n">
        <v>45091</v>
      </c>
      <c r="C816" s="1" t="n">
        <v>45803</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26035-2023</t>
        </is>
      </c>
      <c r="B817" s="1" t="n">
        <v>45091</v>
      </c>
      <c r="C817" s="1" t="n">
        <v>45803</v>
      </c>
      <c r="D817" t="inlineStr">
        <is>
          <t>NORRBOTTENS LÄN</t>
        </is>
      </c>
      <c r="E817" t="inlineStr">
        <is>
          <t>BODEN</t>
        </is>
      </c>
      <c r="G817" t="n">
        <v>14.1</v>
      </c>
      <c r="H817" t="n">
        <v>0</v>
      </c>
      <c r="I817" t="n">
        <v>0</v>
      </c>
      <c r="J817" t="n">
        <v>0</v>
      </c>
      <c r="K817" t="n">
        <v>0</v>
      </c>
      <c r="L817" t="n">
        <v>0</v>
      </c>
      <c r="M817" t="n">
        <v>0</v>
      </c>
      <c r="N817" t="n">
        <v>0</v>
      </c>
      <c r="O817" t="n">
        <v>0</v>
      </c>
      <c r="P817" t="n">
        <v>0</v>
      </c>
      <c r="Q817" t="n">
        <v>0</v>
      </c>
      <c r="R817" s="2" t="inlineStr"/>
    </row>
    <row r="818" ht="15" customHeight="1">
      <c r="A818" t="inlineStr">
        <is>
          <t>A 26576-2023</t>
        </is>
      </c>
      <c r="B818" s="1" t="n">
        <v>45092</v>
      </c>
      <c r="C818" s="1" t="n">
        <v>45803</v>
      </c>
      <c r="D818" t="inlineStr">
        <is>
          <t>NORRBOTTENS LÄN</t>
        </is>
      </c>
      <c r="E818" t="inlineStr">
        <is>
          <t>BODEN</t>
        </is>
      </c>
      <c r="F818" t="inlineStr">
        <is>
          <t>Sveaskog</t>
        </is>
      </c>
      <c r="G818" t="n">
        <v>19.2</v>
      </c>
      <c r="H818" t="n">
        <v>0</v>
      </c>
      <c r="I818" t="n">
        <v>0</v>
      </c>
      <c r="J818" t="n">
        <v>0</v>
      </c>
      <c r="K818" t="n">
        <v>0</v>
      </c>
      <c r="L818" t="n">
        <v>0</v>
      </c>
      <c r="M818" t="n">
        <v>0</v>
      </c>
      <c r="N818" t="n">
        <v>0</v>
      </c>
      <c r="O818" t="n">
        <v>0</v>
      </c>
      <c r="P818" t="n">
        <v>0</v>
      </c>
      <c r="Q818" t="n">
        <v>0</v>
      </c>
      <c r="R818" s="2" t="inlineStr"/>
    </row>
    <row r="819" ht="15" customHeight="1">
      <c r="A819" t="inlineStr">
        <is>
          <t>A 26579-2023</t>
        </is>
      </c>
      <c r="B819" s="1" t="n">
        <v>45092</v>
      </c>
      <c r="C819" s="1" t="n">
        <v>45803</v>
      </c>
      <c r="D819" t="inlineStr">
        <is>
          <t>NORRBOTTENS LÄN</t>
        </is>
      </c>
      <c r="E819" t="inlineStr">
        <is>
          <t>BODEN</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26963-2023</t>
        </is>
      </c>
      <c r="B820" s="1" t="n">
        <v>45093</v>
      </c>
      <c r="C820" s="1" t="n">
        <v>45803</v>
      </c>
      <c r="D820" t="inlineStr">
        <is>
          <t>NORRBOTTENS LÄN</t>
        </is>
      </c>
      <c r="E820" t="inlineStr">
        <is>
          <t>BODEN</t>
        </is>
      </c>
      <c r="F820" t="inlineStr">
        <is>
          <t>Sveaskog</t>
        </is>
      </c>
      <c r="G820" t="n">
        <v>7</v>
      </c>
      <c r="H820" t="n">
        <v>0</v>
      </c>
      <c r="I820" t="n">
        <v>0</v>
      </c>
      <c r="J820" t="n">
        <v>0</v>
      </c>
      <c r="K820" t="n">
        <v>0</v>
      </c>
      <c r="L820" t="n">
        <v>0</v>
      </c>
      <c r="M820" t="n">
        <v>0</v>
      </c>
      <c r="N820" t="n">
        <v>0</v>
      </c>
      <c r="O820" t="n">
        <v>0</v>
      </c>
      <c r="P820" t="n">
        <v>0</v>
      </c>
      <c r="Q820" t="n">
        <v>0</v>
      </c>
      <c r="R820" s="2" t="inlineStr"/>
    </row>
    <row r="821" ht="15" customHeight="1">
      <c r="A821" t="inlineStr">
        <is>
          <t>A 26964-2023</t>
        </is>
      </c>
      <c r="B821" s="1" t="n">
        <v>45093</v>
      </c>
      <c r="C821" s="1" t="n">
        <v>45803</v>
      </c>
      <c r="D821" t="inlineStr">
        <is>
          <t>NORRBOTTENS LÄN</t>
        </is>
      </c>
      <c r="E821" t="inlineStr">
        <is>
          <t>BODEN</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27450-2023</t>
        </is>
      </c>
      <c r="B822" s="1" t="n">
        <v>45097</v>
      </c>
      <c r="C822" s="1" t="n">
        <v>45803</v>
      </c>
      <c r="D822" t="inlineStr">
        <is>
          <t>NORRBOTTENS LÄN</t>
        </is>
      </c>
      <c r="E822" t="inlineStr">
        <is>
          <t>BODEN</t>
        </is>
      </c>
      <c r="G822" t="n">
        <v>4.9</v>
      </c>
      <c r="H822" t="n">
        <v>0</v>
      </c>
      <c r="I822" t="n">
        <v>0</v>
      </c>
      <c r="J822" t="n">
        <v>0</v>
      </c>
      <c r="K822" t="n">
        <v>0</v>
      </c>
      <c r="L822" t="n">
        <v>0</v>
      </c>
      <c r="M822" t="n">
        <v>0</v>
      </c>
      <c r="N822" t="n">
        <v>0</v>
      </c>
      <c r="O822" t="n">
        <v>0</v>
      </c>
      <c r="P822" t="n">
        <v>0</v>
      </c>
      <c r="Q822" t="n">
        <v>0</v>
      </c>
      <c r="R822" s="2" t="inlineStr"/>
    </row>
    <row r="823" ht="15" customHeight="1">
      <c r="A823" t="inlineStr">
        <is>
          <t>A 27797-2023</t>
        </is>
      </c>
      <c r="B823" s="1" t="n">
        <v>45098</v>
      </c>
      <c r="C823" s="1" t="n">
        <v>45803</v>
      </c>
      <c r="D823" t="inlineStr">
        <is>
          <t>NORRBOTTENS LÄN</t>
        </is>
      </c>
      <c r="E823" t="inlineStr">
        <is>
          <t>BODEN</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27803-2023</t>
        </is>
      </c>
      <c r="B824" s="1" t="n">
        <v>45098</v>
      </c>
      <c r="C824" s="1" t="n">
        <v>45803</v>
      </c>
      <c r="D824" t="inlineStr">
        <is>
          <t>NORRBOTTENS LÄN</t>
        </is>
      </c>
      <c r="E824" t="inlineStr">
        <is>
          <t>BODEN</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28109-2023</t>
        </is>
      </c>
      <c r="B825" s="1" t="n">
        <v>45099</v>
      </c>
      <c r="C825" s="1" t="n">
        <v>45803</v>
      </c>
      <c r="D825" t="inlineStr">
        <is>
          <t>NORRBOTTENS LÄN</t>
        </is>
      </c>
      <c r="E825" t="inlineStr">
        <is>
          <t>BODEN</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28357-2023</t>
        </is>
      </c>
      <c r="B826" s="1" t="n">
        <v>45100</v>
      </c>
      <c r="C826" s="1" t="n">
        <v>45803</v>
      </c>
      <c r="D826" t="inlineStr">
        <is>
          <t>NORRBOTTENS LÄN</t>
        </is>
      </c>
      <c r="E826" t="inlineStr">
        <is>
          <t>BODEN</t>
        </is>
      </c>
      <c r="G826" t="n">
        <v>4.5</v>
      </c>
      <c r="H826" t="n">
        <v>0</v>
      </c>
      <c r="I826" t="n">
        <v>0</v>
      </c>
      <c r="J826" t="n">
        <v>0</v>
      </c>
      <c r="K826" t="n">
        <v>0</v>
      </c>
      <c r="L826" t="n">
        <v>0</v>
      </c>
      <c r="M826" t="n">
        <v>0</v>
      </c>
      <c r="N826" t="n">
        <v>0</v>
      </c>
      <c r="O826" t="n">
        <v>0</v>
      </c>
      <c r="P826" t="n">
        <v>0</v>
      </c>
      <c r="Q826" t="n">
        <v>0</v>
      </c>
      <c r="R826" s="2" t="inlineStr"/>
    </row>
    <row r="827" ht="15" customHeight="1">
      <c r="A827" t="inlineStr">
        <is>
          <t>A 28359-2023</t>
        </is>
      </c>
      <c r="B827" s="1" t="n">
        <v>45099</v>
      </c>
      <c r="C827" s="1" t="n">
        <v>45803</v>
      </c>
      <c r="D827" t="inlineStr">
        <is>
          <t>NORRBOTTENS LÄN</t>
        </is>
      </c>
      <c r="E827" t="inlineStr">
        <is>
          <t>BODEN</t>
        </is>
      </c>
      <c r="G827" t="n">
        <v>7.6</v>
      </c>
      <c r="H827" t="n">
        <v>0</v>
      </c>
      <c r="I827" t="n">
        <v>0</v>
      </c>
      <c r="J827" t="n">
        <v>0</v>
      </c>
      <c r="K827" t="n">
        <v>0</v>
      </c>
      <c r="L827" t="n">
        <v>0</v>
      </c>
      <c r="M827" t="n">
        <v>0</v>
      </c>
      <c r="N827" t="n">
        <v>0</v>
      </c>
      <c r="O827" t="n">
        <v>0</v>
      </c>
      <c r="P827" t="n">
        <v>0</v>
      </c>
      <c r="Q827" t="n">
        <v>0</v>
      </c>
      <c r="R827" s="2" t="inlineStr"/>
    </row>
    <row r="828" ht="15" customHeight="1">
      <c r="A828" t="inlineStr">
        <is>
          <t>A 30114-2023</t>
        </is>
      </c>
      <c r="B828" s="1" t="n">
        <v>45099</v>
      </c>
      <c r="C828" s="1" t="n">
        <v>45803</v>
      </c>
      <c r="D828" t="inlineStr">
        <is>
          <t>NORRBOTTENS LÄN</t>
        </is>
      </c>
      <c r="E828" t="inlineStr">
        <is>
          <t>BODEN</t>
        </is>
      </c>
      <c r="G828" t="n">
        <v>3.8</v>
      </c>
      <c r="H828" t="n">
        <v>0</v>
      </c>
      <c r="I828" t="n">
        <v>0</v>
      </c>
      <c r="J828" t="n">
        <v>0</v>
      </c>
      <c r="K828" t="n">
        <v>0</v>
      </c>
      <c r="L828" t="n">
        <v>0</v>
      </c>
      <c r="M828" t="n">
        <v>0</v>
      </c>
      <c r="N828" t="n">
        <v>0</v>
      </c>
      <c r="O828" t="n">
        <v>0</v>
      </c>
      <c r="P828" t="n">
        <v>0</v>
      </c>
      <c r="Q828" t="n">
        <v>0</v>
      </c>
      <c r="R828" s="2" t="inlineStr"/>
    </row>
    <row r="829" ht="15" customHeight="1">
      <c r="A829" t="inlineStr">
        <is>
          <t>A 30105-2023</t>
        </is>
      </c>
      <c r="B829" s="1" t="n">
        <v>45099</v>
      </c>
      <c r="C829" s="1" t="n">
        <v>45803</v>
      </c>
      <c r="D829" t="inlineStr">
        <is>
          <t>NORRBOTTENS LÄN</t>
        </is>
      </c>
      <c r="E829" t="inlineStr">
        <is>
          <t>BODEN</t>
        </is>
      </c>
      <c r="G829" t="n">
        <v>2.9</v>
      </c>
      <c r="H829" t="n">
        <v>0</v>
      </c>
      <c r="I829" t="n">
        <v>0</v>
      </c>
      <c r="J829" t="n">
        <v>0</v>
      </c>
      <c r="K829" t="n">
        <v>0</v>
      </c>
      <c r="L829" t="n">
        <v>0</v>
      </c>
      <c r="M829" t="n">
        <v>0</v>
      </c>
      <c r="N829" t="n">
        <v>0</v>
      </c>
      <c r="O829" t="n">
        <v>0</v>
      </c>
      <c r="P829" t="n">
        <v>0</v>
      </c>
      <c r="Q829" t="n">
        <v>0</v>
      </c>
      <c r="R829" s="2" t="inlineStr"/>
    </row>
    <row r="830" ht="15" customHeight="1">
      <c r="A830" t="inlineStr">
        <is>
          <t>A 28444-2023</t>
        </is>
      </c>
      <c r="B830" s="1" t="n">
        <v>45103</v>
      </c>
      <c r="C830" s="1" t="n">
        <v>45803</v>
      </c>
      <c r="D830" t="inlineStr">
        <is>
          <t>NORRBOTTENS LÄN</t>
        </is>
      </c>
      <c r="E830" t="inlineStr">
        <is>
          <t>BODEN</t>
        </is>
      </c>
      <c r="G830" t="n">
        <v>1.7</v>
      </c>
      <c r="H830" t="n">
        <v>0</v>
      </c>
      <c r="I830" t="n">
        <v>0</v>
      </c>
      <c r="J830" t="n">
        <v>0</v>
      </c>
      <c r="K830" t="n">
        <v>0</v>
      </c>
      <c r="L830" t="n">
        <v>0</v>
      </c>
      <c r="M830" t="n">
        <v>0</v>
      </c>
      <c r="N830" t="n">
        <v>0</v>
      </c>
      <c r="O830" t="n">
        <v>0</v>
      </c>
      <c r="P830" t="n">
        <v>0</v>
      </c>
      <c r="Q830" t="n">
        <v>0</v>
      </c>
      <c r="R830" s="2" t="inlineStr"/>
    </row>
    <row r="831" ht="15" customHeight="1">
      <c r="A831" t="inlineStr">
        <is>
          <t>A 28442-2023</t>
        </is>
      </c>
      <c r="B831" s="1" t="n">
        <v>45102</v>
      </c>
      <c r="C831" s="1" t="n">
        <v>45803</v>
      </c>
      <c r="D831" t="inlineStr">
        <is>
          <t>NORRBOTTENS LÄN</t>
        </is>
      </c>
      <c r="E831" t="inlineStr">
        <is>
          <t>BODEN</t>
        </is>
      </c>
      <c r="G831" t="n">
        <v>0.9</v>
      </c>
      <c r="H831" t="n">
        <v>0</v>
      </c>
      <c r="I831" t="n">
        <v>0</v>
      </c>
      <c r="J831" t="n">
        <v>0</v>
      </c>
      <c r="K831" t="n">
        <v>0</v>
      </c>
      <c r="L831" t="n">
        <v>0</v>
      </c>
      <c r="M831" t="n">
        <v>0</v>
      </c>
      <c r="N831" t="n">
        <v>0</v>
      </c>
      <c r="O831" t="n">
        <v>0</v>
      </c>
      <c r="P831" t="n">
        <v>0</v>
      </c>
      <c r="Q831" t="n">
        <v>0</v>
      </c>
      <c r="R831" s="2" t="inlineStr"/>
    </row>
    <row r="832" ht="15" customHeight="1">
      <c r="A832" t="inlineStr">
        <is>
          <t>A 28746-2023</t>
        </is>
      </c>
      <c r="B832" s="1" t="n">
        <v>45104</v>
      </c>
      <c r="C832" s="1" t="n">
        <v>45803</v>
      </c>
      <c r="D832" t="inlineStr">
        <is>
          <t>NORRBOTTENS LÄN</t>
        </is>
      </c>
      <c r="E832" t="inlineStr">
        <is>
          <t>BODEN</t>
        </is>
      </c>
      <c r="G832" t="n">
        <v>6</v>
      </c>
      <c r="H832" t="n">
        <v>0</v>
      </c>
      <c r="I832" t="n">
        <v>0</v>
      </c>
      <c r="J832" t="n">
        <v>0</v>
      </c>
      <c r="K832" t="n">
        <v>0</v>
      </c>
      <c r="L832" t="n">
        <v>0</v>
      </c>
      <c r="M832" t="n">
        <v>0</v>
      </c>
      <c r="N832" t="n">
        <v>0</v>
      </c>
      <c r="O832" t="n">
        <v>0</v>
      </c>
      <c r="P832" t="n">
        <v>0</v>
      </c>
      <c r="Q832" t="n">
        <v>0</v>
      </c>
      <c r="R832" s="2" t="inlineStr"/>
    </row>
    <row r="833" ht="15" customHeight="1">
      <c r="A833" t="inlineStr">
        <is>
          <t>A 28745-2023</t>
        </is>
      </c>
      <c r="B833" s="1" t="n">
        <v>45104</v>
      </c>
      <c r="C833" s="1" t="n">
        <v>45803</v>
      </c>
      <c r="D833" t="inlineStr">
        <is>
          <t>NORRBOTTENS LÄN</t>
        </is>
      </c>
      <c r="E833" t="inlineStr">
        <is>
          <t>BODEN</t>
        </is>
      </c>
      <c r="G833" t="n">
        <v>0.8</v>
      </c>
      <c r="H833" t="n">
        <v>0</v>
      </c>
      <c r="I833" t="n">
        <v>0</v>
      </c>
      <c r="J833" t="n">
        <v>0</v>
      </c>
      <c r="K833" t="n">
        <v>0</v>
      </c>
      <c r="L833" t="n">
        <v>0</v>
      </c>
      <c r="M833" t="n">
        <v>0</v>
      </c>
      <c r="N833" t="n">
        <v>0</v>
      </c>
      <c r="O833" t="n">
        <v>0</v>
      </c>
      <c r="P833" t="n">
        <v>0</v>
      </c>
      <c r="Q833" t="n">
        <v>0</v>
      </c>
      <c r="R833" s="2" t="inlineStr"/>
    </row>
    <row r="834" ht="15" customHeight="1">
      <c r="A834" t="inlineStr">
        <is>
          <t>A 28574-2023</t>
        </is>
      </c>
      <c r="B834" s="1" t="n">
        <v>45103</v>
      </c>
      <c r="C834" s="1" t="n">
        <v>45803</v>
      </c>
      <c r="D834" t="inlineStr">
        <is>
          <t>NORRBOTTENS LÄN</t>
        </is>
      </c>
      <c r="E834" t="inlineStr">
        <is>
          <t>BODEN</t>
        </is>
      </c>
      <c r="G834" t="n">
        <v>1.3</v>
      </c>
      <c r="H834" t="n">
        <v>0</v>
      </c>
      <c r="I834" t="n">
        <v>0</v>
      </c>
      <c r="J834" t="n">
        <v>0</v>
      </c>
      <c r="K834" t="n">
        <v>0</v>
      </c>
      <c r="L834" t="n">
        <v>0</v>
      </c>
      <c r="M834" t="n">
        <v>0</v>
      </c>
      <c r="N834" t="n">
        <v>0</v>
      </c>
      <c r="O834" t="n">
        <v>0</v>
      </c>
      <c r="P834" t="n">
        <v>0</v>
      </c>
      <c r="Q834" t="n">
        <v>0</v>
      </c>
      <c r="R834" s="2" t="inlineStr"/>
    </row>
    <row r="835" ht="15" customHeight="1">
      <c r="A835" t="inlineStr">
        <is>
          <t>A 28916-2023</t>
        </is>
      </c>
      <c r="B835" s="1" t="n">
        <v>45104</v>
      </c>
      <c r="C835" s="1" t="n">
        <v>45803</v>
      </c>
      <c r="D835" t="inlineStr">
        <is>
          <t>NORRBOTTENS LÄN</t>
        </is>
      </c>
      <c r="E835" t="inlineStr">
        <is>
          <t>BODEN</t>
        </is>
      </c>
      <c r="G835" t="n">
        <v>6.4</v>
      </c>
      <c r="H835" t="n">
        <v>0</v>
      </c>
      <c r="I835" t="n">
        <v>0</v>
      </c>
      <c r="J835" t="n">
        <v>0</v>
      </c>
      <c r="K835" t="n">
        <v>0</v>
      </c>
      <c r="L835" t="n">
        <v>0</v>
      </c>
      <c r="M835" t="n">
        <v>0</v>
      </c>
      <c r="N835" t="n">
        <v>0</v>
      </c>
      <c r="O835" t="n">
        <v>0</v>
      </c>
      <c r="P835" t="n">
        <v>0</v>
      </c>
      <c r="Q835" t="n">
        <v>0</v>
      </c>
      <c r="R835" s="2" t="inlineStr"/>
    </row>
    <row r="836" ht="15" customHeight="1">
      <c r="A836" t="inlineStr">
        <is>
          <t>A 29150-2023</t>
        </is>
      </c>
      <c r="B836" s="1" t="n">
        <v>45105</v>
      </c>
      <c r="C836" s="1" t="n">
        <v>45803</v>
      </c>
      <c r="D836" t="inlineStr">
        <is>
          <t>NORRBOTTENS LÄN</t>
        </is>
      </c>
      <c r="E836" t="inlineStr">
        <is>
          <t>BODEN</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29174-2023</t>
        </is>
      </c>
      <c r="B837" s="1" t="n">
        <v>45105</v>
      </c>
      <c r="C837" s="1" t="n">
        <v>45803</v>
      </c>
      <c r="D837" t="inlineStr">
        <is>
          <t>NORRBOTTENS LÄN</t>
        </is>
      </c>
      <c r="E837" t="inlineStr">
        <is>
          <t>BODEN</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29215-2023</t>
        </is>
      </c>
      <c r="B838" s="1" t="n">
        <v>45105</v>
      </c>
      <c r="C838" s="1" t="n">
        <v>45803</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29309-2023</t>
        </is>
      </c>
      <c r="B839" s="1" t="n">
        <v>45106</v>
      </c>
      <c r="C839" s="1" t="n">
        <v>45803</v>
      </c>
      <c r="D839" t="inlineStr">
        <is>
          <t>NORRBOTTENS LÄN</t>
        </is>
      </c>
      <c r="E839" t="inlineStr">
        <is>
          <t>BODEN</t>
        </is>
      </c>
      <c r="G839" t="n">
        <v>3.2</v>
      </c>
      <c r="H839" t="n">
        <v>0</v>
      </c>
      <c r="I839" t="n">
        <v>0</v>
      </c>
      <c r="J839" t="n">
        <v>0</v>
      </c>
      <c r="K839" t="n">
        <v>0</v>
      </c>
      <c r="L839" t="n">
        <v>0</v>
      </c>
      <c r="M839" t="n">
        <v>0</v>
      </c>
      <c r="N839" t="n">
        <v>0</v>
      </c>
      <c r="O839" t="n">
        <v>0</v>
      </c>
      <c r="P839" t="n">
        <v>0</v>
      </c>
      <c r="Q839" t="n">
        <v>0</v>
      </c>
      <c r="R839" s="2" t="inlineStr"/>
    </row>
    <row r="840" ht="15" customHeight="1">
      <c r="A840" t="inlineStr">
        <is>
          <t>A 29308-2023</t>
        </is>
      </c>
      <c r="B840" s="1" t="n">
        <v>45106</v>
      </c>
      <c r="C840" s="1" t="n">
        <v>45803</v>
      </c>
      <c r="D840" t="inlineStr">
        <is>
          <t>NORRBOTTENS LÄN</t>
        </is>
      </c>
      <c r="E840" t="inlineStr">
        <is>
          <t>BODEN</t>
        </is>
      </c>
      <c r="G840" t="n">
        <v>3</v>
      </c>
      <c r="H840" t="n">
        <v>0</v>
      </c>
      <c r="I840" t="n">
        <v>0</v>
      </c>
      <c r="J840" t="n">
        <v>0</v>
      </c>
      <c r="K840" t="n">
        <v>0</v>
      </c>
      <c r="L840" t="n">
        <v>0</v>
      </c>
      <c r="M840" t="n">
        <v>0</v>
      </c>
      <c r="N840" t="n">
        <v>0</v>
      </c>
      <c r="O840" t="n">
        <v>0</v>
      </c>
      <c r="P840" t="n">
        <v>0</v>
      </c>
      <c r="Q840" t="n">
        <v>0</v>
      </c>
      <c r="R840" s="2" t="inlineStr"/>
    </row>
    <row r="841" ht="15" customHeight="1">
      <c r="A841" t="inlineStr">
        <is>
          <t>A 29307-2023</t>
        </is>
      </c>
      <c r="B841" s="1" t="n">
        <v>45106</v>
      </c>
      <c r="C841" s="1" t="n">
        <v>45803</v>
      </c>
      <c r="D841" t="inlineStr">
        <is>
          <t>NORRBOTTENS LÄN</t>
        </is>
      </c>
      <c r="E841" t="inlineStr">
        <is>
          <t>BODEN</t>
        </is>
      </c>
      <c r="G841" t="n">
        <v>1.4</v>
      </c>
      <c r="H841" t="n">
        <v>0</v>
      </c>
      <c r="I841" t="n">
        <v>0</v>
      </c>
      <c r="J841" t="n">
        <v>0</v>
      </c>
      <c r="K841" t="n">
        <v>0</v>
      </c>
      <c r="L841" t="n">
        <v>0</v>
      </c>
      <c r="M841" t="n">
        <v>0</v>
      </c>
      <c r="N841" t="n">
        <v>0</v>
      </c>
      <c r="O841" t="n">
        <v>0</v>
      </c>
      <c r="P841" t="n">
        <v>0</v>
      </c>
      <c r="Q841" t="n">
        <v>0</v>
      </c>
      <c r="R841" s="2" t="inlineStr"/>
    </row>
    <row r="842" ht="15" customHeight="1">
      <c r="A842" t="inlineStr">
        <is>
          <t>A 29311-2023</t>
        </is>
      </c>
      <c r="B842" s="1" t="n">
        <v>45106</v>
      </c>
      <c r="C842" s="1" t="n">
        <v>45803</v>
      </c>
      <c r="D842" t="inlineStr">
        <is>
          <t>NORRBOTTENS LÄN</t>
        </is>
      </c>
      <c r="E842" t="inlineStr">
        <is>
          <t>BODEN</t>
        </is>
      </c>
      <c r="G842" t="n">
        <v>2</v>
      </c>
      <c r="H842" t="n">
        <v>0</v>
      </c>
      <c r="I842" t="n">
        <v>0</v>
      </c>
      <c r="J842" t="n">
        <v>0</v>
      </c>
      <c r="K842" t="n">
        <v>0</v>
      </c>
      <c r="L842" t="n">
        <v>0</v>
      </c>
      <c r="M842" t="n">
        <v>0</v>
      </c>
      <c r="N842" t="n">
        <v>0</v>
      </c>
      <c r="O842" t="n">
        <v>0</v>
      </c>
      <c r="P842" t="n">
        <v>0</v>
      </c>
      <c r="Q842" t="n">
        <v>0</v>
      </c>
      <c r="R842" s="2" t="inlineStr"/>
    </row>
    <row r="843" ht="15" customHeight="1">
      <c r="A843" t="inlineStr">
        <is>
          <t>A 29920-2023</t>
        </is>
      </c>
      <c r="B843" s="1" t="n">
        <v>45107</v>
      </c>
      <c r="C843" s="1" t="n">
        <v>45803</v>
      </c>
      <c r="D843" t="inlineStr">
        <is>
          <t>NORRBOTTENS LÄN</t>
        </is>
      </c>
      <c r="E843" t="inlineStr">
        <is>
          <t>BODEN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29919-2023</t>
        </is>
      </c>
      <c r="B844" s="1" t="n">
        <v>45107</v>
      </c>
      <c r="C844" s="1" t="n">
        <v>45803</v>
      </c>
      <c r="D844" t="inlineStr">
        <is>
          <t>NORRBOTTENS LÄN</t>
        </is>
      </c>
      <c r="E844" t="inlineStr">
        <is>
          <t>BODEN</t>
        </is>
      </c>
      <c r="F844" t="inlineStr">
        <is>
          <t>Sveaskog</t>
        </is>
      </c>
      <c r="G844" t="n">
        <v>11.7</v>
      </c>
      <c r="H844" t="n">
        <v>0</v>
      </c>
      <c r="I844" t="n">
        <v>0</v>
      </c>
      <c r="J844" t="n">
        <v>0</v>
      </c>
      <c r="K844" t="n">
        <v>0</v>
      </c>
      <c r="L844" t="n">
        <v>0</v>
      </c>
      <c r="M844" t="n">
        <v>0</v>
      </c>
      <c r="N844" t="n">
        <v>0</v>
      </c>
      <c r="O844" t="n">
        <v>0</v>
      </c>
      <c r="P844" t="n">
        <v>0</v>
      </c>
      <c r="Q844" t="n">
        <v>0</v>
      </c>
      <c r="R844" s="2" t="inlineStr"/>
    </row>
    <row r="845" ht="15" customHeight="1">
      <c r="A845" t="inlineStr">
        <is>
          <t>A 30300-2023</t>
        </is>
      </c>
      <c r="B845" s="1" t="n">
        <v>45110</v>
      </c>
      <c r="C845" s="1" t="n">
        <v>45803</v>
      </c>
      <c r="D845" t="inlineStr">
        <is>
          <t>NORRBOTTENS LÄN</t>
        </is>
      </c>
      <c r="E845" t="inlineStr">
        <is>
          <t>BODEN</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30299-2023</t>
        </is>
      </c>
      <c r="B846" s="1" t="n">
        <v>45110</v>
      </c>
      <c r="C846" s="1" t="n">
        <v>45803</v>
      </c>
      <c r="D846" t="inlineStr">
        <is>
          <t>NORRBOTTENS LÄN</t>
        </is>
      </c>
      <c r="E846" t="inlineStr">
        <is>
          <t>BODEN</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30301-2023</t>
        </is>
      </c>
      <c r="B847" s="1" t="n">
        <v>45111</v>
      </c>
      <c r="C847" s="1" t="n">
        <v>45803</v>
      </c>
      <c r="D847" t="inlineStr">
        <is>
          <t>NORRBOTTENS LÄN</t>
        </is>
      </c>
      <c r="E847" t="inlineStr">
        <is>
          <t>BODEN</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30302-2023</t>
        </is>
      </c>
      <c r="B848" s="1" t="n">
        <v>45111</v>
      </c>
      <c r="C848" s="1" t="n">
        <v>45803</v>
      </c>
      <c r="D848" t="inlineStr">
        <is>
          <t>NORRBOTTENS LÄN</t>
        </is>
      </c>
      <c r="E848" t="inlineStr">
        <is>
          <t>BODEN</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32412-2023</t>
        </is>
      </c>
      <c r="B849" s="1" t="n">
        <v>45110</v>
      </c>
      <c r="C849" s="1" t="n">
        <v>45803</v>
      </c>
      <c r="D849" t="inlineStr">
        <is>
          <t>NORRBOTTENS LÄN</t>
        </is>
      </c>
      <c r="E849" t="inlineStr">
        <is>
          <t>BODEN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31066-2023</t>
        </is>
      </c>
      <c r="B850" s="1" t="n">
        <v>45113</v>
      </c>
      <c r="C850" s="1" t="n">
        <v>45803</v>
      </c>
      <c r="D850" t="inlineStr">
        <is>
          <t>NORRBOTTENS LÄN</t>
        </is>
      </c>
      <c r="E850" t="inlineStr">
        <is>
          <t>BODEN</t>
        </is>
      </c>
      <c r="G850" t="n">
        <v>19.4</v>
      </c>
      <c r="H850" t="n">
        <v>0</v>
      </c>
      <c r="I850" t="n">
        <v>0</v>
      </c>
      <c r="J850" t="n">
        <v>0</v>
      </c>
      <c r="K850" t="n">
        <v>0</v>
      </c>
      <c r="L850" t="n">
        <v>0</v>
      </c>
      <c r="M850" t="n">
        <v>0</v>
      </c>
      <c r="N850" t="n">
        <v>0</v>
      </c>
      <c r="O850" t="n">
        <v>0</v>
      </c>
      <c r="P850" t="n">
        <v>0</v>
      </c>
      <c r="Q850" t="n">
        <v>0</v>
      </c>
      <c r="R850" s="2" t="inlineStr"/>
    </row>
    <row r="851" ht="15" customHeight="1">
      <c r="A851" t="inlineStr">
        <is>
          <t>A 31102-2023</t>
        </is>
      </c>
      <c r="B851" s="1" t="n">
        <v>45113</v>
      </c>
      <c r="C851" s="1" t="n">
        <v>45803</v>
      </c>
      <c r="D851" t="inlineStr">
        <is>
          <t>NORRBOTTENS LÄN</t>
        </is>
      </c>
      <c r="E851" t="inlineStr">
        <is>
          <t>BODEN</t>
        </is>
      </c>
      <c r="F851" t="inlineStr">
        <is>
          <t>Övriga Aktiebolag</t>
        </is>
      </c>
      <c r="G851" t="n">
        <v>7.3</v>
      </c>
      <c r="H851" t="n">
        <v>0</v>
      </c>
      <c r="I851" t="n">
        <v>0</v>
      </c>
      <c r="J851" t="n">
        <v>0</v>
      </c>
      <c r="K851" t="n">
        <v>0</v>
      </c>
      <c r="L851" t="n">
        <v>0</v>
      </c>
      <c r="M851" t="n">
        <v>0</v>
      </c>
      <c r="N851" t="n">
        <v>0</v>
      </c>
      <c r="O851" t="n">
        <v>0</v>
      </c>
      <c r="P851" t="n">
        <v>0</v>
      </c>
      <c r="Q851" t="n">
        <v>0</v>
      </c>
      <c r="R851" s="2" t="inlineStr"/>
    </row>
    <row r="852" ht="15" customHeight="1">
      <c r="A852" t="inlineStr">
        <is>
          <t>A 31226-2023</t>
        </is>
      </c>
      <c r="B852" s="1" t="n">
        <v>45114</v>
      </c>
      <c r="C852" s="1" t="n">
        <v>45803</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31297-2023</t>
        </is>
      </c>
      <c r="B853" s="1" t="n">
        <v>45114</v>
      </c>
      <c r="C853" s="1" t="n">
        <v>45803</v>
      </c>
      <c r="D853" t="inlineStr">
        <is>
          <t>NORRBOTTENS LÄN</t>
        </is>
      </c>
      <c r="E853" t="inlineStr">
        <is>
          <t>BODEN</t>
        </is>
      </c>
      <c r="G853" t="n">
        <v>7.8</v>
      </c>
      <c r="H853" t="n">
        <v>0</v>
      </c>
      <c r="I853" t="n">
        <v>0</v>
      </c>
      <c r="J853" t="n">
        <v>0</v>
      </c>
      <c r="K853" t="n">
        <v>0</v>
      </c>
      <c r="L853" t="n">
        <v>0</v>
      </c>
      <c r="M853" t="n">
        <v>0</v>
      </c>
      <c r="N853" t="n">
        <v>0</v>
      </c>
      <c r="O853" t="n">
        <v>0</v>
      </c>
      <c r="P853" t="n">
        <v>0</v>
      </c>
      <c r="Q853" t="n">
        <v>0</v>
      </c>
      <c r="R853" s="2" t="inlineStr"/>
    </row>
    <row r="854" ht="15" customHeight="1">
      <c r="A854" t="inlineStr">
        <is>
          <t>A 31590-2023</t>
        </is>
      </c>
      <c r="B854" s="1" t="n">
        <v>45117</v>
      </c>
      <c r="C854" s="1" t="n">
        <v>45803</v>
      </c>
      <c r="D854" t="inlineStr">
        <is>
          <t>NORRBOTTENS LÄN</t>
        </is>
      </c>
      <c r="E854" t="inlineStr">
        <is>
          <t>BODEN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33751-2023</t>
        </is>
      </c>
      <c r="B855" s="1" t="n">
        <v>45120</v>
      </c>
      <c r="C855" s="1" t="n">
        <v>45803</v>
      </c>
      <c r="D855" t="inlineStr">
        <is>
          <t>NORRBOTTENS LÄN</t>
        </is>
      </c>
      <c r="E855" t="inlineStr">
        <is>
          <t>BODEN</t>
        </is>
      </c>
      <c r="G855" t="n">
        <v>2.4</v>
      </c>
      <c r="H855" t="n">
        <v>0</v>
      </c>
      <c r="I855" t="n">
        <v>0</v>
      </c>
      <c r="J855" t="n">
        <v>0</v>
      </c>
      <c r="K855" t="n">
        <v>0</v>
      </c>
      <c r="L855" t="n">
        <v>0</v>
      </c>
      <c r="M855" t="n">
        <v>0</v>
      </c>
      <c r="N855" t="n">
        <v>0</v>
      </c>
      <c r="O855" t="n">
        <v>0</v>
      </c>
      <c r="P855" t="n">
        <v>0</v>
      </c>
      <c r="Q855" t="n">
        <v>0</v>
      </c>
      <c r="R855" s="2" t="inlineStr"/>
    </row>
    <row r="856" ht="15" customHeight="1">
      <c r="A856" t="inlineStr">
        <is>
          <t>A 32782-2023</t>
        </is>
      </c>
      <c r="B856" s="1" t="n">
        <v>45124</v>
      </c>
      <c r="C856" s="1" t="n">
        <v>45803</v>
      </c>
      <c r="D856" t="inlineStr">
        <is>
          <t>NORRBOTTENS LÄN</t>
        </is>
      </c>
      <c r="E856" t="inlineStr">
        <is>
          <t>BODEN</t>
        </is>
      </c>
      <c r="G856" t="n">
        <v>2.7</v>
      </c>
      <c r="H856" t="n">
        <v>0</v>
      </c>
      <c r="I856" t="n">
        <v>0</v>
      </c>
      <c r="J856" t="n">
        <v>0</v>
      </c>
      <c r="K856" t="n">
        <v>0</v>
      </c>
      <c r="L856" t="n">
        <v>0</v>
      </c>
      <c r="M856" t="n">
        <v>0</v>
      </c>
      <c r="N856" t="n">
        <v>0</v>
      </c>
      <c r="O856" t="n">
        <v>0</v>
      </c>
      <c r="P856" t="n">
        <v>0</v>
      </c>
      <c r="Q856" t="n">
        <v>0</v>
      </c>
      <c r="R856" s="2" t="inlineStr"/>
    </row>
    <row r="857" ht="15" customHeight="1">
      <c r="A857" t="inlineStr">
        <is>
          <t>A 32781-2023</t>
        </is>
      </c>
      <c r="B857" s="1" t="n">
        <v>45124</v>
      </c>
      <c r="C857" s="1" t="n">
        <v>45803</v>
      </c>
      <c r="D857" t="inlineStr">
        <is>
          <t>NORRBOTTENS LÄN</t>
        </is>
      </c>
      <c r="E857" t="inlineStr">
        <is>
          <t>BODEN</t>
        </is>
      </c>
      <c r="G857" t="n">
        <v>5.9</v>
      </c>
      <c r="H857" t="n">
        <v>0</v>
      </c>
      <c r="I857" t="n">
        <v>0</v>
      </c>
      <c r="J857" t="n">
        <v>0</v>
      </c>
      <c r="K857" t="n">
        <v>0</v>
      </c>
      <c r="L857" t="n">
        <v>0</v>
      </c>
      <c r="M857" t="n">
        <v>0</v>
      </c>
      <c r="N857" t="n">
        <v>0</v>
      </c>
      <c r="O857" t="n">
        <v>0</v>
      </c>
      <c r="P857" t="n">
        <v>0</v>
      </c>
      <c r="Q857" t="n">
        <v>0</v>
      </c>
      <c r="R857" s="2" t="inlineStr"/>
    </row>
    <row r="858" ht="15" customHeight="1">
      <c r="A858" t="inlineStr">
        <is>
          <t>A 32784-2023</t>
        </is>
      </c>
      <c r="B858" s="1" t="n">
        <v>45124</v>
      </c>
      <c r="C858" s="1" t="n">
        <v>45803</v>
      </c>
      <c r="D858" t="inlineStr">
        <is>
          <t>NORRBOTTENS LÄN</t>
        </is>
      </c>
      <c r="E858" t="inlineStr">
        <is>
          <t>BODEN</t>
        </is>
      </c>
      <c r="G858" t="n">
        <v>1.7</v>
      </c>
      <c r="H858" t="n">
        <v>0</v>
      </c>
      <c r="I858" t="n">
        <v>0</v>
      </c>
      <c r="J858" t="n">
        <v>0</v>
      </c>
      <c r="K858" t="n">
        <v>0</v>
      </c>
      <c r="L858" t="n">
        <v>0</v>
      </c>
      <c r="M858" t="n">
        <v>0</v>
      </c>
      <c r="N858" t="n">
        <v>0</v>
      </c>
      <c r="O858" t="n">
        <v>0</v>
      </c>
      <c r="P858" t="n">
        <v>0</v>
      </c>
      <c r="Q858" t="n">
        <v>0</v>
      </c>
      <c r="R858" s="2" t="inlineStr"/>
    </row>
    <row r="859" ht="15" customHeight="1">
      <c r="A859" t="inlineStr">
        <is>
          <t>A 32902-2023</t>
        </is>
      </c>
      <c r="B859" s="1" t="n">
        <v>45125</v>
      </c>
      <c r="C859" s="1" t="n">
        <v>45803</v>
      </c>
      <c r="D859" t="inlineStr">
        <is>
          <t>NORRBOTTENS LÄN</t>
        </is>
      </c>
      <c r="E859" t="inlineStr">
        <is>
          <t>BODEN</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33945-2023</t>
        </is>
      </c>
      <c r="B860" s="1" t="n">
        <v>45124</v>
      </c>
      <c r="C860" s="1" t="n">
        <v>45803</v>
      </c>
      <c r="D860" t="inlineStr">
        <is>
          <t>NORRBOTTENS LÄN</t>
        </is>
      </c>
      <c r="E860" t="inlineStr">
        <is>
          <t>BODEN</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33034-2023</t>
        </is>
      </c>
      <c r="B861" s="1" t="n">
        <v>45126</v>
      </c>
      <c r="C861" s="1" t="n">
        <v>45803</v>
      </c>
      <c r="D861" t="inlineStr">
        <is>
          <t>NORRBOTTENS LÄN</t>
        </is>
      </c>
      <c r="E861" t="inlineStr">
        <is>
          <t>BODEN</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33168-2023</t>
        </is>
      </c>
      <c r="B862" s="1" t="n">
        <v>45127</v>
      </c>
      <c r="C862" s="1" t="n">
        <v>45803</v>
      </c>
      <c r="D862" t="inlineStr">
        <is>
          <t>NORRBOTTENS LÄN</t>
        </is>
      </c>
      <c r="E862" t="inlineStr">
        <is>
          <t>BODEN</t>
        </is>
      </c>
      <c r="G862" t="n">
        <v>12.2</v>
      </c>
      <c r="H862" t="n">
        <v>0</v>
      </c>
      <c r="I862" t="n">
        <v>0</v>
      </c>
      <c r="J862" t="n">
        <v>0</v>
      </c>
      <c r="K862" t="n">
        <v>0</v>
      </c>
      <c r="L862" t="n">
        <v>0</v>
      </c>
      <c r="M862" t="n">
        <v>0</v>
      </c>
      <c r="N862" t="n">
        <v>0</v>
      </c>
      <c r="O862" t="n">
        <v>0</v>
      </c>
      <c r="P862" t="n">
        <v>0</v>
      </c>
      <c r="Q862" t="n">
        <v>0</v>
      </c>
      <c r="R862" s="2" t="inlineStr"/>
    </row>
    <row r="863" ht="15" customHeight="1">
      <c r="A863" t="inlineStr">
        <is>
          <t>A 33333-2023</t>
        </is>
      </c>
      <c r="B863" s="1" t="n">
        <v>45128</v>
      </c>
      <c r="C863" s="1" t="n">
        <v>45803</v>
      </c>
      <c r="D863" t="inlineStr">
        <is>
          <t>NORRBOTTENS LÄN</t>
        </is>
      </c>
      <c r="E863" t="inlineStr">
        <is>
          <t>BODEN</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33445-2023</t>
        </is>
      </c>
      <c r="B864" s="1" t="n">
        <v>45130</v>
      </c>
      <c r="C864" s="1" t="n">
        <v>45803</v>
      </c>
      <c r="D864" t="inlineStr">
        <is>
          <t>NORRBOTTENS LÄN</t>
        </is>
      </c>
      <c r="E864" t="inlineStr">
        <is>
          <t>BODEN</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33697-2023</t>
        </is>
      </c>
      <c r="B865" s="1" t="n">
        <v>45132</v>
      </c>
      <c r="C865" s="1" t="n">
        <v>45803</v>
      </c>
      <c r="D865" t="inlineStr">
        <is>
          <t>NORRBOTTENS LÄN</t>
        </is>
      </c>
      <c r="E865" t="inlineStr">
        <is>
          <t>BODEN</t>
        </is>
      </c>
      <c r="G865" t="n">
        <v>4.5</v>
      </c>
      <c r="H865" t="n">
        <v>0</v>
      </c>
      <c r="I865" t="n">
        <v>0</v>
      </c>
      <c r="J865" t="n">
        <v>0</v>
      </c>
      <c r="K865" t="n">
        <v>0</v>
      </c>
      <c r="L865" t="n">
        <v>0</v>
      </c>
      <c r="M865" t="n">
        <v>0</v>
      </c>
      <c r="N865" t="n">
        <v>0</v>
      </c>
      <c r="O865" t="n">
        <v>0</v>
      </c>
      <c r="P865" t="n">
        <v>0</v>
      </c>
      <c r="Q865" t="n">
        <v>0</v>
      </c>
      <c r="R865" s="2" t="inlineStr"/>
    </row>
    <row r="866" ht="15" customHeight="1">
      <c r="A866" t="inlineStr">
        <is>
          <t>A 34134-2023</t>
        </is>
      </c>
      <c r="B866" s="1" t="n">
        <v>45136</v>
      </c>
      <c r="C866" s="1" t="n">
        <v>45803</v>
      </c>
      <c r="D866" t="inlineStr">
        <is>
          <t>NORRBOTTENS LÄN</t>
        </is>
      </c>
      <c r="E866" t="inlineStr">
        <is>
          <t>BODEN</t>
        </is>
      </c>
      <c r="G866" t="n">
        <v>7.6</v>
      </c>
      <c r="H866" t="n">
        <v>0</v>
      </c>
      <c r="I866" t="n">
        <v>0</v>
      </c>
      <c r="J866" t="n">
        <v>0</v>
      </c>
      <c r="K866" t="n">
        <v>0</v>
      </c>
      <c r="L866" t="n">
        <v>0</v>
      </c>
      <c r="M866" t="n">
        <v>0</v>
      </c>
      <c r="N866" t="n">
        <v>0</v>
      </c>
      <c r="O866" t="n">
        <v>0</v>
      </c>
      <c r="P866" t="n">
        <v>0</v>
      </c>
      <c r="Q866" t="n">
        <v>0</v>
      </c>
      <c r="R866" s="2" t="inlineStr"/>
    </row>
    <row r="867" ht="15" customHeight="1">
      <c r="A867" t="inlineStr">
        <is>
          <t>A 34165-2023</t>
        </is>
      </c>
      <c r="B867" s="1" t="n">
        <v>45138</v>
      </c>
      <c r="C867" s="1" t="n">
        <v>45803</v>
      </c>
      <c r="D867" t="inlineStr">
        <is>
          <t>NORRBOTTENS LÄN</t>
        </is>
      </c>
      <c r="E867" t="inlineStr">
        <is>
          <t>BODEN</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34270-2023</t>
        </is>
      </c>
      <c r="B868" s="1" t="n">
        <v>45138</v>
      </c>
      <c r="C868" s="1" t="n">
        <v>45803</v>
      </c>
      <c r="D868" t="inlineStr">
        <is>
          <t>NORRBOTTENS LÄN</t>
        </is>
      </c>
      <c r="E868" t="inlineStr">
        <is>
          <t>BODEN</t>
        </is>
      </c>
      <c r="G868" t="n">
        <v>2.9</v>
      </c>
      <c r="H868" t="n">
        <v>0</v>
      </c>
      <c r="I868" t="n">
        <v>0</v>
      </c>
      <c r="J868" t="n">
        <v>0</v>
      </c>
      <c r="K868" t="n">
        <v>0</v>
      </c>
      <c r="L868" t="n">
        <v>0</v>
      </c>
      <c r="M868" t="n">
        <v>0</v>
      </c>
      <c r="N868" t="n">
        <v>0</v>
      </c>
      <c r="O868" t="n">
        <v>0</v>
      </c>
      <c r="P868" t="n">
        <v>0</v>
      </c>
      <c r="Q868" t="n">
        <v>0</v>
      </c>
      <c r="R868" s="2" t="inlineStr"/>
    </row>
    <row r="869" ht="15" customHeight="1">
      <c r="A869" t="inlineStr">
        <is>
          <t>A 34353-2023</t>
        </is>
      </c>
      <c r="B869" s="1" t="n">
        <v>45139</v>
      </c>
      <c r="C869" s="1" t="n">
        <v>45803</v>
      </c>
      <c r="D869" t="inlineStr">
        <is>
          <t>NORRBOTTENS LÄN</t>
        </is>
      </c>
      <c r="E869" t="inlineStr">
        <is>
          <t>BODEN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34749-2023</t>
        </is>
      </c>
      <c r="B870" s="1" t="n">
        <v>45139</v>
      </c>
      <c r="C870" s="1" t="n">
        <v>45803</v>
      </c>
      <c r="D870" t="inlineStr">
        <is>
          <t>NORRBOTTENS LÄN</t>
        </is>
      </c>
      <c r="E870" t="inlineStr">
        <is>
          <t>BODEN</t>
        </is>
      </c>
      <c r="F870" t="inlineStr">
        <is>
          <t>Kommuner</t>
        </is>
      </c>
      <c r="G870" t="n">
        <v>11.9</v>
      </c>
      <c r="H870" t="n">
        <v>0</v>
      </c>
      <c r="I870" t="n">
        <v>0</v>
      </c>
      <c r="J870" t="n">
        <v>0</v>
      </c>
      <c r="K870" t="n">
        <v>0</v>
      </c>
      <c r="L870" t="n">
        <v>0</v>
      </c>
      <c r="M870" t="n">
        <v>0</v>
      </c>
      <c r="N870" t="n">
        <v>0</v>
      </c>
      <c r="O870" t="n">
        <v>0</v>
      </c>
      <c r="P870" t="n">
        <v>0</v>
      </c>
      <c r="Q870" t="n">
        <v>0</v>
      </c>
      <c r="R870" s="2" t="inlineStr"/>
    </row>
    <row r="871" ht="15" customHeight="1">
      <c r="A871" t="inlineStr">
        <is>
          <t>A 34476-2023</t>
        </is>
      </c>
      <c r="B871" s="1" t="n">
        <v>45140</v>
      </c>
      <c r="C871" s="1" t="n">
        <v>45803</v>
      </c>
      <c r="D871" t="inlineStr">
        <is>
          <t>NORRBOTTENS LÄN</t>
        </is>
      </c>
      <c r="E871" t="inlineStr">
        <is>
          <t>BODEN</t>
        </is>
      </c>
      <c r="G871" t="n">
        <v>10.6</v>
      </c>
      <c r="H871" t="n">
        <v>0</v>
      </c>
      <c r="I871" t="n">
        <v>0</v>
      </c>
      <c r="J871" t="n">
        <v>0</v>
      </c>
      <c r="K871" t="n">
        <v>0</v>
      </c>
      <c r="L871" t="n">
        <v>0</v>
      </c>
      <c r="M871" t="n">
        <v>0</v>
      </c>
      <c r="N871" t="n">
        <v>0</v>
      </c>
      <c r="O871" t="n">
        <v>0</v>
      </c>
      <c r="P871" t="n">
        <v>0</v>
      </c>
      <c r="Q871" t="n">
        <v>0</v>
      </c>
      <c r="R871" s="2" t="inlineStr"/>
    </row>
    <row r="872" ht="15" customHeight="1">
      <c r="A872" t="inlineStr">
        <is>
          <t>A 34937-2023</t>
        </is>
      </c>
      <c r="B872" s="1" t="n">
        <v>45142</v>
      </c>
      <c r="C872" s="1" t="n">
        <v>45803</v>
      </c>
      <c r="D872" t="inlineStr">
        <is>
          <t>NORRBOTTENS LÄN</t>
        </is>
      </c>
      <c r="E872" t="inlineStr">
        <is>
          <t>BODEN</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35323-2023</t>
        </is>
      </c>
      <c r="B873" s="1" t="n">
        <v>45145</v>
      </c>
      <c r="C873" s="1" t="n">
        <v>45803</v>
      </c>
      <c r="D873" t="inlineStr">
        <is>
          <t>NORRBOTTENS LÄN</t>
        </is>
      </c>
      <c r="E873" t="inlineStr">
        <is>
          <t>BODEN</t>
        </is>
      </c>
      <c r="G873" t="n">
        <v>6.8</v>
      </c>
      <c r="H873" t="n">
        <v>0</v>
      </c>
      <c r="I873" t="n">
        <v>0</v>
      </c>
      <c r="J873" t="n">
        <v>0</v>
      </c>
      <c r="K873" t="n">
        <v>0</v>
      </c>
      <c r="L873" t="n">
        <v>0</v>
      </c>
      <c r="M873" t="n">
        <v>0</v>
      </c>
      <c r="N873" t="n">
        <v>0</v>
      </c>
      <c r="O873" t="n">
        <v>0</v>
      </c>
      <c r="P873" t="n">
        <v>0</v>
      </c>
      <c r="Q873" t="n">
        <v>0</v>
      </c>
      <c r="R873" s="2" t="inlineStr"/>
    </row>
    <row r="874" ht="15" customHeight="1">
      <c r="A874" t="inlineStr">
        <is>
          <t>A 37431-2023</t>
        </is>
      </c>
      <c r="B874" s="1" t="n">
        <v>45146</v>
      </c>
      <c r="C874" s="1" t="n">
        <v>45803</v>
      </c>
      <c r="D874" t="inlineStr">
        <is>
          <t>NORRBOTTENS LÄN</t>
        </is>
      </c>
      <c r="E874" t="inlineStr">
        <is>
          <t>BODEN</t>
        </is>
      </c>
      <c r="G874" t="n">
        <v>9.1</v>
      </c>
      <c r="H874" t="n">
        <v>0</v>
      </c>
      <c r="I874" t="n">
        <v>0</v>
      </c>
      <c r="J874" t="n">
        <v>0</v>
      </c>
      <c r="K874" t="n">
        <v>0</v>
      </c>
      <c r="L874" t="n">
        <v>0</v>
      </c>
      <c r="M874" t="n">
        <v>0</v>
      </c>
      <c r="N874" t="n">
        <v>0</v>
      </c>
      <c r="O874" t="n">
        <v>0</v>
      </c>
      <c r="P874" t="n">
        <v>0</v>
      </c>
      <c r="Q874" t="n">
        <v>0</v>
      </c>
      <c r="R874" s="2" t="inlineStr"/>
    </row>
    <row r="875" ht="15" customHeight="1">
      <c r="A875" t="inlineStr">
        <is>
          <t>A 37439-2023</t>
        </is>
      </c>
      <c r="B875" s="1" t="n">
        <v>45146</v>
      </c>
      <c r="C875" s="1" t="n">
        <v>45803</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37436-2023</t>
        </is>
      </c>
      <c r="B876" s="1" t="n">
        <v>45146</v>
      </c>
      <c r="C876" s="1" t="n">
        <v>45803</v>
      </c>
      <c r="D876" t="inlineStr">
        <is>
          <t>NORRBOTTENS LÄN</t>
        </is>
      </c>
      <c r="E876" t="inlineStr">
        <is>
          <t>BODEN</t>
        </is>
      </c>
      <c r="G876" t="n">
        <v>18.3</v>
      </c>
      <c r="H876" t="n">
        <v>0</v>
      </c>
      <c r="I876" t="n">
        <v>0</v>
      </c>
      <c r="J876" t="n">
        <v>0</v>
      </c>
      <c r="K876" t="n">
        <v>0</v>
      </c>
      <c r="L876" t="n">
        <v>0</v>
      </c>
      <c r="M876" t="n">
        <v>0</v>
      </c>
      <c r="N876" t="n">
        <v>0</v>
      </c>
      <c r="O876" t="n">
        <v>0</v>
      </c>
      <c r="P876" t="n">
        <v>0</v>
      </c>
      <c r="Q876" t="n">
        <v>0</v>
      </c>
      <c r="R876" s="2" t="inlineStr"/>
    </row>
    <row r="877" ht="15" customHeight="1">
      <c r="A877" t="inlineStr">
        <is>
          <t>A 35767-2023</t>
        </is>
      </c>
      <c r="B877" s="1" t="n">
        <v>45148</v>
      </c>
      <c r="C877" s="1" t="n">
        <v>45803</v>
      </c>
      <c r="D877" t="inlineStr">
        <is>
          <t>NORRBOTTENS LÄN</t>
        </is>
      </c>
      <c r="E877" t="inlineStr">
        <is>
          <t>BODEN</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35768-2023</t>
        </is>
      </c>
      <c r="B878" s="1" t="n">
        <v>45148</v>
      </c>
      <c r="C878" s="1" t="n">
        <v>45803</v>
      </c>
      <c r="D878" t="inlineStr">
        <is>
          <t>NORRBOTTENS LÄN</t>
        </is>
      </c>
      <c r="E878" t="inlineStr">
        <is>
          <t>BODEN</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35769-2023</t>
        </is>
      </c>
      <c r="B879" s="1" t="n">
        <v>45147</v>
      </c>
      <c r="C879" s="1" t="n">
        <v>45803</v>
      </c>
      <c r="D879" t="inlineStr">
        <is>
          <t>NORRBOTTENS LÄN</t>
        </is>
      </c>
      <c r="E879" t="inlineStr">
        <is>
          <t>BODEN</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35827-2023</t>
        </is>
      </c>
      <c r="B880" s="1" t="n">
        <v>45148</v>
      </c>
      <c r="C880" s="1" t="n">
        <v>45803</v>
      </c>
      <c r="D880" t="inlineStr">
        <is>
          <t>NORRBOTTENS LÄN</t>
        </is>
      </c>
      <c r="E880" t="inlineStr">
        <is>
          <t>BODEN</t>
        </is>
      </c>
      <c r="G880" t="n">
        <v>1</v>
      </c>
      <c r="H880" t="n">
        <v>0</v>
      </c>
      <c r="I880" t="n">
        <v>0</v>
      </c>
      <c r="J880" t="n">
        <v>0</v>
      </c>
      <c r="K880" t="n">
        <v>0</v>
      </c>
      <c r="L880" t="n">
        <v>0</v>
      </c>
      <c r="M880" t="n">
        <v>0</v>
      </c>
      <c r="N880" t="n">
        <v>0</v>
      </c>
      <c r="O880" t="n">
        <v>0</v>
      </c>
      <c r="P880" t="n">
        <v>0</v>
      </c>
      <c r="Q880" t="n">
        <v>0</v>
      </c>
      <c r="R880" s="2" t="inlineStr"/>
    </row>
    <row r="881" ht="15" customHeight="1">
      <c r="A881" t="inlineStr">
        <is>
          <t>A 36112-2023</t>
        </is>
      </c>
      <c r="B881" s="1" t="n">
        <v>45149</v>
      </c>
      <c r="C881" s="1" t="n">
        <v>45803</v>
      </c>
      <c r="D881" t="inlineStr">
        <is>
          <t>NORRBOTTENS LÄN</t>
        </is>
      </c>
      <c r="E881" t="inlineStr">
        <is>
          <t>BODEN</t>
        </is>
      </c>
      <c r="G881" t="n">
        <v>16.1</v>
      </c>
      <c r="H881" t="n">
        <v>0</v>
      </c>
      <c r="I881" t="n">
        <v>0</v>
      </c>
      <c r="J881" t="n">
        <v>0</v>
      </c>
      <c r="K881" t="n">
        <v>0</v>
      </c>
      <c r="L881" t="n">
        <v>0</v>
      </c>
      <c r="M881" t="n">
        <v>0</v>
      </c>
      <c r="N881" t="n">
        <v>0</v>
      </c>
      <c r="O881" t="n">
        <v>0</v>
      </c>
      <c r="P881" t="n">
        <v>0</v>
      </c>
      <c r="Q881" t="n">
        <v>0</v>
      </c>
      <c r="R881" s="2" t="inlineStr"/>
    </row>
    <row r="882" ht="15" customHeight="1">
      <c r="A882" t="inlineStr">
        <is>
          <t>A 36115-2023</t>
        </is>
      </c>
      <c r="B882" s="1" t="n">
        <v>45149</v>
      </c>
      <c r="C882" s="1" t="n">
        <v>45803</v>
      </c>
      <c r="D882" t="inlineStr">
        <is>
          <t>NORRBOTTENS LÄN</t>
        </is>
      </c>
      <c r="E882" t="inlineStr">
        <is>
          <t>BODEN</t>
        </is>
      </c>
      <c r="G882" t="n">
        <v>3.4</v>
      </c>
      <c r="H882" t="n">
        <v>0</v>
      </c>
      <c r="I882" t="n">
        <v>0</v>
      </c>
      <c r="J882" t="n">
        <v>0</v>
      </c>
      <c r="K882" t="n">
        <v>0</v>
      </c>
      <c r="L882" t="n">
        <v>0</v>
      </c>
      <c r="M882" t="n">
        <v>0</v>
      </c>
      <c r="N882" t="n">
        <v>0</v>
      </c>
      <c r="O882" t="n">
        <v>0</v>
      </c>
      <c r="P882" t="n">
        <v>0</v>
      </c>
      <c r="Q882" t="n">
        <v>0</v>
      </c>
      <c r="R882" s="2" t="inlineStr"/>
    </row>
    <row r="883" ht="15" customHeight="1">
      <c r="A883" t="inlineStr">
        <is>
          <t>A 36433-2023</t>
        </is>
      </c>
      <c r="B883" s="1" t="n">
        <v>45152</v>
      </c>
      <c r="C883" s="1" t="n">
        <v>45803</v>
      </c>
      <c r="D883" t="inlineStr">
        <is>
          <t>NORRBOTTENS LÄN</t>
        </is>
      </c>
      <c r="E883" t="inlineStr">
        <is>
          <t>BODEN</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36599-2023</t>
        </is>
      </c>
      <c r="B884" s="1" t="n">
        <v>45152</v>
      </c>
      <c r="C884" s="1" t="n">
        <v>45803</v>
      </c>
      <c r="D884" t="inlineStr">
        <is>
          <t>NORRBOTTENS LÄN</t>
        </is>
      </c>
      <c r="E884" t="inlineStr">
        <is>
          <t>BODEN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36610-2023</t>
        </is>
      </c>
      <c r="B885" s="1" t="n">
        <v>45152</v>
      </c>
      <c r="C885" s="1" t="n">
        <v>45803</v>
      </c>
      <c r="D885" t="inlineStr">
        <is>
          <t>NORRBOTTENS LÄN</t>
        </is>
      </c>
      <c r="E885" t="inlineStr">
        <is>
          <t>BODEN</t>
        </is>
      </c>
      <c r="G885" t="n">
        <v>5.9</v>
      </c>
      <c r="H885" t="n">
        <v>0</v>
      </c>
      <c r="I885" t="n">
        <v>0</v>
      </c>
      <c r="J885" t="n">
        <v>0</v>
      </c>
      <c r="K885" t="n">
        <v>0</v>
      </c>
      <c r="L885" t="n">
        <v>0</v>
      </c>
      <c r="M885" t="n">
        <v>0</v>
      </c>
      <c r="N885" t="n">
        <v>0</v>
      </c>
      <c r="O885" t="n">
        <v>0</v>
      </c>
      <c r="P885" t="n">
        <v>0</v>
      </c>
      <c r="Q885" t="n">
        <v>0</v>
      </c>
      <c r="R885" s="2" t="inlineStr"/>
    </row>
    <row r="886" ht="15" customHeight="1">
      <c r="A886" t="inlineStr">
        <is>
          <t>A 36589-2023</t>
        </is>
      </c>
      <c r="B886" s="1" t="n">
        <v>45152</v>
      </c>
      <c r="C886" s="1" t="n">
        <v>45803</v>
      </c>
      <c r="D886" t="inlineStr">
        <is>
          <t>NORRBOTTENS LÄN</t>
        </is>
      </c>
      <c r="E886" t="inlineStr">
        <is>
          <t>BODEN</t>
        </is>
      </c>
      <c r="G886" t="n">
        <v>5.3</v>
      </c>
      <c r="H886" t="n">
        <v>0</v>
      </c>
      <c r="I886" t="n">
        <v>0</v>
      </c>
      <c r="J886" t="n">
        <v>0</v>
      </c>
      <c r="K886" t="n">
        <v>0</v>
      </c>
      <c r="L886" t="n">
        <v>0</v>
      </c>
      <c r="M886" t="n">
        <v>0</v>
      </c>
      <c r="N886" t="n">
        <v>0</v>
      </c>
      <c r="O886" t="n">
        <v>0</v>
      </c>
      <c r="P886" t="n">
        <v>0</v>
      </c>
      <c r="Q886" t="n">
        <v>0</v>
      </c>
      <c r="R886" s="2" t="inlineStr"/>
    </row>
    <row r="887" ht="15" customHeight="1">
      <c r="A887" t="inlineStr">
        <is>
          <t>A 36618-2023</t>
        </is>
      </c>
      <c r="B887" s="1" t="n">
        <v>45152</v>
      </c>
      <c r="C887" s="1" t="n">
        <v>45803</v>
      </c>
      <c r="D887" t="inlineStr">
        <is>
          <t>NORRBOTTENS LÄN</t>
        </is>
      </c>
      <c r="E887" t="inlineStr">
        <is>
          <t>BODEN</t>
        </is>
      </c>
      <c r="G887" t="n">
        <v>7.1</v>
      </c>
      <c r="H887" t="n">
        <v>0</v>
      </c>
      <c r="I887" t="n">
        <v>0</v>
      </c>
      <c r="J887" t="n">
        <v>0</v>
      </c>
      <c r="K887" t="n">
        <v>0</v>
      </c>
      <c r="L887" t="n">
        <v>0</v>
      </c>
      <c r="M887" t="n">
        <v>0</v>
      </c>
      <c r="N887" t="n">
        <v>0</v>
      </c>
      <c r="O887" t="n">
        <v>0</v>
      </c>
      <c r="P887" t="n">
        <v>0</v>
      </c>
      <c r="Q887" t="n">
        <v>0</v>
      </c>
      <c r="R887" s="2" t="inlineStr"/>
    </row>
    <row r="888" ht="15" customHeight="1">
      <c r="A888" t="inlineStr">
        <is>
          <t>A 36895-2023</t>
        </is>
      </c>
      <c r="B888" s="1" t="n">
        <v>45153</v>
      </c>
      <c r="C888" s="1" t="n">
        <v>45803</v>
      </c>
      <c r="D888" t="inlineStr">
        <is>
          <t>NORRBOTTENS LÄN</t>
        </is>
      </c>
      <c r="E888" t="inlineStr">
        <is>
          <t>BODEN</t>
        </is>
      </c>
      <c r="G888" t="n">
        <v>18.9</v>
      </c>
      <c r="H888" t="n">
        <v>0</v>
      </c>
      <c r="I888" t="n">
        <v>0</v>
      </c>
      <c r="J888" t="n">
        <v>0</v>
      </c>
      <c r="K888" t="n">
        <v>0</v>
      </c>
      <c r="L888" t="n">
        <v>0</v>
      </c>
      <c r="M888" t="n">
        <v>0</v>
      </c>
      <c r="N888" t="n">
        <v>0</v>
      </c>
      <c r="O888" t="n">
        <v>0</v>
      </c>
      <c r="P888" t="n">
        <v>0</v>
      </c>
      <c r="Q888" t="n">
        <v>0</v>
      </c>
      <c r="R888" s="2" t="inlineStr"/>
    </row>
    <row r="889" ht="15" customHeight="1">
      <c r="A889" t="inlineStr">
        <is>
          <t>A 36915-2023</t>
        </is>
      </c>
      <c r="B889" s="1" t="n">
        <v>45153</v>
      </c>
      <c r="C889" s="1" t="n">
        <v>45803</v>
      </c>
      <c r="D889" t="inlineStr">
        <is>
          <t>NORRBOTTENS LÄN</t>
        </is>
      </c>
      <c r="E889" t="inlineStr">
        <is>
          <t>BODEN</t>
        </is>
      </c>
      <c r="G889" t="n">
        <v>7.5</v>
      </c>
      <c r="H889" t="n">
        <v>0</v>
      </c>
      <c r="I889" t="n">
        <v>0</v>
      </c>
      <c r="J889" t="n">
        <v>0</v>
      </c>
      <c r="K889" t="n">
        <v>0</v>
      </c>
      <c r="L889" t="n">
        <v>0</v>
      </c>
      <c r="M889" t="n">
        <v>0</v>
      </c>
      <c r="N889" t="n">
        <v>0</v>
      </c>
      <c r="O889" t="n">
        <v>0</v>
      </c>
      <c r="P889" t="n">
        <v>0</v>
      </c>
      <c r="Q889" t="n">
        <v>0</v>
      </c>
      <c r="R889" s="2" t="inlineStr"/>
    </row>
    <row r="890" ht="15" customHeight="1">
      <c r="A890" t="inlineStr">
        <is>
          <t>A 37072-2023</t>
        </is>
      </c>
      <c r="B890" s="1" t="n">
        <v>45155</v>
      </c>
      <c r="C890" s="1" t="n">
        <v>45803</v>
      </c>
      <c r="D890" t="inlineStr">
        <is>
          <t>NORRBOTTENS LÄN</t>
        </is>
      </c>
      <c r="E890" t="inlineStr">
        <is>
          <t>BODEN</t>
        </is>
      </c>
      <c r="G890" t="n">
        <v>5.9</v>
      </c>
      <c r="H890" t="n">
        <v>0</v>
      </c>
      <c r="I890" t="n">
        <v>0</v>
      </c>
      <c r="J890" t="n">
        <v>0</v>
      </c>
      <c r="K890" t="n">
        <v>0</v>
      </c>
      <c r="L890" t="n">
        <v>0</v>
      </c>
      <c r="M890" t="n">
        <v>0</v>
      </c>
      <c r="N890" t="n">
        <v>0</v>
      </c>
      <c r="O890" t="n">
        <v>0</v>
      </c>
      <c r="P890" t="n">
        <v>0</v>
      </c>
      <c r="Q890" t="n">
        <v>0</v>
      </c>
      <c r="R890" s="2" t="inlineStr"/>
    </row>
    <row r="891" ht="15" customHeight="1">
      <c r="A891" t="inlineStr">
        <is>
          <t>A 37014-2023</t>
        </is>
      </c>
      <c r="B891" s="1" t="n">
        <v>45155</v>
      </c>
      <c r="C891" s="1" t="n">
        <v>45803</v>
      </c>
      <c r="D891" t="inlineStr">
        <is>
          <t>NORRBOTTENS LÄN</t>
        </is>
      </c>
      <c r="E891" t="inlineStr">
        <is>
          <t>BODEN</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45803</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37817-2023</t>
        </is>
      </c>
      <c r="B893" s="1" t="n">
        <v>45160</v>
      </c>
      <c r="C893" s="1" t="n">
        <v>45803</v>
      </c>
      <c r="D893" t="inlineStr">
        <is>
          <t>NORRBOTTENS LÄN</t>
        </is>
      </c>
      <c r="E893" t="inlineStr">
        <is>
          <t>BODEN</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37873-2023</t>
        </is>
      </c>
      <c r="B894" s="1" t="n">
        <v>45160</v>
      </c>
      <c r="C894" s="1" t="n">
        <v>45803</v>
      </c>
      <c r="D894" t="inlineStr">
        <is>
          <t>NORRBOTTENS LÄN</t>
        </is>
      </c>
      <c r="E894" t="inlineStr">
        <is>
          <t>BODEN</t>
        </is>
      </c>
      <c r="G894" t="n">
        <v>11.6</v>
      </c>
      <c r="H894" t="n">
        <v>0</v>
      </c>
      <c r="I894" t="n">
        <v>0</v>
      </c>
      <c r="J894" t="n">
        <v>0</v>
      </c>
      <c r="K894" t="n">
        <v>0</v>
      </c>
      <c r="L894" t="n">
        <v>0</v>
      </c>
      <c r="M894" t="n">
        <v>0</v>
      </c>
      <c r="N894" t="n">
        <v>0</v>
      </c>
      <c r="O894" t="n">
        <v>0</v>
      </c>
      <c r="P894" t="n">
        <v>0</v>
      </c>
      <c r="Q894" t="n">
        <v>0</v>
      </c>
      <c r="R894" s="2" t="inlineStr"/>
    </row>
    <row r="895" ht="15" customHeight="1">
      <c r="A895" t="inlineStr">
        <is>
          <t>A 37864-2023</t>
        </is>
      </c>
      <c r="B895" s="1" t="n">
        <v>45160</v>
      </c>
      <c r="C895" s="1" t="n">
        <v>45803</v>
      </c>
      <c r="D895" t="inlineStr">
        <is>
          <t>NORRBOTTENS LÄN</t>
        </is>
      </c>
      <c r="E895" t="inlineStr">
        <is>
          <t>BODEN</t>
        </is>
      </c>
      <c r="G895" t="n">
        <v>6.2</v>
      </c>
      <c r="H895" t="n">
        <v>0</v>
      </c>
      <c r="I895" t="n">
        <v>0</v>
      </c>
      <c r="J895" t="n">
        <v>0</v>
      </c>
      <c r="K895" t="n">
        <v>0</v>
      </c>
      <c r="L895" t="n">
        <v>0</v>
      </c>
      <c r="M895" t="n">
        <v>0</v>
      </c>
      <c r="N895" t="n">
        <v>0</v>
      </c>
      <c r="O895" t="n">
        <v>0</v>
      </c>
      <c r="P895" t="n">
        <v>0</v>
      </c>
      <c r="Q895" t="n">
        <v>0</v>
      </c>
      <c r="R895" s="2" t="inlineStr"/>
    </row>
    <row r="896" ht="15" customHeight="1">
      <c r="A896" t="inlineStr">
        <is>
          <t>A 37868-2023</t>
        </is>
      </c>
      <c r="B896" s="1" t="n">
        <v>45160</v>
      </c>
      <c r="C896" s="1" t="n">
        <v>45803</v>
      </c>
      <c r="D896" t="inlineStr">
        <is>
          <t>NORRBOTTENS LÄN</t>
        </is>
      </c>
      <c r="E896" t="inlineStr">
        <is>
          <t>BODEN</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38874-2023</t>
        </is>
      </c>
      <c r="B897" s="1" t="n">
        <v>45161</v>
      </c>
      <c r="C897" s="1" t="n">
        <v>45803</v>
      </c>
      <c r="D897" t="inlineStr">
        <is>
          <t>NORRBOTTENS LÄN</t>
        </is>
      </c>
      <c r="E897" t="inlineStr">
        <is>
          <t>BODEN</t>
        </is>
      </c>
      <c r="G897" t="n">
        <v>15.5</v>
      </c>
      <c r="H897" t="n">
        <v>0</v>
      </c>
      <c r="I897" t="n">
        <v>0</v>
      </c>
      <c r="J897" t="n">
        <v>0</v>
      </c>
      <c r="K897" t="n">
        <v>0</v>
      </c>
      <c r="L897" t="n">
        <v>0</v>
      </c>
      <c r="M897" t="n">
        <v>0</v>
      </c>
      <c r="N897" t="n">
        <v>0</v>
      </c>
      <c r="O897" t="n">
        <v>0</v>
      </c>
      <c r="P897" t="n">
        <v>0</v>
      </c>
      <c r="Q897" t="n">
        <v>0</v>
      </c>
      <c r="R897" s="2" t="inlineStr"/>
    </row>
    <row r="898" ht="15" customHeight="1">
      <c r="A898" t="inlineStr">
        <is>
          <t>A 38216-2023</t>
        </is>
      </c>
      <c r="B898" s="1" t="n">
        <v>45161</v>
      </c>
      <c r="C898" s="1" t="n">
        <v>45803</v>
      </c>
      <c r="D898" t="inlineStr">
        <is>
          <t>NORRBOTTENS LÄN</t>
        </is>
      </c>
      <c r="E898" t="inlineStr">
        <is>
          <t>BODEN</t>
        </is>
      </c>
      <c r="G898" t="n">
        <v>7.6</v>
      </c>
      <c r="H898" t="n">
        <v>0</v>
      </c>
      <c r="I898" t="n">
        <v>0</v>
      </c>
      <c r="J898" t="n">
        <v>0</v>
      </c>
      <c r="K898" t="n">
        <v>0</v>
      </c>
      <c r="L898" t="n">
        <v>0</v>
      </c>
      <c r="M898" t="n">
        <v>0</v>
      </c>
      <c r="N898" t="n">
        <v>0</v>
      </c>
      <c r="O898" t="n">
        <v>0</v>
      </c>
      <c r="P898" t="n">
        <v>0</v>
      </c>
      <c r="Q898" t="n">
        <v>0</v>
      </c>
      <c r="R898" s="2" t="inlineStr"/>
    </row>
    <row r="899" ht="15" customHeight="1">
      <c r="A899" t="inlineStr">
        <is>
          <t>A 38219-2023</t>
        </is>
      </c>
      <c r="B899" s="1" t="n">
        <v>45161</v>
      </c>
      <c r="C899" s="1" t="n">
        <v>45803</v>
      </c>
      <c r="D899" t="inlineStr">
        <is>
          <t>NORRBOTTENS LÄN</t>
        </is>
      </c>
      <c r="E899" t="inlineStr">
        <is>
          <t>BODEN</t>
        </is>
      </c>
      <c r="G899" t="n">
        <v>3.1</v>
      </c>
      <c r="H899" t="n">
        <v>0</v>
      </c>
      <c r="I899" t="n">
        <v>0</v>
      </c>
      <c r="J899" t="n">
        <v>0</v>
      </c>
      <c r="K899" t="n">
        <v>0</v>
      </c>
      <c r="L899" t="n">
        <v>0</v>
      </c>
      <c r="M899" t="n">
        <v>0</v>
      </c>
      <c r="N899" t="n">
        <v>0</v>
      </c>
      <c r="O899" t="n">
        <v>0</v>
      </c>
      <c r="P899" t="n">
        <v>0</v>
      </c>
      <c r="Q899" t="n">
        <v>0</v>
      </c>
      <c r="R899" s="2" t="inlineStr"/>
    </row>
    <row r="900" ht="15" customHeight="1">
      <c r="A900" t="inlineStr">
        <is>
          <t>A 38372-2023</t>
        </is>
      </c>
      <c r="B900" s="1" t="n">
        <v>45161</v>
      </c>
      <c r="C900" s="1" t="n">
        <v>45803</v>
      </c>
      <c r="D900" t="inlineStr">
        <is>
          <t>NORRBOTTENS LÄN</t>
        </is>
      </c>
      <c r="E900" t="inlineStr">
        <is>
          <t>BODEN</t>
        </is>
      </c>
      <c r="F900" t="inlineStr">
        <is>
          <t>SCA</t>
        </is>
      </c>
      <c r="G900" t="n">
        <v>7.9</v>
      </c>
      <c r="H900" t="n">
        <v>0</v>
      </c>
      <c r="I900" t="n">
        <v>0</v>
      </c>
      <c r="J900" t="n">
        <v>0</v>
      </c>
      <c r="K900" t="n">
        <v>0</v>
      </c>
      <c r="L900" t="n">
        <v>0</v>
      </c>
      <c r="M900" t="n">
        <v>0</v>
      </c>
      <c r="N900" t="n">
        <v>0</v>
      </c>
      <c r="O900" t="n">
        <v>0</v>
      </c>
      <c r="P900" t="n">
        <v>0</v>
      </c>
      <c r="Q900" t="n">
        <v>0</v>
      </c>
      <c r="R900" s="2" t="inlineStr"/>
    </row>
    <row r="901" ht="15" customHeight="1">
      <c r="A901" t="inlineStr">
        <is>
          <t>A 38370-2023</t>
        </is>
      </c>
      <c r="B901" s="1" t="n">
        <v>45161</v>
      </c>
      <c r="C901" s="1" t="n">
        <v>45803</v>
      </c>
      <c r="D901" t="inlineStr">
        <is>
          <t>NORRBOTTENS LÄN</t>
        </is>
      </c>
      <c r="E901" t="inlineStr">
        <is>
          <t>BODEN</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38371-2023</t>
        </is>
      </c>
      <c r="B902" s="1" t="n">
        <v>45161</v>
      </c>
      <c r="C902" s="1" t="n">
        <v>45803</v>
      </c>
      <c r="D902" t="inlineStr">
        <is>
          <t>NORRBOTTENS LÄN</t>
        </is>
      </c>
      <c r="E902" t="inlineStr">
        <is>
          <t>BODEN</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38970-2023</t>
        </is>
      </c>
      <c r="B903" s="1" t="n">
        <v>45162</v>
      </c>
      <c r="C903" s="1" t="n">
        <v>45803</v>
      </c>
      <c r="D903" t="inlineStr">
        <is>
          <t>NORRBOTTENS LÄN</t>
        </is>
      </c>
      <c r="E903" t="inlineStr">
        <is>
          <t>BODEN</t>
        </is>
      </c>
      <c r="G903" t="n">
        <v>6.2</v>
      </c>
      <c r="H903" t="n">
        <v>0</v>
      </c>
      <c r="I903" t="n">
        <v>0</v>
      </c>
      <c r="J903" t="n">
        <v>0</v>
      </c>
      <c r="K903" t="n">
        <v>0</v>
      </c>
      <c r="L903" t="n">
        <v>0</v>
      </c>
      <c r="M903" t="n">
        <v>0</v>
      </c>
      <c r="N903" t="n">
        <v>0</v>
      </c>
      <c r="O903" t="n">
        <v>0</v>
      </c>
      <c r="P903" t="n">
        <v>0</v>
      </c>
      <c r="Q903" t="n">
        <v>0</v>
      </c>
      <c r="R903" s="2" t="inlineStr"/>
    </row>
    <row r="904" ht="15" customHeight="1">
      <c r="A904" t="inlineStr">
        <is>
          <t>A 38981-2023</t>
        </is>
      </c>
      <c r="B904" s="1" t="n">
        <v>45162</v>
      </c>
      <c r="C904" s="1" t="n">
        <v>45803</v>
      </c>
      <c r="D904" t="inlineStr">
        <is>
          <t>NORRBOTTENS LÄN</t>
        </is>
      </c>
      <c r="E904" t="inlineStr">
        <is>
          <t>BODEN</t>
        </is>
      </c>
      <c r="G904" t="n">
        <v>4.1</v>
      </c>
      <c r="H904" t="n">
        <v>0</v>
      </c>
      <c r="I904" t="n">
        <v>0</v>
      </c>
      <c r="J904" t="n">
        <v>0</v>
      </c>
      <c r="K904" t="n">
        <v>0</v>
      </c>
      <c r="L904" t="n">
        <v>0</v>
      </c>
      <c r="M904" t="n">
        <v>0</v>
      </c>
      <c r="N904" t="n">
        <v>0</v>
      </c>
      <c r="O904" t="n">
        <v>0</v>
      </c>
      <c r="P904" t="n">
        <v>0</v>
      </c>
      <c r="Q904" t="n">
        <v>0</v>
      </c>
      <c r="R904" s="2" t="inlineStr"/>
    </row>
    <row r="905" ht="15" customHeight="1">
      <c r="A905" t="inlineStr">
        <is>
          <t>A 39017-2023</t>
        </is>
      </c>
      <c r="B905" s="1" t="n">
        <v>45163</v>
      </c>
      <c r="C905" s="1" t="n">
        <v>45803</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39440-2023</t>
        </is>
      </c>
      <c r="B906" s="1" t="n">
        <v>45163</v>
      </c>
      <c r="C906" s="1" t="n">
        <v>45803</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39572-2023</t>
        </is>
      </c>
      <c r="B907" s="1" t="n">
        <v>45163</v>
      </c>
      <c r="C907" s="1" t="n">
        <v>45803</v>
      </c>
      <c r="D907" t="inlineStr">
        <is>
          <t>NORRBOTTENS LÄN</t>
        </is>
      </c>
      <c r="E907" t="inlineStr">
        <is>
          <t>BODEN</t>
        </is>
      </c>
      <c r="G907" t="n">
        <v>13.1</v>
      </c>
      <c r="H907" t="n">
        <v>0</v>
      </c>
      <c r="I907" t="n">
        <v>0</v>
      </c>
      <c r="J907" t="n">
        <v>0</v>
      </c>
      <c r="K907" t="n">
        <v>0</v>
      </c>
      <c r="L907" t="n">
        <v>0</v>
      </c>
      <c r="M907" t="n">
        <v>0</v>
      </c>
      <c r="N907" t="n">
        <v>0</v>
      </c>
      <c r="O907" t="n">
        <v>0</v>
      </c>
      <c r="P907" t="n">
        <v>0</v>
      </c>
      <c r="Q907" t="n">
        <v>0</v>
      </c>
      <c r="R907" s="2" t="inlineStr"/>
    </row>
    <row r="908" ht="15" customHeight="1">
      <c r="A908" t="inlineStr">
        <is>
          <t>A 39463-2023</t>
        </is>
      </c>
      <c r="B908" s="1" t="n">
        <v>45166</v>
      </c>
      <c r="C908" s="1" t="n">
        <v>45803</v>
      </c>
      <c r="D908" t="inlineStr">
        <is>
          <t>NORRBOTTENS LÄN</t>
        </is>
      </c>
      <c r="E908" t="inlineStr">
        <is>
          <t>BODEN</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39501-2023</t>
        </is>
      </c>
      <c r="B909" s="1" t="n">
        <v>45166</v>
      </c>
      <c r="C909" s="1" t="n">
        <v>45803</v>
      </c>
      <c r="D909" t="inlineStr">
        <is>
          <t>NORRBOTTENS LÄN</t>
        </is>
      </c>
      <c r="E909" t="inlineStr">
        <is>
          <t>BODEN</t>
        </is>
      </c>
      <c r="F909" t="inlineStr">
        <is>
          <t>SCA</t>
        </is>
      </c>
      <c r="G909" t="n">
        <v>16.7</v>
      </c>
      <c r="H909" t="n">
        <v>0</v>
      </c>
      <c r="I909" t="n">
        <v>0</v>
      </c>
      <c r="J909" t="n">
        <v>0</v>
      </c>
      <c r="K909" t="n">
        <v>0</v>
      </c>
      <c r="L909" t="n">
        <v>0</v>
      </c>
      <c r="M909" t="n">
        <v>0</v>
      </c>
      <c r="N909" t="n">
        <v>0</v>
      </c>
      <c r="O909" t="n">
        <v>0</v>
      </c>
      <c r="P909" t="n">
        <v>0</v>
      </c>
      <c r="Q909" t="n">
        <v>0</v>
      </c>
      <c r="R909" s="2" t="inlineStr"/>
    </row>
    <row r="910" ht="15" customHeight="1">
      <c r="A910" t="inlineStr">
        <is>
          <t>A 39966-2023</t>
        </is>
      </c>
      <c r="B910" s="1" t="n">
        <v>45168</v>
      </c>
      <c r="C910" s="1" t="n">
        <v>45803</v>
      </c>
      <c r="D910" t="inlineStr">
        <is>
          <t>NORRBOTTENS LÄN</t>
        </is>
      </c>
      <c r="E910" t="inlineStr">
        <is>
          <t>BODEN</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39970-2023</t>
        </is>
      </c>
      <c r="B911" s="1" t="n">
        <v>45168</v>
      </c>
      <c r="C911" s="1" t="n">
        <v>45803</v>
      </c>
      <c r="D911" t="inlineStr">
        <is>
          <t>NORRBOTTENS LÄN</t>
        </is>
      </c>
      <c r="E911" t="inlineStr">
        <is>
          <t>BODEN</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40010-2023</t>
        </is>
      </c>
      <c r="B912" s="1" t="n">
        <v>45168</v>
      </c>
      <c r="C912" s="1" t="n">
        <v>45803</v>
      </c>
      <c r="D912" t="inlineStr">
        <is>
          <t>NORRBOTTENS LÄN</t>
        </is>
      </c>
      <c r="E912" t="inlineStr">
        <is>
          <t>BODEN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39972-2023</t>
        </is>
      </c>
      <c r="B913" s="1" t="n">
        <v>45168</v>
      </c>
      <c r="C913" s="1" t="n">
        <v>45803</v>
      </c>
      <c r="D913" t="inlineStr">
        <is>
          <t>NORRBOTTENS LÄN</t>
        </is>
      </c>
      <c r="E913" t="inlineStr">
        <is>
          <t>BODEN</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40934-2023</t>
        </is>
      </c>
      <c r="B914" s="1" t="n">
        <v>45169</v>
      </c>
      <c r="C914" s="1" t="n">
        <v>45803</v>
      </c>
      <c r="D914" t="inlineStr">
        <is>
          <t>NORRBOTTENS LÄN</t>
        </is>
      </c>
      <c r="E914" t="inlineStr">
        <is>
          <t>BODEN</t>
        </is>
      </c>
      <c r="G914" t="n">
        <v>7.2</v>
      </c>
      <c r="H914" t="n">
        <v>0</v>
      </c>
      <c r="I914" t="n">
        <v>0</v>
      </c>
      <c r="J914" t="n">
        <v>0</v>
      </c>
      <c r="K914" t="n">
        <v>0</v>
      </c>
      <c r="L914" t="n">
        <v>0</v>
      </c>
      <c r="M914" t="n">
        <v>0</v>
      </c>
      <c r="N914" t="n">
        <v>0</v>
      </c>
      <c r="O914" t="n">
        <v>0</v>
      </c>
      <c r="P914" t="n">
        <v>0</v>
      </c>
      <c r="Q914" t="n">
        <v>0</v>
      </c>
      <c r="R914" s="2" t="inlineStr"/>
    </row>
    <row r="915" ht="15" customHeight="1">
      <c r="A915" t="inlineStr">
        <is>
          <t>A 40911-2023</t>
        </is>
      </c>
      <c r="B915" s="1" t="n">
        <v>45169</v>
      </c>
      <c r="C915" s="1" t="n">
        <v>45803</v>
      </c>
      <c r="D915" t="inlineStr">
        <is>
          <t>NORRBOTTENS LÄN</t>
        </is>
      </c>
      <c r="E915" t="inlineStr">
        <is>
          <t>BODEN</t>
        </is>
      </c>
      <c r="G915" t="n">
        <v>21.3</v>
      </c>
      <c r="H915" t="n">
        <v>0</v>
      </c>
      <c r="I915" t="n">
        <v>0</v>
      </c>
      <c r="J915" t="n">
        <v>0</v>
      </c>
      <c r="K915" t="n">
        <v>0</v>
      </c>
      <c r="L915" t="n">
        <v>0</v>
      </c>
      <c r="M915" t="n">
        <v>0</v>
      </c>
      <c r="N915" t="n">
        <v>0</v>
      </c>
      <c r="O915" t="n">
        <v>0</v>
      </c>
      <c r="P915" t="n">
        <v>0</v>
      </c>
      <c r="Q915" t="n">
        <v>0</v>
      </c>
      <c r="R915" s="2" t="inlineStr"/>
    </row>
    <row r="916" ht="15" customHeight="1">
      <c r="A916" t="inlineStr">
        <is>
          <t>A 40614-2023</t>
        </is>
      </c>
      <c r="B916" s="1" t="n">
        <v>45170</v>
      </c>
      <c r="C916" s="1" t="n">
        <v>45803</v>
      </c>
      <c r="D916" t="inlineStr">
        <is>
          <t>NORRBOTTENS LÄN</t>
        </is>
      </c>
      <c r="E916" t="inlineStr">
        <is>
          <t>BODEN</t>
        </is>
      </c>
      <c r="F916" t="inlineStr">
        <is>
          <t>Sveaskog</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40839-2023</t>
        </is>
      </c>
      <c r="B917" s="1" t="n">
        <v>45172</v>
      </c>
      <c r="C917" s="1" t="n">
        <v>45803</v>
      </c>
      <c r="D917" t="inlineStr">
        <is>
          <t>NORRBOTTENS LÄN</t>
        </is>
      </c>
      <c r="E917" t="inlineStr">
        <is>
          <t>BODEN</t>
        </is>
      </c>
      <c r="G917" t="n">
        <v>10</v>
      </c>
      <c r="H917" t="n">
        <v>0</v>
      </c>
      <c r="I917" t="n">
        <v>0</v>
      </c>
      <c r="J917" t="n">
        <v>0</v>
      </c>
      <c r="K917" t="n">
        <v>0</v>
      </c>
      <c r="L917" t="n">
        <v>0</v>
      </c>
      <c r="M917" t="n">
        <v>0</v>
      </c>
      <c r="N917" t="n">
        <v>0</v>
      </c>
      <c r="O917" t="n">
        <v>0</v>
      </c>
      <c r="P917" t="n">
        <v>0</v>
      </c>
      <c r="Q917" t="n">
        <v>0</v>
      </c>
      <c r="R917" s="2" t="inlineStr"/>
    </row>
    <row r="918" ht="15" customHeight="1">
      <c r="A918" t="inlineStr">
        <is>
          <t>A 40885-2023</t>
        </is>
      </c>
      <c r="B918" s="1" t="n">
        <v>45173</v>
      </c>
      <c r="C918" s="1" t="n">
        <v>45803</v>
      </c>
      <c r="D918" t="inlineStr">
        <is>
          <t>NORRBOTTENS LÄN</t>
        </is>
      </c>
      <c r="E918" t="inlineStr">
        <is>
          <t>BODEN</t>
        </is>
      </c>
      <c r="G918" t="n">
        <v>1.6</v>
      </c>
      <c r="H918" t="n">
        <v>0</v>
      </c>
      <c r="I918" t="n">
        <v>0</v>
      </c>
      <c r="J918" t="n">
        <v>0</v>
      </c>
      <c r="K918" t="n">
        <v>0</v>
      </c>
      <c r="L918" t="n">
        <v>0</v>
      </c>
      <c r="M918" t="n">
        <v>0</v>
      </c>
      <c r="N918" t="n">
        <v>0</v>
      </c>
      <c r="O918" t="n">
        <v>0</v>
      </c>
      <c r="P918" t="n">
        <v>0</v>
      </c>
      <c r="Q918" t="n">
        <v>0</v>
      </c>
      <c r="R918" s="2" t="inlineStr"/>
    </row>
    <row r="919" ht="15" customHeight="1">
      <c r="A919" t="inlineStr">
        <is>
          <t>A 41212-2023</t>
        </is>
      </c>
      <c r="B919" s="1" t="n">
        <v>45174</v>
      </c>
      <c r="C919" s="1" t="n">
        <v>45803</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41937-2023</t>
        </is>
      </c>
      <c r="B920" s="1" t="n">
        <v>45177</v>
      </c>
      <c r="C920" s="1" t="n">
        <v>45803</v>
      </c>
      <c r="D920" t="inlineStr">
        <is>
          <t>NORRBOTTENS LÄN</t>
        </is>
      </c>
      <c r="E920" t="inlineStr">
        <is>
          <t>BODEN</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41938-2023</t>
        </is>
      </c>
      <c r="B921" s="1" t="n">
        <v>45176</v>
      </c>
      <c r="C921" s="1" t="n">
        <v>45803</v>
      </c>
      <c r="D921" t="inlineStr">
        <is>
          <t>NORRBOTTENS LÄN</t>
        </is>
      </c>
      <c r="E921" t="inlineStr">
        <is>
          <t>BODEN</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42701-2023</t>
        </is>
      </c>
      <c r="B922" s="1" t="n">
        <v>45176</v>
      </c>
      <c r="C922" s="1" t="n">
        <v>45803</v>
      </c>
      <c r="D922" t="inlineStr">
        <is>
          <t>NORRBOTTENS LÄN</t>
        </is>
      </c>
      <c r="E922" t="inlineStr">
        <is>
          <t>BODEN</t>
        </is>
      </c>
      <c r="G922" t="n">
        <v>13</v>
      </c>
      <c r="H922" t="n">
        <v>0</v>
      </c>
      <c r="I922" t="n">
        <v>0</v>
      </c>
      <c r="J922" t="n">
        <v>0</v>
      </c>
      <c r="K922" t="n">
        <v>0</v>
      </c>
      <c r="L922" t="n">
        <v>0</v>
      </c>
      <c r="M922" t="n">
        <v>0</v>
      </c>
      <c r="N922" t="n">
        <v>0</v>
      </c>
      <c r="O922" t="n">
        <v>0</v>
      </c>
      <c r="P922" t="n">
        <v>0</v>
      </c>
      <c r="Q922" t="n">
        <v>0</v>
      </c>
      <c r="R922" s="2" t="inlineStr"/>
    </row>
    <row r="923" ht="15" customHeight="1">
      <c r="A923" t="inlineStr">
        <is>
          <t>A 42152-2023</t>
        </is>
      </c>
      <c r="B923" s="1" t="n">
        <v>45177</v>
      </c>
      <c r="C923" s="1" t="n">
        <v>45803</v>
      </c>
      <c r="D923" t="inlineStr">
        <is>
          <t>NORRBOTTENS LÄN</t>
        </is>
      </c>
      <c r="E923" t="inlineStr">
        <is>
          <t>BODEN</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42505-2023</t>
        </is>
      </c>
      <c r="B924" s="1" t="n">
        <v>45180</v>
      </c>
      <c r="C924" s="1" t="n">
        <v>45803</v>
      </c>
      <c r="D924" t="inlineStr">
        <is>
          <t>NORRBOTTENS LÄN</t>
        </is>
      </c>
      <c r="E924" t="inlineStr">
        <is>
          <t>BODEN</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42794-2023</t>
        </is>
      </c>
      <c r="B925" s="1" t="n">
        <v>45182</v>
      </c>
      <c r="C925" s="1" t="n">
        <v>45803</v>
      </c>
      <c r="D925" t="inlineStr">
        <is>
          <t>NORRBOTTENS LÄN</t>
        </is>
      </c>
      <c r="E925" t="inlineStr">
        <is>
          <t>BODEN</t>
        </is>
      </c>
      <c r="G925" t="n">
        <v>3</v>
      </c>
      <c r="H925" t="n">
        <v>0</v>
      </c>
      <c r="I925" t="n">
        <v>0</v>
      </c>
      <c r="J925" t="n">
        <v>0</v>
      </c>
      <c r="K925" t="n">
        <v>0</v>
      </c>
      <c r="L925" t="n">
        <v>0</v>
      </c>
      <c r="M925" t="n">
        <v>0</v>
      </c>
      <c r="N925" t="n">
        <v>0</v>
      </c>
      <c r="O925" t="n">
        <v>0</v>
      </c>
      <c r="P925" t="n">
        <v>0</v>
      </c>
      <c r="Q925" t="n">
        <v>0</v>
      </c>
      <c r="R925" s="2" t="inlineStr"/>
    </row>
    <row r="926" ht="15" customHeight="1">
      <c r="A926" t="inlineStr">
        <is>
          <t>A 43119-2023</t>
        </is>
      </c>
      <c r="B926" s="1" t="n">
        <v>45183</v>
      </c>
      <c r="C926" s="1" t="n">
        <v>45803</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43085-2023</t>
        </is>
      </c>
      <c r="B927" s="1" t="n">
        <v>45182</v>
      </c>
      <c r="C927" s="1" t="n">
        <v>45803</v>
      </c>
      <c r="D927" t="inlineStr">
        <is>
          <t>NORRBOTTENS LÄN</t>
        </is>
      </c>
      <c r="E927" t="inlineStr">
        <is>
          <t>BODEN</t>
        </is>
      </c>
      <c r="G927" t="n">
        <v>3.5</v>
      </c>
      <c r="H927" t="n">
        <v>0</v>
      </c>
      <c r="I927" t="n">
        <v>0</v>
      </c>
      <c r="J927" t="n">
        <v>0</v>
      </c>
      <c r="K927" t="n">
        <v>0</v>
      </c>
      <c r="L927" t="n">
        <v>0</v>
      </c>
      <c r="M927" t="n">
        <v>0</v>
      </c>
      <c r="N927" t="n">
        <v>0</v>
      </c>
      <c r="O927" t="n">
        <v>0</v>
      </c>
      <c r="P927" t="n">
        <v>0</v>
      </c>
      <c r="Q927" t="n">
        <v>0</v>
      </c>
      <c r="R927" s="2" t="inlineStr"/>
    </row>
    <row r="928" ht="15" customHeight="1">
      <c r="A928" t="inlineStr">
        <is>
          <t>A 44092-2023</t>
        </is>
      </c>
      <c r="B928" s="1" t="n">
        <v>45182</v>
      </c>
      <c r="C928" s="1" t="n">
        <v>45803</v>
      </c>
      <c r="D928" t="inlineStr">
        <is>
          <t>NORRBOTTENS LÄN</t>
        </is>
      </c>
      <c r="E928" t="inlineStr">
        <is>
          <t>BODEN</t>
        </is>
      </c>
      <c r="G928" t="n">
        <v>2.6</v>
      </c>
      <c r="H928" t="n">
        <v>0</v>
      </c>
      <c r="I928" t="n">
        <v>0</v>
      </c>
      <c r="J928" t="n">
        <v>0</v>
      </c>
      <c r="K928" t="n">
        <v>0</v>
      </c>
      <c r="L928" t="n">
        <v>0</v>
      </c>
      <c r="M928" t="n">
        <v>0</v>
      </c>
      <c r="N928" t="n">
        <v>0</v>
      </c>
      <c r="O928" t="n">
        <v>0</v>
      </c>
      <c r="P928" t="n">
        <v>0</v>
      </c>
      <c r="Q928" t="n">
        <v>0</v>
      </c>
      <c r="R928" s="2" t="inlineStr"/>
    </row>
    <row r="929" ht="15" customHeight="1">
      <c r="A929" t="inlineStr">
        <is>
          <t>A 44061-2023</t>
        </is>
      </c>
      <c r="B929" s="1" t="n">
        <v>45182</v>
      </c>
      <c r="C929" s="1" t="n">
        <v>45803</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43416-2023</t>
        </is>
      </c>
      <c r="B930" s="1" t="n">
        <v>45184</v>
      </c>
      <c r="C930" s="1" t="n">
        <v>45803</v>
      </c>
      <c r="D930" t="inlineStr">
        <is>
          <t>NORRBOTTENS LÄN</t>
        </is>
      </c>
      <c r="E930" t="inlineStr">
        <is>
          <t>BODEN</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43443-2023</t>
        </is>
      </c>
      <c r="B931" s="1" t="n">
        <v>45184</v>
      </c>
      <c r="C931" s="1" t="n">
        <v>45803</v>
      </c>
      <c r="D931" t="inlineStr">
        <is>
          <t>NORRBOTTENS LÄN</t>
        </is>
      </c>
      <c r="E931" t="inlineStr">
        <is>
          <t>BODEN</t>
        </is>
      </c>
      <c r="F931" t="inlineStr">
        <is>
          <t>Sveaskog</t>
        </is>
      </c>
      <c r="G931" t="n">
        <v>5.4</v>
      </c>
      <c r="H931" t="n">
        <v>0</v>
      </c>
      <c r="I931" t="n">
        <v>0</v>
      </c>
      <c r="J931" t="n">
        <v>0</v>
      </c>
      <c r="K931" t="n">
        <v>0</v>
      </c>
      <c r="L931" t="n">
        <v>0</v>
      </c>
      <c r="M931" t="n">
        <v>0</v>
      </c>
      <c r="N931" t="n">
        <v>0</v>
      </c>
      <c r="O931" t="n">
        <v>0</v>
      </c>
      <c r="P931" t="n">
        <v>0</v>
      </c>
      <c r="Q931" t="n">
        <v>0</v>
      </c>
      <c r="R931" s="2" t="inlineStr"/>
    </row>
    <row r="932" ht="15" customHeight="1">
      <c r="A932" t="inlineStr">
        <is>
          <t>A 43639-2023</t>
        </is>
      </c>
      <c r="B932" s="1" t="n">
        <v>45186</v>
      </c>
      <c r="C932" s="1" t="n">
        <v>45803</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43640-2023</t>
        </is>
      </c>
      <c r="B933" s="1" t="n">
        <v>45186</v>
      </c>
      <c r="C933" s="1" t="n">
        <v>45803</v>
      </c>
      <c r="D933" t="inlineStr">
        <is>
          <t>NORRBOTTENS LÄN</t>
        </is>
      </c>
      <c r="E933" t="inlineStr">
        <is>
          <t>BODEN</t>
        </is>
      </c>
      <c r="G933" t="n">
        <v>0.6</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45803</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44186-2023</t>
        </is>
      </c>
      <c r="B935" s="1" t="n">
        <v>45188</v>
      </c>
      <c r="C935" s="1" t="n">
        <v>45803</v>
      </c>
      <c r="D935" t="inlineStr">
        <is>
          <t>NORRBOTTENS LÄN</t>
        </is>
      </c>
      <c r="E935" t="inlineStr">
        <is>
          <t>BODEN</t>
        </is>
      </c>
      <c r="G935" t="n">
        <v>3.9</v>
      </c>
      <c r="H935" t="n">
        <v>0</v>
      </c>
      <c r="I935" t="n">
        <v>0</v>
      </c>
      <c r="J935" t="n">
        <v>0</v>
      </c>
      <c r="K935" t="n">
        <v>0</v>
      </c>
      <c r="L935" t="n">
        <v>0</v>
      </c>
      <c r="M935" t="n">
        <v>0</v>
      </c>
      <c r="N935" t="n">
        <v>0</v>
      </c>
      <c r="O935" t="n">
        <v>0</v>
      </c>
      <c r="P935" t="n">
        <v>0</v>
      </c>
      <c r="Q935" t="n">
        <v>0</v>
      </c>
      <c r="R935" s="2" t="inlineStr"/>
    </row>
    <row r="936" ht="15" customHeight="1">
      <c r="A936" t="inlineStr">
        <is>
          <t>A 44183-2023</t>
        </is>
      </c>
      <c r="B936" s="1" t="n">
        <v>45188</v>
      </c>
      <c r="C936" s="1" t="n">
        <v>45803</v>
      </c>
      <c r="D936" t="inlineStr">
        <is>
          <t>NORRBOTTENS LÄN</t>
        </is>
      </c>
      <c r="E936" t="inlineStr">
        <is>
          <t>BODEN</t>
        </is>
      </c>
      <c r="F936" t="inlineStr">
        <is>
          <t>Sveaskog</t>
        </is>
      </c>
      <c r="G936" t="n">
        <v>20.6</v>
      </c>
      <c r="H936" t="n">
        <v>0</v>
      </c>
      <c r="I936" t="n">
        <v>0</v>
      </c>
      <c r="J936" t="n">
        <v>0</v>
      </c>
      <c r="K936" t="n">
        <v>0</v>
      </c>
      <c r="L936" t="n">
        <v>0</v>
      </c>
      <c r="M936" t="n">
        <v>0</v>
      </c>
      <c r="N936" t="n">
        <v>0</v>
      </c>
      <c r="O936" t="n">
        <v>0</v>
      </c>
      <c r="P936" t="n">
        <v>0</v>
      </c>
      <c r="Q936" t="n">
        <v>0</v>
      </c>
      <c r="R936" s="2" t="inlineStr"/>
    </row>
    <row r="937" ht="15" customHeight="1">
      <c r="A937" t="inlineStr">
        <is>
          <t>A 44568-2023</t>
        </is>
      </c>
      <c r="B937" s="1" t="n">
        <v>45189</v>
      </c>
      <c r="C937" s="1" t="n">
        <v>45803</v>
      </c>
      <c r="D937" t="inlineStr">
        <is>
          <t>NORRBOTTENS LÄN</t>
        </is>
      </c>
      <c r="E937" t="inlineStr">
        <is>
          <t>BODEN</t>
        </is>
      </c>
      <c r="G937" t="n">
        <v>5.7</v>
      </c>
      <c r="H937" t="n">
        <v>0</v>
      </c>
      <c r="I937" t="n">
        <v>0</v>
      </c>
      <c r="J937" t="n">
        <v>0</v>
      </c>
      <c r="K937" t="n">
        <v>0</v>
      </c>
      <c r="L937" t="n">
        <v>0</v>
      </c>
      <c r="M937" t="n">
        <v>0</v>
      </c>
      <c r="N937" t="n">
        <v>0</v>
      </c>
      <c r="O937" t="n">
        <v>0</v>
      </c>
      <c r="P937" t="n">
        <v>0</v>
      </c>
      <c r="Q937" t="n">
        <v>0</v>
      </c>
      <c r="R937" s="2" t="inlineStr"/>
    </row>
    <row r="938" ht="15" customHeight="1">
      <c r="A938" t="inlineStr">
        <is>
          <t>A 45003-2023</t>
        </is>
      </c>
      <c r="B938" s="1" t="n">
        <v>45191</v>
      </c>
      <c r="C938" s="1" t="n">
        <v>45803</v>
      </c>
      <c r="D938" t="inlineStr">
        <is>
          <t>NORRBOTTENS LÄN</t>
        </is>
      </c>
      <c r="E938" t="inlineStr">
        <is>
          <t>BODEN</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46232-2023</t>
        </is>
      </c>
      <c r="B939" s="1" t="n">
        <v>45191</v>
      </c>
      <c r="C939" s="1" t="n">
        <v>45803</v>
      </c>
      <c r="D939" t="inlineStr">
        <is>
          <t>NORRBOTTENS LÄN</t>
        </is>
      </c>
      <c r="E939" t="inlineStr">
        <is>
          <t>BODEN</t>
        </is>
      </c>
      <c r="G939" t="n">
        <v>8</v>
      </c>
      <c r="H939" t="n">
        <v>0</v>
      </c>
      <c r="I939" t="n">
        <v>0</v>
      </c>
      <c r="J939" t="n">
        <v>0</v>
      </c>
      <c r="K939" t="n">
        <v>0</v>
      </c>
      <c r="L939" t="n">
        <v>0</v>
      </c>
      <c r="M939" t="n">
        <v>0</v>
      </c>
      <c r="N939" t="n">
        <v>0</v>
      </c>
      <c r="O939" t="n">
        <v>0</v>
      </c>
      <c r="P939" t="n">
        <v>0</v>
      </c>
      <c r="Q939" t="n">
        <v>0</v>
      </c>
      <c r="R939" s="2" t="inlineStr"/>
    </row>
    <row r="940" ht="15" customHeight="1">
      <c r="A940" t="inlineStr">
        <is>
          <t>A 45446-2023</t>
        </is>
      </c>
      <c r="B940" s="1" t="n">
        <v>45194</v>
      </c>
      <c r="C940" s="1" t="n">
        <v>45803</v>
      </c>
      <c r="D940" t="inlineStr">
        <is>
          <t>NORRBOTTENS LÄN</t>
        </is>
      </c>
      <c r="E940" t="inlineStr">
        <is>
          <t>BODEN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45454-2023</t>
        </is>
      </c>
      <c r="B941" s="1" t="n">
        <v>45194</v>
      </c>
      <c r="C941" s="1" t="n">
        <v>45803</v>
      </c>
      <c r="D941" t="inlineStr">
        <is>
          <t>NORRBOTTENS LÄN</t>
        </is>
      </c>
      <c r="E941" t="inlineStr">
        <is>
          <t>BODEN</t>
        </is>
      </c>
      <c r="G941" t="n">
        <v>3.8</v>
      </c>
      <c r="H941" t="n">
        <v>0</v>
      </c>
      <c r="I941" t="n">
        <v>0</v>
      </c>
      <c r="J941" t="n">
        <v>0</v>
      </c>
      <c r="K941" t="n">
        <v>0</v>
      </c>
      <c r="L941" t="n">
        <v>0</v>
      </c>
      <c r="M941" t="n">
        <v>0</v>
      </c>
      <c r="N941" t="n">
        <v>0</v>
      </c>
      <c r="O941" t="n">
        <v>0</v>
      </c>
      <c r="P941" t="n">
        <v>0</v>
      </c>
      <c r="Q941" t="n">
        <v>0</v>
      </c>
      <c r="R941" s="2" t="inlineStr"/>
    </row>
    <row r="942" ht="15" customHeight="1">
      <c r="A942" t="inlineStr">
        <is>
          <t>A 45448-2023</t>
        </is>
      </c>
      <c r="B942" s="1" t="n">
        <v>45194</v>
      </c>
      <c r="C942" s="1" t="n">
        <v>45803</v>
      </c>
      <c r="D942" t="inlineStr">
        <is>
          <t>NORRBOTTENS LÄN</t>
        </is>
      </c>
      <c r="E942" t="inlineStr">
        <is>
          <t>BODEN</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45929-2023</t>
        </is>
      </c>
      <c r="B943" s="1" t="n">
        <v>45196</v>
      </c>
      <c r="C943" s="1" t="n">
        <v>45803</v>
      </c>
      <c r="D943" t="inlineStr">
        <is>
          <t>NORRBOTTENS LÄN</t>
        </is>
      </c>
      <c r="E943" t="inlineStr">
        <is>
          <t>BODEN</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45930-2023</t>
        </is>
      </c>
      <c r="B944" s="1" t="n">
        <v>45196</v>
      </c>
      <c r="C944" s="1" t="n">
        <v>45803</v>
      </c>
      <c r="D944" t="inlineStr">
        <is>
          <t>NORRBOTTENS LÄN</t>
        </is>
      </c>
      <c r="E944" t="inlineStr">
        <is>
          <t>BODEN</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45931-2023</t>
        </is>
      </c>
      <c r="B945" s="1" t="n">
        <v>45196</v>
      </c>
      <c r="C945" s="1" t="n">
        <v>45803</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46999-2023</t>
        </is>
      </c>
      <c r="B946" s="1" t="n">
        <v>45196</v>
      </c>
      <c r="C946" s="1" t="n">
        <v>45803</v>
      </c>
      <c r="D946" t="inlineStr">
        <is>
          <t>NORRBOTTENS LÄN</t>
        </is>
      </c>
      <c r="E946" t="inlineStr">
        <is>
          <t>BODEN</t>
        </is>
      </c>
      <c r="G946" t="n">
        <v>1</v>
      </c>
      <c r="H946" t="n">
        <v>0</v>
      </c>
      <c r="I946" t="n">
        <v>0</v>
      </c>
      <c r="J946" t="n">
        <v>0</v>
      </c>
      <c r="K946" t="n">
        <v>0</v>
      </c>
      <c r="L946" t="n">
        <v>0</v>
      </c>
      <c r="M946" t="n">
        <v>0</v>
      </c>
      <c r="N946" t="n">
        <v>0</v>
      </c>
      <c r="O946" t="n">
        <v>0</v>
      </c>
      <c r="P946" t="n">
        <v>0</v>
      </c>
      <c r="Q946" t="n">
        <v>0</v>
      </c>
      <c r="R946" s="2" t="inlineStr"/>
    </row>
    <row r="947" ht="15" customHeight="1">
      <c r="A947" t="inlineStr">
        <is>
          <t>A 46277-2023</t>
        </is>
      </c>
      <c r="B947" s="1" t="n">
        <v>45196</v>
      </c>
      <c r="C947" s="1" t="n">
        <v>45803</v>
      </c>
      <c r="D947" t="inlineStr">
        <is>
          <t>NORRBOTTENS LÄN</t>
        </is>
      </c>
      <c r="E947" t="inlineStr">
        <is>
          <t>BODEN</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46276-2023</t>
        </is>
      </c>
      <c r="B948" s="1" t="n">
        <v>45197</v>
      </c>
      <c r="C948" s="1" t="n">
        <v>45803</v>
      </c>
      <c r="D948" t="inlineStr">
        <is>
          <t>NORRBOTTENS LÄN</t>
        </is>
      </c>
      <c r="E948" t="inlineStr">
        <is>
          <t>BODEN</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46909-2023</t>
        </is>
      </c>
      <c r="B949" s="1" t="n">
        <v>45201</v>
      </c>
      <c r="C949" s="1" t="n">
        <v>45803</v>
      </c>
      <c r="D949" t="inlineStr">
        <is>
          <t>NORRBOTTENS LÄN</t>
        </is>
      </c>
      <c r="E949" t="inlineStr">
        <is>
          <t>BODEN</t>
        </is>
      </c>
      <c r="G949" t="n">
        <v>7.4</v>
      </c>
      <c r="H949" t="n">
        <v>0</v>
      </c>
      <c r="I949" t="n">
        <v>0</v>
      </c>
      <c r="J949" t="n">
        <v>0</v>
      </c>
      <c r="K949" t="n">
        <v>0</v>
      </c>
      <c r="L949" t="n">
        <v>0</v>
      </c>
      <c r="M949" t="n">
        <v>0</v>
      </c>
      <c r="N949" t="n">
        <v>0</v>
      </c>
      <c r="O949" t="n">
        <v>0</v>
      </c>
      <c r="P949" t="n">
        <v>0</v>
      </c>
      <c r="Q949" t="n">
        <v>0</v>
      </c>
      <c r="R949" s="2" t="inlineStr"/>
    </row>
    <row r="950" ht="15" customHeight="1">
      <c r="A950" t="inlineStr">
        <is>
          <t>A 46926-2023</t>
        </is>
      </c>
      <c r="B950" s="1" t="n">
        <v>45201</v>
      </c>
      <c r="C950" s="1" t="n">
        <v>45803</v>
      </c>
      <c r="D950" t="inlineStr">
        <is>
          <t>NORRBOTTENS LÄN</t>
        </is>
      </c>
      <c r="E950" t="inlineStr">
        <is>
          <t>BODEN</t>
        </is>
      </c>
      <c r="G950" t="n">
        <v>3</v>
      </c>
      <c r="H950" t="n">
        <v>0</v>
      </c>
      <c r="I950" t="n">
        <v>0</v>
      </c>
      <c r="J950" t="n">
        <v>0</v>
      </c>
      <c r="K950" t="n">
        <v>0</v>
      </c>
      <c r="L950" t="n">
        <v>0</v>
      </c>
      <c r="M950" t="n">
        <v>0</v>
      </c>
      <c r="N950" t="n">
        <v>0</v>
      </c>
      <c r="O950" t="n">
        <v>0</v>
      </c>
      <c r="P950" t="n">
        <v>0</v>
      </c>
      <c r="Q950" t="n">
        <v>0</v>
      </c>
      <c r="R950" s="2" t="inlineStr"/>
    </row>
    <row r="951" ht="15" customHeight="1">
      <c r="A951" t="inlineStr">
        <is>
          <t>A 47097-2023</t>
        </is>
      </c>
      <c r="B951" s="1" t="n">
        <v>45201</v>
      </c>
      <c r="C951" s="1" t="n">
        <v>45803</v>
      </c>
      <c r="D951" t="inlineStr">
        <is>
          <t>NORRBOTTENS LÄN</t>
        </is>
      </c>
      <c r="E951" t="inlineStr">
        <is>
          <t>BODEN</t>
        </is>
      </c>
      <c r="G951" t="n">
        <v>5.5</v>
      </c>
      <c r="H951" t="n">
        <v>0</v>
      </c>
      <c r="I951" t="n">
        <v>0</v>
      </c>
      <c r="J951" t="n">
        <v>0</v>
      </c>
      <c r="K951" t="n">
        <v>0</v>
      </c>
      <c r="L951" t="n">
        <v>0</v>
      </c>
      <c r="M951" t="n">
        <v>0</v>
      </c>
      <c r="N951" t="n">
        <v>0</v>
      </c>
      <c r="O951" t="n">
        <v>0</v>
      </c>
      <c r="P951" t="n">
        <v>0</v>
      </c>
      <c r="Q951" t="n">
        <v>0</v>
      </c>
      <c r="R951" s="2" t="inlineStr"/>
    </row>
    <row r="952" ht="15" customHeight="1">
      <c r="A952" t="inlineStr">
        <is>
          <t>A 49113-2023</t>
        </is>
      </c>
      <c r="B952" s="1" t="n">
        <v>45204</v>
      </c>
      <c r="C952" s="1" t="n">
        <v>45803</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49094-2023</t>
        </is>
      </c>
      <c r="B953" s="1" t="n">
        <v>45204</v>
      </c>
      <c r="C953" s="1" t="n">
        <v>45803</v>
      </c>
      <c r="D953" t="inlineStr">
        <is>
          <t>NORRBOTTENS LÄN</t>
        </is>
      </c>
      <c r="E953" t="inlineStr">
        <is>
          <t>BODEN</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48129-2023</t>
        </is>
      </c>
      <c r="B954" s="1" t="n">
        <v>45205</v>
      </c>
      <c r="C954" s="1" t="n">
        <v>45803</v>
      </c>
      <c r="D954" t="inlineStr">
        <is>
          <t>NORRBOTTENS LÄN</t>
        </is>
      </c>
      <c r="E954" t="inlineStr">
        <is>
          <t>BODEN</t>
        </is>
      </c>
      <c r="G954" t="n">
        <v>7.1</v>
      </c>
      <c r="H954" t="n">
        <v>0</v>
      </c>
      <c r="I954" t="n">
        <v>0</v>
      </c>
      <c r="J954" t="n">
        <v>0</v>
      </c>
      <c r="K954" t="n">
        <v>0</v>
      </c>
      <c r="L954" t="n">
        <v>0</v>
      </c>
      <c r="M954" t="n">
        <v>0</v>
      </c>
      <c r="N954" t="n">
        <v>0</v>
      </c>
      <c r="O954" t="n">
        <v>0</v>
      </c>
      <c r="P954" t="n">
        <v>0</v>
      </c>
      <c r="Q954" t="n">
        <v>0</v>
      </c>
      <c r="R954" s="2" t="inlineStr"/>
    </row>
    <row r="955" ht="15" customHeight="1">
      <c r="A955" t="inlineStr">
        <is>
          <t>A 48262-2023</t>
        </is>
      </c>
      <c r="B955" s="1" t="n">
        <v>45205</v>
      </c>
      <c r="C955" s="1" t="n">
        <v>45803</v>
      </c>
      <c r="D955" t="inlineStr">
        <is>
          <t>NORRBOTTENS LÄN</t>
        </is>
      </c>
      <c r="E955" t="inlineStr">
        <is>
          <t>BODEN</t>
        </is>
      </c>
      <c r="G955" t="n">
        <v>1.7</v>
      </c>
      <c r="H955" t="n">
        <v>0</v>
      </c>
      <c r="I955" t="n">
        <v>0</v>
      </c>
      <c r="J955" t="n">
        <v>0</v>
      </c>
      <c r="K955" t="n">
        <v>0</v>
      </c>
      <c r="L955" t="n">
        <v>0</v>
      </c>
      <c r="M955" t="n">
        <v>0</v>
      </c>
      <c r="N955" t="n">
        <v>0</v>
      </c>
      <c r="O955" t="n">
        <v>0</v>
      </c>
      <c r="P955" t="n">
        <v>0</v>
      </c>
      <c r="Q955" t="n">
        <v>0</v>
      </c>
      <c r="R955" s="2" t="inlineStr"/>
    </row>
    <row r="956" ht="15" customHeight="1">
      <c r="A956" t="inlineStr">
        <is>
          <t>A 48417-2023</t>
        </is>
      </c>
      <c r="B956" s="1" t="n">
        <v>45205</v>
      </c>
      <c r="C956" s="1" t="n">
        <v>45803</v>
      </c>
      <c r="D956" t="inlineStr">
        <is>
          <t>NORRBOTTENS LÄN</t>
        </is>
      </c>
      <c r="E956" t="inlineStr">
        <is>
          <t>BODEN</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48450-2023</t>
        </is>
      </c>
      <c r="B957" s="1" t="n">
        <v>45206</v>
      </c>
      <c r="C957" s="1" t="n">
        <v>45803</v>
      </c>
      <c r="D957" t="inlineStr">
        <is>
          <t>NORRBOTTENS LÄN</t>
        </is>
      </c>
      <c r="E957" t="inlineStr">
        <is>
          <t>BODEN</t>
        </is>
      </c>
      <c r="G957" t="n">
        <v>2.6</v>
      </c>
      <c r="H957" t="n">
        <v>0</v>
      </c>
      <c r="I957" t="n">
        <v>0</v>
      </c>
      <c r="J957" t="n">
        <v>0</v>
      </c>
      <c r="K957" t="n">
        <v>0</v>
      </c>
      <c r="L957" t="n">
        <v>0</v>
      </c>
      <c r="M957" t="n">
        <v>0</v>
      </c>
      <c r="N957" t="n">
        <v>0</v>
      </c>
      <c r="O957" t="n">
        <v>0</v>
      </c>
      <c r="P957" t="n">
        <v>0</v>
      </c>
      <c r="Q957" t="n">
        <v>0</v>
      </c>
      <c r="R957" s="2" t="inlineStr"/>
    </row>
    <row r="958" ht="15" customHeight="1">
      <c r="A958" t="inlineStr">
        <is>
          <t>A 48595-2023</t>
        </is>
      </c>
      <c r="B958" s="1" t="n">
        <v>45208</v>
      </c>
      <c r="C958" s="1" t="n">
        <v>45803</v>
      </c>
      <c r="D958" t="inlineStr">
        <is>
          <t>NORRBOTTENS LÄN</t>
        </is>
      </c>
      <c r="E958" t="inlineStr">
        <is>
          <t>BODEN</t>
        </is>
      </c>
      <c r="F958" t="inlineStr">
        <is>
          <t>Sveaskog</t>
        </is>
      </c>
      <c r="G958" t="n">
        <v>4.2</v>
      </c>
      <c r="H958" t="n">
        <v>0</v>
      </c>
      <c r="I958" t="n">
        <v>0</v>
      </c>
      <c r="J958" t="n">
        <v>0</v>
      </c>
      <c r="K958" t="n">
        <v>0</v>
      </c>
      <c r="L958" t="n">
        <v>0</v>
      </c>
      <c r="M958" t="n">
        <v>0</v>
      </c>
      <c r="N958" t="n">
        <v>0</v>
      </c>
      <c r="O958" t="n">
        <v>0</v>
      </c>
      <c r="P958" t="n">
        <v>0</v>
      </c>
      <c r="Q958" t="n">
        <v>0</v>
      </c>
      <c r="R958" s="2" t="inlineStr"/>
    </row>
    <row r="959" ht="15" customHeight="1">
      <c r="A959" t="inlineStr">
        <is>
          <t>A 48592-2023</t>
        </is>
      </c>
      <c r="B959" s="1" t="n">
        <v>45208</v>
      </c>
      <c r="C959" s="1" t="n">
        <v>45803</v>
      </c>
      <c r="D959" t="inlineStr">
        <is>
          <t>NORRBOTTENS LÄN</t>
        </is>
      </c>
      <c r="E959" t="inlineStr">
        <is>
          <t>BODEN</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48681-2023</t>
        </is>
      </c>
      <c r="B960" s="1" t="n">
        <v>45208</v>
      </c>
      <c r="C960" s="1" t="n">
        <v>45803</v>
      </c>
      <c r="D960" t="inlineStr">
        <is>
          <t>NORRBOTTENS LÄN</t>
        </is>
      </c>
      <c r="E960" t="inlineStr">
        <is>
          <t>BODEN</t>
        </is>
      </c>
      <c r="G960" t="n">
        <v>8.4</v>
      </c>
      <c r="H960" t="n">
        <v>0</v>
      </c>
      <c r="I960" t="n">
        <v>0</v>
      </c>
      <c r="J960" t="n">
        <v>0</v>
      </c>
      <c r="K960" t="n">
        <v>0</v>
      </c>
      <c r="L960" t="n">
        <v>0</v>
      </c>
      <c r="M960" t="n">
        <v>0</v>
      </c>
      <c r="N960" t="n">
        <v>0</v>
      </c>
      <c r="O960" t="n">
        <v>0</v>
      </c>
      <c r="P960" t="n">
        <v>0</v>
      </c>
      <c r="Q960" t="n">
        <v>0</v>
      </c>
      <c r="R960" s="2" t="inlineStr"/>
    </row>
    <row r="961" ht="15" customHeight="1">
      <c r="A961" t="inlineStr">
        <is>
          <t>A 49127-2023</t>
        </is>
      </c>
      <c r="B961" s="1" t="n">
        <v>45210</v>
      </c>
      <c r="C961" s="1" t="n">
        <v>45803</v>
      </c>
      <c r="D961" t="inlineStr">
        <is>
          <t>NORRBOTTENS LÄN</t>
        </is>
      </c>
      <c r="E961" t="inlineStr">
        <is>
          <t>BODEN</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49219-2023</t>
        </is>
      </c>
      <c r="B962" s="1" t="n">
        <v>45210</v>
      </c>
      <c r="C962" s="1" t="n">
        <v>45803</v>
      </c>
      <c r="D962" t="inlineStr">
        <is>
          <t>NORRBOTTENS LÄN</t>
        </is>
      </c>
      <c r="E962" t="inlineStr">
        <is>
          <t>BODEN</t>
        </is>
      </c>
      <c r="G962" t="n">
        <v>7.7</v>
      </c>
      <c r="H962" t="n">
        <v>0</v>
      </c>
      <c r="I962" t="n">
        <v>0</v>
      </c>
      <c r="J962" t="n">
        <v>0</v>
      </c>
      <c r="K962" t="n">
        <v>0</v>
      </c>
      <c r="L962" t="n">
        <v>0</v>
      </c>
      <c r="M962" t="n">
        <v>0</v>
      </c>
      <c r="N962" t="n">
        <v>0</v>
      </c>
      <c r="O962" t="n">
        <v>0</v>
      </c>
      <c r="P962" t="n">
        <v>0</v>
      </c>
      <c r="Q962" t="n">
        <v>0</v>
      </c>
      <c r="R962" s="2" t="inlineStr"/>
    </row>
    <row r="963" ht="15" customHeight="1">
      <c r="A963" t="inlineStr">
        <is>
          <t>A 49124-2023</t>
        </is>
      </c>
      <c r="B963" s="1" t="n">
        <v>45210</v>
      </c>
      <c r="C963" s="1" t="n">
        <v>45803</v>
      </c>
      <c r="D963" t="inlineStr">
        <is>
          <t>NORRBOTTENS LÄN</t>
        </is>
      </c>
      <c r="E963" t="inlineStr">
        <is>
          <t>BODEN</t>
        </is>
      </c>
      <c r="F963" t="inlineStr">
        <is>
          <t>Sveaskog</t>
        </is>
      </c>
      <c r="G963" t="n">
        <v>4.8</v>
      </c>
      <c r="H963" t="n">
        <v>0</v>
      </c>
      <c r="I963" t="n">
        <v>0</v>
      </c>
      <c r="J963" t="n">
        <v>0</v>
      </c>
      <c r="K963" t="n">
        <v>0</v>
      </c>
      <c r="L963" t="n">
        <v>0</v>
      </c>
      <c r="M963" t="n">
        <v>0</v>
      </c>
      <c r="N963" t="n">
        <v>0</v>
      </c>
      <c r="O963" t="n">
        <v>0</v>
      </c>
      <c r="P963" t="n">
        <v>0</v>
      </c>
      <c r="Q963" t="n">
        <v>0</v>
      </c>
      <c r="R963" s="2" t="inlineStr"/>
    </row>
    <row r="964" ht="15" customHeight="1">
      <c r="A964" t="inlineStr">
        <is>
          <t>A 49162-2023</t>
        </is>
      </c>
      <c r="B964" s="1" t="n">
        <v>45210</v>
      </c>
      <c r="C964" s="1" t="n">
        <v>45803</v>
      </c>
      <c r="D964" t="inlineStr">
        <is>
          <t>NORRBOTTENS LÄN</t>
        </is>
      </c>
      <c r="E964" t="inlineStr">
        <is>
          <t>BODEN</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49410-2023</t>
        </is>
      </c>
      <c r="B965" s="1" t="n">
        <v>45211</v>
      </c>
      <c r="C965" s="1" t="n">
        <v>45803</v>
      </c>
      <c r="D965" t="inlineStr">
        <is>
          <t>NORRBOTTENS LÄN</t>
        </is>
      </c>
      <c r="E965" t="inlineStr">
        <is>
          <t>BODEN</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49456-2023</t>
        </is>
      </c>
      <c r="B966" s="1" t="n">
        <v>45211</v>
      </c>
      <c r="C966" s="1" t="n">
        <v>45803</v>
      </c>
      <c r="D966" t="inlineStr">
        <is>
          <t>NORRBOTTENS LÄN</t>
        </is>
      </c>
      <c r="E966" t="inlineStr">
        <is>
          <t>BODEN</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49522-2023</t>
        </is>
      </c>
      <c r="B967" s="1" t="n">
        <v>45211</v>
      </c>
      <c r="C967" s="1" t="n">
        <v>45803</v>
      </c>
      <c r="D967" t="inlineStr">
        <is>
          <t>NORRBOTTENS LÄN</t>
        </is>
      </c>
      <c r="E967" t="inlineStr">
        <is>
          <t>BODEN</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49526-2023</t>
        </is>
      </c>
      <c r="B968" s="1" t="n">
        <v>45211</v>
      </c>
      <c r="C968" s="1" t="n">
        <v>45803</v>
      </c>
      <c r="D968" t="inlineStr">
        <is>
          <t>NORRBOTTENS LÄN</t>
        </is>
      </c>
      <c r="E968" t="inlineStr">
        <is>
          <t>BODEN</t>
        </is>
      </c>
      <c r="F968" t="inlineStr">
        <is>
          <t>Sveaskog</t>
        </is>
      </c>
      <c r="G968" t="n">
        <v>2.3</v>
      </c>
      <c r="H968" t="n">
        <v>0</v>
      </c>
      <c r="I968" t="n">
        <v>0</v>
      </c>
      <c r="J968" t="n">
        <v>0</v>
      </c>
      <c r="K968" t="n">
        <v>0</v>
      </c>
      <c r="L968" t="n">
        <v>0</v>
      </c>
      <c r="M968" t="n">
        <v>0</v>
      </c>
      <c r="N968" t="n">
        <v>0</v>
      </c>
      <c r="O968" t="n">
        <v>0</v>
      </c>
      <c r="P968" t="n">
        <v>0</v>
      </c>
      <c r="Q968" t="n">
        <v>0</v>
      </c>
      <c r="R968" s="2" t="inlineStr"/>
    </row>
    <row r="969" ht="15" customHeight="1">
      <c r="A969" t="inlineStr">
        <is>
          <t>A 49459-2023</t>
        </is>
      </c>
      <c r="B969" s="1" t="n">
        <v>45211</v>
      </c>
      <c r="C969" s="1" t="n">
        <v>45803</v>
      </c>
      <c r="D969" t="inlineStr">
        <is>
          <t>NORRBOTTENS LÄN</t>
        </is>
      </c>
      <c r="E969" t="inlineStr">
        <is>
          <t>BODEN</t>
        </is>
      </c>
      <c r="F969" t="inlineStr">
        <is>
          <t>Sveaskog</t>
        </is>
      </c>
      <c r="G969" t="n">
        <v>5.5</v>
      </c>
      <c r="H969" t="n">
        <v>0</v>
      </c>
      <c r="I969" t="n">
        <v>0</v>
      </c>
      <c r="J969" t="n">
        <v>0</v>
      </c>
      <c r="K969" t="n">
        <v>0</v>
      </c>
      <c r="L969" t="n">
        <v>0</v>
      </c>
      <c r="M969" t="n">
        <v>0</v>
      </c>
      <c r="N969" t="n">
        <v>0</v>
      </c>
      <c r="O969" t="n">
        <v>0</v>
      </c>
      <c r="P969" t="n">
        <v>0</v>
      </c>
      <c r="Q969" t="n">
        <v>0</v>
      </c>
      <c r="R969" s="2" t="inlineStr"/>
    </row>
    <row r="970" ht="15" customHeight="1">
      <c r="A970" t="inlineStr">
        <is>
          <t>A 49859-2023</t>
        </is>
      </c>
      <c r="B970" s="1" t="n">
        <v>45212</v>
      </c>
      <c r="C970" s="1" t="n">
        <v>45803</v>
      </c>
      <c r="D970" t="inlineStr">
        <is>
          <t>NORRBOTTENS LÄN</t>
        </is>
      </c>
      <c r="E970" t="inlineStr">
        <is>
          <t>BODEN</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49876-2023</t>
        </is>
      </c>
      <c r="B971" s="1" t="n">
        <v>45212</v>
      </c>
      <c r="C971" s="1" t="n">
        <v>45803</v>
      </c>
      <c r="D971" t="inlineStr">
        <is>
          <t>NORRBOTTENS LÄN</t>
        </is>
      </c>
      <c r="E971" t="inlineStr">
        <is>
          <t>BODEN</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51193-2023</t>
        </is>
      </c>
      <c r="B972" s="1" t="n">
        <v>45212</v>
      </c>
      <c r="C972" s="1" t="n">
        <v>45803</v>
      </c>
      <c r="D972" t="inlineStr">
        <is>
          <t>NORRBOTTENS LÄN</t>
        </is>
      </c>
      <c r="E972" t="inlineStr">
        <is>
          <t>BODEN</t>
        </is>
      </c>
      <c r="G972" t="n">
        <v>1.1</v>
      </c>
      <c r="H972" t="n">
        <v>0</v>
      </c>
      <c r="I972" t="n">
        <v>0</v>
      </c>
      <c r="J972" t="n">
        <v>0</v>
      </c>
      <c r="K972" t="n">
        <v>0</v>
      </c>
      <c r="L972" t="n">
        <v>0</v>
      </c>
      <c r="M972" t="n">
        <v>0</v>
      </c>
      <c r="N972" t="n">
        <v>0</v>
      </c>
      <c r="O972" t="n">
        <v>0</v>
      </c>
      <c r="P972" t="n">
        <v>0</v>
      </c>
      <c r="Q972" t="n">
        <v>0</v>
      </c>
      <c r="R972" s="2" t="inlineStr"/>
    </row>
    <row r="973" ht="15" customHeight="1">
      <c r="A973" t="inlineStr">
        <is>
          <t>A 50511-2023</t>
        </is>
      </c>
      <c r="B973" s="1" t="n">
        <v>45217</v>
      </c>
      <c r="C973" s="1" t="n">
        <v>45803</v>
      </c>
      <c r="D973" t="inlineStr">
        <is>
          <t>NORRBOTTENS LÄN</t>
        </is>
      </c>
      <c r="E973" t="inlineStr">
        <is>
          <t>BODEN</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50491-2023</t>
        </is>
      </c>
      <c r="B974" s="1" t="n">
        <v>45217</v>
      </c>
      <c r="C974" s="1" t="n">
        <v>45803</v>
      </c>
      <c r="D974" t="inlineStr">
        <is>
          <t>NORRBOTTENS LÄN</t>
        </is>
      </c>
      <c r="E974" t="inlineStr">
        <is>
          <t>BODEN</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50327-2023</t>
        </is>
      </c>
      <c r="B975" s="1" t="n">
        <v>45216</v>
      </c>
      <c r="C975" s="1" t="n">
        <v>45803</v>
      </c>
      <c r="D975" t="inlineStr">
        <is>
          <t>NORRBOTTENS LÄN</t>
        </is>
      </c>
      <c r="E975" t="inlineStr">
        <is>
          <t>BODEN</t>
        </is>
      </c>
      <c r="F975" t="inlineStr">
        <is>
          <t>Sveaskog</t>
        </is>
      </c>
      <c r="G975" t="n">
        <v>4.3</v>
      </c>
      <c r="H975" t="n">
        <v>0</v>
      </c>
      <c r="I975" t="n">
        <v>0</v>
      </c>
      <c r="J975" t="n">
        <v>0</v>
      </c>
      <c r="K975" t="n">
        <v>0</v>
      </c>
      <c r="L975" t="n">
        <v>0</v>
      </c>
      <c r="M975" t="n">
        <v>0</v>
      </c>
      <c r="N975" t="n">
        <v>0</v>
      </c>
      <c r="O975" t="n">
        <v>0</v>
      </c>
      <c r="P975" t="n">
        <v>0</v>
      </c>
      <c r="Q975" t="n">
        <v>0</v>
      </c>
      <c r="R975" s="2" t="inlineStr"/>
    </row>
    <row r="976" ht="15" customHeight="1">
      <c r="A976" t="inlineStr">
        <is>
          <t>A 50492-2023</t>
        </is>
      </c>
      <c r="B976" s="1" t="n">
        <v>45217</v>
      </c>
      <c r="C976" s="1" t="n">
        <v>45803</v>
      </c>
      <c r="D976" t="inlineStr">
        <is>
          <t>NORRBOTTENS LÄN</t>
        </is>
      </c>
      <c r="E976" t="inlineStr">
        <is>
          <t>BODEN</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51828-2023</t>
        </is>
      </c>
      <c r="B977" s="1" t="n">
        <v>45223</v>
      </c>
      <c r="C977" s="1" t="n">
        <v>45803</v>
      </c>
      <c r="D977" t="inlineStr">
        <is>
          <t>NORRBOTTENS LÄN</t>
        </is>
      </c>
      <c r="E977" t="inlineStr">
        <is>
          <t>BODEN</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52073-2023</t>
        </is>
      </c>
      <c r="B978" s="1" t="n">
        <v>45223</v>
      </c>
      <c r="C978" s="1" t="n">
        <v>45803</v>
      </c>
      <c r="D978" t="inlineStr">
        <is>
          <t>NORRBOTTENS LÄN</t>
        </is>
      </c>
      <c r="E978" t="inlineStr">
        <is>
          <t>BODEN</t>
        </is>
      </c>
      <c r="F978" t="inlineStr">
        <is>
          <t>Sveaskog</t>
        </is>
      </c>
      <c r="G978" t="n">
        <v>13.2</v>
      </c>
      <c r="H978" t="n">
        <v>0</v>
      </c>
      <c r="I978" t="n">
        <v>0</v>
      </c>
      <c r="J978" t="n">
        <v>0</v>
      </c>
      <c r="K978" t="n">
        <v>0</v>
      </c>
      <c r="L978" t="n">
        <v>0</v>
      </c>
      <c r="M978" t="n">
        <v>0</v>
      </c>
      <c r="N978" t="n">
        <v>0</v>
      </c>
      <c r="O978" t="n">
        <v>0</v>
      </c>
      <c r="P978" t="n">
        <v>0</v>
      </c>
      <c r="Q978" t="n">
        <v>0</v>
      </c>
      <c r="R978" s="2" t="inlineStr"/>
    </row>
    <row r="979" ht="15" customHeight="1">
      <c r="A979" t="inlineStr">
        <is>
          <t>A 52396-2023</t>
        </is>
      </c>
      <c r="B979" s="1" t="n">
        <v>45225</v>
      </c>
      <c r="C979" s="1" t="n">
        <v>45803</v>
      </c>
      <c r="D979" t="inlineStr">
        <is>
          <t>NORRBOTTENS LÄN</t>
        </is>
      </c>
      <c r="E979" t="inlineStr">
        <is>
          <t>BODEN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52395-2023</t>
        </is>
      </c>
      <c r="B980" s="1" t="n">
        <v>45225</v>
      </c>
      <c r="C980" s="1" t="n">
        <v>45803</v>
      </c>
      <c r="D980" t="inlineStr">
        <is>
          <t>NORRBOTTENS LÄN</t>
        </is>
      </c>
      <c r="E980" t="inlineStr">
        <is>
          <t>BODEN</t>
        </is>
      </c>
      <c r="F980" t="inlineStr">
        <is>
          <t>SCA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52976-2023</t>
        </is>
      </c>
      <c r="B981" s="1" t="n">
        <v>45226</v>
      </c>
      <c r="C981" s="1" t="n">
        <v>45803</v>
      </c>
      <c r="D981" t="inlineStr">
        <is>
          <t>NORRBOTTENS LÄN</t>
        </is>
      </c>
      <c r="E981" t="inlineStr">
        <is>
          <t>BODEN</t>
        </is>
      </c>
      <c r="F981" t="inlineStr">
        <is>
          <t>Sveaskog</t>
        </is>
      </c>
      <c r="G981" t="n">
        <v>7.5</v>
      </c>
      <c r="H981" t="n">
        <v>0</v>
      </c>
      <c r="I981" t="n">
        <v>0</v>
      </c>
      <c r="J981" t="n">
        <v>0</v>
      </c>
      <c r="K981" t="n">
        <v>0</v>
      </c>
      <c r="L981" t="n">
        <v>0</v>
      </c>
      <c r="M981" t="n">
        <v>0</v>
      </c>
      <c r="N981" t="n">
        <v>0</v>
      </c>
      <c r="O981" t="n">
        <v>0</v>
      </c>
      <c r="P981" t="n">
        <v>0</v>
      </c>
      <c r="Q981" t="n">
        <v>0</v>
      </c>
      <c r="R981" s="2" t="inlineStr"/>
    </row>
    <row r="982" ht="15" customHeight="1">
      <c r="A982" t="inlineStr">
        <is>
          <t>A 55027-2023</t>
        </is>
      </c>
      <c r="B982" s="1" t="n">
        <v>45229</v>
      </c>
      <c r="C982" s="1" t="n">
        <v>45803</v>
      </c>
      <c r="D982" t="inlineStr">
        <is>
          <t>NORRBOTTENS LÄN</t>
        </is>
      </c>
      <c r="E982" t="inlineStr">
        <is>
          <t>BODEN</t>
        </is>
      </c>
      <c r="G982" t="n">
        <v>7.7</v>
      </c>
      <c r="H982" t="n">
        <v>0</v>
      </c>
      <c r="I982" t="n">
        <v>0</v>
      </c>
      <c r="J982" t="n">
        <v>0</v>
      </c>
      <c r="K982" t="n">
        <v>0</v>
      </c>
      <c r="L982" t="n">
        <v>0</v>
      </c>
      <c r="M982" t="n">
        <v>0</v>
      </c>
      <c r="N982" t="n">
        <v>0</v>
      </c>
      <c r="O982" t="n">
        <v>0</v>
      </c>
      <c r="P982" t="n">
        <v>0</v>
      </c>
      <c r="Q982" t="n">
        <v>0</v>
      </c>
      <c r="R982" s="2" t="inlineStr"/>
    </row>
    <row r="983" ht="15" customHeight="1">
      <c r="A983" t="inlineStr">
        <is>
          <t>A 54012-2023</t>
        </is>
      </c>
      <c r="B983" s="1" t="n">
        <v>45231</v>
      </c>
      <c r="C983" s="1" t="n">
        <v>45803</v>
      </c>
      <c r="D983" t="inlineStr">
        <is>
          <t>NORRBOTTENS LÄN</t>
        </is>
      </c>
      <c r="E983" t="inlineStr">
        <is>
          <t>BODEN</t>
        </is>
      </c>
      <c r="G983" t="n">
        <v>7.7</v>
      </c>
      <c r="H983" t="n">
        <v>0</v>
      </c>
      <c r="I983" t="n">
        <v>0</v>
      </c>
      <c r="J983" t="n">
        <v>0</v>
      </c>
      <c r="K983" t="n">
        <v>0</v>
      </c>
      <c r="L983" t="n">
        <v>0</v>
      </c>
      <c r="M983" t="n">
        <v>0</v>
      </c>
      <c r="N983" t="n">
        <v>0</v>
      </c>
      <c r="O983" t="n">
        <v>0</v>
      </c>
      <c r="P983" t="n">
        <v>0</v>
      </c>
      <c r="Q983" t="n">
        <v>0</v>
      </c>
      <c r="R983" s="2" t="inlineStr"/>
    </row>
    <row r="984" ht="15" customHeight="1">
      <c r="A984" t="inlineStr">
        <is>
          <t>A 54153-2023</t>
        </is>
      </c>
      <c r="B984" s="1" t="n">
        <v>45232</v>
      </c>
      <c r="C984" s="1" t="n">
        <v>45803</v>
      </c>
      <c r="D984" t="inlineStr">
        <is>
          <t>NORRBOTTENS LÄN</t>
        </is>
      </c>
      <c r="E984" t="inlineStr">
        <is>
          <t>BODEN</t>
        </is>
      </c>
      <c r="F984" t="inlineStr">
        <is>
          <t>Sveaskog</t>
        </is>
      </c>
      <c r="G984" t="n">
        <v>4.6</v>
      </c>
      <c r="H984" t="n">
        <v>0</v>
      </c>
      <c r="I984" t="n">
        <v>0</v>
      </c>
      <c r="J984" t="n">
        <v>0</v>
      </c>
      <c r="K984" t="n">
        <v>0</v>
      </c>
      <c r="L984" t="n">
        <v>0</v>
      </c>
      <c r="M984" t="n">
        <v>0</v>
      </c>
      <c r="N984" t="n">
        <v>0</v>
      </c>
      <c r="O984" t="n">
        <v>0</v>
      </c>
      <c r="P984" t="n">
        <v>0</v>
      </c>
      <c r="Q984" t="n">
        <v>0</v>
      </c>
      <c r="R984" s="2" t="inlineStr"/>
    </row>
    <row r="985" ht="15" customHeight="1">
      <c r="A985" t="inlineStr">
        <is>
          <t>A 54142-2023</t>
        </is>
      </c>
      <c r="B985" s="1" t="n">
        <v>45232</v>
      </c>
      <c r="C985" s="1" t="n">
        <v>45803</v>
      </c>
      <c r="D985" t="inlineStr">
        <is>
          <t>NORRBOTTENS LÄN</t>
        </is>
      </c>
      <c r="E985" t="inlineStr">
        <is>
          <t>BODEN</t>
        </is>
      </c>
      <c r="F985" t="inlineStr">
        <is>
          <t>Sveaskog</t>
        </is>
      </c>
      <c r="G985" t="n">
        <v>6.6</v>
      </c>
      <c r="H985" t="n">
        <v>0</v>
      </c>
      <c r="I985" t="n">
        <v>0</v>
      </c>
      <c r="J985" t="n">
        <v>0</v>
      </c>
      <c r="K985" t="n">
        <v>0</v>
      </c>
      <c r="L985" t="n">
        <v>0</v>
      </c>
      <c r="M985" t="n">
        <v>0</v>
      </c>
      <c r="N985" t="n">
        <v>0</v>
      </c>
      <c r="O985" t="n">
        <v>0</v>
      </c>
      <c r="P985" t="n">
        <v>0</v>
      </c>
      <c r="Q985" t="n">
        <v>0</v>
      </c>
      <c r="R985" s="2" t="inlineStr"/>
    </row>
    <row r="986" ht="15" customHeight="1">
      <c r="A986" t="inlineStr">
        <is>
          <t>A 54250-2023</t>
        </is>
      </c>
      <c r="B986" s="1" t="n">
        <v>45232</v>
      </c>
      <c r="C986" s="1" t="n">
        <v>45803</v>
      </c>
      <c r="D986" t="inlineStr">
        <is>
          <t>NORRBOTTENS LÄN</t>
        </is>
      </c>
      <c r="E986" t="inlineStr">
        <is>
          <t>BODEN</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54267-2023</t>
        </is>
      </c>
      <c r="B987" s="1" t="n">
        <v>45232</v>
      </c>
      <c r="C987" s="1" t="n">
        <v>45803</v>
      </c>
      <c r="D987" t="inlineStr">
        <is>
          <t>NORRBOTTENS LÄN</t>
        </is>
      </c>
      <c r="E987" t="inlineStr">
        <is>
          <t>BODEN</t>
        </is>
      </c>
      <c r="G987" t="n">
        <v>1.1</v>
      </c>
      <c r="H987" t="n">
        <v>0</v>
      </c>
      <c r="I987" t="n">
        <v>0</v>
      </c>
      <c r="J987" t="n">
        <v>0</v>
      </c>
      <c r="K987" t="n">
        <v>0</v>
      </c>
      <c r="L987" t="n">
        <v>0</v>
      </c>
      <c r="M987" t="n">
        <v>0</v>
      </c>
      <c r="N987" t="n">
        <v>0</v>
      </c>
      <c r="O987" t="n">
        <v>0</v>
      </c>
      <c r="P987" t="n">
        <v>0</v>
      </c>
      <c r="Q987" t="n">
        <v>0</v>
      </c>
      <c r="R987" s="2" t="inlineStr"/>
    </row>
    <row r="988" ht="15" customHeight="1">
      <c r="A988" t="inlineStr">
        <is>
          <t>A 54139-2023</t>
        </is>
      </c>
      <c r="B988" s="1" t="n">
        <v>45232</v>
      </c>
      <c r="C988" s="1" t="n">
        <v>45803</v>
      </c>
      <c r="D988" t="inlineStr">
        <is>
          <t>NORRBOTTENS LÄN</t>
        </is>
      </c>
      <c r="E988" t="inlineStr">
        <is>
          <t>BODEN</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54269-2023</t>
        </is>
      </c>
      <c r="B989" s="1" t="n">
        <v>45232</v>
      </c>
      <c r="C989" s="1" t="n">
        <v>45803</v>
      </c>
      <c r="D989" t="inlineStr">
        <is>
          <t>NORRBOTTENS LÄN</t>
        </is>
      </c>
      <c r="E989" t="inlineStr">
        <is>
          <t>BODEN</t>
        </is>
      </c>
      <c r="G989" t="n">
        <v>0.3</v>
      </c>
      <c r="H989" t="n">
        <v>0</v>
      </c>
      <c r="I989" t="n">
        <v>0</v>
      </c>
      <c r="J989" t="n">
        <v>0</v>
      </c>
      <c r="K989" t="n">
        <v>0</v>
      </c>
      <c r="L989" t="n">
        <v>0</v>
      </c>
      <c r="M989" t="n">
        <v>0</v>
      </c>
      <c r="N989" t="n">
        <v>0</v>
      </c>
      <c r="O989" t="n">
        <v>0</v>
      </c>
      <c r="P989" t="n">
        <v>0</v>
      </c>
      <c r="Q989" t="n">
        <v>0</v>
      </c>
      <c r="R989" s="2" t="inlineStr"/>
    </row>
    <row r="990" ht="15" customHeight="1">
      <c r="A990" t="inlineStr">
        <is>
          <t>A 54327-2023</t>
        </is>
      </c>
      <c r="B990" s="1" t="n">
        <v>45232</v>
      </c>
      <c r="C990" s="1" t="n">
        <v>45803</v>
      </c>
      <c r="D990" t="inlineStr">
        <is>
          <t>NORRBOTTENS LÄN</t>
        </is>
      </c>
      <c r="E990" t="inlineStr">
        <is>
          <t>BODEN</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54616-2023</t>
        </is>
      </c>
      <c r="B991" s="1" t="n">
        <v>45233</v>
      </c>
      <c r="C991" s="1" t="n">
        <v>45803</v>
      </c>
      <c r="D991" t="inlineStr">
        <is>
          <t>NORRBOTTENS LÄN</t>
        </is>
      </c>
      <c r="E991" t="inlineStr">
        <is>
          <t>BODEN</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56382-2023</t>
        </is>
      </c>
      <c r="B992" s="1" t="n">
        <v>45236</v>
      </c>
      <c r="C992" s="1" t="n">
        <v>45803</v>
      </c>
      <c r="D992" t="inlineStr">
        <is>
          <t>NORRBOTTENS LÄN</t>
        </is>
      </c>
      <c r="E992" t="inlineStr">
        <is>
          <t>BODEN</t>
        </is>
      </c>
      <c r="G992" t="n">
        <v>15.5</v>
      </c>
      <c r="H992" t="n">
        <v>0</v>
      </c>
      <c r="I992" t="n">
        <v>0</v>
      </c>
      <c r="J992" t="n">
        <v>0</v>
      </c>
      <c r="K992" t="n">
        <v>0</v>
      </c>
      <c r="L992" t="n">
        <v>0</v>
      </c>
      <c r="M992" t="n">
        <v>0</v>
      </c>
      <c r="N992" t="n">
        <v>0</v>
      </c>
      <c r="O992" t="n">
        <v>0</v>
      </c>
      <c r="P992" t="n">
        <v>0</v>
      </c>
      <c r="Q992" t="n">
        <v>0</v>
      </c>
      <c r="R992" s="2" t="inlineStr"/>
    </row>
    <row r="993" ht="15" customHeight="1">
      <c r="A993" t="inlineStr">
        <is>
          <t>A 55317-2023</t>
        </is>
      </c>
      <c r="B993" s="1" t="n">
        <v>45237</v>
      </c>
      <c r="C993" s="1" t="n">
        <v>45803</v>
      </c>
      <c r="D993" t="inlineStr">
        <is>
          <t>NORRBOTTENS LÄN</t>
        </is>
      </c>
      <c r="E993" t="inlineStr">
        <is>
          <t>BODEN</t>
        </is>
      </c>
      <c r="G993" t="n">
        <v>2.3</v>
      </c>
      <c r="H993" t="n">
        <v>0</v>
      </c>
      <c r="I993" t="n">
        <v>0</v>
      </c>
      <c r="J993" t="n">
        <v>0</v>
      </c>
      <c r="K993" t="n">
        <v>0</v>
      </c>
      <c r="L993" t="n">
        <v>0</v>
      </c>
      <c r="M993" t="n">
        <v>0</v>
      </c>
      <c r="N993" t="n">
        <v>0</v>
      </c>
      <c r="O993" t="n">
        <v>0</v>
      </c>
      <c r="P993" t="n">
        <v>0</v>
      </c>
      <c r="Q993" t="n">
        <v>0</v>
      </c>
      <c r="R993" s="2" t="inlineStr"/>
    </row>
    <row r="994" ht="15" customHeight="1">
      <c r="A994" t="inlineStr">
        <is>
          <t>A 55629-2023</t>
        </is>
      </c>
      <c r="B994" s="1" t="n">
        <v>45238</v>
      </c>
      <c r="C994" s="1" t="n">
        <v>45803</v>
      </c>
      <c r="D994" t="inlineStr">
        <is>
          <t>NORRBOTTENS LÄN</t>
        </is>
      </c>
      <c r="E994" t="inlineStr">
        <is>
          <t>BODEN</t>
        </is>
      </c>
      <c r="G994" t="n">
        <v>12.1</v>
      </c>
      <c r="H994" t="n">
        <v>0</v>
      </c>
      <c r="I994" t="n">
        <v>0</v>
      </c>
      <c r="J994" t="n">
        <v>0</v>
      </c>
      <c r="K994" t="n">
        <v>0</v>
      </c>
      <c r="L994" t="n">
        <v>0</v>
      </c>
      <c r="M994" t="n">
        <v>0</v>
      </c>
      <c r="N994" t="n">
        <v>0</v>
      </c>
      <c r="O994" t="n">
        <v>0</v>
      </c>
      <c r="P994" t="n">
        <v>0</v>
      </c>
      <c r="Q994" t="n">
        <v>0</v>
      </c>
      <c r="R994" s="2" t="inlineStr"/>
    </row>
    <row r="995" ht="15" customHeight="1">
      <c r="A995" t="inlineStr">
        <is>
          <t>A 55630-2023</t>
        </is>
      </c>
      <c r="B995" s="1" t="n">
        <v>45238</v>
      </c>
      <c r="C995" s="1" t="n">
        <v>45803</v>
      </c>
      <c r="D995" t="inlineStr">
        <is>
          <t>NORRBOTTENS LÄN</t>
        </is>
      </c>
      <c r="E995" t="inlineStr">
        <is>
          <t>BODEN</t>
        </is>
      </c>
      <c r="G995" t="n">
        <v>4.2</v>
      </c>
      <c r="H995" t="n">
        <v>0</v>
      </c>
      <c r="I995" t="n">
        <v>0</v>
      </c>
      <c r="J995" t="n">
        <v>0</v>
      </c>
      <c r="K995" t="n">
        <v>0</v>
      </c>
      <c r="L995" t="n">
        <v>0</v>
      </c>
      <c r="M995" t="n">
        <v>0</v>
      </c>
      <c r="N995" t="n">
        <v>0</v>
      </c>
      <c r="O995" t="n">
        <v>0</v>
      </c>
      <c r="P995" t="n">
        <v>0</v>
      </c>
      <c r="Q995" t="n">
        <v>0</v>
      </c>
      <c r="R995" s="2" t="inlineStr"/>
    </row>
    <row r="996" ht="15" customHeight="1">
      <c r="A996" t="inlineStr">
        <is>
          <t>A 55628-2023</t>
        </is>
      </c>
      <c r="B996" s="1" t="n">
        <v>45238</v>
      </c>
      <c r="C996" s="1" t="n">
        <v>45803</v>
      </c>
      <c r="D996" t="inlineStr">
        <is>
          <t>NORRBOTTENS LÄN</t>
        </is>
      </c>
      <c r="E996" t="inlineStr">
        <is>
          <t>BODEN</t>
        </is>
      </c>
      <c r="G996" t="n">
        <v>1.7</v>
      </c>
      <c r="H996" t="n">
        <v>0</v>
      </c>
      <c r="I996" t="n">
        <v>0</v>
      </c>
      <c r="J996" t="n">
        <v>0</v>
      </c>
      <c r="K996" t="n">
        <v>0</v>
      </c>
      <c r="L996" t="n">
        <v>0</v>
      </c>
      <c r="M996" t="n">
        <v>0</v>
      </c>
      <c r="N996" t="n">
        <v>0</v>
      </c>
      <c r="O996" t="n">
        <v>0</v>
      </c>
      <c r="P996" t="n">
        <v>0</v>
      </c>
      <c r="Q996" t="n">
        <v>0</v>
      </c>
      <c r="R996" s="2" t="inlineStr"/>
    </row>
    <row r="997" ht="15" customHeight="1">
      <c r="A997" t="inlineStr">
        <is>
          <t>A 56035-2023</t>
        </is>
      </c>
      <c r="B997" s="1" t="n">
        <v>45240</v>
      </c>
      <c r="C997" s="1" t="n">
        <v>45803</v>
      </c>
      <c r="D997" t="inlineStr">
        <is>
          <t>NORRBOTTENS LÄN</t>
        </is>
      </c>
      <c r="E997" t="inlineStr">
        <is>
          <t>BODEN</t>
        </is>
      </c>
      <c r="G997" t="n">
        <v>6.5</v>
      </c>
      <c r="H997" t="n">
        <v>0</v>
      </c>
      <c r="I997" t="n">
        <v>0</v>
      </c>
      <c r="J997" t="n">
        <v>0</v>
      </c>
      <c r="K997" t="n">
        <v>0</v>
      </c>
      <c r="L997" t="n">
        <v>0</v>
      </c>
      <c r="M997" t="n">
        <v>0</v>
      </c>
      <c r="N997" t="n">
        <v>0</v>
      </c>
      <c r="O997" t="n">
        <v>0</v>
      </c>
      <c r="P997" t="n">
        <v>0</v>
      </c>
      <c r="Q997" t="n">
        <v>0</v>
      </c>
      <c r="R997" s="2" t="inlineStr"/>
    </row>
    <row r="998" ht="15" customHeight="1">
      <c r="A998" t="inlineStr">
        <is>
          <t>A 56045-2023</t>
        </is>
      </c>
      <c r="B998" s="1" t="n">
        <v>45240</v>
      </c>
      <c r="C998" s="1" t="n">
        <v>45803</v>
      </c>
      <c r="D998" t="inlineStr">
        <is>
          <t>NORRBOTTENS LÄN</t>
        </is>
      </c>
      <c r="E998" t="inlineStr">
        <is>
          <t>BODEN</t>
        </is>
      </c>
      <c r="G998" t="n">
        <v>10.9</v>
      </c>
      <c r="H998" t="n">
        <v>0</v>
      </c>
      <c r="I998" t="n">
        <v>0</v>
      </c>
      <c r="J998" t="n">
        <v>0</v>
      </c>
      <c r="K998" t="n">
        <v>0</v>
      </c>
      <c r="L998" t="n">
        <v>0</v>
      </c>
      <c r="M998" t="n">
        <v>0</v>
      </c>
      <c r="N998" t="n">
        <v>0</v>
      </c>
      <c r="O998" t="n">
        <v>0</v>
      </c>
      <c r="P998" t="n">
        <v>0</v>
      </c>
      <c r="Q998" t="n">
        <v>0</v>
      </c>
      <c r="R998" s="2" t="inlineStr"/>
    </row>
    <row r="999" ht="15" customHeight="1">
      <c r="A999" t="inlineStr">
        <is>
          <t>A 56474-2023</t>
        </is>
      </c>
      <c r="B999" s="1" t="n">
        <v>45243</v>
      </c>
      <c r="C999" s="1" t="n">
        <v>45803</v>
      </c>
      <c r="D999" t="inlineStr">
        <is>
          <t>NORRBOTTENS LÄN</t>
        </is>
      </c>
      <c r="E999" t="inlineStr">
        <is>
          <t>BODEN</t>
        </is>
      </c>
      <c r="G999" t="n">
        <v>2.7</v>
      </c>
      <c r="H999" t="n">
        <v>0</v>
      </c>
      <c r="I999" t="n">
        <v>0</v>
      </c>
      <c r="J999" t="n">
        <v>0</v>
      </c>
      <c r="K999" t="n">
        <v>0</v>
      </c>
      <c r="L999" t="n">
        <v>0</v>
      </c>
      <c r="M999" t="n">
        <v>0</v>
      </c>
      <c r="N999" t="n">
        <v>0</v>
      </c>
      <c r="O999" t="n">
        <v>0</v>
      </c>
      <c r="P999" t="n">
        <v>0</v>
      </c>
      <c r="Q999" t="n">
        <v>0</v>
      </c>
      <c r="R999" s="2" t="inlineStr"/>
    </row>
    <row r="1000" ht="15" customHeight="1">
      <c r="A1000" t="inlineStr">
        <is>
          <t>A 56837-2023</t>
        </is>
      </c>
      <c r="B1000" s="1" t="n">
        <v>45244</v>
      </c>
      <c r="C1000" s="1" t="n">
        <v>45803</v>
      </c>
      <c r="D1000" t="inlineStr">
        <is>
          <t>NORRBOTTENS LÄN</t>
        </is>
      </c>
      <c r="E1000" t="inlineStr">
        <is>
          <t>BODEN</t>
        </is>
      </c>
      <c r="F1000" t="inlineStr">
        <is>
          <t>Övriga statliga verk och myndigheter</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57225-2023</t>
        </is>
      </c>
      <c r="B1001" s="1" t="n">
        <v>45245</v>
      </c>
      <c r="C1001" s="1" t="n">
        <v>45803</v>
      </c>
      <c r="D1001" t="inlineStr">
        <is>
          <t>NORRBOTTENS LÄN</t>
        </is>
      </c>
      <c r="E1001" t="inlineStr">
        <is>
          <t>BODEN</t>
        </is>
      </c>
      <c r="F1001" t="inlineStr">
        <is>
          <t>Sveaskog</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57226-2023</t>
        </is>
      </c>
      <c r="B1002" s="1" t="n">
        <v>45245</v>
      </c>
      <c r="C1002" s="1" t="n">
        <v>45803</v>
      </c>
      <c r="D1002" t="inlineStr">
        <is>
          <t>NORRBOTTENS LÄN</t>
        </is>
      </c>
      <c r="E1002" t="inlineStr">
        <is>
          <t>BODEN</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58331-2023</t>
        </is>
      </c>
      <c r="B1003" s="1" t="n">
        <v>45245</v>
      </c>
      <c r="C1003" s="1" t="n">
        <v>45803</v>
      </c>
      <c r="D1003" t="inlineStr">
        <is>
          <t>NORRBOTTENS LÄN</t>
        </is>
      </c>
      <c r="E1003" t="inlineStr">
        <is>
          <t>BODEN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57579-2023</t>
        </is>
      </c>
      <c r="B1004" s="1" t="n">
        <v>45246</v>
      </c>
      <c r="C1004" s="1" t="n">
        <v>45803</v>
      </c>
      <c r="D1004" t="inlineStr">
        <is>
          <t>NORRBOTTENS LÄN</t>
        </is>
      </c>
      <c r="E1004" t="inlineStr">
        <is>
          <t>BODEN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57563-2023</t>
        </is>
      </c>
      <c r="B1005" s="1" t="n">
        <v>45246</v>
      </c>
      <c r="C1005" s="1" t="n">
        <v>45803</v>
      </c>
      <c r="D1005" t="inlineStr">
        <is>
          <t>NORRBOTTENS LÄN</t>
        </is>
      </c>
      <c r="E1005" t="inlineStr">
        <is>
          <t>BODEN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57968-2023</t>
        </is>
      </c>
      <c r="B1006" s="1" t="n">
        <v>45247</v>
      </c>
      <c r="C1006" s="1" t="n">
        <v>45803</v>
      </c>
      <c r="D1006" t="inlineStr">
        <is>
          <t>NORRBOTTENS LÄN</t>
        </is>
      </c>
      <c r="E1006" t="inlineStr">
        <is>
          <t>BODEN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58044-2023</t>
        </is>
      </c>
      <c r="B1007" s="1" t="n">
        <v>45247</v>
      </c>
      <c r="C1007" s="1" t="n">
        <v>45803</v>
      </c>
      <c r="D1007" t="inlineStr">
        <is>
          <t>NORRBOTTENS LÄN</t>
        </is>
      </c>
      <c r="E1007" t="inlineStr">
        <is>
          <t>BODEN</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58099-2023</t>
        </is>
      </c>
      <c r="B1008" s="1" t="n">
        <v>45248</v>
      </c>
      <c r="C1008" s="1" t="n">
        <v>45803</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58843-2023</t>
        </is>
      </c>
      <c r="B1009" s="1" t="n">
        <v>45252</v>
      </c>
      <c r="C1009" s="1" t="n">
        <v>45803</v>
      </c>
      <c r="D1009" t="inlineStr">
        <is>
          <t>NORRBOTTENS LÄN</t>
        </is>
      </c>
      <c r="E1009" t="inlineStr">
        <is>
          <t>BODEN</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58844-2023</t>
        </is>
      </c>
      <c r="B1010" s="1" t="n">
        <v>45252</v>
      </c>
      <c r="C1010" s="1" t="n">
        <v>45803</v>
      </c>
      <c r="D1010" t="inlineStr">
        <is>
          <t>NORRBOTTENS LÄN</t>
        </is>
      </c>
      <c r="E1010" t="inlineStr">
        <is>
          <t>BODEN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58848-2023</t>
        </is>
      </c>
      <c r="B1011" s="1" t="n">
        <v>45252</v>
      </c>
      <c r="C1011" s="1" t="n">
        <v>45803</v>
      </c>
      <c r="D1011" t="inlineStr">
        <is>
          <t>NORRBOTTENS LÄN</t>
        </is>
      </c>
      <c r="E1011" t="inlineStr">
        <is>
          <t>BODEN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59247-2023</t>
        </is>
      </c>
      <c r="B1012" s="1" t="n">
        <v>45252</v>
      </c>
      <c r="C1012" s="1" t="n">
        <v>45803</v>
      </c>
      <c r="D1012" t="inlineStr">
        <is>
          <t>NORRBOTTENS LÄN</t>
        </is>
      </c>
      <c r="E1012" t="inlineStr">
        <is>
          <t>BODEN</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59365-2023</t>
        </is>
      </c>
      <c r="B1013" s="1" t="n">
        <v>45253</v>
      </c>
      <c r="C1013" s="1" t="n">
        <v>45803</v>
      </c>
      <c r="D1013" t="inlineStr">
        <is>
          <t>NORRBOTTENS LÄN</t>
        </is>
      </c>
      <c r="E1013" t="inlineStr">
        <is>
          <t>BODEN</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59532-2023</t>
        </is>
      </c>
      <c r="B1014" s="1" t="n">
        <v>45254</v>
      </c>
      <c r="C1014" s="1" t="n">
        <v>45803</v>
      </c>
      <c r="D1014" t="inlineStr">
        <is>
          <t>NORRBOTTENS LÄN</t>
        </is>
      </c>
      <c r="E1014" t="inlineStr">
        <is>
          <t>BODEN</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59584-2023</t>
        </is>
      </c>
      <c r="B1015" s="1" t="n">
        <v>45254</v>
      </c>
      <c r="C1015" s="1" t="n">
        <v>45803</v>
      </c>
      <c r="D1015" t="inlineStr">
        <is>
          <t>NORRBOTTENS LÄN</t>
        </is>
      </c>
      <c r="E1015" t="inlineStr">
        <is>
          <t>BODEN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59588-2023</t>
        </is>
      </c>
      <c r="B1016" s="1" t="n">
        <v>45254</v>
      </c>
      <c r="C1016" s="1" t="n">
        <v>45803</v>
      </c>
      <c r="D1016" t="inlineStr">
        <is>
          <t>NORRBOTTENS LÄN</t>
        </is>
      </c>
      <c r="E1016" t="inlineStr">
        <is>
          <t>BODEN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59893-2023</t>
        </is>
      </c>
      <c r="B1017" s="1" t="n">
        <v>45254</v>
      </c>
      <c r="C1017" s="1" t="n">
        <v>45803</v>
      </c>
      <c r="D1017" t="inlineStr">
        <is>
          <t>NORRBOTTENS LÄN</t>
        </is>
      </c>
      <c r="E1017" t="inlineStr">
        <is>
          <t>BODEN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59890-2023</t>
        </is>
      </c>
      <c r="B1018" s="1" t="n">
        <v>45254</v>
      </c>
      <c r="C1018" s="1" t="n">
        <v>45803</v>
      </c>
      <c r="D1018" t="inlineStr">
        <is>
          <t>NORRBOTTENS LÄN</t>
        </is>
      </c>
      <c r="E1018" t="inlineStr">
        <is>
          <t>BODEN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59688-2023</t>
        </is>
      </c>
      <c r="B1019" s="1" t="n">
        <v>45256</v>
      </c>
      <c r="C1019" s="1" t="n">
        <v>45803</v>
      </c>
      <c r="D1019" t="inlineStr">
        <is>
          <t>NORRBOTTENS LÄN</t>
        </is>
      </c>
      <c r="E1019" t="inlineStr">
        <is>
          <t>BODEN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59880-2023</t>
        </is>
      </c>
      <c r="B1020" s="1" t="n">
        <v>45257</v>
      </c>
      <c r="C1020" s="1" t="n">
        <v>45803</v>
      </c>
      <c r="D1020" t="inlineStr">
        <is>
          <t>NORRBOTTENS LÄN</t>
        </is>
      </c>
      <c r="E1020" t="inlineStr">
        <is>
          <t>BODEN</t>
        </is>
      </c>
      <c r="F1020" t="inlineStr">
        <is>
          <t>Naturvårdsverket</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59877-2023</t>
        </is>
      </c>
      <c r="B1021" s="1" t="n">
        <v>45257</v>
      </c>
      <c r="C1021" s="1" t="n">
        <v>45803</v>
      </c>
      <c r="D1021" t="inlineStr">
        <is>
          <t>NORRBOTTENS LÄN</t>
        </is>
      </c>
      <c r="E1021" t="inlineStr">
        <is>
          <t>BODEN</t>
        </is>
      </c>
      <c r="F1021" t="inlineStr">
        <is>
          <t>Naturvårdsverket</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59983-2023</t>
        </is>
      </c>
      <c r="B1022" s="1" t="n">
        <v>45257</v>
      </c>
      <c r="C1022" s="1" t="n">
        <v>45803</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59987-2023</t>
        </is>
      </c>
      <c r="B1023" s="1" t="n">
        <v>45257</v>
      </c>
      <c r="C1023" s="1" t="n">
        <v>45803</v>
      </c>
      <c r="D1023" t="inlineStr">
        <is>
          <t>NORRBOTTENS LÄN</t>
        </is>
      </c>
      <c r="E1023" t="inlineStr">
        <is>
          <t>BODEN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59984-2023</t>
        </is>
      </c>
      <c r="B1024" s="1" t="n">
        <v>45257</v>
      </c>
      <c r="C1024" s="1" t="n">
        <v>45803</v>
      </c>
      <c r="D1024" t="inlineStr">
        <is>
          <t>NORRBOTTENS LÄN</t>
        </is>
      </c>
      <c r="E1024" t="inlineStr">
        <is>
          <t>BODEN</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59988-2023</t>
        </is>
      </c>
      <c r="B1025" s="1" t="n">
        <v>45257</v>
      </c>
      <c r="C1025" s="1" t="n">
        <v>45803</v>
      </c>
      <c r="D1025" t="inlineStr">
        <is>
          <t>NORRBOTTENS LÄN</t>
        </is>
      </c>
      <c r="E1025" t="inlineStr">
        <is>
          <t>BODEN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60578-2023</t>
        </is>
      </c>
      <c r="B1026" s="1" t="n">
        <v>45260</v>
      </c>
      <c r="C1026" s="1" t="n">
        <v>45803</v>
      </c>
      <c r="D1026" t="inlineStr">
        <is>
          <t>NORRBOTTENS LÄN</t>
        </is>
      </c>
      <c r="E1026" t="inlineStr">
        <is>
          <t>BODEN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60567-2023</t>
        </is>
      </c>
      <c r="B1027" s="1" t="n">
        <v>45259</v>
      </c>
      <c r="C1027" s="1" t="n">
        <v>45803</v>
      </c>
      <c r="D1027" t="inlineStr">
        <is>
          <t>NORRBOTTENS LÄN</t>
        </is>
      </c>
      <c r="E1027" t="inlineStr">
        <is>
          <t>BODEN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61154-2023</t>
        </is>
      </c>
      <c r="B1028" s="1" t="n">
        <v>45260</v>
      </c>
      <c r="C1028" s="1" t="n">
        <v>45803</v>
      </c>
      <c r="D1028" t="inlineStr">
        <is>
          <t>NORRBOTTENS LÄN</t>
        </is>
      </c>
      <c r="E1028" t="inlineStr">
        <is>
          <t>BODEN</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61128-2023</t>
        </is>
      </c>
      <c r="B1029" s="1" t="n">
        <v>45260</v>
      </c>
      <c r="C1029" s="1" t="n">
        <v>45803</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61156-2023</t>
        </is>
      </c>
      <c r="B1030" s="1" t="n">
        <v>45260</v>
      </c>
      <c r="C1030" s="1" t="n">
        <v>45803</v>
      </c>
      <c r="D1030" t="inlineStr">
        <is>
          <t>NORRBOTTENS LÄN</t>
        </is>
      </c>
      <c r="E1030" t="inlineStr">
        <is>
          <t>BODEN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61155-2023</t>
        </is>
      </c>
      <c r="B1031" s="1" t="n">
        <v>45260</v>
      </c>
      <c r="C1031" s="1" t="n">
        <v>45803</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61241-2023</t>
        </is>
      </c>
      <c r="B1032" s="1" t="n">
        <v>45260</v>
      </c>
      <c r="C1032" s="1" t="n">
        <v>45803</v>
      </c>
      <c r="D1032" t="inlineStr">
        <is>
          <t>NORRBOTTENS LÄN</t>
        </is>
      </c>
      <c r="E1032" t="inlineStr">
        <is>
          <t>BODEN</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61141-2023</t>
        </is>
      </c>
      <c r="B1033" s="1" t="n">
        <v>45260</v>
      </c>
      <c r="C1033" s="1" t="n">
        <v>45803</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61185-2023</t>
        </is>
      </c>
      <c r="B1034" s="1" t="n">
        <v>45264</v>
      </c>
      <c r="C1034" s="1" t="n">
        <v>45803</v>
      </c>
      <c r="D1034" t="inlineStr">
        <is>
          <t>NORRBOTTENS LÄN</t>
        </is>
      </c>
      <c r="E1034" t="inlineStr">
        <is>
          <t>BODEN</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61260-2023</t>
        </is>
      </c>
      <c r="B1035" s="1" t="n">
        <v>45264</v>
      </c>
      <c r="C1035" s="1" t="n">
        <v>45803</v>
      </c>
      <c r="D1035" t="inlineStr">
        <is>
          <t>NORRBOTTENS LÄN</t>
        </is>
      </c>
      <c r="E1035" t="inlineStr">
        <is>
          <t>BODEN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61184-2023</t>
        </is>
      </c>
      <c r="B1036" s="1" t="n">
        <v>45264</v>
      </c>
      <c r="C1036" s="1" t="n">
        <v>45803</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61488-2023</t>
        </is>
      </c>
      <c r="B1037" s="1" t="n">
        <v>45264</v>
      </c>
      <c r="C1037" s="1" t="n">
        <v>45803</v>
      </c>
      <c r="D1037" t="inlineStr">
        <is>
          <t>NORRBOTTENS LÄN</t>
        </is>
      </c>
      <c r="E1037" t="inlineStr">
        <is>
          <t>BODEN</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61487-2023</t>
        </is>
      </c>
      <c r="B1038" s="1" t="n">
        <v>45264</v>
      </c>
      <c r="C1038" s="1" t="n">
        <v>45803</v>
      </c>
      <c r="D1038" t="inlineStr">
        <is>
          <t>NORRBOTTENS LÄN</t>
        </is>
      </c>
      <c r="E1038" t="inlineStr">
        <is>
          <t>BODEN</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61501-2023</t>
        </is>
      </c>
      <c r="B1039" s="1" t="n">
        <v>45264</v>
      </c>
      <c r="C1039" s="1" t="n">
        <v>45803</v>
      </c>
      <c r="D1039" t="inlineStr">
        <is>
          <t>NORRBOTTENS LÄN</t>
        </is>
      </c>
      <c r="E1039" t="inlineStr">
        <is>
          <t>BODEN</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61509-2023</t>
        </is>
      </c>
      <c r="B1040" s="1" t="n">
        <v>45265</v>
      </c>
      <c r="C1040" s="1" t="n">
        <v>45803</v>
      </c>
      <c r="D1040" t="inlineStr">
        <is>
          <t>NORRBOTTENS LÄN</t>
        </is>
      </c>
      <c r="E1040" t="inlineStr">
        <is>
          <t>BODEN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61770-2023</t>
        </is>
      </c>
      <c r="B1041" s="1" t="n">
        <v>45265</v>
      </c>
      <c r="C1041" s="1" t="n">
        <v>45803</v>
      </c>
      <c r="D1041" t="inlineStr">
        <is>
          <t>NORRBOTTENS LÄN</t>
        </is>
      </c>
      <c r="E1041" t="inlineStr">
        <is>
          <t>BODEN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61775-2023</t>
        </is>
      </c>
      <c r="B1042" s="1" t="n">
        <v>45265</v>
      </c>
      <c r="C1042" s="1" t="n">
        <v>45803</v>
      </c>
      <c r="D1042" t="inlineStr">
        <is>
          <t>NORRBOTTENS LÄN</t>
        </is>
      </c>
      <c r="E1042" t="inlineStr">
        <is>
          <t>BODEN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62396-2023</t>
        </is>
      </c>
      <c r="B1043" s="1" t="n">
        <v>45268</v>
      </c>
      <c r="C1043" s="1" t="n">
        <v>45803</v>
      </c>
      <c r="D1043" t="inlineStr">
        <is>
          <t>NORRBOTTENS LÄN</t>
        </is>
      </c>
      <c r="E1043" t="inlineStr">
        <is>
          <t>BODEN</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62894-2023</t>
        </is>
      </c>
      <c r="B1044" s="1" t="n">
        <v>45272</v>
      </c>
      <c r="C1044" s="1" t="n">
        <v>45803</v>
      </c>
      <c r="D1044" t="inlineStr">
        <is>
          <t>NORRBOTTENS LÄN</t>
        </is>
      </c>
      <c r="E1044" t="inlineStr">
        <is>
          <t>BODEN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63705-2023</t>
        </is>
      </c>
      <c r="B1045" s="1" t="n">
        <v>45275</v>
      </c>
      <c r="C1045" s="1" t="n">
        <v>45803</v>
      </c>
      <c r="D1045" t="inlineStr">
        <is>
          <t>NORRBOTTENS LÄN</t>
        </is>
      </c>
      <c r="E1045" t="inlineStr">
        <is>
          <t>BODEN</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63824-2023</t>
        </is>
      </c>
      <c r="B1046" s="1" t="n">
        <v>45278</v>
      </c>
      <c r="C1046" s="1" t="n">
        <v>45803</v>
      </c>
      <c r="D1046" t="inlineStr">
        <is>
          <t>NORRBOTTENS LÄN</t>
        </is>
      </c>
      <c r="E1046" t="inlineStr">
        <is>
          <t>BODEN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64649-2023</t>
        </is>
      </c>
      <c r="B1047" s="1" t="n">
        <v>45281</v>
      </c>
      <c r="C1047" s="1" t="n">
        <v>45803</v>
      </c>
      <c r="D1047" t="inlineStr">
        <is>
          <t>NORRBOTTENS LÄN</t>
        </is>
      </c>
      <c r="E1047" t="inlineStr">
        <is>
          <t>BODEN</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64653-2023</t>
        </is>
      </c>
      <c r="B1048" s="1" t="n">
        <v>45281</v>
      </c>
      <c r="C1048" s="1" t="n">
        <v>45803</v>
      </c>
      <c r="D1048" t="inlineStr">
        <is>
          <t>NORRBOTTENS LÄN</t>
        </is>
      </c>
      <c r="E1048" t="inlineStr">
        <is>
          <t>BODEN</t>
        </is>
      </c>
      <c r="F1048" t="inlineStr">
        <is>
          <t>Sveaskog</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64893-2023</t>
        </is>
      </c>
      <c r="B1049" s="1" t="n">
        <v>45282</v>
      </c>
      <c r="C1049" s="1" t="n">
        <v>45803</v>
      </c>
      <c r="D1049" t="inlineStr">
        <is>
          <t>NORRBOTTENS LÄN</t>
        </is>
      </c>
      <c r="E1049" t="inlineStr">
        <is>
          <t>BODEN</t>
        </is>
      </c>
      <c r="F1049" t="inlineStr">
        <is>
          <t>Övriga Aktiebolag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64975-2023</t>
        </is>
      </c>
      <c r="B1050" s="1" t="n">
        <v>45285</v>
      </c>
      <c r="C1050" s="1" t="n">
        <v>45803</v>
      </c>
      <c r="D1050" t="inlineStr">
        <is>
          <t>NORRBOTTENS LÄN</t>
        </is>
      </c>
      <c r="E1050" t="inlineStr">
        <is>
          <t>BODEN</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65241-2023</t>
        </is>
      </c>
      <c r="B1051" s="1" t="n">
        <v>45289</v>
      </c>
      <c r="C1051" s="1" t="n">
        <v>45803</v>
      </c>
      <c r="D1051" t="inlineStr">
        <is>
          <t>NORRBOTTENS LÄN</t>
        </is>
      </c>
      <c r="E1051" t="inlineStr">
        <is>
          <t>BODEN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65234-2023</t>
        </is>
      </c>
      <c r="B1052" s="1" t="n">
        <v>45289</v>
      </c>
      <c r="C1052" s="1" t="n">
        <v>45803</v>
      </c>
      <c r="D1052" t="inlineStr">
        <is>
          <t>NORRBOTTENS LÄN</t>
        </is>
      </c>
      <c r="E1052" t="inlineStr">
        <is>
          <t>BODEN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581-2024</t>
        </is>
      </c>
      <c r="B1053" s="1" t="n">
        <v>45299</v>
      </c>
      <c r="C1053" s="1" t="n">
        <v>45803</v>
      </c>
      <c r="D1053" t="inlineStr">
        <is>
          <t>NORRBOTTENS LÄN</t>
        </is>
      </c>
      <c r="E1053" t="inlineStr">
        <is>
          <t>BODEN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849-2024</t>
        </is>
      </c>
      <c r="B1054" s="1" t="n">
        <v>45300</v>
      </c>
      <c r="C1054" s="1" t="n">
        <v>45803</v>
      </c>
      <c r="D1054" t="inlineStr">
        <is>
          <t>NORRBOTTENS LÄN</t>
        </is>
      </c>
      <c r="E1054" t="inlineStr">
        <is>
          <t>BODEN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1049-2024</t>
        </is>
      </c>
      <c r="B1055" s="1" t="n">
        <v>45301</v>
      </c>
      <c r="C1055" s="1" t="n">
        <v>45803</v>
      </c>
      <c r="D1055" t="inlineStr">
        <is>
          <t>NORRBOTTENS LÄN</t>
        </is>
      </c>
      <c r="E1055" t="inlineStr">
        <is>
          <t>BODEN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1081-2024</t>
        </is>
      </c>
      <c r="B1056" s="1" t="n">
        <v>45301</v>
      </c>
      <c r="C1056" s="1" t="n">
        <v>45803</v>
      </c>
      <c r="D1056" t="inlineStr">
        <is>
          <t>NORRBOTTENS LÄN</t>
        </is>
      </c>
      <c r="E1056" t="inlineStr">
        <is>
          <t>BODEN</t>
        </is>
      </c>
      <c r="F1056" t="inlineStr">
        <is>
          <t>Övriga statliga verk och myndigheter</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1174-2024</t>
        </is>
      </c>
      <c r="B1057" s="1" t="n">
        <v>45302</v>
      </c>
      <c r="C1057" s="1" t="n">
        <v>45803</v>
      </c>
      <c r="D1057" t="inlineStr">
        <is>
          <t>NORRBOTTENS LÄN</t>
        </is>
      </c>
      <c r="E1057" t="inlineStr">
        <is>
          <t>BODEN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2069-2024</t>
        </is>
      </c>
      <c r="B1058" s="1" t="n">
        <v>45309</v>
      </c>
      <c r="C1058" s="1" t="n">
        <v>45803</v>
      </c>
      <c r="D1058" t="inlineStr">
        <is>
          <t>NORRBOTTENS LÄN</t>
        </is>
      </c>
      <c r="E1058" t="inlineStr">
        <is>
          <t>BODEN</t>
        </is>
      </c>
      <c r="F1058" t="inlineStr">
        <is>
          <t>Naturvårdsverket</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2426-2024</t>
        </is>
      </c>
      <c r="B1059" s="1" t="n">
        <v>45310</v>
      </c>
      <c r="C1059" s="1" t="n">
        <v>45803</v>
      </c>
      <c r="D1059" t="inlineStr">
        <is>
          <t>NORRBOTTENS LÄN</t>
        </is>
      </c>
      <c r="E1059" t="inlineStr">
        <is>
          <t>BODEN</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2583-2024</t>
        </is>
      </c>
      <c r="B1060" s="1" t="n">
        <v>45313</v>
      </c>
      <c r="C1060" s="1" t="n">
        <v>45803</v>
      </c>
      <c r="D1060" t="inlineStr">
        <is>
          <t>NORRBOTTENS LÄN</t>
        </is>
      </c>
      <c r="E1060" t="inlineStr">
        <is>
          <t>BODEN</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2682-2024</t>
        </is>
      </c>
      <c r="B1061" s="1" t="n">
        <v>45314</v>
      </c>
      <c r="C1061" s="1" t="n">
        <v>45803</v>
      </c>
      <c r="D1061" t="inlineStr">
        <is>
          <t>NORRBOTTENS LÄN</t>
        </is>
      </c>
      <c r="E1061" t="inlineStr">
        <is>
          <t>BODEN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3019-2024</t>
        </is>
      </c>
      <c r="B1062" s="1" t="n">
        <v>45315</v>
      </c>
      <c r="C1062" s="1" t="n">
        <v>45803</v>
      </c>
      <c r="D1062" t="inlineStr">
        <is>
          <t>NORRBOTTENS LÄN</t>
        </is>
      </c>
      <c r="E1062" t="inlineStr">
        <is>
          <t>BODEN</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3090-2024</t>
        </is>
      </c>
      <c r="B1063" s="1" t="n">
        <v>45316</v>
      </c>
      <c r="C1063" s="1" t="n">
        <v>45803</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3146-2024</t>
        </is>
      </c>
      <c r="B1064" s="1" t="n">
        <v>45316</v>
      </c>
      <c r="C1064" s="1" t="n">
        <v>45803</v>
      </c>
      <c r="D1064" t="inlineStr">
        <is>
          <t>NORRBOTTENS LÄN</t>
        </is>
      </c>
      <c r="E1064" t="inlineStr">
        <is>
          <t>BODEN</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4053-2024</t>
        </is>
      </c>
      <c r="B1065" s="1" t="n">
        <v>45323</v>
      </c>
      <c r="C1065" s="1" t="n">
        <v>45803</v>
      </c>
      <c r="D1065" t="inlineStr">
        <is>
          <t>NORRBOTTENS LÄN</t>
        </is>
      </c>
      <c r="E1065" t="inlineStr">
        <is>
          <t>BODEN</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4055-2024</t>
        </is>
      </c>
      <c r="B1066" s="1" t="n">
        <v>45323</v>
      </c>
      <c r="C1066" s="1" t="n">
        <v>45803</v>
      </c>
      <c r="D1066" t="inlineStr">
        <is>
          <t>NORRBOTTENS LÄN</t>
        </is>
      </c>
      <c r="E1066" t="inlineStr">
        <is>
          <t>BODEN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5099-2024</t>
        </is>
      </c>
      <c r="B1067" s="1" t="n">
        <v>45330</v>
      </c>
      <c r="C1067" s="1" t="n">
        <v>45803</v>
      </c>
      <c r="D1067" t="inlineStr">
        <is>
          <t>NORRBOTTENS LÄN</t>
        </is>
      </c>
      <c r="E1067" t="inlineStr">
        <is>
          <t>BODEN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5193-2024</t>
        </is>
      </c>
      <c r="B1068" s="1" t="n">
        <v>45330</v>
      </c>
      <c r="C1068" s="1" t="n">
        <v>45803</v>
      </c>
      <c r="D1068" t="inlineStr">
        <is>
          <t>NORRBOTTENS LÄN</t>
        </is>
      </c>
      <c r="E1068" t="inlineStr">
        <is>
          <t>BODEN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6084-2024</t>
        </is>
      </c>
      <c r="B1069" s="1" t="n">
        <v>45336</v>
      </c>
      <c r="C1069" s="1" t="n">
        <v>45803</v>
      </c>
      <c r="D1069" t="inlineStr">
        <is>
          <t>NORRBOTTENS LÄN</t>
        </is>
      </c>
      <c r="E1069" t="inlineStr">
        <is>
          <t>BODEN</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6396-2024</t>
        </is>
      </c>
      <c r="B1070" s="1" t="n">
        <v>45338</v>
      </c>
      <c r="C1070" s="1" t="n">
        <v>45803</v>
      </c>
      <c r="D1070" t="inlineStr">
        <is>
          <t>NORRBOTTENS LÄN</t>
        </is>
      </c>
      <c r="E1070" t="inlineStr">
        <is>
          <t>BODEN</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6382-2024</t>
        </is>
      </c>
      <c r="B1071" s="1" t="n">
        <v>45338</v>
      </c>
      <c r="C1071" s="1" t="n">
        <v>45803</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6517-2024</t>
        </is>
      </c>
      <c r="B1072" s="1" t="n">
        <v>45341</v>
      </c>
      <c r="C1072" s="1" t="n">
        <v>45803</v>
      </c>
      <c r="D1072" t="inlineStr">
        <is>
          <t>NORRBOTTENS LÄN</t>
        </is>
      </c>
      <c r="E1072" t="inlineStr">
        <is>
          <t>BODEN</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6606-2024</t>
        </is>
      </c>
      <c r="B1073" s="1" t="n">
        <v>45341</v>
      </c>
      <c r="C1073" s="1" t="n">
        <v>45803</v>
      </c>
      <c r="D1073" t="inlineStr">
        <is>
          <t>NORRBOTTENS LÄN</t>
        </is>
      </c>
      <c r="E1073" t="inlineStr">
        <is>
          <t>BODEN</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6638-2024</t>
        </is>
      </c>
      <c r="B1074" s="1" t="n">
        <v>45341</v>
      </c>
      <c r="C1074" s="1" t="n">
        <v>45803</v>
      </c>
      <c r="D1074" t="inlineStr">
        <is>
          <t>NORRBOTTENS LÄN</t>
        </is>
      </c>
      <c r="E1074" t="inlineStr">
        <is>
          <t>BODEN</t>
        </is>
      </c>
      <c r="F1074" t="inlineStr">
        <is>
          <t>Övriga statliga verk och myndigheter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7442-2024</t>
        </is>
      </c>
      <c r="B1075" s="1" t="n">
        <v>45345</v>
      </c>
      <c r="C1075" s="1" t="n">
        <v>45803</v>
      </c>
      <c r="D1075" t="inlineStr">
        <is>
          <t>NORRBOTTENS LÄN</t>
        </is>
      </c>
      <c r="E1075" t="inlineStr">
        <is>
          <t>BODEN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8171-2024</t>
        </is>
      </c>
      <c r="B1076" s="1" t="n">
        <v>45349</v>
      </c>
      <c r="C1076" s="1" t="n">
        <v>45803</v>
      </c>
      <c r="D1076" t="inlineStr">
        <is>
          <t>NORRBOTTENS LÄN</t>
        </is>
      </c>
      <c r="E1076" t="inlineStr">
        <is>
          <t>BODEN</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8029-2024</t>
        </is>
      </c>
      <c r="B1077" s="1" t="n">
        <v>45350</v>
      </c>
      <c r="C1077" s="1" t="n">
        <v>45803</v>
      </c>
      <c r="D1077" t="inlineStr">
        <is>
          <t>NORRBOTTENS LÄN</t>
        </is>
      </c>
      <c r="E1077" t="inlineStr">
        <is>
          <t>BODEN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8028-2024</t>
        </is>
      </c>
      <c r="B1078" s="1" t="n">
        <v>45350</v>
      </c>
      <c r="C1078" s="1" t="n">
        <v>45803</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8232-2024</t>
        </is>
      </c>
      <c r="B1079" s="1" t="n">
        <v>45351</v>
      </c>
      <c r="C1079" s="1" t="n">
        <v>45803</v>
      </c>
      <c r="D1079" t="inlineStr">
        <is>
          <t>NORRBOTTENS LÄN</t>
        </is>
      </c>
      <c r="E1079" t="inlineStr">
        <is>
          <t>BODEN</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8870-2024</t>
        </is>
      </c>
      <c r="B1080" s="1" t="n">
        <v>45356</v>
      </c>
      <c r="C1080" s="1" t="n">
        <v>45803</v>
      </c>
      <c r="D1080" t="inlineStr">
        <is>
          <t>NORRBOTTENS LÄN</t>
        </is>
      </c>
      <c r="E1080" t="inlineStr">
        <is>
          <t>BODEN</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8871-2024</t>
        </is>
      </c>
      <c r="B1081" s="1" t="n">
        <v>45356</v>
      </c>
      <c r="C1081" s="1" t="n">
        <v>45803</v>
      </c>
      <c r="D1081" t="inlineStr">
        <is>
          <t>NORRBOTTENS LÄN</t>
        </is>
      </c>
      <c r="E1081" t="inlineStr">
        <is>
          <t>BODEN</t>
        </is>
      </c>
      <c r="G1081" t="n">
        <v>16.1</v>
      </c>
      <c r="H1081" t="n">
        <v>0</v>
      </c>
      <c r="I1081" t="n">
        <v>0</v>
      </c>
      <c r="J1081" t="n">
        <v>0</v>
      </c>
      <c r="K1081" t="n">
        <v>0</v>
      </c>
      <c r="L1081" t="n">
        <v>0</v>
      </c>
      <c r="M1081" t="n">
        <v>0</v>
      </c>
      <c r="N1081" t="n">
        <v>0</v>
      </c>
      <c r="O1081" t="n">
        <v>0</v>
      </c>
      <c r="P1081" t="n">
        <v>0</v>
      </c>
      <c r="Q1081" t="n">
        <v>0</v>
      </c>
      <c r="R1081" s="2" t="inlineStr"/>
    </row>
    <row r="1082" ht="15" customHeight="1">
      <c r="A1082" t="inlineStr">
        <is>
          <t>A 8782-2024</t>
        </is>
      </c>
      <c r="B1082" s="1" t="n">
        <v>45356</v>
      </c>
      <c r="C1082" s="1" t="n">
        <v>45803</v>
      </c>
      <c r="D1082" t="inlineStr">
        <is>
          <t>NORRBOTTENS LÄN</t>
        </is>
      </c>
      <c r="E1082" t="inlineStr">
        <is>
          <t>BODEN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8869-2024</t>
        </is>
      </c>
      <c r="B1083" s="1" t="n">
        <v>45357</v>
      </c>
      <c r="C1083" s="1" t="n">
        <v>45803</v>
      </c>
      <c r="D1083" t="inlineStr">
        <is>
          <t>NORRBOTTENS LÄN</t>
        </is>
      </c>
      <c r="E1083" t="inlineStr">
        <is>
          <t>BODEN</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8873-2024</t>
        </is>
      </c>
      <c r="B1084" s="1" t="n">
        <v>45356</v>
      </c>
      <c r="C1084" s="1" t="n">
        <v>45803</v>
      </c>
      <c r="D1084" t="inlineStr">
        <is>
          <t>NORRBOTTENS LÄN</t>
        </is>
      </c>
      <c r="E1084" t="inlineStr">
        <is>
          <t>BODEN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8868-2024</t>
        </is>
      </c>
      <c r="B1085" s="1" t="n">
        <v>45357</v>
      </c>
      <c r="C1085" s="1" t="n">
        <v>45803</v>
      </c>
      <c r="D1085" t="inlineStr">
        <is>
          <t>NORRBOTTENS LÄN</t>
        </is>
      </c>
      <c r="E1085" t="inlineStr">
        <is>
          <t>BODEN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8872-2024</t>
        </is>
      </c>
      <c r="B1086" s="1" t="n">
        <v>45356</v>
      </c>
      <c r="C1086" s="1" t="n">
        <v>45803</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9318-2024</t>
        </is>
      </c>
      <c r="B1087" s="1" t="n">
        <v>45358</v>
      </c>
      <c r="C1087" s="1" t="n">
        <v>45803</v>
      </c>
      <c r="D1087" t="inlineStr">
        <is>
          <t>NORRBOTTENS LÄN</t>
        </is>
      </c>
      <c r="E1087" t="inlineStr">
        <is>
          <t>BODEN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9322-2024</t>
        </is>
      </c>
      <c r="B1088" s="1" t="n">
        <v>45358</v>
      </c>
      <c r="C1088" s="1" t="n">
        <v>45803</v>
      </c>
      <c r="D1088" t="inlineStr">
        <is>
          <t>NORRBOTTENS LÄN</t>
        </is>
      </c>
      <c r="E1088" t="inlineStr">
        <is>
          <t>BODEN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9319-2024</t>
        </is>
      </c>
      <c r="B1089" s="1" t="n">
        <v>45358</v>
      </c>
      <c r="C1089" s="1" t="n">
        <v>45803</v>
      </c>
      <c r="D1089" t="inlineStr">
        <is>
          <t>NORRBOTTENS LÄN</t>
        </is>
      </c>
      <c r="E1089" t="inlineStr">
        <is>
          <t>BODEN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9320-2024</t>
        </is>
      </c>
      <c r="B1090" s="1" t="n">
        <v>45358</v>
      </c>
      <c r="C1090" s="1" t="n">
        <v>45803</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9321-2024</t>
        </is>
      </c>
      <c r="B1091" s="1" t="n">
        <v>45358</v>
      </c>
      <c r="C1091" s="1" t="n">
        <v>45803</v>
      </c>
      <c r="D1091" t="inlineStr">
        <is>
          <t>NORRBOTTENS LÄN</t>
        </is>
      </c>
      <c r="E1091" t="inlineStr">
        <is>
          <t>BODEN</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10730-2024</t>
        </is>
      </c>
      <c r="B1092" s="1" t="n">
        <v>45369</v>
      </c>
      <c r="C1092" s="1" t="n">
        <v>45803</v>
      </c>
      <c r="D1092" t="inlineStr">
        <is>
          <t>NORRBOTTENS LÄN</t>
        </is>
      </c>
      <c r="E1092" t="inlineStr">
        <is>
          <t>BODEN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10921-2024</t>
        </is>
      </c>
      <c r="B1093" s="1" t="n">
        <v>45370</v>
      </c>
      <c r="C1093" s="1" t="n">
        <v>45803</v>
      </c>
      <c r="D1093" t="inlineStr">
        <is>
          <t>NORRBOTTENS LÄN</t>
        </is>
      </c>
      <c r="E1093" t="inlineStr">
        <is>
          <t>BODEN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11534-2024</t>
        </is>
      </c>
      <c r="B1094" s="1" t="n">
        <v>45372</v>
      </c>
      <c r="C1094" s="1" t="n">
        <v>45803</v>
      </c>
      <c r="D1094" t="inlineStr">
        <is>
          <t>NORRBOTTENS LÄN</t>
        </is>
      </c>
      <c r="E1094" t="inlineStr">
        <is>
          <t>BODEN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11554-2024</t>
        </is>
      </c>
      <c r="B1095" s="1" t="n">
        <v>45373</v>
      </c>
      <c r="C1095" s="1" t="n">
        <v>45803</v>
      </c>
      <c r="D1095" t="inlineStr">
        <is>
          <t>NORRBOTTENS LÄN</t>
        </is>
      </c>
      <c r="E1095" t="inlineStr">
        <is>
          <t>BODEN</t>
        </is>
      </c>
      <c r="F1095" t="inlineStr">
        <is>
          <t>SCA</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11769-2024</t>
        </is>
      </c>
      <c r="B1096" s="1" t="n">
        <v>45373</v>
      </c>
      <c r="C1096" s="1" t="n">
        <v>45803</v>
      </c>
      <c r="D1096" t="inlineStr">
        <is>
          <t>NORRBOTTENS LÄN</t>
        </is>
      </c>
      <c r="E1096" t="inlineStr">
        <is>
          <t>BODEN</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11866-2024</t>
        </is>
      </c>
      <c r="B1097" s="1" t="n">
        <v>45373</v>
      </c>
      <c r="C1097" s="1" t="n">
        <v>45803</v>
      </c>
      <c r="D1097" t="inlineStr">
        <is>
          <t>NORRBOTTENS LÄN</t>
        </is>
      </c>
      <c r="E1097" t="inlineStr">
        <is>
          <t>BODEN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11725-2024</t>
        </is>
      </c>
      <c r="B1098" s="1" t="n">
        <v>45373</v>
      </c>
      <c r="C1098" s="1" t="n">
        <v>45803</v>
      </c>
      <c r="D1098" t="inlineStr">
        <is>
          <t>NORRBOTTENS LÄN</t>
        </is>
      </c>
      <c r="E1098" t="inlineStr">
        <is>
          <t>BODEN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11858-2024</t>
        </is>
      </c>
      <c r="B1099" s="1" t="n">
        <v>45376</v>
      </c>
      <c r="C1099" s="1" t="n">
        <v>45803</v>
      </c>
      <c r="D1099" t="inlineStr">
        <is>
          <t>NORRBOTTENS LÄN</t>
        </is>
      </c>
      <c r="E1099" t="inlineStr">
        <is>
          <t>BODEN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11965-2024</t>
        </is>
      </c>
      <c r="B1100" s="1" t="n">
        <v>45376</v>
      </c>
      <c r="C1100" s="1" t="n">
        <v>45803</v>
      </c>
      <c r="D1100" t="inlineStr">
        <is>
          <t>NORRBOTTENS LÄN</t>
        </is>
      </c>
      <c r="E1100" t="inlineStr">
        <is>
          <t>BODEN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12557-2024</t>
        </is>
      </c>
      <c r="B1101" s="1" t="n">
        <v>45379</v>
      </c>
      <c r="C1101" s="1" t="n">
        <v>45803</v>
      </c>
      <c r="D1101" t="inlineStr">
        <is>
          <t>NORRBOTTENS LÄN</t>
        </is>
      </c>
      <c r="E1101" t="inlineStr">
        <is>
          <t>BODEN</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12554-2024</t>
        </is>
      </c>
      <c r="B1102" s="1" t="n">
        <v>45379</v>
      </c>
      <c r="C1102" s="1" t="n">
        <v>45803</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12558-2024</t>
        </is>
      </c>
      <c r="B1103" s="1" t="n">
        <v>45379</v>
      </c>
      <c r="C1103" s="1" t="n">
        <v>45803</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12562-2024</t>
        </is>
      </c>
      <c r="B1104" s="1" t="n">
        <v>45379</v>
      </c>
      <c r="C1104" s="1" t="n">
        <v>45803</v>
      </c>
      <c r="D1104" t="inlineStr">
        <is>
          <t>NORRBOTTENS LÄN</t>
        </is>
      </c>
      <c r="E1104" t="inlineStr">
        <is>
          <t>BODEN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13376-2024</t>
        </is>
      </c>
      <c r="B1105" s="1" t="n">
        <v>45387</v>
      </c>
      <c r="C1105" s="1" t="n">
        <v>45803</v>
      </c>
      <c r="D1105" t="inlineStr">
        <is>
          <t>NORRBOTTENS LÄN</t>
        </is>
      </c>
      <c r="E1105" t="inlineStr">
        <is>
          <t>BODEN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13394-2024</t>
        </is>
      </c>
      <c r="B1106" s="1" t="n">
        <v>45387</v>
      </c>
      <c r="C1106" s="1" t="n">
        <v>45803</v>
      </c>
      <c r="D1106" t="inlineStr">
        <is>
          <t>NORRBOTTENS LÄN</t>
        </is>
      </c>
      <c r="E1106" t="inlineStr">
        <is>
          <t>BODEN</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13925-2024</t>
        </is>
      </c>
      <c r="B1107" s="1" t="n">
        <v>45392</v>
      </c>
      <c r="C1107" s="1" t="n">
        <v>45803</v>
      </c>
      <c r="D1107" t="inlineStr">
        <is>
          <t>NORRBOTTENS LÄN</t>
        </is>
      </c>
      <c r="E1107" t="inlineStr">
        <is>
          <t>BODEN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13926-2024</t>
        </is>
      </c>
      <c r="B1108" s="1" t="n">
        <v>45392</v>
      </c>
      <c r="C1108" s="1" t="n">
        <v>45803</v>
      </c>
      <c r="D1108" t="inlineStr">
        <is>
          <t>NORRBOTTENS LÄN</t>
        </is>
      </c>
      <c r="E1108" t="inlineStr">
        <is>
          <t>BODEN</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14802-2024</t>
        </is>
      </c>
      <c r="B1109" s="1" t="n">
        <v>45397</v>
      </c>
      <c r="C1109" s="1" t="n">
        <v>45803</v>
      </c>
      <c r="D1109" t="inlineStr">
        <is>
          <t>NORRBOTTENS LÄN</t>
        </is>
      </c>
      <c r="E1109" t="inlineStr">
        <is>
          <t>BODEN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14801-2024</t>
        </is>
      </c>
      <c r="B1110" s="1" t="n">
        <v>45397</v>
      </c>
      <c r="C1110" s="1" t="n">
        <v>45803</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15668-2024</t>
        </is>
      </c>
      <c r="B1111" s="1" t="n">
        <v>45401</v>
      </c>
      <c r="C1111" s="1" t="n">
        <v>45803</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15586-2024</t>
        </is>
      </c>
      <c r="B1112" s="1" t="n">
        <v>45401</v>
      </c>
      <c r="C1112" s="1" t="n">
        <v>45803</v>
      </c>
      <c r="D1112" t="inlineStr">
        <is>
          <t>NORRBOTTENS LÄN</t>
        </is>
      </c>
      <c r="E1112" t="inlineStr">
        <is>
          <t>BODEN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16222-2024</t>
        </is>
      </c>
      <c r="B1113" s="1" t="n">
        <v>45406</v>
      </c>
      <c r="C1113" s="1" t="n">
        <v>45803</v>
      </c>
      <c r="D1113" t="inlineStr">
        <is>
          <t>NORRBOTTENS LÄN</t>
        </is>
      </c>
      <c r="E1113" t="inlineStr">
        <is>
          <t>BODEN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16226-2024</t>
        </is>
      </c>
      <c r="B1114" s="1" t="n">
        <v>45407</v>
      </c>
      <c r="C1114" s="1" t="n">
        <v>45803</v>
      </c>
      <c r="D1114" t="inlineStr">
        <is>
          <t>NORRBOTTENS LÄN</t>
        </is>
      </c>
      <c r="E1114" t="inlineStr">
        <is>
          <t>BODEN</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16220-2024</t>
        </is>
      </c>
      <c r="B1115" s="1" t="n">
        <v>45407</v>
      </c>
      <c r="C1115" s="1" t="n">
        <v>45803</v>
      </c>
      <c r="D1115" t="inlineStr">
        <is>
          <t>NORRBOTTENS LÄN</t>
        </is>
      </c>
      <c r="E1115" t="inlineStr">
        <is>
          <t>BODEN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16215-2024</t>
        </is>
      </c>
      <c r="B1116" s="1" t="n">
        <v>45406</v>
      </c>
      <c r="C1116" s="1" t="n">
        <v>45803</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16625-2024</t>
        </is>
      </c>
      <c r="B1117" s="1" t="n">
        <v>45408</v>
      </c>
      <c r="C1117" s="1" t="n">
        <v>45803</v>
      </c>
      <c r="D1117" t="inlineStr">
        <is>
          <t>NORRBOTTENS LÄN</t>
        </is>
      </c>
      <c r="E1117" t="inlineStr">
        <is>
          <t>BODEN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16700-2024</t>
        </is>
      </c>
      <c r="B1118" s="1" t="n">
        <v>45409</v>
      </c>
      <c r="C1118" s="1" t="n">
        <v>45803</v>
      </c>
      <c r="D1118" t="inlineStr">
        <is>
          <t>NORRBOTTENS LÄN</t>
        </is>
      </c>
      <c r="E1118" t="inlineStr">
        <is>
          <t>BODEN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16699-2024</t>
        </is>
      </c>
      <c r="B1119" s="1" t="n">
        <v>45409</v>
      </c>
      <c r="C1119" s="1" t="n">
        <v>45803</v>
      </c>
      <c r="D1119" t="inlineStr">
        <is>
          <t>NORRBOTTENS LÄN</t>
        </is>
      </c>
      <c r="E1119" t="inlineStr">
        <is>
          <t>BODEN</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16965-2024</t>
        </is>
      </c>
      <c r="B1120" s="1" t="n">
        <v>45411</v>
      </c>
      <c r="C1120" s="1" t="n">
        <v>45803</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16972-2024</t>
        </is>
      </c>
      <c r="B1121" s="1" t="n">
        <v>45411</v>
      </c>
      <c r="C1121" s="1" t="n">
        <v>45803</v>
      </c>
      <c r="D1121" t="inlineStr">
        <is>
          <t>NORRBOTTENS LÄN</t>
        </is>
      </c>
      <c r="E1121" t="inlineStr">
        <is>
          <t>BODEN</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16988-2024</t>
        </is>
      </c>
      <c r="B1122" s="1" t="n">
        <v>45412</v>
      </c>
      <c r="C1122" s="1" t="n">
        <v>45803</v>
      </c>
      <c r="D1122" t="inlineStr">
        <is>
          <t>NORRBOTTENS LÄN</t>
        </is>
      </c>
      <c r="E1122" t="inlineStr">
        <is>
          <t>BODEN</t>
        </is>
      </c>
      <c r="G1122" t="n">
        <v>14.5</v>
      </c>
      <c r="H1122" t="n">
        <v>0</v>
      </c>
      <c r="I1122" t="n">
        <v>0</v>
      </c>
      <c r="J1122" t="n">
        <v>0</v>
      </c>
      <c r="K1122" t="n">
        <v>0</v>
      </c>
      <c r="L1122" t="n">
        <v>0</v>
      </c>
      <c r="M1122" t="n">
        <v>0</v>
      </c>
      <c r="N1122" t="n">
        <v>0</v>
      </c>
      <c r="O1122" t="n">
        <v>0</v>
      </c>
      <c r="P1122" t="n">
        <v>0</v>
      </c>
      <c r="Q1122" t="n">
        <v>0</v>
      </c>
      <c r="R1122" s="2" t="inlineStr"/>
    </row>
    <row r="1123" ht="15" customHeight="1">
      <c r="A1123" t="inlineStr">
        <is>
          <t>A 17412-2024</t>
        </is>
      </c>
      <c r="B1123" s="1" t="n">
        <v>45414</v>
      </c>
      <c r="C1123" s="1" t="n">
        <v>45803</v>
      </c>
      <c r="D1123" t="inlineStr">
        <is>
          <t>NORRBOTTENS LÄN</t>
        </is>
      </c>
      <c r="E1123" t="inlineStr">
        <is>
          <t>BODEN</t>
        </is>
      </c>
      <c r="G1123" t="n">
        <v>14.6</v>
      </c>
      <c r="H1123" t="n">
        <v>0</v>
      </c>
      <c r="I1123" t="n">
        <v>0</v>
      </c>
      <c r="J1123" t="n">
        <v>0</v>
      </c>
      <c r="K1123" t="n">
        <v>0</v>
      </c>
      <c r="L1123" t="n">
        <v>0</v>
      </c>
      <c r="M1123" t="n">
        <v>0</v>
      </c>
      <c r="N1123" t="n">
        <v>0</v>
      </c>
      <c r="O1123" t="n">
        <v>0</v>
      </c>
      <c r="P1123" t="n">
        <v>0</v>
      </c>
      <c r="Q1123" t="n">
        <v>0</v>
      </c>
      <c r="R1123" s="2" t="inlineStr"/>
    </row>
    <row r="1124" ht="15" customHeight="1">
      <c r="A1124" t="inlineStr">
        <is>
          <t>A 17413-2024</t>
        </is>
      </c>
      <c r="B1124" s="1" t="n">
        <v>45415</v>
      </c>
      <c r="C1124" s="1" t="n">
        <v>45803</v>
      </c>
      <c r="D1124" t="inlineStr">
        <is>
          <t>NORRBOTTENS LÄN</t>
        </is>
      </c>
      <c r="E1124" t="inlineStr">
        <is>
          <t>BODEN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17962-2024</t>
        </is>
      </c>
      <c r="B1125" s="1" t="n">
        <v>45419</v>
      </c>
      <c r="C1125" s="1" t="n">
        <v>45803</v>
      </c>
      <c r="D1125" t="inlineStr">
        <is>
          <t>NORRBOTTENS LÄN</t>
        </is>
      </c>
      <c r="E1125" t="inlineStr">
        <is>
          <t>BODEN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17961-2024</t>
        </is>
      </c>
      <c r="B1126" s="1" t="n">
        <v>45419</v>
      </c>
      <c r="C1126" s="1" t="n">
        <v>45803</v>
      </c>
      <c r="D1126" t="inlineStr">
        <is>
          <t>NORRBOTTENS LÄN</t>
        </is>
      </c>
      <c r="E1126" t="inlineStr">
        <is>
          <t>BODEN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18566-2024</t>
        </is>
      </c>
      <c r="B1127" s="1" t="n">
        <v>45425</v>
      </c>
      <c r="C1127" s="1" t="n">
        <v>45803</v>
      </c>
      <c r="D1127" t="inlineStr">
        <is>
          <t>NORRBOTTENS LÄN</t>
        </is>
      </c>
      <c r="E1127" t="inlineStr">
        <is>
          <t>BODEN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18569-2024</t>
        </is>
      </c>
      <c r="B1128" s="1" t="n">
        <v>45425</v>
      </c>
      <c r="C1128" s="1" t="n">
        <v>45803</v>
      </c>
      <c r="D1128" t="inlineStr">
        <is>
          <t>NORRBOTTENS LÄN</t>
        </is>
      </c>
      <c r="E1128" t="inlineStr">
        <is>
          <t>BODEN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18870-2024</t>
        </is>
      </c>
      <c r="B1129" s="1" t="n">
        <v>45426</v>
      </c>
      <c r="C1129" s="1" t="n">
        <v>45803</v>
      </c>
      <c r="D1129" t="inlineStr">
        <is>
          <t>NORRBOTTENS LÄN</t>
        </is>
      </c>
      <c r="E1129" t="inlineStr">
        <is>
          <t>BODEN</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18871-2024</t>
        </is>
      </c>
      <c r="B1130" s="1" t="n">
        <v>45426</v>
      </c>
      <c r="C1130" s="1" t="n">
        <v>45803</v>
      </c>
      <c r="D1130" t="inlineStr">
        <is>
          <t>NORRBOTTENS LÄN</t>
        </is>
      </c>
      <c r="E1130" t="inlineStr">
        <is>
          <t>BODEN</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19060-2024</t>
        </is>
      </c>
      <c r="B1131" s="1" t="n">
        <v>45428</v>
      </c>
      <c r="C1131" s="1" t="n">
        <v>45803</v>
      </c>
      <c r="D1131" t="inlineStr">
        <is>
          <t>NORRBOTTENS LÄN</t>
        </is>
      </c>
      <c r="E1131" t="inlineStr">
        <is>
          <t>BODEN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19068-2024</t>
        </is>
      </c>
      <c r="B1132" s="1" t="n">
        <v>45428</v>
      </c>
      <c r="C1132" s="1" t="n">
        <v>45803</v>
      </c>
      <c r="D1132" t="inlineStr">
        <is>
          <t>NORRBOTTENS LÄN</t>
        </is>
      </c>
      <c r="E1132" t="inlineStr">
        <is>
          <t>BODEN</t>
        </is>
      </c>
      <c r="G1132" t="n">
        <v>22.1</v>
      </c>
      <c r="H1132" t="n">
        <v>0</v>
      </c>
      <c r="I1132" t="n">
        <v>0</v>
      </c>
      <c r="J1132" t="n">
        <v>0</v>
      </c>
      <c r="K1132" t="n">
        <v>0</v>
      </c>
      <c r="L1132" t="n">
        <v>0</v>
      </c>
      <c r="M1132" t="n">
        <v>0</v>
      </c>
      <c r="N1132" t="n">
        <v>0</v>
      </c>
      <c r="O1132" t="n">
        <v>0</v>
      </c>
      <c r="P1132" t="n">
        <v>0</v>
      </c>
      <c r="Q1132" t="n">
        <v>0</v>
      </c>
      <c r="R1132" s="2" t="inlineStr"/>
    </row>
    <row r="1133" ht="15" customHeight="1">
      <c r="A1133" t="inlineStr">
        <is>
          <t>A 19069-2024</t>
        </is>
      </c>
      <c r="B1133" s="1" t="n">
        <v>45428</v>
      </c>
      <c r="C1133" s="1" t="n">
        <v>45803</v>
      </c>
      <c r="D1133" t="inlineStr">
        <is>
          <t>NORRBOTTENS LÄN</t>
        </is>
      </c>
      <c r="E1133" t="inlineStr">
        <is>
          <t>BODEN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19162-2024</t>
        </is>
      </c>
      <c r="B1134" s="1" t="n">
        <v>45428</v>
      </c>
      <c r="C1134" s="1" t="n">
        <v>45803</v>
      </c>
      <c r="D1134" t="inlineStr">
        <is>
          <t>NORRBOTTENS LÄN</t>
        </is>
      </c>
      <c r="E1134" t="inlineStr">
        <is>
          <t>BODEN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19505-2024</t>
        </is>
      </c>
      <c r="B1135" s="1" t="n">
        <v>45429</v>
      </c>
      <c r="C1135" s="1" t="n">
        <v>45803</v>
      </c>
      <c r="D1135" t="inlineStr">
        <is>
          <t>NORRBOTTENS LÄN</t>
        </is>
      </c>
      <c r="E1135" t="inlineStr">
        <is>
          <t>BODEN</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19528-2024</t>
        </is>
      </c>
      <c r="B1136" s="1" t="n">
        <v>45429</v>
      </c>
      <c r="C1136" s="1" t="n">
        <v>45803</v>
      </c>
      <c r="D1136" t="inlineStr">
        <is>
          <t>NORRBOTTENS LÄN</t>
        </is>
      </c>
      <c r="E1136" t="inlineStr">
        <is>
          <t>BODEN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19533-2024</t>
        </is>
      </c>
      <c r="B1137" s="1" t="n">
        <v>45429</v>
      </c>
      <c r="C1137" s="1" t="n">
        <v>45803</v>
      </c>
      <c r="D1137" t="inlineStr">
        <is>
          <t>NORRBOTTENS LÄN</t>
        </is>
      </c>
      <c r="E1137" t="inlineStr">
        <is>
          <t>BODEN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19565-2024</t>
        </is>
      </c>
      <c r="B1138" s="1" t="n">
        <v>45429</v>
      </c>
      <c r="C1138" s="1" t="n">
        <v>45803</v>
      </c>
      <c r="D1138" t="inlineStr">
        <is>
          <t>NORRBOTTENS LÄN</t>
        </is>
      </c>
      <c r="E1138" t="inlineStr">
        <is>
          <t>BODEN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21335-2024</t>
        </is>
      </c>
      <c r="B1139" s="1" t="n">
        <v>45429</v>
      </c>
      <c r="C1139" s="1" t="n">
        <v>45803</v>
      </c>
      <c r="D1139" t="inlineStr">
        <is>
          <t>NORRBOTTENS LÄN</t>
        </is>
      </c>
      <c r="E1139" t="inlineStr">
        <is>
          <t>BODEN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19564-2024</t>
        </is>
      </c>
      <c r="B1140" s="1" t="n">
        <v>45429</v>
      </c>
      <c r="C1140" s="1" t="n">
        <v>45803</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19563-2024</t>
        </is>
      </c>
      <c r="B1141" s="1" t="n">
        <v>45430</v>
      </c>
      <c r="C1141" s="1" t="n">
        <v>45803</v>
      </c>
      <c r="D1141" t="inlineStr">
        <is>
          <t>NORRBOTTENS LÄN</t>
        </is>
      </c>
      <c r="E1141" t="inlineStr">
        <is>
          <t>BODEN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19575-2024</t>
        </is>
      </c>
      <c r="B1142" s="1" t="n">
        <v>45430</v>
      </c>
      <c r="C1142" s="1" t="n">
        <v>45803</v>
      </c>
      <c r="D1142" t="inlineStr">
        <is>
          <t>NORRBOTTENS LÄN</t>
        </is>
      </c>
      <c r="E1142" t="inlineStr">
        <is>
          <t>BODEN</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21329-2024</t>
        </is>
      </c>
      <c r="B1143" s="1" t="n">
        <v>45440</v>
      </c>
      <c r="C1143" s="1" t="n">
        <v>45803</v>
      </c>
      <c r="D1143" t="inlineStr">
        <is>
          <t>NORRBOTTENS LÄN</t>
        </is>
      </c>
      <c r="E1143" t="inlineStr">
        <is>
          <t>BODEN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21525-2024</t>
        </is>
      </c>
      <c r="B1144" s="1" t="n">
        <v>45441</v>
      </c>
      <c r="C1144" s="1" t="n">
        <v>45803</v>
      </c>
      <c r="D1144" t="inlineStr">
        <is>
          <t>NORRBOTTENS LÄN</t>
        </is>
      </c>
      <c r="E1144" t="inlineStr">
        <is>
          <t>BODEN</t>
        </is>
      </c>
      <c r="G1144" t="n">
        <v>24.3</v>
      </c>
      <c r="H1144" t="n">
        <v>0</v>
      </c>
      <c r="I1144" t="n">
        <v>0</v>
      </c>
      <c r="J1144" t="n">
        <v>0</v>
      </c>
      <c r="K1144" t="n">
        <v>0</v>
      </c>
      <c r="L1144" t="n">
        <v>0</v>
      </c>
      <c r="M1144" t="n">
        <v>0</v>
      </c>
      <c r="N1144" t="n">
        <v>0</v>
      </c>
      <c r="O1144" t="n">
        <v>0</v>
      </c>
      <c r="P1144" t="n">
        <v>0</v>
      </c>
      <c r="Q1144" t="n">
        <v>0</v>
      </c>
      <c r="R1144" s="2" t="inlineStr"/>
    </row>
    <row r="1145" ht="15" customHeight="1">
      <c r="A1145" t="inlineStr">
        <is>
          <t>A 21908-2024</t>
        </is>
      </c>
      <c r="B1145" s="1" t="n">
        <v>45443</v>
      </c>
      <c r="C1145" s="1" t="n">
        <v>45803</v>
      </c>
      <c r="D1145" t="inlineStr">
        <is>
          <t>NORRBOTTENS LÄN</t>
        </is>
      </c>
      <c r="E1145" t="inlineStr">
        <is>
          <t>BODEN</t>
        </is>
      </c>
      <c r="F1145" t="inlineStr">
        <is>
          <t>Sveaskog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22447-2024</t>
        </is>
      </c>
      <c r="B1146" s="1" t="n">
        <v>45447</v>
      </c>
      <c r="C1146" s="1" t="n">
        <v>45803</v>
      </c>
      <c r="D1146" t="inlineStr">
        <is>
          <t>NORRBOTTENS LÄN</t>
        </is>
      </c>
      <c r="E1146" t="inlineStr">
        <is>
          <t>BODEN</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22409-2024</t>
        </is>
      </c>
      <c r="B1147" s="1" t="n">
        <v>45446</v>
      </c>
      <c r="C1147" s="1" t="n">
        <v>45803</v>
      </c>
      <c r="D1147" t="inlineStr">
        <is>
          <t>NORRBOTTENS LÄN</t>
        </is>
      </c>
      <c r="E1147" t="inlineStr">
        <is>
          <t>BODEN</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22892-2024</t>
        </is>
      </c>
      <c r="B1148" s="1" t="n">
        <v>45448</v>
      </c>
      <c r="C1148" s="1" t="n">
        <v>45803</v>
      </c>
      <c r="D1148" t="inlineStr">
        <is>
          <t>NORRBOTTENS LÄN</t>
        </is>
      </c>
      <c r="E1148" t="inlineStr">
        <is>
          <t>BODEN</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22893-2024</t>
        </is>
      </c>
      <c r="B1149" s="1" t="n">
        <v>45448</v>
      </c>
      <c r="C1149" s="1" t="n">
        <v>45803</v>
      </c>
      <c r="D1149" t="inlineStr">
        <is>
          <t>NORRBOTTENS LÄN</t>
        </is>
      </c>
      <c r="E1149" t="inlineStr">
        <is>
          <t>BODEN</t>
        </is>
      </c>
      <c r="F1149" t="inlineStr">
        <is>
          <t>Sveaskog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23232-2024</t>
        </is>
      </c>
      <c r="B1150" s="1" t="n">
        <v>45453</v>
      </c>
      <c r="C1150" s="1" t="n">
        <v>45803</v>
      </c>
      <c r="D1150" t="inlineStr">
        <is>
          <t>NORRBOTTENS LÄN</t>
        </is>
      </c>
      <c r="E1150" t="inlineStr">
        <is>
          <t>BODEN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23231-2024</t>
        </is>
      </c>
      <c r="B1151" s="1" t="n">
        <v>45453</v>
      </c>
      <c r="C1151" s="1" t="n">
        <v>45803</v>
      </c>
      <c r="D1151" t="inlineStr">
        <is>
          <t>NORRBOTTENS LÄN</t>
        </is>
      </c>
      <c r="E1151" t="inlineStr">
        <is>
          <t>BODEN</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23686-2024</t>
        </is>
      </c>
      <c r="B1152" s="1" t="n">
        <v>45454</v>
      </c>
      <c r="C1152" s="1" t="n">
        <v>45803</v>
      </c>
      <c r="D1152" t="inlineStr">
        <is>
          <t>NORRBOTTENS LÄN</t>
        </is>
      </c>
      <c r="E1152" t="inlineStr">
        <is>
          <t>BODEN</t>
        </is>
      </c>
      <c r="F1152" t="inlineStr">
        <is>
          <t>Sveaskog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23706-2024</t>
        </is>
      </c>
      <c r="B1153" s="1" t="n">
        <v>45454</v>
      </c>
      <c r="C1153" s="1" t="n">
        <v>45803</v>
      </c>
      <c r="D1153" t="inlineStr">
        <is>
          <t>NORRBOTTENS LÄN</t>
        </is>
      </c>
      <c r="E1153" t="inlineStr">
        <is>
          <t>BODEN</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23677-2024</t>
        </is>
      </c>
      <c r="B1154" s="1" t="n">
        <v>45454</v>
      </c>
      <c r="C1154" s="1" t="n">
        <v>45803</v>
      </c>
      <c r="D1154" t="inlineStr">
        <is>
          <t>NORRBOTTENS LÄN</t>
        </is>
      </c>
      <c r="E1154" t="inlineStr">
        <is>
          <t>BODEN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23923-2024</t>
        </is>
      </c>
      <c r="B1155" s="1" t="n">
        <v>45456</v>
      </c>
      <c r="C1155" s="1" t="n">
        <v>45803</v>
      </c>
      <c r="D1155" t="inlineStr">
        <is>
          <t>NORRBOTTENS LÄN</t>
        </is>
      </c>
      <c r="E1155" t="inlineStr">
        <is>
          <t>BODEN</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24193-2024</t>
        </is>
      </c>
      <c r="B1156" s="1" t="n">
        <v>45456</v>
      </c>
      <c r="C1156" s="1" t="n">
        <v>45803</v>
      </c>
      <c r="D1156" t="inlineStr">
        <is>
          <t>NORRBOTTENS LÄN</t>
        </is>
      </c>
      <c r="E1156" t="inlineStr">
        <is>
          <t>BODEN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24192-2024</t>
        </is>
      </c>
      <c r="B1157" s="1" t="n">
        <v>45456</v>
      </c>
      <c r="C1157" s="1" t="n">
        <v>45803</v>
      </c>
      <c r="D1157" t="inlineStr">
        <is>
          <t>NORRBOTTENS LÄN</t>
        </is>
      </c>
      <c r="E1157" t="inlineStr">
        <is>
          <t>BODEN</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24435-2024</t>
        </is>
      </c>
      <c r="B1158" s="1" t="n">
        <v>45457</v>
      </c>
      <c r="C1158" s="1" t="n">
        <v>45803</v>
      </c>
      <c r="D1158" t="inlineStr">
        <is>
          <t>NORRBOTTENS LÄN</t>
        </is>
      </c>
      <c r="E1158" t="inlineStr">
        <is>
          <t>BODEN</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24434-2024</t>
        </is>
      </c>
      <c r="B1159" s="1" t="n">
        <v>45457</v>
      </c>
      <c r="C1159" s="1" t="n">
        <v>45803</v>
      </c>
      <c r="D1159" t="inlineStr">
        <is>
          <t>NORRBOTTENS LÄN</t>
        </is>
      </c>
      <c r="E1159" t="inlineStr">
        <is>
          <t>BODEN</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24433-2024</t>
        </is>
      </c>
      <c r="B1160" s="1" t="n">
        <v>45457</v>
      </c>
      <c r="C1160" s="1" t="n">
        <v>45803</v>
      </c>
      <c r="D1160" t="inlineStr">
        <is>
          <t>NORRBOTTENS LÄN</t>
        </is>
      </c>
      <c r="E1160" t="inlineStr">
        <is>
          <t>BODEN</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24500-2024</t>
        </is>
      </c>
      <c r="B1161" s="1" t="n">
        <v>45459</v>
      </c>
      <c r="C1161" s="1" t="n">
        <v>45803</v>
      </c>
      <c r="D1161" t="inlineStr">
        <is>
          <t>NORRBOTTENS LÄN</t>
        </is>
      </c>
      <c r="E1161" t="inlineStr">
        <is>
          <t>BODEN</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24744-2024</t>
        </is>
      </c>
      <c r="B1162" s="1" t="n">
        <v>45460</v>
      </c>
      <c r="C1162" s="1" t="n">
        <v>45803</v>
      </c>
      <c r="D1162" t="inlineStr">
        <is>
          <t>NORRBOTTENS LÄN</t>
        </is>
      </c>
      <c r="E1162" t="inlineStr">
        <is>
          <t>BODEN</t>
        </is>
      </c>
      <c r="F1162" t="inlineStr">
        <is>
          <t>Övriga Aktiebolag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24733-2024</t>
        </is>
      </c>
      <c r="B1163" s="1" t="n">
        <v>45460</v>
      </c>
      <c r="C1163" s="1" t="n">
        <v>45803</v>
      </c>
      <c r="D1163" t="inlineStr">
        <is>
          <t>NORRBOTTENS LÄN</t>
        </is>
      </c>
      <c r="E1163" t="inlineStr">
        <is>
          <t>BODEN</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24872-2024</t>
        </is>
      </c>
      <c r="B1164" s="1" t="n">
        <v>45461</v>
      </c>
      <c r="C1164" s="1" t="n">
        <v>45803</v>
      </c>
      <c r="D1164" t="inlineStr">
        <is>
          <t>NORRBOTTENS LÄN</t>
        </is>
      </c>
      <c r="E1164" t="inlineStr">
        <is>
          <t>BODEN</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25038-2024</t>
        </is>
      </c>
      <c r="B1165" s="1" t="n">
        <v>45461</v>
      </c>
      <c r="C1165" s="1" t="n">
        <v>45803</v>
      </c>
      <c r="D1165" t="inlineStr">
        <is>
          <t>NORRBOTTENS LÄN</t>
        </is>
      </c>
      <c r="E1165" t="inlineStr">
        <is>
          <t>BODEN</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25367-2024</t>
        </is>
      </c>
      <c r="B1166" s="1" t="n">
        <v>45462</v>
      </c>
      <c r="C1166" s="1" t="n">
        <v>45803</v>
      </c>
      <c r="D1166" t="inlineStr">
        <is>
          <t>NORRBOTTENS LÄN</t>
        </is>
      </c>
      <c r="E1166" t="inlineStr">
        <is>
          <t>BODEN</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25341-2024</t>
        </is>
      </c>
      <c r="B1167" s="1" t="n">
        <v>45462</v>
      </c>
      <c r="C1167" s="1" t="n">
        <v>45803</v>
      </c>
      <c r="D1167" t="inlineStr">
        <is>
          <t>NORRBOTTENS LÄN</t>
        </is>
      </c>
      <c r="E1167" t="inlineStr">
        <is>
          <t>BODEN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25394-2024</t>
        </is>
      </c>
      <c r="B1168" s="1" t="n">
        <v>45463</v>
      </c>
      <c r="C1168" s="1" t="n">
        <v>45803</v>
      </c>
      <c r="D1168" t="inlineStr">
        <is>
          <t>NORRBOTTENS LÄN</t>
        </is>
      </c>
      <c r="E1168" t="inlineStr">
        <is>
          <t>BODEN</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25554-2024</t>
        </is>
      </c>
      <c r="B1169" s="1" t="n">
        <v>45463</v>
      </c>
      <c r="C1169" s="1" t="n">
        <v>45803</v>
      </c>
      <c r="D1169" t="inlineStr">
        <is>
          <t>NORRBOTTENS LÄN</t>
        </is>
      </c>
      <c r="E1169" t="inlineStr">
        <is>
          <t>BODEN</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25575-2024</t>
        </is>
      </c>
      <c r="B1170" s="1" t="n">
        <v>45463</v>
      </c>
      <c r="C1170" s="1" t="n">
        <v>45803</v>
      </c>
      <c r="D1170" t="inlineStr">
        <is>
          <t>NORRBOTTENS LÄN</t>
        </is>
      </c>
      <c r="E1170" t="inlineStr">
        <is>
          <t>BODEN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25559-2024</t>
        </is>
      </c>
      <c r="B1171" s="1" t="n">
        <v>45463</v>
      </c>
      <c r="C1171" s="1" t="n">
        <v>45803</v>
      </c>
      <c r="D1171" t="inlineStr">
        <is>
          <t>NORRBOTTENS LÄN</t>
        </is>
      </c>
      <c r="E1171" t="inlineStr">
        <is>
          <t>BODEN</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25535-2024</t>
        </is>
      </c>
      <c r="B1172" s="1" t="n">
        <v>45463</v>
      </c>
      <c r="C1172" s="1" t="n">
        <v>45803</v>
      </c>
      <c r="D1172" t="inlineStr">
        <is>
          <t>NORRBOTTENS LÄN</t>
        </is>
      </c>
      <c r="E1172" t="inlineStr">
        <is>
          <t>BODEN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25735-2024</t>
        </is>
      </c>
      <c r="B1173" s="1" t="n">
        <v>45464</v>
      </c>
      <c r="C1173" s="1" t="n">
        <v>45803</v>
      </c>
      <c r="D1173" t="inlineStr">
        <is>
          <t>NORRBOTTENS LÄN</t>
        </is>
      </c>
      <c r="E1173" t="inlineStr">
        <is>
          <t>BODEN</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25825-2024</t>
        </is>
      </c>
      <c r="B1174" s="1" t="n">
        <v>45467</v>
      </c>
      <c r="C1174" s="1" t="n">
        <v>45803</v>
      </c>
      <c r="D1174" t="inlineStr">
        <is>
          <t>NORRBOTTENS LÄN</t>
        </is>
      </c>
      <c r="E1174" t="inlineStr">
        <is>
          <t>BODEN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25951-2024</t>
        </is>
      </c>
      <c r="B1175" s="1" t="n">
        <v>45467</v>
      </c>
      <c r="C1175" s="1" t="n">
        <v>45803</v>
      </c>
      <c r="D1175" t="inlineStr">
        <is>
          <t>NORRBOTTENS LÄN</t>
        </is>
      </c>
      <c r="E1175" t="inlineStr">
        <is>
          <t>BODEN</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26806-2024</t>
        </is>
      </c>
      <c r="B1176" s="1" t="n">
        <v>45470</v>
      </c>
      <c r="C1176" s="1" t="n">
        <v>45803</v>
      </c>
      <c r="D1176" t="inlineStr">
        <is>
          <t>NORRBOTTENS LÄN</t>
        </is>
      </c>
      <c r="E1176" t="inlineStr">
        <is>
          <t>BODEN</t>
        </is>
      </c>
      <c r="F1176" t="inlineStr">
        <is>
          <t>Övriga Aktiebolag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26820-2024</t>
        </is>
      </c>
      <c r="B1177" s="1" t="n">
        <v>45470</v>
      </c>
      <c r="C1177" s="1" t="n">
        <v>45803</v>
      </c>
      <c r="D1177" t="inlineStr">
        <is>
          <t>NORRBOTTENS LÄN</t>
        </is>
      </c>
      <c r="E1177" t="inlineStr">
        <is>
          <t>BODEN</t>
        </is>
      </c>
      <c r="F1177" t="inlineStr">
        <is>
          <t>Sveaskog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27019-2024</t>
        </is>
      </c>
      <c r="B1178" s="1" t="n">
        <v>45471</v>
      </c>
      <c r="C1178" s="1" t="n">
        <v>45803</v>
      </c>
      <c r="D1178" t="inlineStr">
        <is>
          <t>NORRBOTTENS LÄN</t>
        </is>
      </c>
      <c r="E1178" t="inlineStr">
        <is>
          <t>BODEN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27009-2024</t>
        </is>
      </c>
      <c r="B1179" s="1" t="n">
        <v>45471</v>
      </c>
      <c r="C1179" s="1" t="n">
        <v>45803</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27014-2024</t>
        </is>
      </c>
      <c r="B1180" s="1" t="n">
        <v>45471</v>
      </c>
      <c r="C1180" s="1" t="n">
        <v>45803</v>
      </c>
      <c r="D1180" t="inlineStr">
        <is>
          <t>NORRBOTTENS LÄN</t>
        </is>
      </c>
      <c r="E1180" t="inlineStr">
        <is>
          <t>BODEN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27006-2024</t>
        </is>
      </c>
      <c r="B1181" s="1" t="n">
        <v>45471</v>
      </c>
      <c r="C1181" s="1" t="n">
        <v>45803</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27636-2024</t>
        </is>
      </c>
      <c r="B1182" s="1" t="n">
        <v>45474</v>
      </c>
      <c r="C1182" s="1" t="n">
        <v>45803</v>
      </c>
      <c r="D1182" t="inlineStr">
        <is>
          <t>NORRBOTTENS LÄN</t>
        </is>
      </c>
      <c r="E1182" t="inlineStr">
        <is>
          <t>BODEN</t>
        </is>
      </c>
      <c r="F1182" t="inlineStr">
        <is>
          <t>SCA</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27524-2024</t>
        </is>
      </c>
      <c r="B1183" s="1" t="n">
        <v>45474</v>
      </c>
      <c r="C1183" s="1" t="n">
        <v>45803</v>
      </c>
      <c r="D1183" t="inlineStr">
        <is>
          <t>NORRBOTTENS LÄN</t>
        </is>
      </c>
      <c r="E1183" t="inlineStr">
        <is>
          <t>BODEN</t>
        </is>
      </c>
      <c r="F1183" t="inlineStr">
        <is>
          <t>Övriga Aktiebolag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28074-2024</t>
        </is>
      </c>
      <c r="B1184" s="1" t="n">
        <v>45476</v>
      </c>
      <c r="C1184" s="1" t="n">
        <v>45803</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28078-2024</t>
        </is>
      </c>
      <c r="B1185" s="1" t="n">
        <v>45476</v>
      </c>
      <c r="C1185" s="1" t="n">
        <v>45803</v>
      </c>
      <c r="D1185" t="inlineStr">
        <is>
          <t>NORRBOTTENS LÄN</t>
        </is>
      </c>
      <c r="E1185" t="inlineStr">
        <is>
          <t>BODEN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28134-2024</t>
        </is>
      </c>
      <c r="B1186" s="1" t="n">
        <v>45476</v>
      </c>
      <c r="C1186" s="1" t="n">
        <v>45803</v>
      </c>
      <c r="D1186" t="inlineStr">
        <is>
          <t>NORRBOTTENS LÄN</t>
        </is>
      </c>
      <c r="E1186" t="inlineStr">
        <is>
          <t>BODEN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28079-2024</t>
        </is>
      </c>
      <c r="B1187" s="1" t="n">
        <v>45476</v>
      </c>
      <c r="C1187" s="1" t="n">
        <v>45803</v>
      </c>
      <c r="D1187" t="inlineStr">
        <is>
          <t>NORRBOTTENS LÄN</t>
        </is>
      </c>
      <c r="E1187" t="inlineStr">
        <is>
          <t>BODEN</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28067-2024</t>
        </is>
      </c>
      <c r="B1188" s="1" t="n">
        <v>45476</v>
      </c>
      <c r="C1188" s="1" t="n">
        <v>45803</v>
      </c>
      <c r="D1188" t="inlineStr">
        <is>
          <t>NORRBOTTENS LÄN</t>
        </is>
      </c>
      <c r="E1188" t="inlineStr">
        <is>
          <t>BODEN</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28651-2024</t>
        </is>
      </c>
      <c r="B1189" s="1" t="n">
        <v>45478</v>
      </c>
      <c r="C1189" s="1" t="n">
        <v>45803</v>
      </c>
      <c r="D1189" t="inlineStr">
        <is>
          <t>NORRBOTTENS LÄN</t>
        </is>
      </c>
      <c r="E1189" t="inlineStr">
        <is>
          <t>BODEN</t>
        </is>
      </c>
      <c r="F1189" t="inlineStr">
        <is>
          <t>Sveaskog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28772-2024</t>
        </is>
      </c>
      <c r="B1190" s="1" t="n">
        <v>45478</v>
      </c>
      <c r="C1190" s="1" t="n">
        <v>45803</v>
      </c>
      <c r="D1190" t="inlineStr">
        <is>
          <t>NORRBOTTENS LÄN</t>
        </is>
      </c>
      <c r="E1190" t="inlineStr">
        <is>
          <t>BODEN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28758-2024</t>
        </is>
      </c>
      <c r="B1191" s="1" t="n">
        <v>45478</v>
      </c>
      <c r="C1191" s="1" t="n">
        <v>45803</v>
      </c>
      <c r="D1191" t="inlineStr">
        <is>
          <t>NORRBOTTENS LÄN</t>
        </is>
      </c>
      <c r="E1191" t="inlineStr">
        <is>
          <t>BODEN</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28762-2024</t>
        </is>
      </c>
      <c r="B1192" s="1" t="n">
        <v>45478</v>
      </c>
      <c r="C1192" s="1" t="n">
        <v>45803</v>
      </c>
      <c r="D1192" t="inlineStr">
        <is>
          <t>NORRBOTTENS LÄN</t>
        </is>
      </c>
      <c r="E1192" t="inlineStr">
        <is>
          <t>BODEN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28767-2024</t>
        </is>
      </c>
      <c r="B1193" s="1" t="n">
        <v>45478</v>
      </c>
      <c r="C1193" s="1" t="n">
        <v>45803</v>
      </c>
      <c r="D1193" t="inlineStr">
        <is>
          <t>NORRBOTTENS LÄN</t>
        </is>
      </c>
      <c r="E1193" t="inlineStr">
        <is>
          <t>BODEN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28898-2024</t>
        </is>
      </c>
      <c r="B1194" s="1" t="n">
        <v>45480</v>
      </c>
      <c r="C1194" s="1" t="n">
        <v>45803</v>
      </c>
      <c r="D1194" t="inlineStr">
        <is>
          <t>NORRBOTTENS LÄN</t>
        </is>
      </c>
      <c r="E1194" t="inlineStr">
        <is>
          <t>BODEN</t>
        </is>
      </c>
      <c r="G1194" t="n">
        <v>42.8</v>
      </c>
      <c r="H1194" t="n">
        <v>0</v>
      </c>
      <c r="I1194" t="n">
        <v>0</v>
      </c>
      <c r="J1194" t="n">
        <v>0</v>
      </c>
      <c r="K1194" t="n">
        <v>0</v>
      </c>
      <c r="L1194" t="n">
        <v>0</v>
      </c>
      <c r="M1194" t="n">
        <v>0</v>
      </c>
      <c r="N1194" t="n">
        <v>0</v>
      </c>
      <c r="O1194" t="n">
        <v>0</v>
      </c>
      <c r="P1194" t="n">
        <v>0</v>
      </c>
      <c r="Q1194" t="n">
        <v>0</v>
      </c>
      <c r="R1194" s="2" t="inlineStr"/>
    </row>
    <row r="1195" ht="15" customHeight="1">
      <c r="A1195" t="inlineStr">
        <is>
          <t>A 29109-2024</t>
        </is>
      </c>
      <c r="B1195" s="1" t="n">
        <v>45482</v>
      </c>
      <c r="C1195" s="1" t="n">
        <v>45803</v>
      </c>
      <c r="D1195" t="inlineStr">
        <is>
          <t>NORRBOTTENS LÄN</t>
        </is>
      </c>
      <c r="E1195" t="inlineStr">
        <is>
          <t>BODEN</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29281-2024</t>
        </is>
      </c>
      <c r="B1196" s="1" t="n">
        <v>45483</v>
      </c>
      <c r="C1196" s="1" t="n">
        <v>45803</v>
      </c>
      <c r="D1196" t="inlineStr">
        <is>
          <t>NORRBOTTENS LÄN</t>
        </is>
      </c>
      <c r="E1196" t="inlineStr">
        <is>
          <t>BODEN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29282-2024</t>
        </is>
      </c>
      <c r="B1197" s="1" t="n">
        <v>45483</v>
      </c>
      <c r="C1197" s="1" t="n">
        <v>45803</v>
      </c>
      <c r="D1197" t="inlineStr">
        <is>
          <t>NORRBOTTENS LÄN</t>
        </is>
      </c>
      <c r="E1197" t="inlineStr">
        <is>
          <t>BODEN</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29377-2024</t>
        </is>
      </c>
      <c r="B1198" s="1" t="n">
        <v>45483</v>
      </c>
      <c r="C1198" s="1" t="n">
        <v>45803</v>
      </c>
      <c r="D1198" t="inlineStr">
        <is>
          <t>NORRBOTTENS LÄN</t>
        </is>
      </c>
      <c r="E1198" t="inlineStr">
        <is>
          <t>BODEN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29328-2024</t>
        </is>
      </c>
      <c r="B1199" s="1" t="n">
        <v>45483</v>
      </c>
      <c r="C1199" s="1" t="n">
        <v>45803</v>
      </c>
      <c r="D1199" t="inlineStr">
        <is>
          <t>NORRBOTTENS LÄN</t>
        </is>
      </c>
      <c r="E1199" t="inlineStr">
        <is>
          <t>BODEN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30186-2024</t>
        </is>
      </c>
      <c r="B1200" s="1" t="n">
        <v>45490</v>
      </c>
      <c r="C1200" s="1" t="n">
        <v>45803</v>
      </c>
      <c r="D1200" t="inlineStr">
        <is>
          <t>NORRBOTTENS LÄN</t>
        </is>
      </c>
      <c r="E1200" t="inlineStr">
        <is>
          <t>BODEN</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30152-2024</t>
        </is>
      </c>
      <c r="B1201" s="1" t="n">
        <v>45489</v>
      </c>
      <c r="C1201" s="1" t="n">
        <v>45803</v>
      </c>
      <c r="D1201" t="inlineStr">
        <is>
          <t>NORRBOTTENS LÄN</t>
        </is>
      </c>
      <c r="E1201" t="inlineStr">
        <is>
          <t>BODEN</t>
        </is>
      </c>
      <c r="F1201" t="inlineStr">
        <is>
          <t>Sveaskog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30093-2024</t>
        </is>
      </c>
      <c r="B1202" s="1" t="n">
        <v>45489</v>
      </c>
      <c r="C1202" s="1" t="n">
        <v>45803</v>
      </c>
      <c r="D1202" t="inlineStr">
        <is>
          <t>NORRBOTTENS LÄN</t>
        </is>
      </c>
      <c r="E1202" t="inlineStr">
        <is>
          <t>BODEN</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30363-2024</t>
        </is>
      </c>
      <c r="B1203" s="1" t="n">
        <v>45491</v>
      </c>
      <c r="C1203" s="1" t="n">
        <v>45803</v>
      </c>
      <c r="D1203" t="inlineStr">
        <is>
          <t>NORRBOTTENS LÄN</t>
        </is>
      </c>
      <c r="E1203" t="inlineStr">
        <is>
          <t>BODEN</t>
        </is>
      </c>
      <c r="F1203" t="inlineStr">
        <is>
          <t>Sveaskog</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30689-2024</t>
        </is>
      </c>
      <c r="B1204" s="1" t="n">
        <v>45496</v>
      </c>
      <c r="C1204" s="1" t="n">
        <v>45803</v>
      </c>
      <c r="D1204" t="inlineStr">
        <is>
          <t>NORRBOTTENS LÄN</t>
        </is>
      </c>
      <c r="E1204" t="inlineStr">
        <is>
          <t>BODEN</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31007-2024</t>
        </is>
      </c>
      <c r="B1205" s="1" t="n">
        <v>45499</v>
      </c>
      <c r="C1205" s="1" t="n">
        <v>45803</v>
      </c>
      <c r="D1205" t="inlineStr">
        <is>
          <t>NORRBOTTENS LÄN</t>
        </is>
      </c>
      <c r="E1205" t="inlineStr">
        <is>
          <t>BODEN</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31045-2024</t>
        </is>
      </c>
      <c r="B1206" s="1" t="n">
        <v>45502</v>
      </c>
      <c r="C1206" s="1" t="n">
        <v>45803</v>
      </c>
      <c r="D1206" t="inlineStr">
        <is>
          <t>NORRBOTTENS LÄN</t>
        </is>
      </c>
      <c r="E1206" t="inlineStr">
        <is>
          <t>BODEN</t>
        </is>
      </c>
      <c r="F1206" t="inlineStr">
        <is>
          <t>Sveaskog</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31456-2024</t>
        </is>
      </c>
      <c r="B1207" s="1" t="n">
        <v>45505</v>
      </c>
      <c r="C1207" s="1" t="n">
        <v>45803</v>
      </c>
      <c r="D1207" t="inlineStr">
        <is>
          <t>NORRBOTTENS LÄN</t>
        </is>
      </c>
      <c r="E1207" t="inlineStr">
        <is>
          <t>BODEN</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31490-2024</t>
        </is>
      </c>
      <c r="B1208" s="1" t="n">
        <v>45506</v>
      </c>
      <c r="C1208" s="1" t="n">
        <v>45803</v>
      </c>
      <c r="D1208" t="inlineStr">
        <is>
          <t>NORRBOTTENS LÄN</t>
        </is>
      </c>
      <c r="E1208" t="inlineStr">
        <is>
          <t>BODEN</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31589-2024</t>
        </is>
      </c>
      <c r="B1209" s="1" t="n">
        <v>45506</v>
      </c>
      <c r="C1209" s="1" t="n">
        <v>45803</v>
      </c>
      <c r="D1209" t="inlineStr">
        <is>
          <t>NORRBOTTENS LÄN</t>
        </is>
      </c>
      <c r="E1209" t="inlineStr">
        <is>
          <t>BODEN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31754-2024</t>
        </is>
      </c>
      <c r="B1210" s="1" t="n">
        <v>45509</v>
      </c>
      <c r="C1210" s="1" t="n">
        <v>45803</v>
      </c>
      <c r="D1210" t="inlineStr">
        <is>
          <t>NORRBOTTENS LÄN</t>
        </is>
      </c>
      <c r="E1210" t="inlineStr">
        <is>
          <t>BODEN</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31963-2024</t>
        </is>
      </c>
      <c r="B1211" s="1" t="n">
        <v>45510</v>
      </c>
      <c r="C1211" s="1" t="n">
        <v>45803</v>
      </c>
      <c r="D1211" t="inlineStr">
        <is>
          <t>NORRBOTTENS LÄN</t>
        </is>
      </c>
      <c r="E1211" t="inlineStr">
        <is>
          <t>BODEN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31961-2024</t>
        </is>
      </c>
      <c r="B1212" s="1" t="n">
        <v>45510</v>
      </c>
      <c r="C1212" s="1" t="n">
        <v>45803</v>
      </c>
      <c r="D1212" t="inlineStr">
        <is>
          <t>NORRBOTTENS LÄN</t>
        </is>
      </c>
      <c r="E1212" t="inlineStr">
        <is>
          <t>BODEN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32276-2024</t>
        </is>
      </c>
      <c r="B1213" s="1" t="n">
        <v>45512</v>
      </c>
      <c r="C1213" s="1" t="n">
        <v>45803</v>
      </c>
      <c r="D1213" t="inlineStr">
        <is>
          <t>NORRBOTTENS LÄN</t>
        </is>
      </c>
      <c r="E1213" t="inlineStr">
        <is>
          <t>BODEN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32347-2024</t>
        </is>
      </c>
      <c r="B1214" s="1" t="n">
        <v>45512</v>
      </c>
      <c r="C1214" s="1" t="n">
        <v>45803</v>
      </c>
      <c r="D1214" t="inlineStr">
        <is>
          <t>NORRBOTTENS LÄN</t>
        </is>
      </c>
      <c r="E1214" t="inlineStr">
        <is>
          <t>BODEN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32906-2024</t>
        </is>
      </c>
      <c r="B1215" s="1" t="n">
        <v>45516</v>
      </c>
      <c r="C1215" s="1" t="n">
        <v>45803</v>
      </c>
      <c r="D1215" t="inlineStr">
        <is>
          <t>NORRBOTTENS LÄN</t>
        </is>
      </c>
      <c r="E1215" t="inlineStr">
        <is>
          <t>BODEN</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32913-2024</t>
        </is>
      </c>
      <c r="B1216" s="1" t="n">
        <v>45517</v>
      </c>
      <c r="C1216" s="1" t="n">
        <v>45803</v>
      </c>
      <c r="D1216" t="inlineStr">
        <is>
          <t>NORRBOTTENS LÄN</t>
        </is>
      </c>
      <c r="E1216" t="inlineStr">
        <is>
          <t>BODEN</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32912-2024</t>
        </is>
      </c>
      <c r="B1217" s="1" t="n">
        <v>45516</v>
      </c>
      <c r="C1217" s="1" t="n">
        <v>45803</v>
      </c>
      <c r="D1217" t="inlineStr">
        <is>
          <t>NORRBOTTENS LÄN</t>
        </is>
      </c>
      <c r="E1217" t="inlineStr">
        <is>
          <t>BODEN</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33289-2024</t>
        </is>
      </c>
      <c r="B1218" s="1" t="n">
        <v>45518</v>
      </c>
      <c r="C1218" s="1" t="n">
        <v>45803</v>
      </c>
      <c r="D1218" t="inlineStr">
        <is>
          <t>NORRBOTTENS LÄN</t>
        </is>
      </c>
      <c r="E1218" t="inlineStr">
        <is>
          <t>BODEN</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33604-2024</t>
        </is>
      </c>
      <c r="B1219" s="1" t="n">
        <v>45520</v>
      </c>
      <c r="C1219" s="1" t="n">
        <v>45803</v>
      </c>
      <c r="D1219" t="inlineStr">
        <is>
          <t>NORRBOTTENS LÄN</t>
        </is>
      </c>
      <c r="E1219" t="inlineStr">
        <is>
          <t>BODEN</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33915-2024</t>
        </is>
      </c>
      <c r="B1220" s="1" t="n">
        <v>45523</v>
      </c>
      <c r="C1220" s="1" t="n">
        <v>45803</v>
      </c>
      <c r="D1220" t="inlineStr">
        <is>
          <t>NORRBOTTENS LÄN</t>
        </is>
      </c>
      <c r="E1220" t="inlineStr">
        <is>
          <t>BODEN</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34495-2024</t>
        </is>
      </c>
      <c r="B1221" s="1" t="n">
        <v>45525</v>
      </c>
      <c r="C1221" s="1" t="n">
        <v>45803</v>
      </c>
      <c r="D1221" t="inlineStr">
        <is>
          <t>NORRBOTTENS LÄN</t>
        </is>
      </c>
      <c r="E1221" t="inlineStr">
        <is>
          <t>BODEN</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34403-2024</t>
        </is>
      </c>
      <c r="B1222" s="1" t="n">
        <v>45525</v>
      </c>
      <c r="C1222" s="1" t="n">
        <v>45803</v>
      </c>
      <c r="D1222" t="inlineStr">
        <is>
          <t>NORRBOTTENS LÄN</t>
        </is>
      </c>
      <c r="E1222" t="inlineStr">
        <is>
          <t>BODEN</t>
        </is>
      </c>
      <c r="F1222" t="inlineStr">
        <is>
          <t>Kommuner</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34774-2024</t>
        </is>
      </c>
      <c r="B1223" s="1" t="n">
        <v>45526</v>
      </c>
      <c r="C1223" s="1" t="n">
        <v>45803</v>
      </c>
      <c r="D1223" t="inlineStr">
        <is>
          <t>NORRBOTTENS LÄN</t>
        </is>
      </c>
      <c r="E1223" t="inlineStr">
        <is>
          <t>BODEN</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34969-2024</t>
        </is>
      </c>
      <c r="B1224" s="1" t="n">
        <v>45527</v>
      </c>
      <c r="C1224" s="1" t="n">
        <v>45803</v>
      </c>
      <c r="D1224" t="inlineStr">
        <is>
          <t>NORRBOTTENS LÄN</t>
        </is>
      </c>
      <c r="E1224" t="inlineStr">
        <is>
          <t>BODEN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35115-2024</t>
        </is>
      </c>
      <c r="B1225" s="1" t="n">
        <v>45530</v>
      </c>
      <c r="C1225" s="1" t="n">
        <v>45803</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35356-2024</t>
        </is>
      </c>
      <c r="B1226" s="1" t="n">
        <v>45531</v>
      </c>
      <c r="C1226" s="1" t="n">
        <v>45803</v>
      </c>
      <c r="D1226" t="inlineStr">
        <is>
          <t>NORRBOTTENS LÄN</t>
        </is>
      </c>
      <c r="E1226" t="inlineStr">
        <is>
          <t>BODEN</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35427-2024</t>
        </is>
      </c>
      <c r="B1227" s="1" t="n">
        <v>45531</v>
      </c>
      <c r="C1227" s="1" t="n">
        <v>45803</v>
      </c>
      <c r="D1227" t="inlineStr">
        <is>
          <t>NORRBOTTENS LÄN</t>
        </is>
      </c>
      <c r="E1227" t="inlineStr">
        <is>
          <t>BODEN</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35425-2024</t>
        </is>
      </c>
      <c r="B1228" s="1" t="n">
        <v>45531</v>
      </c>
      <c r="C1228" s="1" t="n">
        <v>45803</v>
      </c>
      <c r="D1228" t="inlineStr">
        <is>
          <t>NORRBOTTENS LÄN</t>
        </is>
      </c>
      <c r="E1228" t="inlineStr">
        <is>
          <t>BODEN</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35676-2024</t>
        </is>
      </c>
      <c r="B1229" s="1" t="n">
        <v>45532</v>
      </c>
      <c r="C1229" s="1" t="n">
        <v>45803</v>
      </c>
      <c r="D1229" t="inlineStr">
        <is>
          <t>NORRBOTTENS LÄN</t>
        </is>
      </c>
      <c r="E1229" t="inlineStr">
        <is>
          <t>BODEN</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35744-2024</t>
        </is>
      </c>
      <c r="B1230" s="1" t="n">
        <v>45532</v>
      </c>
      <c r="C1230" s="1" t="n">
        <v>45803</v>
      </c>
      <c r="D1230" t="inlineStr">
        <is>
          <t>NORRBOTTENS LÄN</t>
        </is>
      </c>
      <c r="E1230" t="inlineStr">
        <is>
          <t>BODEN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36249-2024</t>
        </is>
      </c>
      <c r="B1231" s="1" t="n">
        <v>45534</v>
      </c>
      <c r="C1231" s="1" t="n">
        <v>45803</v>
      </c>
      <c r="D1231" t="inlineStr">
        <is>
          <t>NORRBOTTENS LÄN</t>
        </is>
      </c>
      <c r="E1231" t="inlineStr">
        <is>
          <t>BODEN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36630-2024</t>
        </is>
      </c>
      <c r="B1232" s="1" t="n">
        <v>45537</v>
      </c>
      <c r="C1232" s="1" t="n">
        <v>45803</v>
      </c>
      <c r="D1232" t="inlineStr">
        <is>
          <t>NORRBOTTENS LÄN</t>
        </is>
      </c>
      <c r="E1232" t="inlineStr">
        <is>
          <t>BODEN</t>
        </is>
      </c>
      <c r="F1232" t="inlineStr">
        <is>
          <t>SCA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36438-2024</t>
        </is>
      </c>
      <c r="B1233" s="1" t="n">
        <v>45537</v>
      </c>
      <c r="C1233" s="1" t="n">
        <v>45803</v>
      </c>
      <c r="D1233" t="inlineStr">
        <is>
          <t>NORRBOTTENS LÄN</t>
        </is>
      </c>
      <c r="E1233" t="inlineStr">
        <is>
          <t>BODEN</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36981-2024</t>
        </is>
      </c>
      <c r="B1234" s="1" t="n">
        <v>45539</v>
      </c>
      <c r="C1234" s="1" t="n">
        <v>45803</v>
      </c>
      <c r="D1234" t="inlineStr">
        <is>
          <t>NORRBOTTENS LÄN</t>
        </is>
      </c>
      <c r="E1234" t="inlineStr">
        <is>
          <t>BODEN</t>
        </is>
      </c>
      <c r="F1234" t="inlineStr">
        <is>
          <t>Sveaskog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37114-2024</t>
        </is>
      </c>
      <c r="B1235" s="1" t="n">
        <v>45539</v>
      </c>
      <c r="C1235" s="1" t="n">
        <v>45803</v>
      </c>
      <c r="D1235" t="inlineStr">
        <is>
          <t>NORRBOTTENS LÄN</t>
        </is>
      </c>
      <c r="E1235" t="inlineStr">
        <is>
          <t>BODEN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37446-2024</t>
        </is>
      </c>
      <c r="B1236" s="1" t="n">
        <v>45540</v>
      </c>
      <c r="C1236" s="1" t="n">
        <v>45803</v>
      </c>
      <c r="D1236" t="inlineStr">
        <is>
          <t>NORRBOTTENS LÄN</t>
        </is>
      </c>
      <c r="E1236" t="inlineStr">
        <is>
          <t>BODEN</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37473-2024</t>
        </is>
      </c>
      <c r="B1237" s="1" t="n">
        <v>45540</v>
      </c>
      <c r="C1237" s="1" t="n">
        <v>45803</v>
      </c>
      <c r="D1237" t="inlineStr">
        <is>
          <t>NORRBOTTENS LÄN</t>
        </is>
      </c>
      <c r="E1237" t="inlineStr">
        <is>
          <t>BODEN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37791-2024</t>
        </is>
      </c>
      <c r="B1238" s="1" t="n">
        <v>45543</v>
      </c>
      <c r="C1238" s="1" t="n">
        <v>45803</v>
      </c>
      <c r="D1238" t="inlineStr">
        <is>
          <t>NORRBOTTENS LÄN</t>
        </is>
      </c>
      <c r="E1238" t="inlineStr">
        <is>
          <t>BODEN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37872-2024</t>
        </is>
      </c>
      <c r="B1239" s="1" t="n">
        <v>45544</v>
      </c>
      <c r="C1239" s="1" t="n">
        <v>45803</v>
      </c>
      <c r="D1239" t="inlineStr">
        <is>
          <t>NORRBOTTENS LÄN</t>
        </is>
      </c>
      <c r="E1239" t="inlineStr">
        <is>
          <t>BODEN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37976-2024</t>
        </is>
      </c>
      <c r="B1240" s="1" t="n">
        <v>45544</v>
      </c>
      <c r="C1240" s="1" t="n">
        <v>45803</v>
      </c>
      <c r="D1240" t="inlineStr">
        <is>
          <t>NORRBOTTENS LÄN</t>
        </is>
      </c>
      <c r="E1240" t="inlineStr">
        <is>
          <t>BODEN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37984-2024</t>
        </is>
      </c>
      <c r="B1241" s="1" t="n">
        <v>45544</v>
      </c>
      <c r="C1241" s="1" t="n">
        <v>45803</v>
      </c>
      <c r="D1241" t="inlineStr">
        <is>
          <t>NORRBOTTENS LÄN</t>
        </is>
      </c>
      <c r="E1241" t="inlineStr">
        <is>
          <t>BODEN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37993-2024</t>
        </is>
      </c>
      <c r="B1242" s="1" t="n">
        <v>45544</v>
      </c>
      <c r="C1242" s="1" t="n">
        <v>45803</v>
      </c>
      <c r="D1242" t="inlineStr">
        <is>
          <t>NORRBOTTENS LÄN</t>
        </is>
      </c>
      <c r="E1242" t="inlineStr">
        <is>
          <t>BODEN</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37866-2024</t>
        </is>
      </c>
      <c r="B1243" s="1" t="n">
        <v>45544</v>
      </c>
      <c r="C1243" s="1" t="n">
        <v>45803</v>
      </c>
      <c r="D1243" t="inlineStr">
        <is>
          <t>NORRBOTTENS LÄN</t>
        </is>
      </c>
      <c r="E1243" t="inlineStr">
        <is>
          <t>BODEN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38411-2024</t>
        </is>
      </c>
      <c r="B1244" s="1" t="n">
        <v>45546</v>
      </c>
      <c r="C1244" s="1" t="n">
        <v>45803</v>
      </c>
      <c r="D1244" t="inlineStr">
        <is>
          <t>NORRBOTTENS LÄN</t>
        </is>
      </c>
      <c r="E1244" t="inlineStr">
        <is>
          <t>BODEN</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38652-2024</t>
        </is>
      </c>
      <c r="B1245" s="1" t="n">
        <v>45546</v>
      </c>
      <c r="C1245" s="1" t="n">
        <v>45803</v>
      </c>
      <c r="D1245" t="inlineStr">
        <is>
          <t>NORRBOTTENS LÄN</t>
        </is>
      </c>
      <c r="E1245" t="inlineStr">
        <is>
          <t>BODEN</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38651-2024</t>
        </is>
      </c>
      <c r="B1246" s="1" t="n">
        <v>45546</v>
      </c>
      <c r="C1246" s="1" t="n">
        <v>45803</v>
      </c>
      <c r="D1246" t="inlineStr">
        <is>
          <t>NORRBOTTENS LÄN</t>
        </is>
      </c>
      <c r="E1246" t="inlineStr">
        <is>
          <t>BODEN</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38653-2024</t>
        </is>
      </c>
      <c r="B1247" s="1" t="n">
        <v>45546</v>
      </c>
      <c r="C1247" s="1" t="n">
        <v>45803</v>
      </c>
      <c r="D1247" t="inlineStr">
        <is>
          <t>NORRBOTTENS LÄN</t>
        </is>
      </c>
      <c r="E1247" t="inlineStr">
        <is>
          <t>BODEN</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38680-2024</t>
        </is>
      </c>
      <c r="B1248" s="1" t="n">
        <v>45547</v>
      </c>
      <c r="C1248" s="1" t="n">
        <v>45803</v>
      </c>
      <c r="D1248" t="inlineStr">
        <is>
          <t>NORRBOTTENS LÄN</t>
        </is>
      </c>
      <c r="E1248" t="inlineStr">
        <is>
          <t>BODEN</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38994-2024</t>
        </is>
      </c>
      <c r="B1249" s="1" t="n">
        <v>45548</v>
      </c>
      <c r="C1249" s="1" t="n">
        <v>45803</v>
      </c>
      <c r="D1249" t="inlineStr">
        <is>
          <t>NORRBOTTENS LÄN</t>
        </is>
      </c>
      <c r="E1249" t="inlineStr">
        <is>
          <t>BODEN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39272-2024</t>
        </is>
      </c>
      <c r="B1250" s="1" t="n">
        <v>45551</v>
      </c>
      <c r="C1250" s="1" t="n">
        <v>45803</v>
      </c>
      <c r="D1250" t="inlineStr">
        <is>
          <t>NORRBOTTENS LÄN</t>
        </is>
      </c>
      <c r="E1250" t="inlineStr">
        <is>
          <t>BODEN</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39339-2024</t>
        </is>
      </c>
      <c r="B1251" s="1" t="n">
        <v>45551</v>
      </c>
      <c r="C1251" s="1" t="n">
        <v>45803</v>
      </c>
      <c r="D1251" t="inlineStr">
        <is>
          <t>NORRBOTTENS LÄN</t>
        </is>
      </c>
      <c r="E1251" t="inlineStr">
        <is>
          <t>BODEN</t>
        </is>
      </c>
      <c r="F1251" t="inlineStr">
        <is>
          <t>Sveaskog</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39773-2024</t>
        </is>
      </c>
      <c r="B1252" s="1" t="n">
        <v>45552</v>
      </c>
      <c r="C1252" s="1" t="n">
        <v>45803</v>
      </c>
      <c r="D1252" t="inlineStr">
        <is>
          <t>NORRBOTTENS LÄN</t>
        </is>
      </c>
      <c r="E1252" t="inlineStr">
        <is>
          <t>BODEN</t>
        </is>
      </c>
      <c r="F1252" t="inlineStr">
        <is>
          <t>Övriga statliga verk och myndigheter</t>
        </is>
      </c>
      <c r="G1252" t="n">
        <v>18.1</v>
      </c>
      <c r="H1252" t="n">
        <v>0</v>
      </c>
      <c r="I1252" t="n">
        <v>0</v>
      </c>
      <c r="J1252" t="n">
        <v>0</v>
      </c>
      <c r="K1252" t="n">
        <v>0</v>
      </c>
      <c r="L1252" t="n">
        <v>0</v>
      </c>
      <c r="M1252" t="n">
        <v>0</v>
      </c>
      <c r="N1252" t="n">
        <v>0</v>
      </c>
      <c r="O1252" t="n">
        <v>0</v>
      </c>
      <c r="P1252" t="n">
        <v>0</v>
      </c>
      <c r="Q1252" t="n">
        <v>0</v>
      </c>
      <c r="R1252" s="2" t="inlineStr"/>
    </row>
    <row r="1253" ht="15" customHeight="1">
      <c r="A1253" t="inlineStr">
        <is>
          <t>A 39987-2024</t>
        </is>
      </c>
      <c r="B1253" s="1" t="n">
        <v>45553</v>
      </c>
      <c r="C1253" s="1" t="n">
        <v>45803</v>
      </c>
      <c r="D1253" t="inlineStr">
        <is>
          <t>NORRBOTTENS LÄN</t>
        </is>
      </c>
      <c r="E1253" t="inlineStr">
        <is>
          <t>BODEN</t>
        </is>
      </c>
      <c r="F1253" t="inlineStr">
        <is>
          <t>Sveaskog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40585-2024</t>
        </is>
      </c>
      <c r="B1254" s="1" t="n">
        <v>45555</v>
      </c>
      <c r="C1254" s="1" t="n">
        <v>45803</v>
      </c>
      <c r="D1254" t="inlineStr">
        <is>
          <t>NORRBOTTENS LÄN</t>
        </is>
      </c>
      <c r="E1254" t="inlineStr">
        <is>
          <t>BODEN</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40682-2024</t>
        </is>
      </c>
      <c r="B1255" s="1" t="n">
        <v>45558</v>
      </c>
      <c r="C1255" s="1" t="n">
        <v>45803</v>
      </c>
      <c r="D1255" t="inlineStr">
        <is>
          <t>NORRBOTTENS LÄN</t>
        </is>
      </c>
      <c r="E1255" t="inlineStr">
        <is>
          <t>BODEN</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40675-2024</t>
        </is>
      </c>
      <c r="B1256" s="1" t="n">
        <v>45558</v>
      </c>
      <c r="C1256" s="1" t="n">
        <v>45803</v>
      </c>
      <c r="D1256" t="inlineStr">
        <is>
          <t>NORRBOTTENS LÄN</t>
        </is>
      </c>
      <c r="E1256" t="inlineStr">
        <is>
          <t>BODEN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40680-2024</t>
        </is>
      </c>
      <c r="B1257" s="1" t="n">
        <v>45558</v>
      </c>
      <c r="C1257" s="1" t="n">
        <v>45803</v>
      </c>
      <c r="D1257" t="inlineStr">
        <is>
          <t>NORRBOTTENS LÄN</t>
        </is>
      </c>
      <c r="E1257" t="inlineStr">
        <is>
          <t>BODEN</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40728-2024</t>
        </is>
      </c>
      <c r="B1258" s="1" t="n">
        <v>45558</v>
      </c>
      <c r="C1258" s="1" t="n">
        <v>45803</v>
      </c>
      <c r="D1258" t="inlineStr">
        <is>
          <t>NORRBOTTENS LÄN</t>
        </is>
      </c>
      <c r="E1258" t="inlineStr">
        <is>
          <t>BODEN</t>
        </is>
      </c>
      <c r="G1258" t="n">
        <v>15.6</v>
      </c>
      <c r="H1258" t="n">
        <v>0</v>
      </c>
      <c r="I1258" t="n">
        <v>0</v>
      </c>
      <c r="J1258" t="n">
        <v>0</v>
      </c>
      <c r="K1258" t="n">
        <v>0</v>
      </c>
      <c r="L1258" t="n">
        <v>0</v>
      </c>
      <c r="M1258" t="n">
        <v>0</v>
      </c>
      <c r="N1258" t="n">
        <v>0</v>
      </c>
      <c r="O1258" t="n">
        <v>0</v>
      </c>
      <c r="P1258" t="n">
        <v>0</v>
      </c>
      <c r="Q1258" t="n">
        <v>0</v>
      </c>
      <c r="R1258" s="2" t="inlineStr"/>
    </row>
    <row r="1259" ht="15" customHeight="1">
      <c r="A1259" t="inlineStr">
        <is>
          <t>A 41115-2024</t>
        </is>
      </c>
      <c r="B1259" s="1" t="n">
        <v>45559</v>
      </c>
      <c r="C1259" s="1" t="n">
        <v>45803</v>
      </c>
      <c r="D1259" t="inlineStr">
        <is>
          <t>NORRBOTTENS LÄN</t>
        </is>
      </c>
      <c r="E1259" t="inlineStr">
        <is>
          <t>BODEN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41316-2024</t>
        </is>
      </c>
      <c r="B1260" s="1" t="n">
        <v>45559</v>
      </c>
      <c r="C1260" s="1" t="n">
        <v>45803</v>
      </c>
      <c r="D1260" t="inlineStr">
        <is>
          <t>NORRBOTTENS LÄN</t>
        </is>
      </c>
      <c r="E1260" t="inlineStr">
        <is>
          <t>BODEN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41466-2024</t>
        </is>
      </c>
      <c r="B1261" s="1" t="n">
        <v>45560</v>
      </c>
      <c r="C1261" s="1" t="n">
        <v>45803</v>
      </c>
      <c r="D1261" t="inlineStr">
        <is>
          <t>NORRBOTTENS LÄN</t>
        </is>
      </c>
      <c r="E1261" t="inlineStr">
        <is>
          <t>BODEN</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41485-2024</t>
        </is>
      </c>
      <c r="B1262" s="1" t="n">
        <v>45560</v>
      </c>
      <c r="C1262" s="1" t="n">
        <v>45803</v>
      </c>
      <c r="D1262" t="inlineStr">
        <is>
          <t>NORRBOTTENS LÄN</t>
        </is>
      </c>
      <c r="E1262" t="inlineStr">
        <is>
          <t>BODEN</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41487-2024</t>
        </is>
      </c>
      <c r="B1263" s="1" t="n">
        <v>45560</v>
      </c>
      <c r="C1263" s="1" t="n">
        <v>45803</v>
      </c>
      <c r="D1263" t="inlineStr">
        <is>
          <t>NORRBOTTENS LÄN</t>
        </is>
      </c>
      <c r="E1263" t="inlineStr">
        <is>
          <t>BODEN</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41949-2024</t>
        </is>
      </c>
      <c r="B1264" s="1" t="n">
        <v>45561</v>
      </c>
      <c r="C1264" s="1" t="n">
        <v>45803</v>
      </c>
      <c r="D1264" t="inlineStr">
        <is>
          <t>NORRBOTTENS LÄN</t>
        </is>
      </c>
      <c r="E1264" t="inlineStr">
        <is>
          <t>BODEN</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41957-2024</t>
        </is>
      </c>
      <c r="B1265" s="1" t="n">
        <v>45561</v>
      </c>
      <c r="C1265" s="1" t="n">
        <v>45803</v>
      </c>
      <c r="D1265" t="inlineStr">
        <is>
          <t>NORRBOTTENS LÄN</t>
        </is>
      </c>
      <c r="E1265" t="inlineStr">
        <is>
          <t>BODEN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41947-2024</t>
        </is>
      </c>
      <c r="B1266" s="1" t="n">
        <v>45561</v>
      </c>
      <c r="C1266" s="1" t="n">
        <v>45803</v>
      </c>
      <c r="D1266" t="inlineStr">
        <is>
          <t>NORRBOTTENS LÄN</t>
        </is>
      </c>
      <c r="E1266" t="inlineStr">
        <is>
          <t>BODEN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41955-2024</t>
        </is>
      </c>
      <c r="B1267" s="1" t="n">
        <v>45561</v>
      </c>
      <c r="C1267" s="1" t="n">
        <v>45803</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41789-2024</t>
        </is>
      </c>
      <c r="B1268" s="1" t="n">
        <v>45561</v>
      </c>
      <c r="C1268" s="1" t="n">
        <v>45803</v>
      </c>
      <c r="D1268" t="inlineStr">
        <is>
          <t>NORRBOTTENS LÄN</t>
        </is>
      </c>
      <c r="E1268" t="inlineStr">
        <is>
          <t>BODEN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42196-2024</t>
        </is>
      </c>
      <c r="B1269" s="1" t="n">
        <v>45562</v>
      </c>
      <c r="C1269" s="1" t="n">
        <v>45803</v>
      </c>
      <c r="D1269" t="inlineStr">
        <is>
          <t>NORRBOTTENS LÄN</t>
        </is>
      </c>
      <c r="E1269" t="inlineStr">
        <is>
          <t>BODEN</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43410-2024</t>
        </is>
      </c>
      <c r="B1270" s="1" t="n">
        <v>45568</v>
      </c>
      <c r="C1270" s="1" t="n">
        <v>45803</v>
      </c>
      <c r="D1270" t="inlineStr">
        <is>
          <t>NORRBOTTENS LÄN</t>
        </is>
      </c>
      <c r="E1270" t="inlineStr">
        <is>
          <t>BODEN</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44153-2024</t>
        </is>
      </c>
      <c r="B1271" s="1" t="n">
        <v>45572</v>
      </c>
      <c r="C1271" s="1" t="n">
        <v>45803</v>
      </c>
      <c r="D1271" t="inlineStr">
        <is>
          <t>NORRBOTTENS LÄN</t>
        </is>
      </c>
      <c r="E1271" t="inlineStr">
        <is>
          <t>BODEN</t>
        </is>
      </c>
      <c r="F1271" t="inlineStr">
        <is>
          <t>Övriga Aktiebolag</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43941-2024</t>
        </is>
      </c>
      <c r="B1272" s="1" t="n">
        <v>45572</v>
      </c>
      <c r="C1272" s="1" t="n">
        <v>45803</v>
      </c>
      <c r="D1272" t="inlineStr">
        <is>
          <t>NORRBOTTENS LÄN</t>
        </is>
      </c>
      <c r="E1272" t="inlineStr">
        <is>
          <t>BODEN</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43920-2024</t>
        </is>
      </c>
      <c r="B1273" s="1" t="n">
        <v>45572</v>
      </c>
      <c r="C1273" s="1" t="n">
        <v>45803</v>
      </c>
      <c r="D1273" t="inlineStr">
        <is>
          <t>NORRBOTTENS LÄN</t>
        </is>
      </c>
      <c r="E1273" t="inlineStr">
        <is>
          <t>BODEN</t>
        </is>
      </c>
      <c r="F1273" t="inlineStr">
        <is>
          <t>Övriga Aktiebolag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43969-2024</t>
        </is>
      </c>
      <c r="B1274" s="1" t="n">
        <v>45572</v>
      </c>
      <c r="C1274" s="1" t="n">
        <v>45803</v>
      </c>
      <c r="D1274" t="inlineStr">
        <is>
          <t>NORRBOTTENS LÄN</t>
        </is>
      </c>
      <c r="E1274" t="inlineStr">
        <is>
          <t>BODEN</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44567-2024</t>
        </is>
      </c>
      <c r="B1275" s="1" t="n">
        <v>45574</v>
      </c>
      <c r="C1275" s="1" t="n">
        <v>45803</v>
      </c>
      <c r="D1275" t="inlineStr">
        <is>
          <t>NORRBOTTENS LÄN</t>
        </is>
      </c>
      <c r="E1275" t="inlineStr">
        <is>
          <t>BODEN</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44553-2024</t>
        </is>
      </c>
      <c r="B1276" s="1" t="n">
        <v>45574</v>
      </c>
      <c r="C1276" s="1" t="n">
        <v>45803</v>
      </c>
      <c r="D1276" t="inlineStr">
        <is>
          <t>NORRBOTTENS LÄN</t>
        </is>
      </c>
      <c r="E1276" t="inlineStr">
        <is>
          <t>BODEN</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44625-2024</t>
        </is>
      </c>
      <c r="B1277" s="1" t="n">
        <v>45574</v>
      </c>
      <c r="C1277" s="1" t="n">
        <v>45803</v>
      </c>
      <c r="D1277" t="inlineStr">
        <is>
          <t>NORRBOTTENS LÄN</t>
        </is>
      </c>
      <c r="E1277" t="inlineStr">
        <is>
          <t>BODEN</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44708-2024</t>
        </is>
      </c>
      <c r="B1278" s="1" t="n">
        <v>45574</v>
      </c>
      <c r="C1278" s="1" t="n">
        <v>45803</v>
      </c>
      <c r="D1278" t="inlineStr">
        <is>
          <t>NORRBOTTENS LÄN</t>
        </is>
      </c>
      <c r="E1278" t="inlineStr">
        <is>
          <t>BODEN</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45110-2024</t>
        </is>
      </c>
      <c r="B1279" s="1" t="n">
        <v>45575</v>
      </c>
      <c r="C1279" s="1" t="n">
        <v>45803</v>
      </c>
      <c r="D1279" t="inlineStr">
        <is>
          <t>NORRBOTTENS LÄN</t>
        </is>
      </c>
      <c r="E1279" t="inlineStr">
        <is>
          <t>BODEN</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46367-2024</t>
        </is>
      </c>
      <c r="B1280" s="1" t="n">
        <v>45582</v>
      </c>
      <c r="C1280" s="1" t="n">
        <v>45803</v>
      </c>
      <c r="D1280" t="inlineStr">
        <is>
          <t>NORRBOTTENS LÄN</t>
        </is>
      </c>
      <c r="E1280" t="inlineStr">
        <is>
          <t>BODEN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46684-2024</t>
        </is>
      </c>
      <c r="B1281" s="1" t="n">
        <v>45583</v>
      </c>
      <c r="C1281" s="1" t="n">
        <v>45803</v>
      </c>
      <c r="D1281" t="inlineStr">
        <is>
          <t>NORRBOTTENS LÄN</t>
        </is>
      </c>
      <c r="E1281" t="inlineStr">
        <is>
          <t>BODEN</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46844-2024</t>
        </is>
      </c>
      <c r="B1282" s="1" t="n">
        <v>45583</v>
      </c>
      <c r="C1282" s="1" t="n">
        <v>45803</v>
      </c>
      <c r="D1282" t="inlineStr">
        <is>
          <t>NORRBOTTENS LÄN</t>
        </is>
      </c>
      <c r="E1282" t="inlineStr">
        <is>
          <t>BODEN</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46901-2024</t>
        </is>
      </c>
      <c r="B1283" s="1" t="n">
        <v>45583</v>
      </c>
      <c r="C1283" s="1" t="n">
        <v>45803</v>
      </c>
      <c r="D1283" t="inlineStr">
        <is>
          <t>NORRBOTTENS LÄN</t>
        </is>
      </c>
      <c r="E1283" t="inlineStr">
        <is>
          <t>BODEN</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46900-2024</t>
        </is>
      </c>
      <c r="B1284" s="1" t="n">
        <v>45583</v>
      </c>
      <c r="C1284" s="1" t="n">
        <v>45803</v>
      </c>
      <c r="D1284" t="inlineStr">
        <is>
          <t>NORRBOTTENS LÄN</t>
        </is>
      </c>
      <c r="E1284" t="inlineStr">
        <is>
          <t>BODEN</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46903-2024</t>
        </is>
      </c>
      <c r="B1285" s="1" t="n">
        <v>45583</v>
      </c>
      <c r="C1285" s="1" t="n">
        <v>45803</v>
      </c>
      <c r="D1285" t="inlineStr">
        <is>
          <t>NORRBOTTENS LÄN</t>
        </is>
      </c>
      <c r="E1285" t="inlineStr">
        <is>
          <t>BODEN</t>
        </is>
      </c>
      <c r="F1285" t="inlineStr">
        <is>
          <t>SCA</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46975-2024</t>
        </is>
      </c>
      <c r="B1286" s="1" t="n">
        <v>45586</v>
      </c>
      <c r="C1286" s="1" t="n">
        <v>45803</v>
      </c>
      <c r="D1286" t="inlineStr">
        <is>
          <t>NORRBOTTENS LÄN</t>
        </is>
      </c>
      <c r="E1286" t="inlineStr">
        <is>
          <t>BODEN</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47024-2024</t>
        </is>
      </c>
      <c r="B1287" s="1" t="n">
        <v>45586</v>
      </c>
      <c r="C1287" s="1" t="n">
        <v>45803</v>
      </c>
      <c r="D1287" t="inlineStr">
        <is>
          <t>NORRBOTTENS LÄN</t>
        </is>
      </c>
      <c r="E1287" t="inlineStr">
        <is>
          <t>BODEN</t>
        </is>
      </c>
      <c r="F1287" t="inlineStr">
        <is>
          <t>Sveaskog</t>
        </is>
      </c>
      <c r="G1287" t="n">
        <v>12.8</v>
      </c>
      <c r="H1287" t="n">
        <v>0</v>
      </c>
      <c r="I1287" t="n">
        <v>0</v>
      </c>
      <c r="J1287" t="n">
        <v>0</v>
      </c>
      <c r="K1287" t="n">
        <v>0</v>
      </c>
      <c r="L1287" t="n">
        <v>0</v>
      </c>
      <c r="M1287" t="n">
        <v>0</v>
      </c>
      <c r="N1287" t="n">
        <v>0</v>
      </c>
      <c r="O1287" t="n">
        <v>0</v>
      </c>
      <c r="P1287" t="n">
        <v>0</v>
      </c>
      <c r="Q1287" t="n">
        <v>0</v>
      </c>
      <c r="R1287" s="2" t="inlineStr"/>
    </row>
    <row r="1288" ht="15" customHeight="1">
      <c r="A1288" t="inlineStr">
        <is>
          <t>A 46974-2024</t>
        </is>
      </c>
      <c r="B1288" s="1" t="n">
        <v>45586</v>
      </c>
      <c r="C1288" s="1" t="n">
        <v>45803</v>
      </c>
      <c r="D1288" t="inlineStr">
        <is>
          <t>NORRBOTTENS LÄN</t>
        </is>
      </c>
      <c r="E1288" t="inlineStr">
        <is>
          <t>BODEN</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47042-2024</t>
        </is>
      </c>
      <c r="B1289" s="1" t="n">
        <v>45586</v>
      </c>
      <c r="C1289" s="1" t="n">
        <v>45803</v>
      </c>
      <c r="D1289" t="inlineStr">
        <is>
          <t>NORRBOTTENS LÄN</t>
        </is>
      </c>
      <c r="E1289" t="inlineStr">
        <is>
          <t>BODEN</t>
        </is>
      </c>
      <c r="G1289" t="n">
        <v>27.9</v>
      </c>
      <c r="H1289" t="n">
        <v>0</v>
      </c>
      <c r="I1289" t="n">
        <v>0</v>
      </c>
      <c r="J1289" t="n">
        <v>0</v>
      </c>
      <c r="K1289" t="n">
        <v>0</v>
      </c>
      <c r="L1289" t="n">
        <v>0</v>
      </c>
      <c r="M1289" t="n">
        <v>0</v>
      </c>
      <c r="N1289" t="n">
        <v>0</v>
      </c>
      <c r="O1289" t="n">
        <v>0</v>
      </c>
      <c r="P1289" t="n">
        <v>0</v>
      </c>
      <c r="Q1289" t="n">
        <v>0</v>
      </c>
      <c r="R1289" s="2" t="inlineStr"/>
    </row>
    <row r="1290" ht="15" customHeight="1">
      <c r="A1290" t="inlineStr">
        <is>
          <t>A 47125-2024</t>
        </is>
      </c>
      <c r="B1290" s="1" t="n">
        <v>45586</v>
      </c>
      <c r="C1290" s="1" t="n">
        <v>45803</v>
      </c>
      <c r="D1290" t="inlineStr">
        <is>
          <t>NORRBOTTENS LÄN</t>
        </is>
      </c>
      <c r="E1290" t="inlineStr">
        <is>
          <t>BODEN</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47423-2024</t>
        </is>
      </c>
      <c r="B1291" s="1" t="n">
        <v>45587</v>
      </c>
      <c r="C1291" s="1" t="n">
        <v>45803</v>
      </c>
      <c r="D1291" t="inlineStr">
        <is>
          <t>NORRBOTTENS LÄN</t>
        </is>
      </c>
      <c r="E1291" t="inlineStr">
        <is>
          <t>BODEN</t>
        </is>
      </c>
      <c r="G1291" t="n">
        <v>17.2</v>
      </c>
      <c r="H1291" t="n">
        <v>0</v>
      </c>
      <c r="I1291" t="n">
        <v>0</v>
      </c>
      <c r="J1291" t="n">
        <v>0</v>
      </c>
      <c r="K1291" t="n">
        <v>0</v>
      </c>
      <c r="L1291" t="n">
        <v>0</v>
      </c>
      <c r="M1291" t="n">
        <v>0</v>
      </c>
      <c r="N1291" t="n">
        <v>0</v>
      </c>
      <c r="O1291" t="n">
        <v>0</v>
      </c>
      <c r="P1291" t="n">
        <v>0</v>
      </c>
      <c r="Q1291" t="n">
        <v>0</v>
      </c>
      <c r="R1291" s="2" t="inlineStr"/>
    </row>
    <row r="1292" ht="15" customHeight="1">
      <c r="A1292" t="inlineStr">
        <is>
          <t>A 47424-2024</t>
        </is>
      </c>
      <c r="B1292" s="1" t="n">
        <v>45587</v>
      </c>
      <c r="C1292" s="1" t="n">
        <v>45803</v>
      </c>
      <c r="D1292" t="inlineStr">
        <is>
          <t>NORRBOTTENS LÄN</t>
        </is>
      </c>
      <c r="E1292" t="inlineStr">
        <is>
          <t>BODEN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48107-2024</t>
        </is>
      </c>
      <c r="B1293" s="1" t="n">
        <v>45589</v>
      </c>
      <c r="C1293" s="1" t="n">
        <v>45803</v>
      </c>
      <c r="D1293" t="inlineStr">
        <is>
          <t>NORRBOTTENS LÄN</t>
        </is>
      </c>
      <c r="E1293" t="inlineStr">
        <is>
          <t>BODEN</t>
        </is>
      </c>
      <c r="F1293" t="inlineStr">
        <is>
          <t>Övriga Aktiebolag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47922-2024</t>
        </is>
      </c>
      <c r="B1294" s="1" t="n">
        <v>45589</v>
      </c>
      <c r="C1294" s="1" t="n">
        <v>45803</v>
      </c>
      <c r="D1294" t="inlineStr">
        <is>
          <t>NORRBOTTENS LÄN</t>
        </is>
      </c>
      <c r="E1294" t="inlineStr">
        <is>
          <t>BODEN</t>
        </is>
      </c>
      <c r="F1294" t="inlineStr">
        <is>
          <t>Naturvårdsverket</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47926-2024</t>
        </is>
      </c>
      <c r="B1295" s="1" t="n">
        <v>45589</v>
      </c>
      <c r="C1295" s="1" t="n">
        <v>45803</v>
      </c>
      <c r="D1295" t="inlineStr">
        <is>
          <t>NORRBOTTENS LÄN</t>
        </is>
      </c>
      <c r="E1295" t="inlineStr">
        <is>
          <t>BODEN</t>
        </is>
      </c>
      <c r="F1295" t="inlineStr">
        <is>
          <t>Naturvårdsverket</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47929-2024</t>
        </is>
      </c>
      <c r="B1296" s="1" t="n">
        <v>45589</v>
      </c>
      <c r="C1296" s="1" t="n">
        <v>45803</v>
      </c>
      <c r="D1296" t="inlineStr">
        <is>
          <t>NORRBOTTENS LÄN</t>
        </is>
      </c>
      <c r="E1296" t="inlineStr">
        <is>
          <t>BODEN</t>
        </is>
      </c>
      <c r="F1296" t="inlineStr">
        <is>
          <t>Naturvårdsverket</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47924-2024</t>
        </is>
      </c>
      <c r="B1297" s="1" t="n">
        <v>45589</v>
      </c>
      <c r="C1297" s="1" t="n">
        <v>45803</v>
      </c>
      <c r="D1297" t="inlineStr">
        <is>
          <t>NORRBOTTENS LÄN</t>
        </is>
      </c>
      <c r="E1297" t="inlineStr">
        <is>
          <t>BODEN</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47920-2024</t>
        </is>
      </c>
      <c r="B1298" s="1" t="n">
        <v>45589</v>
      </c>
      <c r="C1298" s="1" t="n">
        <v>45803</v>
      </c>
      <c r="D1298" t="inlineStr">
        <is>
          <t>NORRBOTTENS LÄN</t>
        </is>
      </c>
      <c r="E1298" t="inlineStr">
        <is>
          <t>BODEN</t>
        </is>
      </c>
      <c r="F1298" t="inlineStr">
        <is>
          <t>Naturvårdsverket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47927-2024</t>
        </is>
      </c>
      <c r="B1299" s="1" t="n">
        <v>45589</v>
      </c>
      <c r="C1299" s="1" t="n">
        <v>45803</v>
      </c>
      <c r="D1299" t="inlineStr">
        <is>
          <t>NORRBOTTENS LÄN</t>
        </is>
      </c>
      <c r="E1299" t="inlineStr">
        <is>
          <t>BODEN</t>
        </is>
      </c>
      <c r="F1299" t="inlineStr">
        <is>
          <t>Naturvårdsverket</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48420-2024</t>
        </is>
      </c>
      <c r="B1300" s="1" t="n">
        <v>45590</v>
      </c>
      <c r="C1300" s="1" t="n">
        <v>45803</v>
      </c>
      <c r="D1300" t="inlineStr">
        <is>
          <t>NORRBOTTENS LÄN</t>
        </is>
      </c>
      <c r="E1300" t="inlineStr">
        <is>
          <t>BODEN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48426-2024</t>
        </is>
      </c>
      <c r="B1301" s="1" t="n">
        <v>45590</v>
      </c>
      <c r="C1301" s="1" t="n">
        <v>45803</v>
      </c>
      <c r="D1301" t="inlineStr">
        <is>
          <t>NORRBOTTENS LÄN</t>
        </is>
      </c>
      <c r="E1301" t="inlineStr">
        <is>
          <t>BODEN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48431-2024</t>
        </is>
      </c>
      <c r="B1302" s="1" t="n">
        <v>45590</v>
      </c>
      <c r="C1302" s="1" t="n">
        <v>45803</v>
      </c>
      <c r="D1302" t="inlineStr">
        <is>
          <t>NORRBOTTENS LÄN</t>
        </is>
      </c>
      <c r="E1302" t="inlineStr">
        <is>
          <t>BODEN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48433-2024</t>
        </is>
      </c>
      <c r="B1303" s="1" t="n">
        <v>45590</v>
      </c>
      <c r="C1303" s="1" t="n">
        <v>45803</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48427-2024</t>
        </is>
      </c>
      <c r="B1304" s="1" t="n">
        <v>45590</v>
      </c>
      <c r="C1304" s="1" t="n">
        <v>45803</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48415-2024</t>
        </is>
      </c>
      <c r="B1305" s="1" t="n">
        <v>45590</v>
      </c>
      <c r="C1305" s="1" t="n">
        <v>45803</v>
      </c>
      <c r="D1305" t="inlineStr">
        <is>
          <t>NORRBOTTENS LÄN</t>
        </is>
      </c>
      <c r="E1305" t="inlineStr">
        <is>
          <t>BODEN</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48471-2024</t>
        </is>
      </c>
      <c r="B1306" s="1" t="n">
        <v>45591</v>
      </c>
      <c r="C1306" s="1" t="n">
        <v>45803</v>
      </c>
      <c r="D1306" t="inlineStr">
        <is>
          <t>NORRBOTTENS LÄN</t>
        </is>
      </c>
      <c r="E1306" t="inlineStr">
        <is>
          <t>BODEN</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48472-2024</t>
        </is>
      </c>
      <c r="B1307" s="1" t="n">
        <v>45591</v>
      </c>
      <c r="C1307" s="1" t="n">
        <v>45803</v>
      </c>
      <c r="D1307" t="inlineStr">
        <is>
          <t>NORRBOTTENS LÄN</t>
        </is>
      </c>
      <c r="E1307" t="inlineStr">
        <is>
          <t>BODEN</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48592-2024</t>
        </is>
      </c>
      <c r="B1308" s="1" t="n">
        <v>45593</v>
      </c>
      <c r="C1308" s="1" t="n">
        <v>45803</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48942-2024</t>
        </is>
      </c>
      <c r="B1309" s="1" t="n">
        <v>45594</v>
      </c>
      <c r="C1309" s="1" t="n">
        <v>45803</v>
      </c>
      <c r="D1309" t="inlineStr">
        <is>
          <t>NORRBOTTENS LÄN</t>
        </is>
      </c>
      <c r="E1309" t="inlineStr">
        <is>
          <t>BODEN</t>
        </is>
      </c>
      <c r="F1309" t="inlineStr">
        <is>
          <t>Övriga Aktiebolag</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49994-2024</t>
        </is>
      </c>
      <c r="B1310" s="1" t="n">
        <v>45594</v>
      </c>
      <c r="C1310" s="1" t="n">
        <v>45803</v>
      </c>
      <c r="D1310" t="inlineStr">
        <is>
          <t>NORRBOTTENS LÄN</t>
        </is>
      </c>
      <c r="E1310" t="inlineStr">
        <is>
          <t>BODEN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48945-2024</t>
        </is>
      </c>
      <c r="B1311" s="1" t="n">
        <v>45594</v>
      </c>
      <c r="C1311" s="1" t="n">
        <v>45803</v>
      </c>
      <c r="D1311" t="inlineStr">
        <is>
          <t>NORRBOTTENS LÄN</t>
        </is>
      </c>
      <c r="E1311" t="inlineStr">
        <is>
          <t>BODEN</t>
        </is>
      </c>
      <c r="F1311" t="inlineStr">
        <is>
          <t>Övriga Aktiebolag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48981-2024</t>
        </is>
      </c>
      <c r="B1312" s="1" t="n">
        <v>45594</v>
      </c>
      <c r="C1312" s="1" t="n">
        <v>45803</v>
      </c>
      <c r="D1312" t="inlineStr">
        <is>
          <t>NORRBOTTENS LÄN</t>
        </is>
      </c>
      <c r="E1312" t="inlineStr">
        <is>
          <t>BODEN</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49273-2024</t>
        </is>
      </c>
      <c r="B1313" s="1" t="n">
        <v>45595</v>
      </c>
      <c r="C1313" s="1" t="n">
        <v>45803</v>
      </c>
      <c r="D1313" t="inlineStr">
        <is>
          <t>NORRBOTTENS LÄN</t>
        </is>
      </c>
      <c r="E1313" t="inlineStr">
        <is>
          <t>BODEN</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49728-2024</t>
        </is>
      </c>
      <c r="B1314" s="1" t="n">
        <v>45596</v>
      </c>
      <c r="C1314" s="1" t="n">
        <v>45803</v>
      </c>
      <c r="D1314" t="inlineStr">
        <is>
          <t>NORRBOTTENS LÄN</t>
        </is>
      </c>
      <c r="E1314" t="inlineStr">
        <is>
          <t>BODEN</t>
        </is>
      </c>
      <c r="G1314" t="n">
        <v>22.7</v>
      </c>
      <c r="H1314" t="n">
        <v>0</v>
      </c>
      <c r="I1314" t="n">
        <v>0</v>
      </c>
      <c r="J1314" t="n">
        <v>0</v>
      </c>
      <c r="K1314" t="n">
        <v>0</v>
      </c>
      <c r="L1314" t="n">
        <v>0</v>
      </c>
      <c r="M1314" t="n">
        <v>0</v>
      </c>
      <c r="N1314" t="n">
        <v>0</v>
      </c>
      <c r="O1314" t="n">
        <v>0</v>
      </c>
      <c r="P1314" t="n">
        <v>0</v>
      </c>
      <c r="Q1314" t="n">
        <v>0</v>
      </c>
      <c r="R1314" s="2" t="inlineStr"/>
    </row>
    <row r="1315" ht="15" customHeight="1">
      <c r="A1315" t="inlineStr">
        <is>
          <t>A 49729-2024</t>
        </is>
      </c>
      <c r="B1315" s="1" t="n">
        <v>45596</v>
      </c>
      <c r="C1315" s="1" t="n">
        <v>45803</v>
      </c>
      <c r="D1315" t="inlineStr">
        <is>
          <t>NORRBOTTENS LÄN</t>
        </is>
      </c>
      <c r="E1315" t="inlineStr">
        <is>
          <t>BODEN</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49730-2024</t>
        </is>
      </c>
      <c r="B1316" s="1" t="n">
        <v>45596</v>
      </c>
      <c r="C1316" s="1" t="n">
        <v>45803</v>
      </c>
      <c r="D1316" t="inlineStr">
        <is>
          <t>NORRBOTTENS LÄN</t>
        </is>
      </c>
      <c r="E1316" t="inlineStr">
        <is>
          <t>BODEN</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50103-2024</t>
        </is>
      </c>
      <c r="B1317" s="1" t="n">
        <v>45600</v>
      </c>
      <c r="C1317" s="1" t="n">
        <v>45803</v>
      </c>
      <c r="D1317" t="inlineStr">
        <is>
          <t>NORRBOTTENS LÄN</t>
        </is>
      </c>
      <c r="E1317" t="inlineStr">
        <is>
          <t>BODEN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50107-2024</t>
        </is>
      </c>
      <c r="B1318" s="1" t="n">
        <v>45600</v>
      </c>
      <c r="C1318" s="1" t="n">
        <v>45803</v>
      </c>
      <c r="D1318" t="inlineStr">
        <is>
          <t>NORRBOTTENS LÄN</t>
        </is>
      </c>
      <c r="E1318" t="inlineStr">
        <is>
          <t>BODEN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50085-2024</t>
        </is>
      </c>
      <c r="B1319" s="1" t="n">
        <v>45600</v>
      </c>
      <c r="C1319" s="1" t="n">
        <v>45803</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50114-2024</t>
        </is>
      </c>
      <c r="B1320" s="1" t="n">
        <v>45600</v>
      </c>
      <c r="C1320" s="1" t="n">
        <v>45803</v>
      </c>
      <c r="D1320" t="inlineStr">
        <is>
          <t>NORRBOTTENS LÄN</t>
        </is>
      </c>
      <c r="E1320" t="inlineStr">
        <is>
          <t>BODEN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50253-2024</t>
        </is>
      </c>
      <c r="B1321" s="1" t="n">
        <v>45600</v>
      </c>
      <c r="C1321" s="1" t="n">
        <v>45803</v>
      </c>
      <c r="D1321" t="inlineStr">
        <is>
          <t>NORRBOTTENS LÄN</t>
        </is>
      </c>
      <c r="E1321" t="inlineStr">
        <is>
          <t>BODEN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50505-2024</t>
        </is>
      </c>
      <c r="B1322" s="1" t="n">
        <v>45601</v>
      </c>
      <c r="C1322" s="1" t="n">
        <v>45803</v>
      </c>
      <c r="D1322" t="inlineStr">
        <is>
          <t>NORRBOTTENS LÄN</t>
        </is>
      </c>
      <c r="E1322" t="inlineStr">
        <is>
          <t>BODEN</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51294-2024</t>
        </is>
      </c>
      <c r="B1323" s="1" t="n">
        <v>45603</v>
      </c>
      <c r="C1323" s="1" t="n">
        <v>45803</v>
      </c>
      <c r="D1323" t="inlineStr">
        <is>
          <t>NORRBOTTENS LÄN</t>
        </is>
      </c>
      <c r="E1323" t="inlineStr">
        <is>
          <t>BODEN</t>
        </is>
      </c>
      <c r="G1323" t="n">
        <v>17.3</v>
      </c>
      <c r="H1323" t="n">
        <v>0</v>
      </c>
      <c r="I1323" t="n">
        <v>0</v>
      </c>
      <c r="J1323" t="n">
        <v>0</v>
      </c>
      <c r="K1323" t="n">
        <v>0</v>
      </c>
      <c r="L1323" t="n">
        <v>0</v>
      </c>
      <c r="M1323" t="n">
        <v>0</v>
      </c>
      <c r="N1323" t="n">
        <v>0</v>
      </c>
      <c r="O1323" t="n">
        <v>0</v>
      </c>
      <c r="P1323" t="n">
        <v>0</v>
      </c>
      <c r="Q1323" t="n">
        <v>0</v>
      </c>
      <c r="R1323" s="2" t="inlineStr"/>
    </row>
    <row r="1324" ht="15" customHeight="1">
      <c r="A1324" t="inlineStr">
        <is>
          <t>A 51279-2024</t>
        </is>
      </c>
      <c r="B1324" s="1" t="n">
        <v>45603</v>
      </c>
      <c r="C1324" s="1" t="n">
        <v>45803</v>
      </c>
      <c r="D1324" t="inlineStr">
        <is>
          <t>NORRBOTTENS LÄN</t>
        </is>
      </c>
      <c r="E1324" t="inlineStr">
        <is>
          <t>BODEN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51280-2024</t>
        </is>
      </c>
      <c r="B1325" s="1" t="n">
        <v>45603</v>
      </c>
      <c r="C1325" s="1" t="n">
        <v>45803</v>
      </c>
      <c r="D1325" t="inlineStr">
        <is>
          <t>NORRBOTTENS LÄN</t>
        </is>
      </c>
      <c r="E1325" t="inlineStr">
        <is>
          <t>BODEN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51607-2024</t>
        </is>
      </c>
      <c r="B1326" s="1" t="n">
        <v>45604</v>
      </c>
      <c r="C1326" s="1" t="n">
        <v>45803</v>
      </c>
      <c r="D1326" t="inlineStr">
        <is>
          <t>NORRBOTTENS LÄN</t>
        </is>
      </c>
      <c r="E1326" t="inlineStr">
        <is>
          <t>BODEN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51614-2024</t>
        </is>
      </c>
      <c r="B1327" s="1" t="n">
        <v>45604</v>
      </c>
      <c r="C1327" s="1" t="n">
        <v>45803</v>
      </c>
      <c r="D1327" t="inlineStr">
        <is>
          <t>NORRBOTTENS LÄN</t>
        </is>
      </c>
      <c r="E1327" t="inlineStr">
        <is>
          <t>BODEN</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52248-2024</t>
        </is>
      </c>
      <c r="B1328" s="1" t="n">
        <v>45608</v>
      </c>
      <c r="C1328" s="1" t="n">
        <v>45803</v>
      </c>
      <c r="D1328" t="inlineStr">
        <is>
          <t>NORRBOTTENS LÄN</t>
        </is>
      </c>
      <c r="E1328" t="inlineStr">
        <is>
          <t>BODEN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52247-2024</t>
        </is>
      </c>
      <c r="B1329" s="1" t="n">
        <v>45608</v>
      </c>
      <c r="C1329" s="1" t="n">
        <v>45803</v>
      </c>
      <c r="D1329" t="inlineStr">
        <is>
          <t>NORRBOTTENS LÄN</t>
        </is>
      </c>
      <c r="E1329" t="inlineStr">
        <is>
          <t>BODEN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52246-2024</t>
        </is>
      </c>
      <c r="B1330" s="1" t="n">
        <v>45608</v>
      </c>
      <c r="C1330" s="1" t="n">
        <v>45803</v>
      </c>
      <c r="D1330" t="inlineStr">
        <is>
          <t>NORRBOTTENS LÄN</t>
        </is>
      </c>
      <c r="E1330" t="inlineStr">
        <is>
          <t>BODEN</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53630-2024</t>
        </is>
      </c>
      <c r="B1331" s="1" t="n">
        <v>45614</v>
      </c>
      <c r="C1331" s="1" t="n">
        <v>45803</v>
      </c>
      <c r="D1331" t="inlineStr">
        <is>
          <t>NORRBOTTENS LÄN</t>
        </is>
      </c>
      <c r="E1331" t="inlineStr">
        <is>
          <t>BODEN</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54067-2024</t>
        </is>
      </c>
      <c r="B1332" s="1" t="n">
        <v>45616</v>
      </c>
      <c r="C1332" s="1" t="n">
        <v>45803</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54060-2024</t>
        </is>
      </c>
      <c r="B1333" s="1" t="n">
        <v>45616</v>
      </c>
      <c r="C1333" s="1" t="n">
        <v>45803</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54722-2024</t>
        </is>
      </c>
      <c r="B1334" s="1" t="n">
        <v>45618</v>
      </c>
      <c r="C1334" s="1" t="n">
        <v>45803</v>
      </c>
      <c r="D1334" t="inlineStr">
        <is>
          <t>NORRBOTTENS LÄN</t>
        </is>
      </c>
      <c r="E1334" t="inlineStr">
        <is>
          <t>BODEN</t>
        </is>
      </c>
      <c r="F1334" t="inlineStr">
        <is>
          <t>Naturvårdsverket</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54718-2024</t>
        </is>
      </c>
      <c r="B1335" s="1" t="n">
        <v>45618</v>
      </c>
      <c r="C1335" s="1" t="n">
        <v>45803</v>
      </c>
      <c r="D1335" t="inlineStr">
        <is>
          <t>NORRBOTTENS LÄN</t>
        </is>
      </c>
      <c r="E1335" t="inlineStr">
        <is>
          <t>BODEN</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54765-2024</t>
        </is>
      </c>
      <c r="B1336" s="1" t="n">
        <v>45618</v>
      </c>
      <c r="C1336" s="1" t="n">
        <v>45803</v>
      </c>
      <c r="D1336" t="inlineStr">
        <is>
          <t>NORRBOTTENS LÄN</t>
        </is>
      </c>
      <c r="E1336" t="inlineStr">
        <is>
          <t>BODEN</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55779-2024</t>
        </is>
      </c>
      <c r="B1337" s="1" t="n">
        <v>45623</v>
      </c>
      <c r="C1337" s="1" t="n">
        <v>45803</v>
      </c>
      <c r="D1337" t="inlineStr">
        <is>
          <t>NORRBOTTENS LÄN</t>
        </is>
      </c>
      <c r="E1337" t="inlineStr">
        <is>
          <t>BODEN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56139-2024</t>
        </is>
      </c>
      <c r="B1338" s="1" t="n">
        <v>45624</v>
      </c>
      <c r="C1338" s="1" t="n">
        <v>45803</v>
      </c>
      <c r="D1338" t="inlineStr">
        <is>
          <t>NORRBOTTENS LÄN</t>
        </is>
      </c>
      <c r="E1338" t="inlineStr">
        <is>
          <t>BODEN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56457-2024</t>
        </is>
      </c>
      <c r="B1339" s="1" t="n">
        <v>45625</v>
      </c>
      <c r="C1339" s="1" t="n">
        <v>45803</v>
      </c>
      <c r="D1339" t="inlineStr">
        <is>
          <t>NORRBOTTENS LÄN</t>
        </is>
      </c>
      <c r="E1339" t="inlineStr">
        <is>
          <t>BODEN</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56581-2024</t>
        </is>
      </c>
      <c r="B1340" s="1" t="n">
        <v>45625</v>
      </c>
      <c r="C1340" s="1" t="n">
        <v>45803</v>
      </c>
      <c r="D1340" t="inlineStr">
        <is>
          <t>NORRBOTTENS LÄN</t>
        </is>
      </c>
      <c r="E1340" t="inlineStr">
        <is>
          <t>BODEN</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56711-2024</t>
        </is>
      </c>
      <c r="B1341" s="1" t="n">
        <v>45628</v>
      </c>
      <c r="C1341" s="1" t="n">
        <v>45803</v>
      </c>
      <c r="D1341" t="inlineStr">
        <is>
          <t>NORRBOTTENS LÄN</t>
        </is>
      </c>
      <c r="E1341" t="inlineStr">
        <is>
          <t>BODEN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57062-2024</t>
        </is>
      </c>
      <c r="B1342" s="1" t="n">
        <v>45629</v>
      </c>
      <c r="C1342" s="1" t="n">
        <v>45803</v>
      </c>
      <c r="D1342" t="inlineStr">
        <is>
          <t>NORRBOTTENS LÄN</t>
        </is>
      </c>
      <c r="E1342" t="inlineStr">
        <is>
          <t>BODEN</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57691-2024</t>
        </is>
      </c>
      <c r="B1343" s="1" t="n">
        <v>45630</v>
      </c>
      <c r="C1343" s="1" t="n">
        <v>45803</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57713-2024</t>
        </is>
      </c>
      <c r="B1344" s="1" t="n">
        <v>45630</v>
      </c>
      <c r="C1344" s="1" t="n">
        <v>45803</v>
      </c>
      <c r="D1344" t="inlineStr">
        <is>
          <t>NORRBOTTENS LÄN</t>
        </is>
      </c>
      <c r="E1344" t="inlineStr">
        <is>
          <t>BODEN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58363-2024</t>
        </is>
      </c>
      <c r="B1345" s="1" t="n">
        <v>45632</v>
      </c>
      <c r="C1345" s="1" t="n">
        <v>45803</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58291-2024</t>
        </is>
      </c>
      <c r="B1346" s="1" t="n">
        <v>45632</v>
      </c>
      <c r="C1346" s="1" t="n">
        <v>45803</v>
      </c>
      <c r="D1346" t="inlineStr">
        <is>
          <t>NORRBOTTENS LÄN</t>
        </is>
      </c>
      <c r="E1346" t="inlineStr">
        <is>
          <t>BODEN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58500-2024</t>
        </is>
      </c>
      <c r="B1347" s="1" t="n">
        <v>45635</v>
      </c>
      <c r="C1347" s="1" t="n">
        <v>45803</v>
      </c>
      <c r="D1347" t="inlineStr">
        <is>
          <t>NORRBOTTENS LÄN</t>
        </is>
      </c>
      <c r="E1347" t="inlineStr">
        <is>
          <t>BODEN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58504-2024</t>
        </is>
      </c>
      <c r="B1348" s="1" t="n">
        <v>45635</v>
      </c>
      <c r="C1348" s="1" t="n">
        <v>45803</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58506-2024</t>
        </is>
      </c>
      <c r="B1349" s="1" t="n">
        <v>45635</v>
      </c>
      <c r="C1349" s="1" t="n">
        <v>45803</v>
      </c>
      <c r="D1349" t="inlineStr">
        <is>
          <t>NORRBOTTENS LÄN</t>
        </is>
      </c>
      <c r="E1349" t="inlineStr">
        <is>
          <t>BODEN</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59435-2024</t>
        </is>
      </c>
      <c r="B1350" s="1" t="n">
        <v>45638</v>
      </c>
      <c r="C1350" s="1" t="n">
        <v>45803</v>
      </c>
      <c r="D1350" t="inlineStr">
        <is>
          <t>NORRBOTTENS LÄN</t>
        </is>
      </c>
      <c r="E1350" t="inlineStr">
        <is>
          <t>BODEN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59722-2024</t>
        </is>
      </c>
      <c r="B1351" s="1" t="n">
        <v>45639</v>
      </c>
      <c r="C1351" s="1" t="n">
        <v>45803</v>
      </c>
      <c r="D1351" t="inlineStr">
        <is>
          <t>NORRBOTTENS LÄN</t>
        </is>
      </c>
      <c r="E1351" t="inlineStr">
        <is>
          <t>BODEN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60085-2024</t>
        </is>
      </c>
      <c r="B1352" s="1" t="n">
        <v>45639</v>
      </c>
      <c r="C1352" s="1" t="n">
        <v>45803</v>
      </c>
      <c r="D1352" t="inlineStr">
        <is>
          <t>NORRBOTTENS LÄN</t>
        </is>
      </c>
      <c r="E1352" t="inlineStr">
        <is>
          <t>BODEN</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60587-2024</t>
        </is>
      </c>
      <c r="B1353" s="1" t="n">
        <v>45642</v>
      </c>
      <c r="C1353" s="1" t="n">
        <v>45803</v>
      </c>
      <c r="D1353" t="inlineStr">
        <is>
          <t>NORRBOTTENS LÄN</t>
        </is>
      </c>
      <c r="E1353" t="inlineStr">
        <is>
          <t>BODEN</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60337-2024</t>
        </is>
      </c>
      <c r="B1354" s="1" t="n">
        <v>45643</v>
      </c>
      <c r="C1354" s="1" t="n">
        <v>45803</v>
      </c>
      <c r="D1354" t="inlineStr">
        <is>
          <t>NORRBOTTENS LÄN</t>
        </is>
      </c>
      <c r="E1354" t="inlineStr">
        <is>
          <t>BODEN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60466-2024</t>
        </is>
      </c>
      <c r="B1355" s="1" t="n">
        <v>45643</v>
      </c>
      <c r="C1355" s="1" t="n">
        <v>45803</v>
      </c>
      <c r="D1355" t="inlineStr">
        <is>
          <t>NORRBOTTENS LÄN</t>
        </is>
      </c>
      <c r="E1355" t="inlineStr">
        <is>
          <t>BODEN</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60526-2024</t>
        </is>
      </c>
      <c r="B1356" s="1" t="n">
        <v>45643</v>
      </c>
      <c r="C1356" s="1" t="n">
        <v>45803</v>
      </c>
      <c r="D1356" t="inlineStr">
        <is>
          <t>NORRBOTTENS LÄN</t>
        </is>
      </c>
      <c r="E1356" t="inlineStr">
        <is>
          <t>BODEN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60804-2024</t>
        </is>
      </c>
      <c r="B1357" s="1" t="n">
        <v>45644</v>
      </c>
      <c r="C1357" s="1" t="n">
        <v>45803</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61128-2024</t>
        </is>
      </c>
      <c r="B1358" s="1" t="n">
        <v>45645</v>
      </c>
      <c r="C1358" s="1" t="n">
        <v>45803</v>
      </c>
      <c r="D1358" t="inlineStr">
        <is>
          <t>NORRBOTTENS LÄN</t>
        </is>
      </c>
      <c r="E1358" t="inlineStr">
        <is>
          <t>BODEN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61031-2024</t>
        </is>
      </c>
      <c r="B1359" s="1" t="n">
        <v>45645</v>
      </c>
      <c r="C1359" s="1" t="n">
        <v>45803</v>
      </c>
      <c r="D1359" t="inlineStr">
        <is>
          <t>NORRBOTTENS LÄN</t>
        </is>
      </c>
      <c r="E1359" t="inlineStr">
        <is>
          <t>BODEN</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61210-2024</t>
        </is>
      </c>
      <c r="B1360" s="1" t="n">
        <v>45645</v>
      </c>
      <c r="C1360" s="1" t="n">
        <v>45803</v>
      </c>
      <c r="D1360" t="inlineStr">
        <is>
          <t>NORRBOTTENS LÄN</t>
        </is>
      </c>
      <c r="E1360" t="inlineStr">
        <is>
          <t>BODEN</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61214-2024</t>
        </is>
      </c>
      <c r="B1361" s="1" t="n">
        <v>45645</v>
      </c>
      <c r="C1361" s="1" t="n">
        <v>45803</v>
      </c>
      <c r="D1361" t="inlineStr">
        <is>
          <t>NORRBOTTENS LÄN</t>
        </is>
      </c>
      <c r="E1361" t="inlineStr">
        <is>
          <t>BODEN</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61162-2024</t>
        </is>
      </c>
      <c r="B1362" s="1" t="n">
        <v>45645</v>
      </c>
      <c r="C1362" s="1" t="n">
        <v>45803</v>
      </c>
      <c r="D1362" t="inlineStr">
        <is>
          <t>NORRBOTTENS LÄN</t>
        </is>
      </c>
      <c r="E1362" t="inlineStr">
        <is>
          <t>BODEN</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61513-2024</t>
        </is>
      </c>
      <c r="B1363" s="1" t="n">
        <v>45646</v>
      </c>
      <c r="C1363" s="1" t="n">
        <v>45803</v>
      </c>
      <c r="D1363" t="inlineStr">
        <is>
          <t>NORRBOTTENS LÄN</t>
        </is>
      </c>
      <c r="E1363" t="inlineStr">
        <is>
          <t>BODEN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61570-2024</t>
        </is>
      </c>
      <c r="B1364" s="1" t="n">
        <v>45646</v>
      </c>
      <c r="C1364" s="1" t="n">
        <v>45803</v>
      </c>
      <c r="D1364" t="inlineStr">
        <is>
          <t>NORRBOTTENS LÄN</t>
        </is>
      </c>
      <c r="E1364" t="inlineStr">
        <is>
          <t>BODEN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61568-2024</t>
        </is>
      </c>
      <c r="B1365" s="1" t="n">
        <v>45646</v>
      </c>
      <c r="C1365" s="1" t="n">
        <v>45803</v>
      </c>
      <c r="D1365" t="inlineStr">
        <is>
          <t>NORRBOTTENS LÄN</t>
        </is>
      </c>
      <c r="E1365" t="inlineStr">
        <is>
          <t>BODEN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61588-2024</t>
        </is>
      </c>
      <c r="B1366" s="1" t="n">
        <v>45646</v>
      </c>
      <c r="C1366" s="1" t="n">
        <v>45803</v>
      </c>
      <c r="D1366" t="inlineStr">
        <is>
          <t>NORRBOTTENS LÄN</t>
        </is>
      </c>
      <c r="E1366" t="inlineStr">
        <is>
          <t>BODEN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61603-2024</t>
        </is>
      </c>
      <c r="B1367" s="1" t="n">
        <v>45646</v>
      </c>
      <c r="C1367" s="1" t="n">
        <v>45803</v>
      </c>
      <c r="D1367" t="inlineStr">
        <is>
          <t>NORRBOTTENS LÄN</t>
        </is>
      </c>
      <c r="E1367" t="inlineStr">
        <is>
          <t>BODEN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61630-2024</t>
        </is>
      </c>
      <c r="B1368" s="1" t="n">
        <v>45646</v>
      </c>
      <c r="C1368" s="1" t="n">
        <v>45803</v>
      </c>
      <c r="D1368" t="inlineStr">
        <is>
          <t>NORRBOTTENS LÄN</t>
        </is>
      </c>
      <c r="E1368" t="inlineStr">
        <is>
          <t>BODEN</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61632-2024</t>
        </is>
      </c>
      <c r="B1369" s="1" t="n">
        <v>45646</v>
      </c>
      <c r="C1369" s="1" t="n">
        <v>45803</v>
      </c>
      <c r="D1369" t="inlineStr">
        <is>
          <t>NORRBOTTENS LÄN</t>
        </is>
      </c>
      <c r="E1369" t="inlineStr">
        <is>
          <t>BODEN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62140-2024</t>
        </is>
      </c>
      <c r="B1370" s="1" t="n">
        <v>45646</v>
      </c>
      <c r="C1370" s="1" t="n">
        <v>45803</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61583-2024</t>
        </is>
      </c>
      <c r="B1371" s="1" t="n">
        <v>45646</v>
      </c>
      <c r="C1371" s="1" t="n">
        <v>45803</v>
      </c>
      <c r="D1371" t="inlineStr">
        <is>
          <t>NORRBOTTENS LÄN</t>
        </is>
      </c>
      <c r="E1371" t="inlineStr">
        <is>
          <t>BODEN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61587-2024</t>
        </is>
      </c>
      <c r="B1372" s="1" t="n">
        <v>45646</v>
      </c>
      <c r="C1372" s="1" t="n">
        <v>45803</v>
      </c>
      <c r="D1372" t="inlineStr">
        <is>
          <t>NORRBOTTENS LÄN</t>
        </is>
      </c>
      <c r="E1372" t="inlineStr">
        <is>
          <t>BODEN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61600-2024</t>
        </is>
      </c>
      <c r="B1373" s="1" t="n">
        <v>45646</v>
      </c>
      <c r="C1373" s="1" t="n">
        <v>45803</v>
      </c>
      <c r="D1373" t="inlineStr">
        <is>
          <t>NORRBOTTENS LÄN</t>
        </is>
      </c>
      <c r="E1373" t="inlineStr">
        <is>
          <t>BODEN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61617-2024</t>
        </is>
      </c>
      <c r="B1374" s="1" t="n">
        <v>45646</v>
      </c>
      <c r="C1374" s="1" t="n">
        <v>45803</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62137-2024</t>
        </is>
      </c>
      <c r="B1375" s="1" t="n">
        <v>45646</v>
      </c>
      <c r="C1375" s="1" t="n">
        <v>45803</v>
      </c>
      <c r="D1375" t="inlineStr">
        <is>
          <t>NORRBOTTENS LÄN</t>
        </is>
      </c>
      <c r="E1375" t="inlineStr">
        <is>
          <t>BODEN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61743-2024</t>
        </is>
      </c>
      <c r="B1376" s="1" t="n">
        <v>45649</v>
      </c>
      <c r="C1376" s="1" t="n">
        <v>45803</v>
      </c>
      <c r="D1376" t="inlineStr">
        <is>
          <t>NORRBOTTENS LÄN</t>
        </is>
      </c>
      <c r="E1376" t="inlineStr">
        <is>
          <t>BODEN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61771-2024</t>
        </is>
      </c>
      <c r="B1377" s="1" t="n">
        <v>45649</v>
      </c>
      <c r="C1377" s="1" t="n">
        <v>45803</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184-2025</t>
        </is>
      </c>
      <c r="B1378" s="1" t="n">
        <v>45649</v>
      </c>
      <c r="C1378" s="1" t="n">
        <v>45803</v>
      </c>
      <c r="D1378" t="inlineStr">
        <is>
          <t>NORRBOTTENS LÄN</t>
        </is>
      </c>
      <c r="E1378" t="inlineStr">
        <is>
          <t>BODEN</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61772-2024</t>
        </is>
      </c>
      <c r="B1379" s="1" t="n">
        <v>45649</v>
      </c>
      <c r="C1379" s="1" t="n">
        <v>45803</v>
      </c>
      <c r="D1379" t="inlineStr">
        <is>
          <t>NORRBOTTENS LÄN</t>
        </is>
      </c>
      <c r="E1379" t="inlineStr">
        <is>
          <t>BODEN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61768-2024</t>
        </is>
      </c>
      <c r="B1380" s="1" t="n">
        <v>45649</v>
      </c>
      <c r="C1380" s="1" t="n">
        <v>45803</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61756-2024</t>
        </is>
      </c>
      <c r="B1381" s="1" t="n">
        <v>45649</v>
      </c>
      <c r="C1381" s="1" t="n">
        <v>45803</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61748-2024</t>
        </is>
      </c>
      <c r="B1382" s="1" t="n">
        <v>45649</v>
      </c>
      <c r="C1382" s="1" t="n">
        <v>45803</v>
      </c>
      <c r="D1382" t="inlineStr">
        <is>
          <t>NORRBOTTENS LÄN</t>
        </is>
      </c>
      <c r="E1382" t="inlineStr">
        <is>
          <t>BODEN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185-2025</t>
        </is>
      </c>
      <c r="B1383" s="1" t="n">
        <v>45649</v>
      </c>
      <c r="C1383" s="1" t="n">
        <v>45803</v>
      </c>
      <c r="D1383" t="inlineStr">
        <is>
          <t>NORRBOTTENS LÄN</t>
        </is>
      </c>
      <c r="E1383" t="inlineStr">
        <is>
          <t>BODEN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61770-2024</t>
        </is>
      </c>
      <c r="B1384" s="1" t="n">
        <v>45649</v>
      </c>
      <c r="C1384" s="1" t="n">
        <v>45803</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61750-2024</t>
        </is>
      </c>
      <c r="B1385" s="1" t="n">
        <v>45649</v>
      </c>
      <c r="C1385" s="1" t="n">
        <v>45803</v>
      </c>
      <c r="D1385" t="inlineStr">
        <is>
          <t>NORRBOTTENS LÄN</t>
        </is>
      </c>
      <c r="E1385" t="inlineStr">
        <is>
          <t>BODEN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61773-2024</t>
        </is>
      </c>
      <c r="B1386" s="1" t="n">
        <v>45649</v>
      </c>
      <c r="C1386" s="1" t="n">
        <v>45803</v>
      </c>
      <c r="D1386" t="inlineStr">
        <is>
          <t>NORRBOTTENS LÄN</t>
        </is>
      </c>
      <c r="E1386" t="inlineStr">
        <is>
          <t>BODEN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61757-2024</t>
        </is>
      </c>
      <c r="B1387" s="1" t="n">
        <v>45649</v>
      </c>
      <c r="C1387" s="1" t="n">
        <v>45803</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61911-2024</t>
        </is>
      </c>
      <c r="B1388" s="1" t="n">
        <v>45653</v>
      </c>
      <c r="C1388" s="1" t="n">
        <v>45803</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61930-2024</t>
        </is>
      </c>
      <c r="B1389" s="1" t="n">
        <v>45653</v>
      </c>
      <c r="C1389" s="1" t="n">
        <v>45803</v>
      </c>
      <c r="D1389" t="inlineStr">
        <is>
          <t>NORRBOTTENS LÄN</t>
        </is>
      </c>
      <c r="E1389" t="inlineStr">
        <is>
          <t>BODEN</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61936-2024</t>
        </is>
      </c>
      <c r="B1390" s="1" t="n">
        <v>45653</v>
      </c>
      <c r="C1390" s="1" t="n">
        <v>45803</v>
      </c>
      <c r="D1390" t="inlineStr">
        <is>
          <t>NORRBOTTENS LÄN</t>
        </is>
      </c>
      <c r="E1390" t="inlineStr">
        <is>
          <t>BODEN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61949-2024</t>
        </is>
      </c>
      <c r="B1391" s="1" t="n">
        <v>45653</v>
      </c>
      <c r="C1391" s="1" t="n">
        <v>45803</v>
      </c>
      <c r="D1391" t="inlineStr">
        <is>
          <t>NORRBOTTENS LÄN</t>
        </is>
      </c>
      <c r="E1391" t="inlineStr">
        <is>
          <t>BODEN</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61969-2024</t>
        </is>
      </c>
      <c r="B1392" s="1" t="n">
        <v>45653</v>
      </c>
      <c r="C1392" s="1" t="n">
        <v>45803</v>
      </c>
      <c r="D1392" t="inlineStr">
        <is>
          <t>NORRBOTTENS LÄN</t>
        </is>
      </c>
      <c r="E1392" t="inlineStr">
        <is>
          <t>BODEN</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61932-2024</t>
        </is>
      </c>
      <c r="B1393" s="1" t="n">
        <v>45653</v>
      </c>
      <c r="C1393" s="1" t="n">
        <v>45803</v>
      </c>
      <c r="D1393" t="inlineStr">
        <is>
          <t>NORRBOTTENS LÄN</t>
        </is>
      </c>
      <c r="E1393" t="inlineStr">
        <is>
          <t>BODEN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61941-2024</t>
        </is>
      </c>
      <c r="B1394" s="1" t="n">
        <v>45653</v>
      </c>
      <c r="C1394" s="1" t="n">
        <v>45803</v>
      </c>
      <c r="D1394" t="inlineStr">
        <is>
          <t>NORRBOTTENS LÄN</t>
        </is>
      </c>
      <c r="E1394" t="inlineStr">
        <is>
          <t>BODEN</t>
        </is>
      </c>
      <c r="G1394" t="n">
        <v>17.6</v>
      </c>
      <c r="H1394" t="n">
        <v>0</v>
      </c>
      <c r="I1394" t="n">
        <v>0</v>
      </c>
      <c r="J1394" t="n">
        <v>0</v>
      </c>
      <c r="K1394" t="n">
        <v>0</v>
      </c>
      <c r="L1394" t="n">
        <v>0</v>
      </c>
      <c r="M1394" t="n">
        <v>0</v>
      </c>
      <c r="N1394" t="n">
        <v>0</v>
      </c>
      <c r="O1394" t="n">
        <v>0</v>
      </c>
      <c r="P1394" t="n">
        <v>0</v>
      </c>
      <c r="Q1394" t="n">
        <v>0</v>
      </c>
      <c r="R1394" s="2" t="inlineStr"/>
    </row>
    <row r="1395" ht="15" customHeight="1">
      <c r="A1395" t="inlineStr">
        <is>
          <t>A 61917-2024</t>
        </is>
      </c>
      <c r="B1395" s="1" t="n">
        <v>45653</v>
      </c>
      <c r="C1395" s="1" t="n">
        <v>45803</v>
      </c>
      <c r="D1395" t="inlineStr">
        <is>
          <t>NORRBOTTENS LÄN</t>
        </is>
      </c>
      <c r="E1395" t="inlineStr">
        <is>
          <t>BODEN</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61921-2024</t>
        </is>
      </c>
      <c r="B1396" s="1" t="n">
        <v>45653</v>
      </c>
      <c r="C1396" s="1" t="n">
        <v>45803</v>
      </c>
      <c r="D1396" t="inlineStr">
        <is>
          <t>NORRBOTTENS LÄN</t>
        </is>
      </c>
      <c r="E1396" t="inlineStr">
        <is>
          <t>BODEN</t>
        </is>
      </c>
      <c r="G1396" t="n">
        <v>61.4</v>
      </c>
      <c r="H1396" t="n">
        <v>0</v>
      </c>
      <c r="I1396" t="n">
        <v>0</v>
      </c>
      <c r="J1396" t="n">
        <v>0</v>
      </c>
      <c r="K1396" t="n">
        <v>0</v>
      </c>
      <c r="L1396" t="n">
        <v>0</v>
      </c>
      <c r="M1396" t="n">
        <v>0</v>
      </c>
      <c r="N1396" t="n">
        <v>0</v>
      </c>
      <c r="O1396" t="n">
        <v>0</v>
      </c>
      <c r="P1396" t="n">
        <v>0</v>
      </c>
      <c r="Q1396" t="n">
        <v>0</v>
      </c>
      <c r="R1396" s="2" t="inlineStr"/>
    </row>
    <row r="1397" ht="15" customHeight="1">
      <c r="A1397" t="inlineStr">
        <is>
          <t>A 61955-2024</t>
        </is>
      </c>
      <c r="B1397" s="1" t="n">
        <v>45653</v>
      </c>
      <c r="C1397" s="1" t="n">
        <v>45803</v>
      </c>
      <c r="D1397" t="inlineStr">
        <is>
          <t>NORRBOTTENS LÄN</t>
        </is>
      </c>
      <c r="E1397" t="inlineStr">
        <is>
          <t>BODEN</t>
        </is>
      </c>
      <c r="G1397" t="n">
        <v>16.8</v>
      </c>
      <c r="H1397" t="n">
        <v>0</v>
      </c>
      <c r="I1397" t="n">
        <v>0</v>
      </c>
      <c r="J1397" t="n">
        <v>0</v>
      </c>
      <c r="K1397" t="n">
        <v>0</v>
      </c>
      <c r="L1397" t="n">
        <v>0</v>
      </c>
      <c r="M1397" t="n">
        <v>0</v>
      </c>
      <c r="N1397" t="n">
        <v>0</v>
      </c>
      <c r="O1397" t="n">
        <v>0</v>
      </c>
      <c r="P1397" t="n">
        <v>0</v>
      </c>
      <c r="Q1397" t="n">
        <v>0</v>
      </c>
      <c r="R1397" s="2" t="inlineStr"/>
    </row>
    <row r="1398" ht="15" customHeight="1">
      <c r="A1398" t="inlineStr">
        <is>
          <t>A 436-2025</t>
        </is>
      </c>
      <c r="B1398" s="1" t="n">
        <v>45659</v>
      </c>
      <c r="C1398" s="1" t="n">
        <v>45803</v>
      </c>
      <c r="D1398" t="inlineStr">
        <is>
          <t>NORRBOTTENS LÄN</t>
        </is>
      </c>
      <c r="E1398" t="inlineStr">
        <is>
          <t>BODEN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1805-2025</t>
        </is>
      </c>
      <c r="B1399" s="1" t="n">
        <v>45659</v>
      </c>
      <c r="C1399" s="1" t="n">
        <v>45803</v>
      </c>
      <c r="D1399" t="inlineStr">
        <is>
          <t>NORRBOTTENS LÄN</t>
        </is>
      </c>
      <c r="E1399" t="inlineStr">
        <is>
          <t>BODEN</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434-2025</t>
        </is>
      </c>
      <c r="B1400" s="1" t="n">
        <v>45664</v>
      </c>
      <c r="C1400" s="1" t="n">
        <v>45803</v>
      </c>
      <c r="D1400" t="inlineStr">
        <is>
          <t>NORRBOTTENS LÄN</t>
        </is>
      </c>
      <c r="E1400" t="inlineStr">
        <is>
          <t>BODEN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785-2025</t>
        </is>
      </c>
      <c r="B1401" s="1" t="n">
        <v>45665</v>
      </c>
      <c r="C1401" s="1" t="n">
        <v>45803</v>
      </c>
      <c r="D1401" t="inlineStr">
        <is>
          <t>NORRBOTTENS LÄN</t>
        </is>
      </c>
      <c r="E1401" t="inlineStr">
        <is>
          <t>BODEN</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1130-2025</t>
        </is>
      </c>
      <c r="B1402" s="1" t="n">
        <v>45666</v>
      </c>
      <c r="C1402" s="1" t="n">
        <v>45803</v>
      </c>
      <c r="D1402" t="inlineStr">
        <is>
          <t>NORRBOTTENS LÄN</t>
        </is>
      </c>
      <c r="E1402" t="inlineStr">
        <is>
          <t>BODEN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1195-2025</t>
        </is>
      </c>
      <c r="B1403" s="1" t="n">
        <v>45667</v>
      </c>
      <c r="C1403" s="1" t="n">
        <v>45803</v>
      </c>
      <c r="D1403" t="inlineStr">
        <is>
          <t>NORRBOTTENS LÄN</t>
        </is>
      </c>
      <c r="E1403" t="inlineStr">
        <is>
          <t>BODEN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1192-2025</t>
        </is>
      </c>
      <c r="B1404" s="1" t="n">
        <v>45667</v>
      </c>
      <c r="C1404" s="1" t="n">
        <v>45803</v>
      </c>
      <c r="D1404" t="inlineStr">
        <is>
          <t>NORRBOTTENS LÄN</t>
        </is>
      </c>
      <c r="E1404" t="inlineStr">
        <is>
          <t>BODEN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1205-2025</t>
        </is>
      </c>
      <c r="B1405" s="1" t="n">
        <v>45667</v>
      </c>
      <c r="C1405" s="1" t="n">
        <v>45803</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1962-2025</t>
        </is>
      </c>
      <c r="B1406" s="1" t="n">
        <v>45672</v>
      </c>
      <c r="C1406" s="1" t="n">
        <v>45803</v>
      </c>
      <c r="D1406" t="inlineStr">
        <is>
          <t>NORRBOTTENS LÄN</t>
        </is>
      </c>
      <c r="E1406" t="inlineStr">
        <is>
          <t>BODEN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1961-2025</t>
        </is>
      </c>
      <c r="B1407" s="1" t="n">
        <v>45672</v>
      </c>
      <c r="C1407" s="1" t="n">
        <v>45803</v>
      </c>
      <c r="D1407" t="inlineStr">
        <is>
          <t>NORRBOTTENS LÄN</t>
        </is>
      </c>
      <c r="E1407" t="inlineStr">
        <is>
          <t>BODEN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2204-2025</t>
        </is>
      </c>
      <c r="B1408" s="1" t="n">
        <v>45673</v>
      </c>
      <c r="C1408" s="1" t="n">
        <v>45803</v>
      </c>
      <c r="D1408" t="inlineStr">
        <is>
          <t>NORRBOTTENS LÄN</t>
        </is>
      </c>
      <c r="E1408" t="inlineStr">
        <is>
          <t>BODEN</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2552-2025</t>
        </is>
      </c>
      <c r="B1409" s="1" t="n">
        <v>45674</v>
      </c>
      <c r="C1409" s="1" t="n">
        <v>45803</v>
      </c>
      <c r="D1409" t="inlineStr">
        <is>
          <t>NORRBOTTENS LÄN</t>
        </is>
      </c>
      <c r="E1409" t="inlineStr">
        <is>
          <t>BODEN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2601-2025</t>
        </is>
      </c>
      <c r="B1410" s="1" t="n">
        <v>45674</v>
      </c>
      <c r="C1410" s="1" t="n">
        <v>45803</v>
      </c>
      <c r="D1410" t="inlineStr">
        <is>
          <t>NORRBOTTENS LÄN</t>
        </is>
      </c>
      <c r="E1410" t="inlineStr">
        <is>
          <t>BODEN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2547-2025</t>
        </is>
      </c>
      <c r="B1411" s="1" t="n">
        <v>45674</v>
      </c>
      <c r="C1411" s="1" t="n">
        <v>45803</v>
      </c>
      <c r="D1411" t="inlineStr">
        <is>
          <t>NORRBOTTENS LÄN</t>
        </is>
      </c>
      <c r="E1411" t="inlineStr">
        <is>
          <t>BODEN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2732-2025</t>
        </is>
      </c>
      <c r="B1412" s="1" t="n">
        <v>45677</v>
      </c>
      <c r="C1412" s="1" t="n">
        <v>45803</v>
      </c>
      <c r="D1412" t="inlineStr">
        <is>
          <t>NORRBOTTENS LÄN</t>
        </is>
      </c>
      <c r="E1412" t="inlineStr">
        <is>
          <t>BODEN</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3436-2025</t>
        </is>
      </c>
      <c r="B1413" s="1" t="n">
        <v>45680</v>
      </c>
      <c r="C1413" s="1" t="n">
        <v>45803</v>
      </c>
      <c r="D1413" t="inlineStr">
        <is>
          <t>NORRBOTTENS LÄN</t>
        </is>
      </c>
      <c r="E1413" t="inlineStr">
        <is>
          <t>BODEN</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3501-2025</t>
        </is>
      </c>
      <c r="B1414" s="1" t="n">
        <v>45680</v>
      </c>
      <c r="C1414" s="1" t="n">
        <v>45803</v>
      </c>
      <c r="D1414" t="inlineStr">
        <is>
          <t>NORRBOTTENS LÄN</t>
        </is>
      </c>
      <c r="E1414" t="inlineStr">
        <is>
          <t>BODEN</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3459-2025</t>
        </is>
      </c>
      <c r="B1415" s="1" t="n">
        <v>45680</v>
      </c>
      <c r="C1415" s="1" t="n">
        <v>45803</v>
      </c>
      <c r="D1415" t="inlineStr">
        <is>
          <t>NORRBOTTENS LÄN</t>
        </is>
      </c>
      <c r="E1415" t="inlineStr">
        <is>
          <t>BODEN</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3438-2025</t>
        </is>
      </c>
      <c r="B1416" s="1" t="n">
        <v>45680</v>
      </c>
      <c r="C1416" s="1" t="n">
        <v>45803</v>
      </c>
      <c r="D1416" t="inlineStr">
        <is>
          <t>NORRBOTTENS LÄN</t>
        </is>
      </c>
      <c r="E1416" t="inlineStr">
        <is>
          <t>BODEN</t>
        </is>
      </c>
      <c r="F1416" t="inlineStr">
        <is>
          <t>Naturvårdsverket</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3833-2025</t>
        </is>
      </c>
      <c r="B1417" s="1" t="n">
        <v>45682</v>
      </c>
      <c r="C1417" s="1" t="n">
        <v>45803</v>
      </c>
      <c r="D1417" t="inlineStr">
        <is>
          <t>NORRBOTTENS LÄN</t>
        </is>
      </c>
      <c r="E1417" t="inlineStr">
        <is>
          <t>BODEN</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3922-2025</t>
        </is>
      </c>
      <c r="B1418" s="1" t="n">
        <v>45684</v>
      </c>
      <c r="C1418" s="1" t="n">
        <v>45803</v>
      </c>
      <c r="D1418" t="inlineStr">
        <is>
          <t>NORRBOTTENS LÄN</t>
        </is>
      </c>
      <c r="E1418" t="inlineStr">
        <is>
          <t>BODEN</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4254-2025</t>
        </is>
      </c>
      <c r="B1419" s="1" t="n">
        <v>45685</v>
      </c>
      <c r="C1419" s="1" t="n">
        <v>45803</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4263-2025</t>
        </is>
      </c>
      <c r="B1420" s="1" t="n">
        <v>45685</v>
      </c>
      <c r="C1420" s="1" t="n">
        <v>45803</v>
      </c>
      <c r="D1420" t="inlineStr">
        <is>
          <t>NORRBOTTENS LÄN</t>
        </is>
      </c>
      <c r="E1420" t="inlineStr">
        <is>
          <t>BODEN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4395-2025</t>
        </is>
      </c>
      <c r="B1421" s="1" t="n">
        <v>45686</v>
      </c>
      <c r="C1421" s="1" t="n">
        <v>45803</v>
      </c>
      <c r="D1421" t="inlineStr">
        <is>
          <t>NORRBOTTENS LÄN</t>
        </is>
      </c>
      <c r="E1421" t="inlineStr">
        <is>
          <t>BODEN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4396-2025</t>
        </is>
      </c>
      <c r="B1422" s="1" t="n">
        <v>45686</v>
      </c>
      <c r="C1422" s="1" t="n">
        <v>45803</v>
      </c>
      <c r="D1422" t="inlineStr">
        <is>
          <t>NORRBOTTENS LÄN</t>
        </is>
      </c>
      <c r="E1422" t="inlineStr">
        <is>
          <t>BODEN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4394-2025</t>
        </is>
      </c>
      <c r="B1423" s="1" t="n">
        <v>45686</v>
      </c>
      <c r="C1423" s="1" t="n">
        <v>45803</v>
      </c>
      <c r="D1423" t="inlineStr">
        <is>
          <t>NORRBOTTENS LÄN</t>
        </is>
      </c>
      <c r="E1423" t="inlineStr">
        <is>
          <t>BODEN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4630-2025</t>
        </is>
      </c>
      <c r="B1424" s="1" t="n">
        <v>45687</v>
      </c>
      <c r="C1424" s="1" t="n">
        <v>45803</v>
      </c>
      <c r="D1424" t="inlineStr">
        <is>
          <t>NORRBOTTENS LÄN</t>
        </is>
      </c>
      <c r="E1424" t="inlineStr">
        <is>
          <t>BODEN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5129-2025</t>
        </is>
      </c>
      <c r="B1425" s="1" t="n">
        <v>45691</v>
      </c>
      <c r="C1425" s="1" t="n">
        <v>45803</v>
      </c>
      <c r="D1425" t="inlineStr">
        <is>
          <t>NORRBOTTENS LÄN</t>
        </is>
      </c>
      <c r="E1425" t="inlineStr">
        <is>
          <t>BODEN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5071-2025</t>
        </is>
      </c>
      <c r="B1426" s="1" t="n">
        <v>45691</v>
      </c>
      <c r="C1426" s="1" t="n">
        <v>45803</v>
      </c>
      <c r="D1426" t="inlineStr">
        <is>
          <t>NORRBOTTENS LÄN</t>
        </is>
      </c>
      <c r="E1426" t="inlineStr">
        <is>
          <t>BODEN</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5451-2025</t>
        </is>
      </c>
      <c r="B1427" s="1" t="n">
        <v>45692</v>
      </c>
      <c r="C1427" s="1" t="n">
        <v>45803</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5452-2025</t>
        </is>
      </c>
      <c r="B1428" s="1" t="n">
        <v>45692</v>
      </c>
      <c r="C1428" s="1" t="n">
        <v>45803</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5792-2025</t>
        </is>
      </c>
      <c r="B1429" s="1" t="n">
        <v>45694</v>
      </c>
      <c r="C1429" s="1" t="n">
        <v>45803</v>
      </c>
      <c r="D1429" t="inlineStr">
        <is>
          <t>NORRBOTTENS LÄN</t>
        </is>
      </c>
      <c r="E1429" t="inlineStr">
        <is>
          <t>BODEN</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5285-2025</t>
        </is>
      </c>
      <c r="B1430" s="1" t="n">
        <v>45694</v>
      </c>
      <c r="C1430" s="1" t="n">
        <v>45803</v>
      </c>
      <c r="D1430" t="inlineStr">
        <is>
          <t>NORRBOTTENS LÄN</t>
        </is>
      </c>
      <c r="E1430" t="inlineStr">
        <is>
          <t>BODEN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6084-2025</t>
        </is>
      </c>
      <c r="B1431" s="1" t="n">
        <v>45697</v>
      </c>
      <c r="C1431" s="1" t="n">
        <v>45803</v>
      </c>
      <c r="D1431" t="inlineStr">
        <is>
          <t>NORRBOTTENS LÄN</t>
        </is>
      </c>
      <c r="E1431" t="inlineStr">
        <is>
          <t>BODEN</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6118-2025</t>
        </is>
      </c>
      <c r="B1432" s="1" t="n">
        <v>45698</v>
      </c>
      <c r="C1432" s="1" t="n">
        <v>45803</v>
      </c>
      <c r="D1432" t="inlineStr">
        <is>
          <t>NORRBOTTENS LÄN</t>
        </is>
      </c>
      <c r="E1432" t="inlineStr">
        <is>
          <t>BODEN</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6119-2025</t>
        </is>
      </c>
      <c r="B1433" s="1" t="n">
        <v>45698</v>
      </c>
      <c r="C1433" s="1" t="n">
        <v>45803</v>
      </c>
      <c r="D1433" t="inlineStr">
        <is>
          <t>NORRBOTTENS LÄN</t>
        </is>
      </c>
      <c r="E1433" t="inlineStr">
        <is>
          <t>BODEN</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7283-2025</t>
        </is>
      </c>
      <c r="B1434" s="1" t="n">
        <v>45702</v>
      </c>
      <c r="C1434" s="1" t="n">
        <v>45803</v>
      </c>
      <c r="D1434" t="inlineStr">
        <is>
          <t>NORRBOTTENS LÄN</t>
        </is>
      </c>
      <c r="E1434" t="inlineStr">
        <is>
          <t>BODEN</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7525-2025</t>
        </is>
      </c>
      <c r="B1435" s="1" t="n">
        <v>45704</v>
      </c>
      <c r="C1435" s="1" t="n">
        <v>45803</v>
      </c>
      <c r="D1435" t="inlineStr">
        <is>
          <t>NORRBOTTENS LÄN</t>
        </is>
      </c>
      <c r="E1435" t="inlineStr">
        <is>
          <t>BODEN</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8016-2025</t>
        </is>
      </c>
      <c r="B1436" s="1" t="n">
        <v>45707</v>
      </c>
      <c r="C1436" s="1" t="n">
        <v>45803</v>
      </c>
      <c r="D1436" t="inlineStr">
        <is>
          <t>NORRBOTTENS LÄN</t>
        </is>
      </c>
      <c r="E1436" t="inlineStr">
        <is>
          <t>BODEN</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8008-2025</t>
        </is>
      </c>
      <c r="B1437" s="1" t="n">
        <v>45707</v>
      </c>
      <c r="C1437" s="1" t="n">
        <v>45803</v>
      </c>
      <c r="D1437" t="inlineStr">
        <is>
          <t>NORRBOTTENS LÄN</t>
        </is>
      </c>
      <c r="E1437" t="inlineStr">
        <is>
          <t>BODEN</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8170-2025</t>
        </is>
      </c>
      <c r="B1438" s="1" t="n">
        <v>45708</v>
      </c>
      <c r="C1438" s="1" t="n">
        <v>45803</v>
      </c>
      <c r="D1438" t="inlineStr">
        <is>
          <t>NORRBOTTENS LÄN</t>
        </is>
      </c>
      <c r="E1438" t="inlineStr">
        <is>
          <t>BODEN</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8150-2025</t>
        </is>
      </c>
      <c r="B1439" s="1" t="n">
        <v>45708</v>
      </c>
      <c r="C1439" s="1" t="n">
        <v>45803</v>
      </c>
      <c r="D1439" t="inlineStr">
        <is>
          <t>NORRBOTTENS LÄN</t>
        </is>
      </c>
      <c r="E1439" t="inlineStr">
        <is>
          <t>BODEN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8571-2025</t>
        </is>
      </c>
      <c r="B1440" s="1" t="n">
        <v>45709</v>
      </c>
      <c r="C1440" s="1" t="n">
        <v>45803</v>
      </c>
      <c r="D1440" t="inlineStr">
        <is>
          <t>NORRBOTTENS LÄN</t>
        </is>
      </c>
      <c r="E1440" t="inlineStr">
        <is>
          <t>BODEN</t>
        </is>
      </c>
      <c r="F1440" t="inlineStr">
        <is>
          <t>Övriga Aktiebolag</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8383-2025</t>
        </is>
      </c>
      <c r="B1441" s="1" t="n">
        <v>45709</v>
      </c>
      <c r="C1441" s="1" t="n">
        <v>45803</v>
      </c>
      <c r="D1441" t="inlineStr">
        <is>
          <t>NORRBOTTENS LÄN</t>
        </is>
      </c>
      <c r="E1441" t="inlineStr">
        <is>
          <t>BODEN</t>
        </is>
      </c>
      <c r="F1441" t="inlineStr">
        <is>
          <t>SCA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8384-2025</t>
        </is>
      </c>
      <c r="B1442" s="1" t="n">
        <v>45709</v>
      </c>
      <c r="C1442" s="1" t="n">
        <v>45803</v>
      </c>
      <c r="D1442" t="inlineStr">
        <is>
          <t>NORRBOTTENS LÄN</t>
        </is>
      </c>
      <c r="E1442" t="inlineStr">
        <is>
          <t>BODEN</t>
        </is>
      </c>
      <c r="F1442" t="inlineStr">
        <is>
          <t>SCA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8932-2025</t>
        </is>
      </c>
      <c r="B1443" s="1" t="n">
        <v>45712</v>
      </c>
      <c r="C1443" s="1" t="n">
        <v>45803</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9314-2025</t>
        </is>
      </c>
      <c r="B1444" s="1" t="n">
        <v>45714</v>
      </c>
      <c r="C1444" s="1" t="n">
        <v>45803</v>
      </c>
      <c r="D1444" t="inlineStr">
        <is>
          <t>NORRBOTTENS LÄN</t>
        </is>
      </c>
      <c r="E1444" t="inlineStr">
        <is>
          <t>BODEN</t>
        </is>
      </c>
      <c r="F1444" t="inlineStr">
        <is>
          <t>SCA</t>
        </is>
      </c>
      <c r="G1444" t="n">
        <v>30</v>
      </c>
      <c r="H1444" t="n">
        <v>0</v>
      </c>
      <c r="I1444" t="n">
        <v>0</v>
      </c>
      <c r="J1444" t="n">
        <v>0</v>
      </c>
      <c r="K1444" t="n">
        <v>0</v>
      </c>
      <c r="L1444" t="n">
        <v>0</v>
      </c>
      <c r="M1444" t="n">
        <v>0</v>
      </c>
      <c r="N1444" t="n">
        <v>0</v>
      </c>
      <c r="O1444" t="n">
        <v>0</v>
      </c>
      <c r="P1444" t="n">
        <v>0</v>
      </c>
      <c r="Q1444" t="n">
        <v>0</v>
      </c>
      <c r="R1444" s="2" t="inlineStr"/>
    </row>
    <row r="1445" ht="15" customHeight="1">
      <c r="A1445" t="inlineStr">
        <is>
          <t>A 9384-2025</t>
        </is>
      </c>
      <c r="B1445" s="1" t="n">
        <v>45715</v>
      </c>
      <c r="C1445" s="1" t="n">
        <v>45803</v>
      </c>
      <c r="D1445" t="inlineStr">
        <is>
          <t>NORRBOTTENS LÄN</t>
        </is>
      </c>
      <c r="E1445" t="inlineStr">
        <is>
          <t>BODEN</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9897-2025</t>
        </is>
      </c>
      <c r="B1446" s="1" t="n">
        <v>45716</v>
      </c>
      <c r="C1446" s="1" t="n">
        <v>45803</v>
      </c>
      <c r="D1446" t="inlineStr">
        <is>
          <t>NORRBOTTENS LÄN</t>
        </is>
      </c>
      <c r="E1446" t="inlineStr">
        <is>
          <t>BODEN</t>
        </is>
      </c>
      <c r="G1446" t="n">
        <v>37.3</v>
      </c>
      <c r="H1446" t="n">
        <v>0</v>
      </c>
      <c r="I1446" t="n">
        <v>0</v>
      </c>
      <c r="J1446" t="n">
        <v>0</v>
      </c>
      <c r="K1446" t="n">
        <v>0</v>
      </c>
      <c r="L1446" t="n">
        <v>0</v>
      </c>
      <c r="M1446" t="n">
        <v>0</v>
      </c>
      <c r="N1446" t="n">
        <v>0</v>
      </c>
      <c r="O1446" t="n">
        <v>0</v>
      </c>
      <c r="P1446" t="n">
        <v>0</v>
      </c>
      <c r="Q1446" t="n">
        <v>0</v>
      </c>
      <c r="R1446" s="2" t="inlineStr"/>
    </row>
    <row r="1447" ht="15" customHeight="1">
      <c r="A1447" t="inlineStr">
        <is>
          <t>A 9940-2025</t>
        </is>
      </c>
      <c r="B1447" s="1" t="n">
        <v>45718</v>
      </c>
      <c r="C1447" s="1" t="n">
        <v>45803</v>
      </c>
      <c r="D1447" t="inlineStr">
        <is>
          <t>NORRBOTTENS LÄN</t>
        </is>
      </c>
      <c r="E1447" t="inlineStr">
        <is>
          <t>BODEN</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10727-2025</t>
        </is>
      </c>
      <c r="B1448" s="1" t="n">
        <v>45722</v>
      </c>
      <c r="C1448" s="1" t="n">
        <v>45803</v>
      </c>
      <c r="D1448" t="inlineStr">
        <is>
          <t>NORRBOTTENS LÄN</t>
        </is>
      </c>
      <c r="E1448" t="inlineStr">
        <is>
          <t>BODEN</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11158-2025</t>
        </is>
      </c>
      <c r="B1449" s="1" t="n">
        <v>45723</v>
      </c>
      <c r="C1449" s="1" t="n">
        <v>45803</v>
      </c>
      <c r="D1449" t="inlineStr">
        <is>
          <t>NORRBOTTENS LÄN</t>
        </is>
      </c>
      <c r="E1449" t="inlineStr">
        <is>
          <t>BODEN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11159-2025</t>
        </is>
      </c>
      <c r="B1450" s="1" t="n">
        <v>45723</v>
      </c>
      <c r="C1450" s="1" t="n">
        <v>45803</v>
      </c>
      <c r="D1450" t="inlineStr">
        <is>
          <t>NORRBOTTENS LÄN</t>
        </is>
      </c>
      <c r="E1450" t="inlineStr">
        <is>
          <t>BODEN</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11865-2025</t>
        </is>
      </c>
      <c r="B1451" s="1" t="n">
        <v>45728</v>
      </c>
      <c r="C1451" s="1" t="n">
        <v>45803</v>
      </c>
      <c r="D1451" t="inlineStr">
        <is>
          <t>NORRBOTTENS LÄN</t>
        </is>
      </c>
      <c r="E1451" t="inlineStr">
        <is>
          <t>BODEN</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12498-2025</t>
        </is>
      </c>
      <c r="B1452" s="1" t="n">
        <v>45730</v>
      </c>
      <c r="C1452" s="1" t="n">
        <v>45803</v>
      </c>
      <c r="D1452" t="inlineStr">
        <is>
          <t>NORRBOTTENS LÄN</t>
        </is>
      </c>
      <c r="E1452" t="inlineStr">
        <is>
          <t>BODEN</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12612-2025</t>
        </is>
      </c>
      <c r="B1453" s="1" t="n">
        <v>45732</v>
      </c>
      <c r="C1453" s="1" t="n">
        <v>45803</v>
      </c>
      <c r="D1453" t="inlineStr">
        <is>
          <t>NORRBOTTENS LÄN</t>
        </is>
      </c>
      <c r="E1453" t="inlineStr">
        <is>
          <t>BODEN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15157-2025</t>
        </is>
      </c>
      <c r="B1454" s="1" t="n">
        <v>45744</v>
      </c>
      <c r="C1454" s="1" t="n">
        <v>45803</v>
      </c>
      <c r="D1454" t="inlineStr">
        <is>
          <t>NORRBOTTENS LÄN</t>
        </is>
      </c>
      <c r="E1454" t="inlineStr">
        <is>
          <t>BODEN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15483-2025</t>
        </is>
      </c>
      <c r="B1455" s="1" t="n">
        <v>45747</v>
      </c>
      <c r="C1455" s="1" t="n">
        <v>45803</v>
      </c>
      <c r="D1455" t="inlineStr">
        <is>
          <t>NORRBOTTENS LÄN</t>
        </is>
      </c>
      <c r="E1455" t="inlineStr">
        <is>
          <t>BODEN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15485-2025</t>
        </is>
      </c>
      <c r="B1456" s="1" t="n">
        <v>45747</v>
      </c>
      <c r="C1456" s="1" t="n">
        <v>45803</v>
      </c>
      <c r="D1456" t="inlineStr">
        <is>
          <t>NORRBOTTENS LÄN</t>
        </is>
      </c>
      <c r="E1456" t="inlineStr">
        <is>
          <t>BODEN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15486-2025</t>
        </is>
      </c>
      <c r="B1457" s="1" t="n">
        <v>45747</v>
      </c>
      <c r="C1457" s="1" t="n">
        <v>45803</v>
      </c>
      <c r="D1457" t="inlineStr">
        <is>
          <t>NORRBOTTENS LÄN</t>
        </is>
      </c>
      <c r="E1457" t="inlineStr">
        <is>
          <t>BODEN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16020-2025</t>
        </is>
      </c>
      <c r="B1458" s="1" t="n">
        <v>45748</v>
      </c>
      <c r="C1458" s="1" t="n">
        <v>45803</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16028-2025</t>
        </is>
      </c>
      <c r="B1459" s="1" t="n">
        <v>45748</v>
      </c>
      <c r="C1459" s="1" t="n">
        <v>45803</v>
      </c>
      <c r="D1459" t="inlineStr">
        <is>
          <t>NORRBOTTENS LÄN</t>
        </is>
      </c>
      <c r="E1459" t="inlineStr">
        <is>
          <t>BODEN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16189-2025</t>
        </is>
      </c>
      <c r="B1460" s="1" t="n">
        <v>45749</v>
      </c>
      <c r="C1460" s="1" t="n">
        <v>45803</v>
      </c>
      <c r="D1460" t="inlineStr">
        <is>
          <t>NORRBOTTENS LÄN</t>
        </is>
      </c>
      <c r="E1460" t="inlineStr">
        <is>
          <t>BODEN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16180-2025</t>
        </is>
      </c>
      <c r="B1461" s="1" t="n">
        <v>45750</v>
      </c>
      <c r="C1461" s="1" t="n">
        <v>45803</v>
      </c>
      <c r="D1461" t="inlineStr">
        <is>
          <t>NORRBOTTENS LÄN</t>
        </is>
      </c>
      <c r="E1461" t="inlineStr">
        <is>
          <t>BODEN</t>
        </is>
      </c>
      <c r="F1461" t="inlineStr">
        <is>
          <t>Övriga Aktiebolag</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16581-2025</t>
        </is>
      </c>
      <c r="B1462" s="1" t="n">
        <v>45752</v>
      </c>
      <c r="C1462" s="1" t="n">
        <v>45803</v>
      </c>
      <c r="D1462" t="inlineStr">
        <is>
          <t>NORRBOTTENS LÄN</t>
        </is>
      </c>
      <c r="E1462" t="inlineStr">
        <is>
          <t>BODEN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17566-2025</t>
        </is>
      </c>
      <c r="B1463" s="1" t="n">
        <v>45757</v>
      </c>
      <c r="C1463" s="1" t="n">
        <v>45803</v>
      </c>
      <c r="D1463" t="inlineStr">
        <is>
          <t>NORRBOTTENS LÄN</t>
        </is>
      </c>
      <c r="E1463" t="inlineStr">
        <is>
          <t>BODEN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17839-2025</t>
        </is>
      </c>
      <c r="B1464" s="1" t="n">
        <v>45758</v>
      </c>
      <c r="C1464" s="1" t="n">
        <v>45803</v>
      </c>
      <c r="D1464" t="inlineStr">
        <is>
          <t>NORRBOTTENS LÄN</t>
        </is>
      </c>
      <c r="E1464" t="inlineStr">
        <is>
          <t>BODEN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18002-2025</t>
        </is>
      </c>
      <c r="B1465" s="1" t="n">
        <v>45761</v>
      </c>
      <c r="C1465" s="1" t="n">
        <v>45803</v>
      </c>
      <c r="D1465" t="inlineStr">
        <is>
          <t>NORRBOTTENS LÄN</t>
        </is>
      </c>
      <c r="E1465" t="inlineStr">
        <is>
          <t>BODEN</t>
        </is>
      </c>
      <c r="F1465" t="inlineStr">
        <is>
          <t>Övriga statliga verk och myndigheter</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18147-2025</t>
        </is>
      </c>
      <c r="B1466" s="1" t="n">
        <v>45761</v>
      </c>
      <c r="C1466" s="1" t="n">
        <v>45803</v>
      </c>
      <c r="D1466" t="inlineStr">
        <is>
          <t>NORRBOTTENS LÄN</t>
        </is>
      </c>
      <c r="E1466" t="inlineStr">
        <is>
          <t>BODEN</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18145-2025</t>
        </is>
      </c>
      <c r="B1467" s="1" t="n">
        <v>45761</v>
      </c>
      <c r="C1467" s="1" t="n">
        <v>45803</v>
      </c>
      <c r="D1467" t="inlineStr">
        <is>
          <t>NORRBOTTENS LÄN</t>
        </is>
      </c>
      <c r="E1467" t="inlineStr">
        <is>
          <t>BODEN</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18173-2025</t>
        </is>
      </c>
      <c r="B1468" s="1" t="n">
        <v>45761</v>
      </c>
      <c r="C1468" s="1" t="n">
        <v>45803</v>
      </c>
      <c r="D1468" t="inlineStr">
        <is>
          <t>NORRBOTTENS LÄN</t>
        </is>
      </c>
      <c r="E1468" t="inlineStr">
        <is>
          <t>BODEN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18436-2025</t>
        </is>
      </c>
      <c r="B1469" s="1" t="n">
        <v>45762</v>
      </c>
      <c r="C1469" s="1" t="n">
        <v>45803</v>
      </c>
      <c r="D1469" t="inlineStr">
        <is>
          <t>NORRBOTTENS LÄN</t>
        </is>
      </c>
      <c r="E1469" t="inlineStr">
        <is>
          <t>BODEN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18428-2025</t>
        </is>
      </c>
      <c r="B1470" s="1" t="n">
        <v>45762</v>
      </c>
      <c r="C1470" s="1" t="n">
        <v>45803</v>
      </c>
      <c r="D1470" t="inlineStr">
        <is>
          <t>NORRBOTTENS LÄN</t>
        </is>
      </c>
      <c r="E1470" t="inlineStr">
        <is>
          <t>BODEN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18672-2025</t>
        </is>
      </c>
      <c r="B1471" s="1" t="n">
        <v>45763</v>
      </c>
      <c r="C1471" s="1" t="n">
        <v>45803</v>
      </c>
      <c r="D1471" t="inlineStr">
        <is>
          <t>NORRBOTTENS LÄN</t>
        </is>
      </c>
      <c r="E1471" t="inlineStr">
        <is>
          <t>BODEN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18673-2025</t>
        </is>
      </c>
      <c r="B1472" s="1" t="n">
        <v>45763</v>
      </c>
      <c r="C1472" s="1" t="n">
        <v>45803</v>
      </c>
      <c r="D1472" t="inlineStr">
        <is>
          <t>NORRBOTTENS LÄN</t>
        </is>
      </c>
      <c r="E1472" t="inlineStr">
        <is>
          <t>BODEN</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18679-2025</t>
        </is>
      </c>
      <c r="B1473" s="1" t="n">
        <v>45763</v>
      </c>
      <c r="C1473" s="1" t="n">
        <v>45803</v>
      </c>
      <c r="D1473" t="inlineStr">
        <is>
          <t>NORRBOTTENS LÄN</t>
        </is>
      </c>
      <c r="E1473" t="inlineStr">
        <is>
          <t>BODEN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18671-2025</t>
        </is>
      </c>
      <c r="B1474" s="1" t="n">
        <v>45763</v>
      </c>
      <c r="C1474" s="1" t="n">
        <v>45803</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18900-2025</t>
        </is>
      </c>
      <c r="B1475" s="1" t="n">
        <v>45764</v>
      </c>
      <c r="C1475" s="1" t="n">
        <v>45803</v>
      </c>
      <c r="D1475" t="inlineStr">
        <is>
          <t>NORRBOTTENS LÄN</t>
        </is>
      </c>
      <c r="E1475" t="inlineStr">
        <is>
          <t>BODEN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18871-2025</t>
        </is>
      </c>
      <c r="B1476" s="1" t="n">
        <v>45764</v>
      </c>
      <c r="C1476" s="1" t="n">
        <v>45803</v>
      </c>
      <c r="D1476" t="inlineStr">
        <is>
          <t>NORRBOTTENS LÄN</t>
        </is>
      </c>
      <c r="E1476" t="inlineStr">
        <is>
          <t>BODEN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18866-2025</t>
        </is>
      </c>
      <c r="B1477" s="1" t="n">
        <v>45764</v>
      </c>
      <c r="C1477" s="1" t="n">
        <v>45803</v>
      </c>
      <c r="D1477" t="inlineStr">
        <is>
          <t>NORRBOTTENS LÄN</t>
        </is>
      </c>
      <c r="E1477" t="inlineStr">
        <is>
          <t>BODEN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18890-2025</t>
        </is>
      </c>
      <c r="B1478" s="1" t="n">
        <v>45764</v>
      </c>
      <c r="C1478" s="1" t="n">
        <v>45803</v>
      </c>
      <c r="D1478" t="inlineStr">
        <is>
          <t>NORRBOTTENS LÄN</t>
        </is>
      </c>
      <c r="E1478" t="inlineStr">
        <is>
          <t>BODEN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18901-2025</t>
        </is>
      </c>
      <c r="B1479" s="1" t="n">
        <v>45764</v>
      </c>
      <c r="C1479" s="1" t="n">
        <v>45803</v>
      </c>
      <c r="D1479" t="inlineStr">
        <is>
          <t>NORRBOTTENS LÄN</t>
        </is>
      </c>
      <c r="E1479" t="inlineStr">
        <is>
          <t>BODEN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18910-2025</t>
        </is>
      </c>
      <c r="B1480" s="1" t="n">
        <v>45764</v>
      </c>
      <c r="C1480" s="1" t="n">
        <v>45803</v>
      </c>
      <c r="D1480" t="inlineStr">
        <is>
          <t>NORRBOTTENS LÄN</t>
        </is>
      </c>
      <c r="E1480" t="inlineStr">
        <is>
          <t>BODEN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19051-2025</t>
        </is>
      </c>
      <c r="B1481" s="1" t="n">
        <v>45764</v>
      </c>
      <c r="C1481" s="1" t="n">
        <v>45803</v>
      </c>
      <c r="D1481" t="inlineStr">
        <is>
          <t>NORRBOTTENS LÄN</t>
        </is>
      </c>
      <c r="E1481" t="inlineStr">
        <is>
          <t>BODEN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19048-2025</t>
        </is>
      </c>
      <c r="B1482" s="1" t="n">
        <v>45764</v>
      </c>
      <c r="C1482" s="1" t="n">
        <v>45803</v>
      </c>
      <c r="D1482" t="inlineStr">
        <is>
          <t>NORRBOTTENS LÄN</t>
        </is>
      </c>
      <c r="E1482" t="inlineStr">
        <is>
          <t>BODEN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19050-2025</t>
        </is>
      </c>
      <c r="B1483" s="1" t="n">
        <v>45764</v>
      </c>
      <c r="C1483" s="1" t="n">
        <v>45803</v>
      </c>
      <c r="D1483" t="inlineStr">
        <is>
          <t>NORRBOTTENS LÄN</t>
        </is>
      </c>
      <c r="E1483" t="inlineStr">
        <is>
          <t>BODEN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18915-2025</t>
        </is>
      </c>
      <c r="B1484" s="1" t="n">
        <v>45764</v>
      </c>
      <c r="C1484" s="1" t="n">
        <v>45803</v>
      </c>
      <c r="D1484" t="inlineStr">
        <is>
          <t>NORRBOTTENS LÄN</t>
        </is>
      </c>
      <c r="E1484" t="inlineStr">
        <is>
          <t>BODEN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19080-2025</t>
        </is>
      </c>
      <c r="B1485" s="1" t="n">
        <v>45766</v>
      </c>
      <c r="C1485" s="1" t="n">
        <v>45803</v>
      </c>
      <c r="D1485" t="inlineStr">
        <is>
          <t>NORRBOTTENS LÄN</t>
        </is>
      </c>
      <c r="E1485" t="inlineStr">
        <is>
          <t>BODEN</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19081-2025</t>
        </is>
      </c>
      <c r="B1486" s="1" t="n">
        <v>45766</v>
      </c>
      <c r="C1486" s="1" t="n">
        <v>45803</v>
      </c>
      <c r="D1486" t="inlineStr">
        <is>
          <t>NORRBOTTENS LÄN</t>
        </is>
      </c>
      <c r="E1486" t="inlineStr">
        <is>
          <t>BODEN</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19082-2025</t>
        </is>
      </c>
      <c r="B1487" s="1" t="n">
        <v>45766</v>
      </c>
      <c r="C1487" s="1" t="n">
        <v>45803</v>
      </c>
      <c r="D1487" t="inlineStr">
        <is>
          <t>NORRBOTTENS LÄN</t>
        </is>
      </c>
      <c r="E1487" t="inlineStr">
        <is>
          <t>BODEN</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19291-2025</t>
        </is>
      </c>
      <c r="B1488" s="1" t="n">
        <v>45769</v>
      </c>
      <c r="C1488" s="1" t="n">
        <v>45803</v>
      </c>
      <c r="D1488" t="inlineStr">
        <is>
          <t>NORRBOTTENS LÄN</t>
        </is>
      </c>
      <c r="E1488" t="inlineStr">
        <is>
          <t>BODEN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19257-2025</t>
        </is>
      </c>
      <c r="B1489" s="1" t="n">
        <v>45769</v>
      </c>
      <c r="C1489" s="1" t="n">
        <v>45803</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19284-2025</t>
        </is>
      </c>
      <c r="B1490" s="1" t="n">
        <v>45769</v>
      </c>
      <c r="C1490" s="1" t="n">
        <v>45803</v>
      </c>
      <c r="D1490" t="inlineStr">
        <is>
          <t>NORRBOTTENS LÄN</t>
        </is>
      </c>
      <c r="E1490" t="inlineStr">
        <is>
          <t>BODEN</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19623-2025</t>
        </is>
      </c>
      <c r="B1491" s="1" t="n">
        <v>45770</v>
      </c>
      <c r="C1491" s="1" t="n">
        <v>45803</v>
      </c>
      <c r="D1491" t="inlineStr">
        <is>
          <t>NORRBOTTENS LÄN</t>
        </is>
      </c>
      <c r="E1491" t="inlineStr">
        <is>
          <t>BODEN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19584-2025</t>
        </is>
      </c>
      <c r="B1492" s="1" t="n">
        <v>45770</v>
      </c>
      <c r="C1492" s="1" t="n">
        <v>45803</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19571-2025</t>
        </is>
      </c>
      <c r="B1493" s="1" t="n">
        <v>45770</v>
      </c>
      <c r="C1493" s="1" t="n">
        <v>45803</v>
      </c>
      <c r="D1493" t="inlineStr">
        <is>
          <t>NORRBOTTENS LÄN</t>
        </is>
      </c>
      <c r="E1493" t="inlineStr">
        <is>
          <t>BODEN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19582-2025</t>
        </is>
      </c>
      <c r="B1494" s="1" t="n">
        <v>45770</v>
      </c>
      <c r="C1494" s="1" t="n">
        <v>45803</v>
      </c>
      <c r="D1494" t="inlineStr">
        <is>
          <t>NORRBOTTENS LÄN</t>
        </is>
      </c>
      <c r="E1494" t="inlineStr">
        <is>
          <t>BODEN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19624-2025</t>
        </is>
      </c>
      <c r="B1495" s="1" t="n">
        <v>45770</v>
      </c>
      <c r="C1495" s="1" t="n">
        <v>45803</v>
      </c>
      <c r="D1495" t="inlineStr">
        <is>
          <t>NORRBOTTENS LÄN</t>
        </is>
      </c>
      <c r="E1495" t="inlineStr">
        <is>
          <t>BODEN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19647-2025</t>
        </is>
      </c>
      <c r="B1496" s="1" t="n">
        <v>45770</v>
      </c>
      <c r="C1496" s="1" t="n">
        <v>45803</v>
      </c>
      <c r="D1496" t="inlineStr">
        <is>
          <t>NORRBOTTENS LÄN</t>
        </is>
      </c>
      <c r="E1496" t="inlineStr">
        <is>
          <t>BODEN</t>
        </is>
      </c>
      <c r="F1496" t="inlineStr">
        <is>
          <t>Sveaskog</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19757-2025</t>
        </is>
      </c>
      <c r="B1497" s="1" t="n">
        <v>45770</v>
      </c>
      <c r="C1497" s="1" t="n">
        <v>45803</v>
      </c>
      <c r="D1497" t="inlineStr">
        <is>
          <t>NORRBOTTENS LÄN</t>
        </is>
      </c>
      <c r="E1497" t="inlineStr">
        <is>
          <t>BODEN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19641-2025</t>
        </is>
      </c>
      <c r="B1498" s="1" t="n">
        <v>45770</v>
      </c>
      <c r="C1498" s="1" t="n">
        <v>45803</v>
      </c>
      <c r="D1498" t="inlineStr">
        <is>
          <t>NORRBOTTENS LÄN</t>
        </is>
      </c>
      <c r="E1498" t="inlineStr">
        <is>
          <t>BODEN</t>
        </is>
      </c>
      <c r="F1498" t="inlineStr">
        <is>
          <t>Sveaskog</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19698-2025</t>
        </is>
      </c>
      <c r="B1499" s="1" t="n">
        <v>45770</v>
      </c>
      <c r="C1499" s="1" t="n">
        <v>45803</v>
      </c>
      <c r="D1499" t="inlineStr">
        <is>
          <t>NORRBOTTENS LÄN</t>
        </is>
      </c>
      <c r="E1499" t="inlineStr">
        <is>
          <t>BODEN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19590-2025</t>
        </is>
      </c>
      <c r="B1500" s="1" t="n">
        <v>45770</v>
      </c>
      <c r="C1500" s="1" t="n">
        <v>45803</v>
      </c>
      <c r="D1500" t="inlineStr">
        <is>
          <t>NORRBOTTENS LÄN</t>
        </is>
      </c>
      <c r="E1500" t="inlineStr">
        <is>
          <t>BODEN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19968-2025</t>
        </is>
      </c>
      <c r="B1501" s="1" t="n">
        <v>45771</v>
      </c>
      <c r="C1501" s="1" t="n">
        <v>45803</v>
      </c>
      <c r="D1501" t="inlineStr">
        <is>
          <t>NORRBOTTENS LÄN</t>
        </is>
      </c>
      <c r="E1501" t="inlineStr">
        <is>
          <t>BODEN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19952-2025</t>
        </is>
      </c>
      <c r="B1502" s="1" t="n">
        <v>45771</v>
      </c>
      <c r="C1502" s="1" t="n">
        <v>45803</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20041-2025</t>
        </is>
      </c>
      <c r="B1503" s="1" t="n">
        <v>45772</v>
      </c>
      <c r="C1503" s="1" t="n">
        <v>45803</v>
      </c>
      <c r="D1503" t="inlineStr">
        <is>
          <t>NORRBOTTENS LÄN</t>
        </is>
      </c>
      <c r="E1503" t="inlineStr">
        <is>
          <t>BODEN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20038-2025</t>
        </is>
      </c>
      <c r="B1504" s="1" t="n">
        <v>45772</v>
      </c>
      <c r="C1504" s="1" t="n">
        <v>45803</v>
      </c>
      <c r="D1504" t="inlineStr">
        <is>
          <t>NORRBOTTENS LÄN</t>
        </is>
      </c>
      <c r="E1504" t="inlineStr">
        <is>
          <t>BODEN</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20029-2025</t>
        </is>
      </c>
      <c r="B1505" s="1" t="n">
        <v>45772</v>
      </c>
      <c r="C1505" s="1" t="n">
        <v>45803</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20030-2025</t>
        </is>
      </c>
      <c r="B1506" s="1" t="n">
        <v>45772</v>
      </c>
      <c r="C1506" s="1" t="n">
        <v>45803</v>
      </c>
      <c r="D1506" t="inlineStr">
        <is>
          <t>NORRBOTTENS LÄN</t>
        </is>
      </c>
      <c r="E1506" t="inlineStr">
        <is>
          <t>BODEN</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20028-2025</t>
        </is>
      </c>
      <c r="B1507" s="1" t="n">
        <v>45772</v>
      </c>
      <c r="C1507" s="1" t="n">
        <v>45803</v>
      </c>
      <c r="D1507" t="inlineStr">
        <is>
          <t>NORRBOTTENS LÄN</t>
        </is>
      </c>
      <c r="E1507" t="inlineStr">
        <is>
          <t>BODEN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20046-2025</t>
        </is>
      </c>
      <c r="B1508" s="1" t="n">
        <v>45772</v>
      </c>
      <c r="C1508" s="1" t="n">
        <v>45803</v>
      </c>
      <c r="D1508" t="inlineStr">
        <is>
          <t>NORRBOTTENS LÄN</t>
        </is>
      </c>
      <c r="E1508" t="inlineStr">
        <is>
          <t>BODEN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20039-2025</t>
        </is>
      </c>
      <c r="B1509" s="1" t="n">
        <v>45772</v>
      </c>
      <c r="C1509" s="1" t="n">
        <v>45803</v>
      </c>
      <c r="D1509" t="inlineStr">
        <is>
          <t>NORRBOTTENS LÄN</t>
        </is>
      </c>
      <c r="E1509" t="inlineStr">
        <is>
          <t>BODEN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20289-2025</t>
        </is>
      </c>
      <c r="B1510" s="1" t="n">
        <v>45774</v>
      </c>
      <c r="C1510" s="1" t="n">
        <v>45803</v>
      </c>
      <c r="D1510" t="inlineStr">
        <is>
          <t>NORRBOTTENS LÄN</t>
        </is>
      </c>
      <c r="E1510" t="inlineStr">
        <is>
          <t>BODEN</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21128-2025</t>
        </is>
      </c>
      <c r="B1511" s="1" t="n">
        <v>45778</v>
      </c>
      <c r="C1511" s="1" t="n">
        <v>45803</v>
      </c>
      <c r="D1511" t="inlineStr">
        <is>
          <t>NORRBOTTENS LÄN</t>
        </is>
      </c>
      <c r="E1511" t="inlineStr">
        <is>
          <t>BODEN</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21349-2025</t>
        </is>
      </c>
      <c r="B1512" s="1" t="n">
        <v>45782</v>
      </c>
      <c r="C1512" s="1" t="n">
        <v>45803</v>
      </c>
      <c r="D1512" t="inlineStr">
        <is>
          <t>NORRBOTTENS LÄN</t>
        </is>
      </c>
      <c r="E1512" t="inlineStr">
        <is>
          <t>BODEN</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21584-2025</t>
        </is>
      </c>
      <c r="B1513" s="1" t="n">
        <v>45783</v>
      </c>
      <c r="C1513" s="1" t="n">
        <v>45803</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22372-2025</t>
        </is>
      </c>
      <c r="B1514" s="1" t="n">
        <v>45786</v>
      </c>
      <c r="C1514" s="1" t="n">
        <v>45803</v>
      </c>
      <c r="D1514" t="inlineStr">
        <is>
          <t>NORRBOTTENS LÄN</t>
        </is>
      </c>
      <c r="E1514" t="inlineStr">
        <is>
          <t>BODEN</t>
        </is>
      </c>
      <c r="F1514" t="inlineStr">
        <is>
          <t>Kommuner</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23044-2025</t>
        </is>
      </c>
      <c r="B1515" s="1" t="n">
        <v>45790</v>
      </c>
      <c r="C1515" s="1" t="n">
        <v>45803</v>
      </c>
      <c r="D1515" t="inlineStr">
        <is>
          <t>NORRBOTTENS LÄN</t>
        </is>
      </c>
      <c r="E1515" t="inlineStr">
        <is>
          <t>BODEN</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23092-2025</t>
        </is>
      </c>
      <c r="B1516" s="1" t="n">
        <v>45791</v>
      </c>
      <c r="C1516" s="1" t="n">
        <v>45803</v>
      </c>
      <c r="D1516" t="inlineStr">
        <is>
          <t>NORRBOTTENS LÄN</t>
        </is>
      </c>
      <c r="E1516" t="inlineStr">
        <is>
          <t>BODEN</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23315-2025</t>
        </is>
      </c>
      <c r="B1517" s="1" t="n">
        <v>45791</v>
      </c>
      <c r="C1517" s="1" t="n">
        <v>45803</v>
      </c>
      <c r="D1517" t="inlineStr">
        <is>
          <t>NORRBOTTENS LÄN</t>
        </is>
      </c>
      <c r="E1517" t="inlineStr">
        <is>
          <t>BODEN</t>
        </is>
      </c>
      <c r="F1517" t="inlineStr">
        <is>
          <t>Sveaskog</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23323-2025</t>
        </is>
      </c>
      <c r="B1518" s="1" t="n">
        <v>45791</v>
      </c>
      <c r="C1518" s="1" t="n">
        <v>45803</v>
      </c>
      <c r="D1518" t="inlineStr">
        <is>
          <t>NORRBOTTENS LÄN</t>
        </is>
      </c>
      <c r="E1518" t="inlineStr">
        <is>
          <t>BODEN</t>
        </is>
      </c>
      <c r="F1518" t="inlineStr">
        <is>
          <t>Sveaskog</t>
        </is>
      </c>
      <c r="G1518" t="n">
        <v>21.8</v>
      </c>
      <c r="H1518" t="n">
        <v>0</v>
      </c>
      <c r="I1518" t="n">
        <v>0</v>
      </c>
      <c r="J1518" t="n">
        <v>0</v>
      </c>
      <c r="K1518" t="n">
        <v>0</v>
      </c>
      <c r="L1518" t="n">
        <v>0</v>
      </c>
      <c r="M1518" t="n">
        <v>0</v>
      </c>
      <c r="N1518" t="n">
        <v>0</v>
      </c>
      <c r="O1518" t="n">
        <v>0</v>
      </c>
      <c r="P1518" t="n">
        <v>0</v>
      </c>
      <c r="Q1518" t="n">
        <v>0</v>
      </c>
      <c r="R1518" s="2" t="inlineStr"/>
    </row>
    <row r="1519" ht="15" customHeight="1">
      <c r="A1519" t="inlineStr">
        <is>
          <t>A 23302-2025</t>
        </is>
      </c>
      <c r="B1519" s="1" t="n">
        <v>45791</v>
      </c>
      <c r="C1519" s="1" t="n">
        <v>45803</v>
      </c>
      <c r="D1519" t="inlineStr">
        <is>
          <t>NORRBOTTENS LÄN</t>
        </is>
      </c>
      <c r="E1519" t="inlineStr">
        <is>
          <t>BODEN</t>
        </is>
      </c>
      <c r="F1519" t="inlineStr">
        <is>
          <t>Sveaskog</t>
        </is>
      </c>
      <c r="G1519" t="n">
        <v>14.5</v>
      </c>
      <c r="H1519" t="n">
        <v>0</v>
      </c>
      <c r="I1519" t="n">
        <v>0</v>
      </c>
      <c r="J1519" t="n">
        <v>0</v>
      </c>
      <c r="K1519" t="n">
        <v>0</v>
      </c>
      <c r="L1519" t="n">
        <v>0</v>
      </c>
      <c r="M1519" t="n">
        <v>0</v>
      </c>
      <c r="N1519" t="n">
        <v>0</v>
      </c>
      <c r="O1519" t="n">
        <v>0</v>
      </c>
      <c r="P1519" t="n">
        <v>0</v>
      </c>
      <c r="Q1519" t="n">
        <v>0</v>
      </c>
      <c r="R1519" s="2" t="inlineStr"/>
    </row>
    <row r="1520" ht="15" customHeight="1">
      <c r="A1520" t="inlineStr">
        <is>
          <t>A 23096-2025</t>
        </is>
      </c>
      <c r="B1520" s="1" t="n">
        <v>45791</v>
      </c>
      <c r="C1520" s="1" t="n">
        <v>45803</v>
      </c>
      <c r="D1520" t="inlineStr">
        <is>
          <t>NORRBOTTENS LÄN</t>
        </is>
      </c>
      <c r="E1520" t="inlineStr">
        <is>
          <t>BODEN</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23321-2025</t>
        </is>
      </c>
      <c r="B1521" s="1" t="n">
        <v>45791</v>
      </c>
      <c r="C1521" s="1" t="n">
        <v>45803</v>
      </c>
      <c r="D1521" t="inlineStr">
        <is>
          <t>NORRBOTTENS LÄN</t>
        </is>
      </c>
      <c r="E1521" t="inlineStr">
        <is>
          <t>BODEN</t>
        </is>
      </c>
      <c r="F1521" t="inlineStr">
        <is>
          <t>Sveaskog</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23361-2025</t>
        </is>
      </c>
      <c r="B1522" s="1" t="n">
        <v>45791</v>
      </c>
      <c r="C1522" s="1" t="n">
        <v>45803</v>
      </c>
      <c r="D1522" t="inlineStr">
        <is>
          <t>NORRBOTTENS LÄN</t>
        </is>
      </c>
      <c r="E1522" t="inlineStr">
        <is>
          <t>BODEN</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23648-2025</t>
        </is>
      </c>
      <c r="B1523" s="1" t="n">
        <v>45792</v>
      </c>
      <c r="C1523" s="1" t="n">
        <v>45803</v>
      </c>
      <c r="D1523" t="inlineStr">
        <is>
          <t>NORRBOTTENS LÄN</t>
        </is>
      </c>
      <c r="E1523" t="inlineStr">
        <is>
          <t>BODEN</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23414-2025</t>
        </is>
      </c>
      <c r="B1524" s="1" t="n">
        <v>45792</v>
      </c>
      <c r="C1524" s="1" t="n">
        <v>45803</v>
      </c>
      <c r="D1524" t="inlineStr">
        <is>
          <t>NORRBOTTENS LÄN</t>
        </is>
      </c>
      <c r="E1524" t="inlineStr">
        <is>
          <t>BODEN</t>
        </is>
      </c>
      <c r="F1524" t="inlineStr">
        <is>
          <t>SCA</t>
        </is>
      </c>
      <c r="G1524" t="n">
        <v>12.7</v>
      </c>
      <c r="H1524" t="n">
        <v>0</v>
      </c>
      <c r="I1524" t="n">
        <v>0</v>
      </c>
      <c r="J1524" t="n">
        <v>0</v>
      </c>
      <c r="K1524" t="n">
        <v>0</v>
      </c>
      <c r="L1524" t="n">
        <v>0</v>
      </c>
      <c r="M1524" t="n">
        <v>0</v>
      </c>
      <c r="N1524" t="n">
        <v>0</v>
      </c>
      <c r="O1524" t="n">
        <v>0</v>
      </c>
      <c r="P1524" t="n">
        <v>0</v>
      </c>
      <c r="Q1524" t="n">
        <v>0</v>
      </c>
      <c r="R1524" s="2" t="inlineStr"/>
    </row>
    <row r="1525" ht="15" customHeight="1">
      <c r="A1525" t="inlineStr">
        <is>
          <t>A 23559-2025</t>
        </is>
      </c>
      <c r="B1525" s="1" t="n">
        <v>45792</v>
      </c>
      <c r="C1525" s="1" t="n">
        <v>45803</v>
      </c>
      <c r="D1525" t="inlineStr">
        <is>
          <t>NORRBOTTENS LÄN</t>
        </is>
      </c>
      <c r="E1525" t="inlineStr">
        <is>
          <t>BODEN</t>
        </is>
      </c>
      <c r="F1525" t="inlineStr">
        <is>
          <t>Sveaskog</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23763-2025</t>
        </is>
      </c>
      <c r="B1526" s="1" t="n">
        <v>45793</v>
      </c>
      <c r="C1526" s="1" t="n">
        <v>45803</v>
      </c>
      <c r="D1526" t="inlineStr">
        <is>
          <t>NORRBOTTENS LÄN</t>
        </is>
      </c>
      <c r="E1526" t="inlineStr">
        <is>
          <t>BODEN</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23761-2025</t>
        </is>
      </c>
      <c r="B1527" s="1" t="n">
        <v>45793</v>
      </c>
      <c r="C1527" s="1" t="n">
        <v>45803</v>
      </c>
      <c r="D1527" t="inlineStr">
        <is>
          <t>NORRBOTTENS LÄN</t>
        </is>
      </c>
      <c r="E1527" t="inlineStr">
        <is>
          <t>BODEN</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23724-2025</t>
        </is>
      </c>
      <c r="B1528" s="1" t="n">
        <v>45793</v>
      </c>
      <c r="C1528" s="1" t="n">
        <v>45803</v>
      </c>
      <c r="D1528" t="inlineStr">
        <is>
          <t>NORRBOTTENS LÄN</t>
        </is>
      </c>
      <c r="E1528" t="inlineStr">
        <is>
          <t>BODEN</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24058-2025</t>
        </is>
      </c>
      <c r="B1529" s="1" t="n">
        <v>45796</v>
      </c>
      <c r="C1529" s="1" t="n">
        <v>45803</v>
      </c>
      <c r="D1529" t="inlineStr">
        <is>
          <t>NORRBOTTENS LÄN</t>
        </is>
      </c>
      <c r="E1529" t="inlineStr">
        <is>
          <t>BODEN</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24134-2025</t>
        </is>
      </c>
      <c r="B1530" s="1" t="n">
        <v>45796</v>
      </c>
      <c r="C1530" s="1" t="n">
        <v>45803</v>
      </c>
      <c r="D1530" t="inlineStr">
        <is>
          <t>NORRBOTTENS LÄN</t>
        </is>
      </c>
      <c r="E1530" t="inlineStr">
        <is>
          <t>BODEN</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24358-2025</t>
        </is>
      </c>
      <c r="B1531" s="1" t="n">
        <v>45797</v>
      </c>
      <c r="C1531" s="1" t="n">
        <v>45803</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24545-2025</t>
        </is>
      </c>
      <c r="B1532" s="1" t="n">
        <v>45798</v>
      </c>
      <c r="C1532" s="1" t="n">
        <v>45803</v>
      </c>
      <c r="D1532" t="inlineStr">
        <is>
          <t>NORRBOTTENS LÄN</t>
        </is>
      </c>
      <c r="E1532" t="inlineStr">
        <is>
          <t>BODEN</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24538-2025</t>
        </is>
      </c>
      <c r="B1533" s="1" t="n">
        <v>45798</v>
      </c>
      <c r="C1533" s="1" t="n">
        <v>45803</v>
      </c>
      <c r="D1533" t="inlineStr">
        <is>
          <t>NORRBOTTENS LÄN</t>
        </is>
      </c>
      <c r="E1533" t="inlineStr">
        <is>
          <t>BODEN</t>
        </is>
      </c>
      <c r="F1533" t="inlineStr">
        <is>
          <t>Sveaskog</t>
        </is>
      </c>
      <c r="G1533" t="n">
        <v>15.8</v>
      </c>
      <c r="H1533" t="n">
        <v>0</v>
      </c>
      <c r="I1533" t="n">
        <v>0</v>
      </c>
      <c r="J1533" t="n">
        <v>0</v>
      </c>
      <c r="K1533" t="n">
        <v>0</v>
      </c>
      <c r="L1533" t="n">
        <v>0</v>
      </c>
      <c r="M1533" t="n">
        <v>0</v>
      </c>
      <c r="N1533" t="n">
        <v>0</v>
      </c>
      <c r="O1533" t="n">
        <v>0</v>
      </c>
      <c r="P1533" t="n">
        <v>0</v>
      </c>
      <c r="Q1533" t="n">
        <v>0</v>
      </c>
      <c r="R1533" s="2" t="inlineStr"/>
    </row>
    <row r="1534" ht="15" customHeight="1">
      <c r="A1534" t="inlineStr">
        <is>
          <t>A 24699-2025</t>
        </is>
      </c>
      <c r="B1534" s="1" t="n">
        <v>45798</v>
      </c>
      <c r="C1534" s="1" t="n">
        <v>45803</v>
      </c>
      <c r="D1534" t="inlineStr">
        <is>
          <t>NORRBOTTENS LÄN</t>
        </is>
      </c>
      <c r="E1534" t="inlineStr">
        <is>
          <t>BODEN</t>
        </is>
      </c>
      <c r="F1534" t="inlineStr">
        <is>
          <t>SCA</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24733-2025</t>
        </is>
      </c>
      <c r="B1535" s="1" t="n">
        <v>45799</v>
      </c>
      <c r="C1535" s="1" t="n">
        <v>45803</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c r="A1536" t="inlineStr">
        <is>
          <t>A 24738-2025</t>
        </is>
      </c>
      <c r="B1536" s="1" t="n">
        <v>45799</v>
      </c>
      <c r="C1536" s="1" t="n">
        <v>45803</v>
      </c>
      <c r="D1536" t="inlineStr">
        <is>
          <t>NORRBOTTENS LÄN</t>
        </is>
      </c>
      <c r="E1536" t="inlineStr">
        <is>
          <t>BODEN</t>
        </is>
      </c>
      <c r="F1536" t="inlineStr">
        <is>
          <t>SCA</t>
        </is>
      </c>
      <c r="G1536" t="n">
        <v>5.1</v>
      </c>
      <c r="H1536" t="n">
        <v>0</v>
      </c>
      <c r="I1536" t="n">
        <v>0</v>
      </c>
      <c r="J1536" t="n">
        <v>0</v>
      </c>
      <c r="K1536" t="n">
        <v>0</v>
      </c>
      <c r="L1536" t="n">
        <v>0</v>
      </c>
      <c r="M1536" t="n">
        <v>0</v>
      </c>
      <c r="N1536" t="n">
        <v>0</v>
      </c>
      <c r="O1536" t="n">
        <v>0</v>
      </c>
      <c r="P1536" t="n">
        <v>0</v>
      </c>
      <c r="Q1536" t="n">
        <v>0</v>
      </c>
      <c r="R1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2025-05-26T17:32:51Z</dcterms:created>
  <dcterms:modified xmlns:dcterms="http://purl.org/dc/terms/" xmlns:xsi="http://www.w3.org/2001/XMLSchema-instance" xsi:type="dcterms:W3CDTF">2025-05-26T17:32:52Z</dcterms:modified>
</cp:coreProperties>
</file>