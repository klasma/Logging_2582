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36599-2023</t>
        </is>
      </c>
      <c r="B2" s="1" t="n">
        <v>45152</v>
      </c>
      <c r="C2" s="1" t="n">
        <v>46200</v>
      </c>
      <c r="D2" t="inlineStr">
        <is>
          <t>NORRBOTTENS LÄN</t>
        </is>
      </c>
      <c r="E2" t="inlineStr">
        <is>
          <t>BODEN</t>
        </is>
      </c>
      <c r="G2" t="n">
        <v>9.699999999999999</v>
      </c>
      <c r="H2" t="n">
        <v>3</v>
      </c>
      <c r="I2" t="n">
        <v>5</v>
      </c>
      <c r="J2" t="n">
        <v>15</v>
      </c>
      <c r="K2" t="n">
        <v>2</v>
      </c>
      <c r="L2" t="n">
        <v>0</v>
      </c>
      <c r="M2" t="n">
        <v>0</v>
      </c>
      <c r="N2" t="n">
        <v>0</v>
      </c>
      <c r="O2" t="n">
        <v>17</v>
      </c>
      <c r="P2" t="n">
        <v>2</v>
      </c>
      <c r="Q2" t="n">
        <v>23</v>
      </c>
      <c r="R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S2">
        <f>HYPERLINK("https://klasma.github.io/Logging_2582/artfynd/A 36599-2023 artfynd.xlsx", "A 36599-2023")</f>
        <v/>
      </c>
      <c r="T2">
        <f>HYPERLINK("https://klasma.github.io/Logging_2582/kartor/A 36599-2023 karta.png", "A 36599-2023")</f>
        <v/>
      </c>
      <c r="U2">
        <f>HYPERLINK("https://klasma.github.io/Logging_2582/knärot/A 36599-2023 karta knärot.png", "A 36599-2023")</f>
        <v/>
      </c>
      <c r="V2">
        <f>HYPERLINK("https://klasma.github.io/Logging_2582/klagomål/A 36599-2023 FSC-klagomål.docx", "A 36599-2023")</f>
        <v/>
      </c>
      <c r="W2">
        <f>HYPERLINK("https://klasma.github.io/Logging_2582/klagomålsmail/A 36599-2023 FSC-klagomål mail.docx", "A 36599-2023")</f>
        <v/>
      </c>
      <c r="X2">
        <f>HYPERLINK("https://klasma.github.io/Logging_2582/tillsyn/A 36599-2023 tillsynsbegäran.docx", "A 36599-2023")</f>
        <v/>
      </c>
      <c r="Y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46200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4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s="1" t="n">
        <v>45152</v>
      </c>
      <c r="C4" s="1" t="n">
        <v>46200</v>
      </c>
      <c r="D4" t="inlineStr">
        <is>
          <t>NORRBOTTENS LÄN</t>
        </is>
      </c>
      <c r="E4" t="inlineStr">
        <is>
          <t>BODEN</t>
        </is>
      </c>
      <c r="G4" t="n">
        <v>7.1</v>
      </c>
      <c r="H4" t="n">
        <v>1</v>
      </c>
      <c r="I4" t="n">
        <v>3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19</v>
      </c>
      <c r="R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S4">
        <f>HYPERLINK("https://klasma.github.io/Logging_2582/artfynd/A 36618-2023 artfynd.xlsx", "A 36618-2023")</f>
        <v/>
      </c>
      <c r="T4">
        <f>HYPERLINK("https://klasma.github.io/Logging_2582/kartor/A 36618-2023 karta.png", "A 36618-2023")</f>
        <v/>
      </c>
      <c r="U4">
        <f>HYPERLINK("https://klasma.github.io/Logging_2582/knärot/A 36618-2023 karta knärot.png", "A 36618-2023")</f>
        <v/>
      </c>
      <c r="V4">
        <f>HYPERLINK("https://klasma.github.io/Logging_2582/klagomål/A 36618-2023 FSC-klagomål.docx", "A 36618-2023")</f>
        <v/>
      </c>
      <c r="W4">
        <f>HYPERLINK("https://klasma.github.io/Logging_2582/klagomålsmail/A 36618-2023 FSC-klagomål mail.docx", "A 36618-2023")</f>
        <v/>
      </c>
      <c r="X4">
        <f>HYPERLINK("https://klasma.github.io/Logging_2582/tillsyn/A 36618-2023 tillsynsbegäran.docx", "A 36618-2023")</f>
        <v/>
      </c>
      <c r="Y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s="1" t="n">
        <v>45068</v>
      </c>
      <c r="C5" s="1" t="n">
        <v>46200</v>
      </c>
      <c r="D5" t="inlineStr">
        <is>
          <t>NORRBOTTENS LÄN</t>
        </is>
      </c>
      <c r="E5" t="inlineStr">
        <is>
          <t>BODEN</t>
        </is>
      </c>
      <c r="G5" t="n">
        <v>4.1</v>
      </c>
      <c r="H5" t="n">
        <v>2</v>
      </c>
      <c r="I5" t="n">
        <v>3</v>
      </c>
      <c r="J5" t="n">
        <v>8</v>
      </c>
      <c r="K5" t="n">
        <v>5</v>
      </c>
      <c r="L5" t="n">
        <v>0</v>
      </c>
      <c r="M5" t="n">
        <v>0</v>
      </c>
      <c r="N5" t="n">
        <v>0</v>
      </c>
      <c r="O5" t="n">
        <v>13</v>
      </c>
      <c r="P5" t="n">
        <v>5</v>
      </c>
      <c r="Q5" t="n">
        <v>16</v>
      </c>
      <c r="R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S5">
        <f>HYPERLINK("https://klasma.github.io/Logging_2582/artfynd/A 22127-2023 artfynd.xlsx", "A 22127-2023")</f>
        <v/>
      </c>
      <c r="T5">
        <f>HYPERLINK("https://klasma.github.io/Logging_2582/kartor/A 22127-2023 karta.png", "A 22127-2023")</f>
        <v/>
      </c>
      <c r="U5">
        <f>HYPERLINK("https://klasma.github.io/Logging_2582/knärot/A 22127-2023 karta knärot.png", "A 22127-2023")</f>
        <v/>
      </c>
      <c r="V5">
        <f>HYPERLINK("https://klasma.github.io/Logging_2582/klagomål/A 22127-2023 FSC-klagomål.docx", "A 22127-2023")</f>
        <v/>
      </c>
      <c r="W5">
        <f>HYPERLINK("https://klasma.github.io/Logging_2582/klagomålsmail/A 22127-2023 FSC-klagomål mail.docx", "A 22127-2023")</f>
        <v/>
      </c>
      <c r="X5">
        <f>HYPERLINK("https://klasma.github.io/Logging_2582/tillsyn/A 22127-2023 tillsynsbegäran.docx", "A 22127-2023")</f>
        <v/>
      </c>
      <c r="Y5">
        <f>HYPERLINK("https://klasma.github.io/Logging_2582/tillsynsmail/A 22127-2023 tillsynsbegäran mail.docx", "A 22127-2023")</f>
        <v/>
      </c>
    </row>
    <row r="6" ht="15" customHeight="1">
      <c r="A6" t="inlineStr">
        <is>
          <t>A 36610-2023</t>
        </is>
      </c>
      <c r="B6" s="1" t="n">
        <v>45152</v>
      </c>
      <c r="C6" s="1" t="n">
        <v>46200</v>
      </c>
      <c r="D6" t="inlineStr">
        <is>
          <t>NORRBOTTENS LÄN</t>
        </is>
      </c>
      <c r="E6" t="inlineStr">
        <is>
          <t>BODEN</t>
        </is>
      </c>
      <c r="G6" t="n">
        <v>5.9</v>
      </c>
      <c r="H6" t="n">
        <v>3</v>
      </c>
      <c r="I6" t="n">
        <v>0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13</v>
      </c>
      <c r="R6" s="2" t="inlineStr">
        <is>
          <t>Garnlav
Gräddporing
Knärot
Blanksvart spiklav
Blågrå svartspik
Dropptaggsvamp
Dvärgbägarlav
Kortskaftad ärgspik
Nordtagging
Ullticka
Vedflamlav
Järpe
Fläcknycklar</t>
        </is>
      </c>
      <c r="S6">
        <f>HYPERLINK("https://klasma.github.io/Logging_2582/artfynd/A 36610-2023 artfynd.xlsx", "A 36610-2023")</f>
        <v/>
      </c>
      <c r="T6">
        <f>HYPERLINK("https://klasma.github.io/Logging_2582/kartor/A 36610-2023 karta.png", "A 36610-2023")</f>
        <v/>
      </c>
      <c r="U6">
        <f>HYPERLINK("https://klasma.github.io/Logging_2582/knärot/A 36610-2023 karta knärot.png", "A 36610-2023")</f>
        <v/>
      </c>
      <c r="V6">
        <f>HYPERLINK("https://klasma.github.io/Logging_2582/klagomål/A 36610-2023 FSC-klagomål.docx", "A 36610-2023")</f>
        <v/>
      </c>
      <c r="W6">
        <f>HYPERLINK("https://klasma.github.io/Logging_2582/klagomålsmail/A 36610-2023 FSC-klagomål mail.docx", "A 36610-2023")</f>
        <v/>
      </c>
      <c r="X6">
        <f>HYPERLINK("https://klasma.github.io/Logging_2582/tillsyn/A 36610-2023 tillsynsbegäran.docx", "A 36610-2023")</f>
        <v/>
      </c>
      <c r="Y6">
        <f>HYPERLINK("https://klasma.github.io/Logging_2582/tillsynsmail/A 36610-2023 tillsynsbegäran mail.docx", "A 36610-2023")</f>
        <v/>
      </c>
      <c r="Z6">
        <f>HYPERLINK("https://klasma.github.io/Logging_2582/fåglar/A 36610-2023 prioriterade fågelarter.docx", "A 36610-2023")</f>
        <v/>
      </c>
    </row>
    <row r="7" ht="15" customHeight="1">
      <c r="A7" t="inlineStr">
        <is>
          <t>A 47547-2022</t>
        </is>
      </c>
      <c r="B7" s="1" t="n">
        <v>44853</v>
      </c>
      <c r="C7" s="1" t="n">
        <v>46200</v>
      </c>
      <c r="D7" t="inlineStr">
        <is>
          <t>NORRBOTTENS LÄN</t>
        </is>
      </c>
      <c r="E7" t="inlineStr">
        <is>
          <t>BODEN</t>
        </is>
      </c>
      <c r="G7" t="n">
        <v>14.6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Garnlav
Blå taggsvamp
Gammelgransskål
Kolflarnlav
Lunglav
Talltita
Tretåig hackspett
Vedskivlav
Bårdlav
Luddlav
Stuplav
Spillkråka
Revlummer</t>
        </is>
      </c>
      <c r="S7">
        <f>HYPERLINK("https://klasma.github.io/Logging_2582/artfynd/A 47547-2022 artfynd.xlsx", "A 47547-2022")</f>
        <v/>
      </c>
      <c r="T7">
        <f>HYPERLINK("https://klasma.github.io/Logging_2582/kartor/A 47547-2022 karta.png", "A 47547-2022")</f>
        <v/>
      </c>
      <c r="V7">
        <f>HYPERLINK("https://klasma.github.io/Logging_2582/klagomål/A 47547-2022 FSC-klagomål.docx", "A 47547-2022")</f>
        <v/>
      </c>
      <c r="W7">
        <f>HYPERLINK("https://klasma.github.io/Logging_2582/klagomålsmail/A 47547-2022 FSC-klagomål mail.docx", "A 47547-2022")</f>
        <v/>
      </c>
      <c r="X7">
        <f>HYPERLINK("https://klasma.github.io/Logging_2582/tillsyn/A 47547-2022 tillsynsbegäran.docx", "A 47547-2022")</f>
        <v/>
      </c>
      <c r="Y7">
        <f>HYPERLINK("https://klasma.github.io/Logging_2582/tillsynsmail/A 47547-2022 tillsynsbegäran mail.docx", "A 47547-2022")</f>
        <v/>
      </c>
      <c r="Z7">
        <f>HYPERLINK("https://klasma.github.io/Logging_2582/fåglar/A 47547-2022 prioriterade fågelarter.docx", "A 47547-2022")</f>
        <v/>
      </c>
    </row>
    <row r="8" ht="15" customHeight="1">
      <c r="A8" t="inlineStr">
        <is>
          <t>A 6243-2023</t>
        </is>
      </c>
      <c r="B8" s="1" t="n">
        <v>44964</v>
      </c>
      <c r="C8" s="1" t="n">
        <v>46200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3.2</v>
      </c>
      <c r="H8" t="n">
        <v>4</v>
      </c>
      <c r="I8" t="n">
        <v>6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11</v>
      </c>
      <c r="R8" s="2" t="inlineStr">
        <is>
          <t>Garnlav
Lunglav
Bårdlav
Källpraktmossa
Luddlav
Skinnlav
Spindelblomster
Stuplav
Tjäder
Fläcknycklar
Revlummer</t>
        </is>
      </c>
      <c r="S8">
        <f>HYPERLINK("https://klasma.github.io/Logging_2582/artfynd/A 6243-2023 artfynd.xlsx", "A 6243-2023")</f>
        <v/>
      </c>
      <c r="T8">
        <f>HYPERLINK("https://klasma.github.io/Logging_2582/kartor/A 6243-2023 karta.png", "A 6243-2023")</f>
        <v/>
      </c>
      <c r="V8">
        <f>HYPERLINK("https://klasma.github.io/Logging_2582/klagomål/A 6243-2023 FSC-klagomål.docx", "A 6243-2023")</f>
        <v/>
      </c>
      <c r="W8">
        <f>HYPERLINK("https://klasma.github.io/Logging_2582/klagomålsmail/A 6243-2023 FSC-klagomål mail.docx", "A 6243-2023")</f>
        <v/>
      </c>
      <c r="X8">
        <f>HYPERLINK("https://klasma.github.io/Logging_2582/tillsyn/A 6243-2023 tillsynsbegäran.docx", "A 6243-2023")</f>
        <v/>
      </c>
      <c r="Y8">
        <f>HYPERLINK("https://klasma.github.io/Logging_2582/tillsynsmail/A 6243-2023 tillsynsbegäran mail.docx", "A 6243-2023")</f>
        <v/>
      </c>
      <c r="Z8">
        <f>HYPERLINK("https://klasma.github.io/Logging_2582/fåglar/A 6243-2023 prioriterade fågelarter.docx", "A 6243-2023")</f>
        <v/>
      </c>
    </row>
    <row r="9" ht="15" customHeight="1">
      <c r="A9" t="inlineStr">
        <is>
          <t>A 49809-2023</t>
        </is>
      </c>
      <c r="B9" s="1" t="n">
        <v>45212</v>
      </c>
      <c r="C9" s="1" t="n">
        <v>46200</v>
      </c>
      <c r="D9" t="inlineStr">
        <is>
          <t>NORRBOTTENS LÄN</t>
        </is>
      </c>
      <c r="E9" t="inlineStr">
        <is>
          <t>BODEN</t>
        </is>
      </c>
      <c r="F9" t="inlineStr">
        <is>
          <t>Sveaskog</t>
        </is>
      </c>
      <c r="G9" t="n">
        <v>5.7</v>
      </c>
      <c r="H9" t="n">
        <v>3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Doftticka
Goliatmusseron
Knärot
Blå taggsvamp
Lunglav
Orange taggsvamp
Skarp dropptaggsvamp
Svartvit taggsvamp
Talltaggsvamp
Spindelblomster</t>
        </is>
      </c>
      <c r="S9">
        <f>HYPERLINK("https://klasma.github.io/Logging_2582/artfynd/A 49809-2023 artfynd.xlsx", "A 49809-2023")</f>
        <v/>
      </c>
      <c r="T9">
        <f>HYPERLINK("https://klasma.github.io/Logging_2582/kartor/A 49809-2023 karta.png", "A 49809-2023")</f>
        <v/>
      </c>
      <c r="U9">
        <f>HYPERLINK("https://klasma.github.io/Logging_2582/knärot/A 49809-2023 karta knärot.png", "A 49809-2023")</f>
        <v/>
      </c>
      <c r="V9">
        <f>HYPERLINK("https://klasma.github.io/Logging_2582/klagomål/A 49809-2023 FSC-klagomål.docx", "A 49809-2023")</f>
        <v/>
      </c>
      <c r="W9">
        <f>HYPERLINK("https://klasma.github.io/Logging_2582/klagomålsmail/A 49809-2023 FSC-klagomål mail.docx", "A 49809-2023")</f>
        <v/>
      </c>
      <c r="X9">
        <f>HYPERLINK("https://klasma.github.io/Logging_2582/tillsyn/A 49809-2023 tillsynsbegäran.docx", "A 49809-2023")</f>
        <v/>
      </c>
      <c r="Y9">
        <f>HYPERLINK("https://klasma.github.io/Logging_2582/tillsynsmail/A 49809-2023 tillsynsbegäran mail.docx", "A 49809-2023")</f>
        <v/>
      </c>
    </row>
    <row r="10" ht="15" customHeight="1">
      <c r="A10" t="inlineStr">
        <is>
          <t>A 55316-2023</t>
        </is>
      </c>
      <c r="B10" s="1" t="n">
        <v>45237</v>
      </c>
      <c r="C10" s="1" t="n">
        <v>46200</v>
      </c>
      <c r="D10" t="inlineStr">
        <is>
          <t>NORRBOTTENS LÄN</t>
        </is>
      </c>
      <c r="E10" t="inlineStr">
        <is>
          <t>BODEN</t>
        </is>
      </c>
      <c r="G10" t="n">
        <v>17.6</v>
      </c>
      <c r="H10" t="n">
        <v>6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10</v>
      </c>
      <c r="R10" s="2" t="inlineStr">
        <is>
          <t>Gammelgransskål
Lunglav
Ullticka
Bollvitmossa
Gråspett
Videsparv
Buskskvätta
Kungsfågel
Svartvit flugsnappare
Revlummer</t>
        </is>
      </c>
      <c r="S10">
        <f>HYPERLINK("https://klasma.github.io/Logging_2582/artfynd/A 55316-2023 artfynd.xlsx", "A 55316-2023")</f>
        <v/>
      </c>
      <c r="T10">
        <f>HYPERLINK("https://klasma.github.io/Logging_2582/kartor/A 55316-2023 karta.png", "A 55316-2023")</f>
        <v/>
      </c>
      <c r="V10">
        <f>HYPERLINK("https://klasma.github.io/Logging_2582/klagomål/A 55316-2023 FSC-klagomål.docx", "A 55316-2023")</f>
        <v/>
      </c>
      <c r="W10">
        <f>HYPERLINK("https://klasma.github.io/Logging_2582/klagomålsmail/A 55316-2023 FSC-klagomål mail.docx", "A 55316-2023")</f>
        <v/>
      </c>
      <c r="X10">
        <f>HYPERLINK("https://klasma.github.io/Logging_2582/tillsyn/A 55316-2023 tillsynsbegäran.docx", "A 55316-2023")</f>
        <v/>
      </c>
      <c r="Y10">
        <f>HYPERLINK("https://klasma.github.io/Logging_2582/tillsynsmail/A 55316-2023 tillsynsbegäran mail.docx", "A 55316-2023")</f>
        <v/>
      </c>
      <c r="Z10">
        <f>HYPERLINK("https://klasma.github.io/Logging_2582/fåglar/A 55316-2023 prioriterade fågelarter.docx", "A 55316-2023")</f>
        <v/>
      </c>
    </row>
    <row r="11" ht="15" customHeight="1">
      <c r="A11" t="inlineStr">
        <is>
          <t>A 23044-2025</t>
        </is>
      </c>
      <c r="B11" s="1" t="n">
        <v>45790</v>
      </c>
      <c r="C11" s="1" t="n">
        <v>46200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6.1</v>
      </c>
      <c r="H11" t="n">
        <v>3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Blå taggsvamp
Dropptaggsvamp
Talltagel
Talltita
Vedflamlav
Vedskivlav
Violmussling
Bollvitmossa
Plattlummer
Tjäder</t>
        </is>
      </c>
      <c r="S11">
        <f>HYPERLINK("https://klasma.github.io/Logging_2582/artfynd/A 23044-2025 artfynd.xlsx", "A 23044-2025")</f>
        <v/>
      </c>
      <c r="T11">
        <f>HYPERLINK("https://klasma.github.io/Logging_2582/kartor/A 23044-2025 karta.png", "A 23044-2025")</f>
        <v/>
      </c>
      <c r="V11">
        <f>HYPERLINK("https://klasma.github.io/Logging_2582/klagomål/A 23044-2025 FSC-klagomål.docx", "A 23044-2025")</f>
        <v/>
      </c>
      <c r="W11">
        <f>HYPERLINK("https://klasma.github.io/Logging_2582/klagomålsmail/A 23044-2025 FSC-klagomål mail.docx", "A 23044-2025")</f>
        <v/>
      </c>
      <c r="X11">
        <f>HYPERLINK("https://klasma.github.io/Logging_2582/tillsyn/A 23044-2025 tillsynsbegäran.docx", "A 23044-2025")</f>
        <v/>
      </c>
      <c r="Y11">
        <f>HYPERLINK("https://klasma.github.io/Logging_2582/tillsynsmail/A 23044-2025 tillsynsbegäran mail.docx", "A 23044-2025")</f>
        <v/>
      </c>
      <c r="Z11">
        <f>HYPERLINK("https://klasma.github.io/Logging_2582/fåglar/A 23044-2025 prioriterade fågelarter.docx", "A 23044-2025")</f>
        <v/>
      </c>
    </row>
    <row r="12" ht="15" customHeight="1">
      <c r="A12" t="inlineStr">
        <is>
          <t>A 56172-2022</t>
        </is>
      </c>
      <c r="B12" s="1" t="n">
        <v>44889</v>
      </c>
      <c r="C12" s="1" t="n">
        <v>46200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4</v>
      </c>
      <c r="H12" t="n">
        <v>0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Garnlav
Lunglav
Stiftgelélav
Violettgrå tagellav
Bårdlav
Luddlav
Rävticka
Skinnlav
Stuplav</t>
        </is>
      </c>
      <c r="S12">
        <f>HYPERLINK("https://klasma.github.io/Logging_2582/artfynd/A 56172-2022 artfynd.xlsx", "A 56172-2022")</f>
        <v/>
      </c>
      <c r="T12">
        <f>HYPERLINK("https://klasma.github.io/Logging_2582/kartor/A 56172-2022 karta.png", "A 56172-2022")</f>
        <v/>
      </c>
      <c r="V12">
        <f>HYPERLINK("https://klasma.github.io/Logging_2582/klagomål/A 56172-2022 FSC-klagomål.docx", "A 56172-2022")</f>
        <v/>
      </c>
      <c r="W12">
        <f>HYPERLINK("https://klasma.github.io/Logging_2582/klagomålsmail/A 56172-2022 FSC-klagomål mail.docx", "A 56172-2022")</f>
        <v/>
      </c>
      <c r="X12">
        <f>HYPERLINK("https://klasma.github.io/Logging_2582/tillsyn/A 56172-2022 tillsynsbegäran.docx", "A 56172-2022")</f>
        <v/>
      </c>
      <c r="Y12">
        <f>HYPERLINK("https://klasma.github.io/Logging_2582/tillsynsmail/A 56172-2022 tillsynsbegäran mail.docx", "A 56172-2022")</f>
        <v/>
      </c>
    </row>
    <row r="13" ht="15" customHeight="1">
      <c r="A13" t="inlineStr">
        <is>
          <t>A 3922-2025</t>
        </is>
      </c>
      <c r="B13" s="1" t="n">
        <v>45684</v>
      </c>
      <c r="C13" s="1" t="n">
        <v>46200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1.9</v>
      </c>
      <c r="H13" t="n">
        <v>2</v>
      </c>
      <c r="I13" t="n">
        <v>0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Garnlav
Dropptaggsvamp
Olisthaerus substriatus
Rosenticka
Talltita
Ullticka
Violmussling
Revlummer</t>
        </is>
      </c>
      <c r="S13">
        <f>HYPERLINK("https://klasma.github.io/Logging_2582/artfynd/A 3922-2025 artfynd.xlsx", "A 3922-2025")</f>
        <v/>
      </c>
      <c r="T13">
        <f>HYPERLINK("https://klasma.github.io/Logging_2582/kartor/A 3922-2025 karta.png", "A 3922-2025")</f>
        <v/>
      </c>
      <c r="V13">
        <f>HYPERLINK("https://klasma.github.io/Logging_2582/klagomål/A 3922-2025 FSC-klagomål.docx", "A 3922-2025")</f>
        <v/>
      </c>
      <c r="W13">
        <f>HYPERLINK("https://klasma.github.io/Logging_2582/klagomålsmail/A 3922-2025 FSC-klagomål mail.docx", "A 3922-2025")</f>
        <v/>
      </c>
      <c r="X13">
        <f>HYPERLINK("https://klasma.github.io/Logging_2582/tillsyn/A 3922-2025 tillsynsbegäran.docx", "A 3922-2025")</f>
        <v/>
      </c>
      <c r="Y13">
        <f>HYPERLINK("https://klasma.github.io/Logging_2582/tillsynsmail/A 3922-2025 tillsynsbegäran mail.docx", "A 3922-2025")</f>
        <v/>
      </c>
      <c r="Z13">
        <f>HYPERLINK("https://klasma.github.io/Logging_2582/fåglar/A 3922-2025 prioriterade fågelarter.docx", "A 3922-2025")</f>
        <v/>
      </c>
    </row>
    <row r="14" ht="15" customHeight="1">
      <c r="A14" t="inlineStr">
        <is>
          <t>A 19812-2025</t>
        </is>
      </c>
      <c r="B14" s="1" t="n">
        <v>45771</v>
      </c>
      <c r="C14" s="1" t="n">
        <v>46200</v>
      </c>
      <c r="D14" t="inlineStr">
        <is>
          <t>NORRBOTTENS LÄN</t>
        </is>
      </c>
      <c r="E14" t="inlineStr">
        <is>
          <t>BODEN</t>
        </is>
      </c>
      <c r="F14" t="inlineStr">
        <is>
          <t>Sveaskog</t>
        </is>
      </c>
      <c r="G14" t="n">
        <v>18.4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Dropptaggsvamp
Höstlåsbräken
Orange taggsvamp
Tallticka
Grönpyrola
Skinnlav
Vedticka</t>
        </is>
      </c>
      <c r="S14">
        <f>HYPERLINK("https://klasma.github.io/Logging_2582/artfynd/A 19812-2025 artfynd.xlsx", "A 19812-2025")</f>
        <v/>
      </c>
      <c r="T14">
        <f>HYPERLINK("https://klasma.github.io/Logging_2582/kartor/A 19812-2025 karta.png", "A 19812-2025")</f>
        <v/>
      </c>
      <c r="U14">
        <f>HYPERLINK("https://klasma.github.io/Logging_2582/knärot/A 19812-2025 karta knärot.png", "A 19812-2025")</f>
        <v/>
      </c>
      <c r="V14">
        <f>HYPERLINK("https://klasma.github.io/Logging_2582/klagomål/A 19812-2025 FSC-klagomål.docx", "A 19812-2025")</f>
        <v/>
      </c>
      <c r="W14">
        <f>HYPERLINK("https://klasma.github.io/Logging_2582/klagomålsmail/A 19812-2025 FSC-klagomål mail.docx", "A 19812-2025")</f>
        <v/>
      </c>
      <c r="X14">
        <f>HYPERLINK("https://klasma.github.io/Logging_2582/tillsyn/A 19812-2025 tillsynsbegäran.docx", "A 19812-2025")</f>
        <v/>
      </c>
      <c r="Y14">
        <f>HYPERLINK("https://klasma.github.io/Logging_2582/tillsynsmail/A 19812-2025 tillsynsbegäran mail.docx", "A 19812-2025")</f>
        <v/>
      </c>
    </row>
    <row r="15" ht="15" customHeight="1">
      <c r="A15" t="inlineStr">
        <is>
          <t>A 49753-2022</t>
        </is>
      </c>
      <c r="B15" s="1" t="n">
        <v>44859</v>
      </c>
      <c r="C15" s="1" t="n">
        <v>46200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21.2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7</v>
      </c>
      <c r="R15" s="2" t="inlineStr">
        <is>
          <t>Garnlav
Motaggsvamp
Talltita
Norrlandslav
Plattlummer
Järpe
Revlummer</t>
        </is>
      </c>
      <c r="S15">
        <f>HYPERLINK("https://klasma.github.io/Logging_2582/artfynd/A 49753-2022 artfynd.xlsx", "A 49753-2022")</f>
        <v/>
      </c>
      <c r="T15">
        <f>HYPERLINK("https://klasma.github.io/Logging_2582/kartor/A 49753-2022 karta.png", "A 49753-2022")</f>
        <v/>
      </c>
      <c r="V15">
        <f>HYPERLINK("https://klasma.github.io/Logging_2582/klagomål/A 49753-2022 FSC-klagomål.docx", "A 49753-2022")</f>
        <v/>
      </c>
      <c r="W15">
        <f>HYPERLINK("https://klasma.github.io/Logging_2582/klagomålsmail/A 49753-2022 FSC-klagomål mail.docx", "A 49753-2022")</f>
        <v/>
      </c>
      <c r="X15">
        <f>HYPERLINK("https://klasma.github.io/Logging_2582/tillsyn/A 49753-2022 tillsynsbegäran.docx", "A 49753-2022")</f>
        <v/>
      </c>
      <c r="Y15">
        <f>HYPERLINK("https://klasma.github.io/Logging_2582/tillsynsmail/A 49753-2022 tillsynsbegäran mail.docx", "A 49753-2022")</f>
        <v/>
      </c>
      <c r="Z15">
        <f>HYPERLINK("https://klasma.github.io/Logging_2582/fåglar/A 49753-2022 prioriterade fågelarter.docx", "A 49753-2022")</f>
        <v/>
      </c>
    </row>
    <row r="16" ht="15" customHeight="1">
      <c r="A16" t="inlineStr">
        <is>
          <t>A 47498-2022</t>
        </is>
      </c>
      <c r="B16" s="1" t="n">
        <v>44853</v>
      </c>
      <c r="C16" s="1" t="n">
        <v>46200</v>
      </c>
      <c r="D16" t="inlineStr">
        <is>
          <t>NORRBOTTENS LÄN</t>
        </is>
      </c>
      <c r="E16" t="inlineStr">
        <is>
          <t>BODEN</t>
        </is>
      </c>
      <c r="F16" t="inlineStr">
        <is>
          <t>Kommuner</t>
        </is>
      </c>
      <c r="G16" t="n">
        <v>2.6</v>
      </c>
      <c r="H16" t="n">
        <v>6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7</v>
      </c>
      <c r="R16" s="2" t="inlineStr">
        <is>
          <t>Tornseglare
Järnsparv
Tretåig hackspett
Strutbräken
Spillkråka
Orre
Ärtsångare</t>
        </is>
      </c>
      <c r="S16">
        <f>HYPERLINK("https://klasma.github.io/Logging_2582/artfynd/A 47498-2022 artfynd.xlsx", "A 47498-2022")</f>
        <v/>
      </c>
      <c r="T16">
        <f>HYPERLINK("https://klasma.github.io/Logging_2582/kartor/A 47498-2022 karta.png", "A 47498-2022")</f>
        <v/>
      </c>
      <c r="V16">
        <f>HYPERLINK("https://klasma.github.io/Logging_2582/klagomål/A 47498-2022 FSC-klagomål.docx", "A 47498-2022")</f>
        <v/>
      </c>
      <c r="W16">
        <f>HYPERLINK("https://klasma.github.io/Logging_2582/klagomålsmail/A 47498-2022 FSC-klagomål mail.docx", "A 47498-2022")</f>
        <v/>
      </c>
      <c r="X16">
        <f>HYPERLINK("https://klasma.github.io/Logging_2582/tillsyn/A 47498-2022 tillsynsbegäran.docx", "A 47498-2022")</f>
        <v/>
      </c>
      <c r="Y16">
        <f>HYPERLINK("https://klasma.github.io/Logging_2582/tillsynsmail/A 47498-2022 tillsynsbegäran mail.docx", "A 47498-2022")</f>
        <v/>
      </c>
      <c r="Z16">
        <f>HYPERLINK("https://klasma.github.io/Logging_2582/fåglar/A 47498-2022 prioriterade fågelarter.docx", "A 47498-2022")</f>
        <v/>
      </c>
    </row>
    <row r="17" ht="15" customHeight="1">
      <c r="A17" t="inlineStr">
        <is>
          <t>A 319-2024</t>
        </is>
      </c>
      <c r="B17" s="1" t="n">
        <v>45295</v>
      </c>
      <c r="C17" s="1" t="n">
        <v>46200</v>
      </c>
      <c r="D17" t="inlineStr">
        <is>
          <t>NORRBOTTENS LÄN</t>
        </is>
      </c>
      <c r="E17" t="inlineStr">
        <is>
          <t>BODEN</t>
        </is>
      </c>
      <c r="G17" t="n">
        <v>4.3</v>
      </c>
      <c r="H17" t="n">
        <v>2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Gammelgransskål
Ullticka
Violettgrå tagellav
Blodticka
Vedticka
Spillkråka
Revlummer</t>
        </is>
      </c>
      <c r="S17">
        <f>HYPERLINK("https://klasma.github.io/Logging_2582/artfynd/A 319-2024 artfynd.xlsx", "A 319-2024")</f>
        <v/>
      </c>
      <c r="T17">
        <f>HYPERLINK("https://klasma.github.io/Logging_2582/kartor/A 319-2024 karta.png", "A 319-2024")</f>
        <v/>
      </c>
      <c r="V17">
        <f>HYPERLINK("https://klasma.github.io/Logging_2582/klagomål/A 319-2024 FSC-klagomål.docx", "A 319-2024")</f>
        <v/>
      </c>
      <c r="W17">
        <f>HYPERLINK("https://klasma.github.io/Logging_2582/klagomålsmail/A 319-2024 FSC-klagomål mail.docx", "A 319-2024")</f>
        <v/>
      </c>
      <c r="X17">
        <f>HYPERLINK("https://klasma.github.io/Logging_2582/tillsyn/A 319-2024 tillsynsbegäran.docx", "A 319-2024")</f>
        <v/>
      </c>
      <c r="Y17">
        <f>HYPERLINK("https://klasma.github.io/Logging_2582/tillsynsmail/A 319-2024 tillsynsbegäran mail.docx", "A 319-2024")</f>
        <v/>
      </c>
      <c r="Z17">
        <f>HYPERLINK("https://klasma.github.io/Logging_2582/fåglar/A 319-2024 prioriterade fågelarter.docx", "A 319-2024")</f>
        <v/>
      </c>
    </row>
    <row r="18" ht="15" customHeight="1">
      <c r="A18" t="inlineStr">
        <is>
          <t>A 19598-2023</t>
        </is>
      </c>
      <c r="B18" s="1" t="n">
        <v>45049</v>
      </c>
      <c r="C18" s="1" t="n">
        <v>46200</v>
      </c>
      <c r="D18" t="inlineStr">
        <is>
          <t>NORRBOTTENS LÄN</t>
        </is>
      </c>
      <c r="E18" t="inlineStr">
        <is>
          <t>BODEN</t>
        </is>
      </c>
      <c r="G18" t="n">
        <v>1.8</v>
      </c>
      <c r="H18" t="n">
        <v>1</v>
      </c>
      <c r="I18" t="n">
        <v>3</v>
      </c>
      <c r="J18" t="n">
        <v>1</v>
      </c>
      <c r="K18" t="n">
        <v>3</v>
      </c>
      <c r="L18" t="n">
        <v>0</v>
      </c>
      <c r="M18" t="n">
        <v>0</v>
      </c>
      <c r="N18" t="n">
        <v>0</v>
      </c>
      <c r="O18" t="n">
        <v>4</v>
      </c>
      <c r="P18" t="n">
        <v>3</v>
      </c>
      <c r="Q18" t="n">
        <v>7</v>
      </c>
      <c r="R18" s="2" t="inlineStr">
        <is>
          <t>Garnlav
Grenlav
Liten hornflikmossa
Vedflikmossa
Bollvitmossa
Källpraktmossa
Lappranunkel</t>
        </is>
      </c>
      <c r="S18">
        <f>HYPERLINK("https://klasma.github.io/Logging_2582/artfynd/A 19598-2023 artfynd.xlsx", "A 19598-2023")</f>
        <v/>
      </c>
      <c r="T18">
        <f>HYPERLINK("https://klasma.github.io/Logging_2582/kartor/A 19598-2023 karta.png", "A 19598-2023")</f>
        <v/>
      </c>
      <c r="V18">
        <f>HYPERLINK("https://klasma.github.io/Logging_2582/klagomål/A 19598-2023 FSC-klagomål.docx", "A 19598-2023")</f>
        <v/>
      </c>
      <c r="W18">
        <f>HYPERLINK("https://klasma.github.io/Logging_2582/klagomålsmail/A 19598-2023 FSC-klagomål mail.docx", "A 19598-2023")</f>
        <v/>
      </c>
      <c r="X18">
        <f>HYPERLINK("https://klasma.github.io/Logging_2582/tillsyn/A 19598-2023 tillsynsbegäran.docx", "A 19598-2023")</f>
        <v/>
      </c>
      <c r="Y18">
        <f>HYPERLINK("https://klasma.github.io/Logging_2582/tillsynsmail/A 19598-2023 tillsynsbegäran mail.docx", "A 19598-2023")</f>
        <v/>
      </c>
    </row>
    <row r="19" ht="15" customHeight="1">
      <c r="A19" t="inlineStr">
        <is>
          <t>A 51389-2022</t>
        </is>
      </c>
      <c r="B19" s="1" t="n">
        <v>44869</v>
      </c>
      <c r="C19" s="1" t="n">
        <v>46200</v>
      </c>
      <c r="D19" t="inlineStr">
        <is>
          <t>NORRBOTTENS LÄN</t>
        </is>
      </c>
      <c r="E19" t="inlineStr">
        <is>
          <t>BODEN</t>
        </is>
      </c>
      <c r="F19" t="inlineStr">
        <is>
          <t>Övriga statliga verk och myndigheter</t>
        </is>
      </c>
      <c r="G19" t="n">
        <v>15.6</v>
      </c>
      <c r="H19" t="n">
        <v>6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Pärluggla
Grönsångare
Talltita
Järpe
Tallbit
Orre</t>
        </is>
      </c>
      <c r="S19">
        <f>HYPERLINK("https://klasma.github.io/Logging_2582/artfynd/A 51389-2022 artfynd.xlsx", "A 51389-2022")</f>
        <v/>
      </c>
      <c r="T19">
        <f>HYPERLINK("https://klasma.github.io/Logging_2582/kartor/A 51389-2022 karta.png", "A 51389-2022")</f>
        <v/>
      </c>
      <c r="V19">
        <f>HYPERLINK("https://klasma.github.io/Logging_2582/klagomål/A 51389-2022 FSC-klagomål.docx", "A 51389-2022")</f>
        <v/>
      </c>
      <c r="W19">
        <f>HYPERLINK("https://klasma.github.io/Logging_2582/klagomålsmail/A 51389-2022 FSC-klagomål mail.docx", "A 51389-2022")</f>
        <v/>
      </c>
      <c r="X19">
        <f>HYPERLINK("https://klasma.github.io/Logging_2582/tillsyn/A 51389-2022 tillsynsbegäran.docx", "A 51389-2022")</f>
        <v/>
      </c>
      <c r="Y19">
        <f>HYPERLINK("https://klasma.github.io/Logging_2582/tillsynsmail/A 51389-2022 tillsynsbegäran mail.docx", "A 51389-2022")</f>
        <v/>
      </c>
      <c r="Z19">
        <f>HYPERLINK("https://klasma.github.io/Logging_2582/fåglar/A 51389-2022 prioriterade fågelarter.docx", "A 51389-2022")</f>
        <v/>
      </c>
    </row>
    <row r="20" ht="15" customHeight="1">
      <c r="A20" t="inlineStr">
        <is>
          <t>A 43653-2021</t>
        </is>
      </c>
      <c r="B20" s="1" t="n">
        <v>44433</v>
      </c>
      <c r="C20" s="1" t="n">
        <v>46200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5.2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Gammelgransskål
Lunglav
Spindelblomster
Ögonpyrola</t>
        </is>
      </c>
      <c r="S20">
        <f>HYPERLINK("https://klasma.github.io/Logging_2582/artfynd/A 43653-2021 artfynd.xlsx", "A 43653-2021")</f>
        <v/>
      </c>
      <c r="T20">
        <f>HYPERLINK("https://klasma.github.io/Logging_2582/kartor/A 43653-2021 karta.png", "A 43653-2021")</f>
        <v/>
      </c>
      <c r="U20">
        <f>HYPERLINK("https://klasma.github.io/Logging_2582/knärot/A 43653-2021 karta knärot.png", "A 43653-2021")</f>
        <v/>
      </c>
      <c r="V20">
        <f>HYPERLINK("https://klasma.github.io/Logging_2582/klagomål/A 43653-2021 FSC-klagomål.docx", "A 43653-2021")</f>
        <v/>
      </c>
      <c r="W20">
        <f>HYPERLINK("https://klasma.github.io/Logging_2582/klagomålsmail/A 43653-2021 FSC-klagomål mail.docx", "A 43653-2021")</f>
        <v/>
      </c>
      <c r="X20">
        <f>HYPERLINK("https://klasma.github.io/Logging_2582/tillsyn/A 43653-2021 tillsynsbegäran.docx", "A 43653-2021")</f>
        <v/>
      </c>
      <c r="Y20">
        <f>HYPERLINK("https://klasma.github.io/Logging_2582/tillsynsmail/A 43653-2021 tillsynsbegäran mail.docx", "A 43653-2021")</f>
        <v/>
      </c>
    </row>
    <row r="21" ht="15" customHeight="1">
      <c r="A21" t="inlineStr">
        <is>
          <t>A 34792-2022</t>
        </is>
      </c>
      <c r="B21" s="1" t="n">
        <v>44795</v>
      </c>
      <c r="C21" s="1" t="n">
        <v>46200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6.7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Gammelgransskål
Lunglav
Ullticka
Grönpyrola</t>
        </is>
      </c>
      <c r="S21">
        <f>HYPERLINK("https://klasma.github.io/Logging_2582/artfynd/A 34792-2022 artfynd.xlsx", "A 34792-2022")</f>
        <v/>
      </c>
      <c r="T21">
        <f>HYPERLINK("https://klasma.github.io/Logging_2582/kartor/A 34792-2022 karta.png", "A 34792-2022")</f>
        <v/>
      </c>
      <c r="U21">
        <f>HYPERLINK("https://klasma.github.io/Logging_2582/knärot/A 34792-2022 karta knärot.png", "A 34792-2022")</f>
        <v/>
      </c>
      <c r="V21">
        <f>HYPERLINK("https://klasma.github.io/Logging_2582/klagomål/A 34792-2022 FSC-klagomål.docx", "A 34792-2022")</f>
        <v/>
      </c>
      <c r="W21">
        <f>HYPERLINK("https://klasma.github.io/Logging_2582/klagomålsmail/A 34792-2022 FSC-klagomål mail.docx", "A 34792-2022")</f>
        <v/>
      </c>
      <c r="X21">
        <f>HYPERLINK("https://klasma.github.io/Logging_2582/tillsyn/A 34792-2022 tillsynsbegäran.docx", "A 34792-2022")</f>
        <v/>
      </c>
      <c r="Y21">
        <f>HYPERLINK("https://klasma.github.io/Logging_2582/tillsynsmail/A 34792-2022 tillsynsbegäran mail.docx", "A 34792-2022")</f>
        <v/>
      </c>
    </row>
    <row r="22" ht="15" customHeight="1">
      <c r="A22" t="inlineStr">
        <is>
          <t>A 58902-2021</t>
        </is>
      </c>
      <c r="B22" s="1" t="n">
        <v>44489</v>
      </c>
      <c r="C22" s="1" t="n">
        <v>46200</v>
      </c>
      <c r="D22" t="inlineStr">
        <is>
          <t>NORRBOTTENS LÄN</t>
        </is>
      </c>
      <c r="E22" t="inlineStr">
        <is>
          <t>BODEN</t>
        </is>
      </c>
      <c r="G22" t="n">
        <v>4.5</v>
      </c>
      <c r="H22" t="n">
        <v>1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Brunpudrad nållav
Enkelbeckasin
Gammelgransskål
Lunglav
Vedticka</t>
        </is>
      </c>
      <c r="S22">
        <f>HYPERLINK("https://klasma.github.io/Logging_2582/artfynd/A 58902-2021 artfynd.xlsx", "A 58902-2021")</f>
        <v/>
      </c>
      <c r="T22">
        <f>HYPERLINK("https://klasma.github.io/Logging_2582/kartor/A 58902-2021 karta.png", "A 58902-2021")</f>
        <v/>
      </c>
      <c r="V22">
        <f>HYPERLINK("https://klasma.github.io/Logging_2582/klagomål/A 58902-2021 FSC-klagomål.docx", "A 58902-2021")</f>
        <v/>
      </c>
      <c r="W22">
        <f>HYPERLINK("https://klasma.github.io/Logging_2582/klagomålsmail/A 58902-2021 FSC-klagomål mail.docx", "A 58902-2021")</f>
        <v/>
      </c>
      <c r="X22">
        <f>HYPERLINK("https://klasma.github.io/Logging_2582/tillsyn/A 58902-2021 tillsynsbegäran.docx", "A 58902-2021")</f>
        <v/>
      </c>
      <c r="Y22">
        <f>HYPERLINK("https://klasma.github.io/Logging_2582/tillsynsmail/A 58902-2021 tillsynsbegäran mail.docx", "A 58902-2021")</f>
        <v/>
      </c>
      <c r="Z22">
        <f>HYPERLINK("https://klasma.github.io/Logging_2582/fåglar/A 58902-2021 prioriterade fågelarter.docx", "A 58902-2021")</f>
        <v/>
      </c>
    </row>
    <row r="23" ht="15" customHeight="1">
      <c r="A23" t="inlineStr">
        <is>
          <t>A 59358-2022</t>
        </is>
      </c>
      <c r="B23" s="1" t="n">
        <v>44904</v>
      </c>
      <c r="C23" s="1" t="n">
        <v>46200</v>
      </c>
      <c r="D23" t="inlineStr">
        <is>
          <t>NORRBOTTENS LÄN</t>
        </is>
      </c>
      <c r="E23" t="inlineStr">
        <is>
          <t>BODEN</t>
        </is>
      </c>
      <c r="G23" t="n">
        <v>1.5</v>
      </c>
      <c r="H23" t="n">
        <v>4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Stare
Rosenfink
Rävticka
Sångsvan
Trana</t>
        </is>
      </c>
      <c r="S23">
        <f>HYPERLINK("https://klasma.github.io/Logging_2582/artfynd/A 59358-2022 artfynd.xlsx", "A 59358-2022")</f>
        <v/>
      </c>
      <c r="T23">
        <f>HYPERLINK("https://klasma.github.io/Logging_2582/kartor/A 59358-2022 karta.png", "A 59358-2022")</f>
        <v/>
      </c>
      <c r="V23">
        <f>HYPERLINK("https://klasma.github.io/Logging_2582/klagomål/A 59358-2022 FSC-klagomål.docx", "A 59358-2022")</f>
        <v/>
      </c>
      <c r="W23">
        <f>HYPERLINK("https://klasma.github.io/Logging_2582/klagomålsmail/A 59358-2022 FSC-klagomål mail.docx", "A 59358-2022")</f>
        <v/>
      </c>
      <c r="X23">
        <f>HYPERLINK("https://klasma.github.io/Logging_2582/tillsyn/A 59358-2022 tillsynsbegäran.docx", "A 59358-2022")</f>
        <v/>
      </c>
      <c r="Y23">
        <f>HYPERLINK("https://klasma.github.io/Logging_2582/tillsynsmail/A 59358-2022 tillsynsbegäran mail.docx", "A 59358-2022")</f>
        <v/>
      </c>
      <c r="Z23">
        <f>HYPERLINK("https://klasma.github.io/Logging_2582/fåglar/A 59358-2022 prioriterade fågelarter.docx", "A 59358-2022")</f>
        <v/>
      </c>
    </row>
    <row r="24" ht="15" customHeight="1">
      <c r="A24" t="inlineStr">
        <is>
          <t>A 31030-2025</t>
        </is>
      </c>
      <c r="B24" s="1" t="n">
        <v>45832</v>
      </c>
      <c r="C24" s="1" t="n">
        <v>46200</v>
      </c>
      <c r="D24" t="inlineStr">
        <is>
          <t>NORRBOTTENS LÄN</t>
        </is>
      </c>
      <c r="E24" t="inlineStr">
        <is>
          <t>BODEN</t>
        </is>
      </c>
      <c r="F24" t="inlineStr">
        <is>
          <t>Sveaskog</t>
        </is>
      </c>
      <c r="G24" t="n">
        <v>11.1</v>
      </c>
      <c r="H24" t="n">
        <v>3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Lunglav
Spindelblomster
Stuplav
Fläcknycklar</t>
        </is>
      </c>
      <c r="S24">
        <f>HYPERLINK("https://klasma.github.io/Logging_2582/artfynd/A 31030-2025 artfynd.xlsx", "A 31030-2025")</f>
        <v/>
      </c>
      <c r="T24">
        <f>HYPERLINK("https://klasma.github.io/Logging_2582/kartor/A 31030-2025 karta.png", "A 31030-2025")</f>
        <v/>
      </c>
      <c r="U24">
        <f>HYPERLINK("https://klasma.github.io/Logging_2582/knärot/A 31030-2025 karta knärot.png", "A 31030-2025")</f>
        <v/>
      </c>
      <c r="V24">
        <f>HYPERLINK("https://klasma.github.io/Logging_2582/klagomål/A 31030-2025 FSC-klagomål.docx", "A 31030-2025")</f>
        <v/>
      </c>
      <c r="W24">
        <f>HYPERLINK("https://klasma.github.io/Logging_2582/klagomålsmail/A 31030-2025 FSC-klagomål mail.docx", "A 31030-2025")</f>
        <v/>
      </c>
      <c r="X24">
        <f>HYPERLINK("https://klasma.github.io/Logging_2582/tillsyn/A 31030-2025 tillsynsbegäran.docx", "A 31030-2025")</f>
        <v/>
      </c>
      <c r="Y24">
        <f>HYPERLINK("https://klasma.github.io/Logging_2582/tillsynsmail/A 31030-2025 tillsynsbegäran mail.docx", "A 31030-2025")</f>
        <v/>
      </c>
    </row>
    <row r="25" ht="15" customHeight="1">
      <c r="A25" t="inlineStr">
        <is>
          <t>A 32309-2025</t>
        </is>
      </c>
      <c r="B25" s="1" t="n">
        <v>45835</v>
      </c>
      <c r="C25" s="1" t="n">
        <v>46200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13.6</v>
      </c>
      <c r="H25" t="n">
        <v>1</v>
      </c>
      <c r="I25" t="n">
        <v>2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5</v>
      </c>
      <c r="R25" s="2" t="inlineStr">
        <is>
          <t>Doftticka
Garnlav
Lunglav
Bårdlav
Stuplav</t>
        </is>
      </c>
      <c r="S25">
        <f>HYPERLINK("https://klasma.github.io/Logging_2582/artfynd/A 32309-2025 artfynd.xlsx", "A 32309-2025")</f>
        <v/>
      </c>
      <c r="T25">
        <f>HYPERLINK("https://klasma.github.io/Logging_2582/kartor/A 32309-2025 karta.png", "A 32309-2025")</f>
        <v/>
      </c>
      <c r="V25">
        <f>HYPERLINK("https://klasma.github.io/Logging_2582/klagomål/A 32309-2025 FSC-klagomål.docx", "A 32309-2025")</f>
        <v/>
      </c>
      <c r="W25">
        <f>HYPERLINK("https://klasma.github.io/Logging_2582/klagomålsmail/A 32309-2025 FSC-klagomål mail.docx", "A 32309-2025")</f>
        <v/>
      </c>
      <c r="X25">
        <f>HYPERLINK("https://klasma.github.io/Logging_2582/tillsyn/A 32309-2025 tillsynsbegäran.docx", "A 32309-2025")</f>
        <v/>
      </c>
      <c r="Y25">
        <f>HYPERLINK("https://klasma.github.io/Logging_2582/tillsynsmail/A 32309-2025 tillsynsbegäran mail.docx", "A 32309-2025")</f>
        <v/>
      </c>
    </row>
    <row r="26" ht="15" customHeight="1">
      <c r="A26" t="inlineStr">
        <is>
          <t>A 43709-2025</t>
        </is>
      </c>
      <c r="B26" s="1" t="n">
        <v>45912</v>
      </c>
      <c r="C26" s="1" t="n">
        <v>46200</v>
      </c>
      <c r="D26" t="inlineStr">
        <is>
          <t>NORRBOTTENS LÄN</t>
        </is>
      </c>
      <c r="E26" t="inlineStr">
        <is>
          <t>BODEN</t>
        </is>
      </c>
      <c r="G26" t="n">
        <v>7.7</v>
      </c>
      <c r="H26" t="n">
        <v>4</v>
      </c>
      <c r="I26" t="n">
        <v>1</v>
      </c>
      <c r="J26" t="n">
        <v>2</v>
      </c>
      <c r="K26" t="n">
        <v>0</v>
      </c>
      <c r="L26" t="n">
        <v>0</v>
      </c>
      <c r="M26" t="n">
        <v>1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Vitryggig hackspett
Talltita
Tretåig hackspett
Björksplintborre
Spillkråka</t>
        </is>
      </c>
      <c r="S26">
        <f>HYPERLINK("https://klasma.github.io/Logging_2582/artfynd/A 43709-2025 artfynd.xlsx", "A 43709-2025")</f>
        <v/>
      </c>
      <c r="T26">
        <f>HYPERLINK("https://klasma.github.io/Logging_2582/kartor/A 43709-2025 karta.png", "A 43709-2025")</f>
        <v/>
      </c>
      <c r="V26">
        <f>HYPERLINK("https://klasma.github.io/Logging_2582/klagomål/A 43709-2025 FSC-klagomål.docx", "A 43709-2025")</f>
        <v/>
      </c>
      <c r="W26">
        <f>HYPERLINK("https://klasma.github.io/Logging_2582/klagomålsmail/A 43709-2025 FSC-klagomål mail.docx", "A 43709-2025")</f>
        <v/>
      </c>
      <c r="X26">
        <f>HYPERLINK("https://klasma.github.io/Logging_2582/tillsyn/A 43709-2025 tillsynsbegäran.docx", "A 43709-2025")</f>
        <v/>
      </c>
      <c r="Y26">
        <f>HYPERLINK("https://klasma.github.io/Logging_2582/tillsynsmail/A 43709-2025 tillsynsbegäran mail.docx", "A 43709-2025")</f>
        <v/>
      </c>
      <c r="Z26">
        <f>HYPERLINK("https://klasma.github.io/Logging_2582/fåglar/A 43709-2025 prioriterade fågelarter.docx", "A 43709-2025")</f>
        <v/>
      </c>
    </row>
    <row r="27" ht="15" customHeight="1">
      <c r="A27" t="inlineStr">
        <is>
          <t>A 19324-2024</t>
        </is>
      </c>
      <c r="B27" s="1" t="n">
        <v>45428</v>
      </c>
      <c r="C27" s="1" t="n">
        <v>46200</v>
      </c>
      <c r="D27" t="inlineStr">
        <is>
          <t>NORRBOTTENS LÄN</t>
        </is>
      </c>
      <c r="E27" t="inlineStr">
        <is>
          <t>BODEN</t>
        </is>
      </c>
      <c r="G27" t="n">
        <v>3.8</v>
      </c>
      <c r="H27" t="n">
        <v>3</v>
      </c>
      <c r="I27" t="n">
        <v>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3</v>
      </c>
      <c r="P27" t="n">
        <v>3</v>
      </c>
      <c r="Q27" t="n">
        <v>5</v>
      </c>
      <c r="R27" s="2" t="inlineStr">
        <is>
          <t>Bitter taggsvamp
Knärot
Norna
Ögonpyrola
Nattviol</t>
        </is>
      </c>
      <c r="S27">
        <f>HYPERLINK("https://klasma.github.io/Logging_2582/artfynd/A 19324-2024 artfynd.xlsx", "A 19324-2024")</f>
        <v/>
      </c>
      <c r="T27">
        <f>HYPERLINK("https://klasma.github.io/Logging_2582/kartor/A 19324-2024 karta.png", "A 19324-2024")</f>
        <v/>
      </c>
      <c r="U27">
        <f>HYPERLINK("https://klasma.github.io/Logging_2582/knärot/A 19324-2024 karta knärot.png", "A 19324-2024")</f>
        <v/>
      </c>
      <c r="V27">
        <f>HYPERLINK("https://klasma.github.io/Logging_2582/klagomål/A 19324-2024 FSC-klagomål.docx", "A 19324-2024")</f>
        <v/>
      </c>
      <c r="W27">
        <f>HYPERLINK("https://klasma.github.io/Logging_2582/klagomålsmail/A 19324-2024 FSC-klagomål mail.docx", "A 19324-2024")</f>
        <v/>
      </c>
      <c r="X27">
        <f>HYPERLINK("https://klasma.github.io/Logging_2582/tillsyn/A 19324-2024 tillsynsbegäran.docx", "A 19324-2024")</f>
        <v/>
      </c>
      <c r="Y27">
        <f>HYPERLINK("https://klasma.github.io/Logging_2582/tillsynsmail/A 19324-2024 tillsynsbegäran mail.docx", "A 19324-2024")</f>
        <v/>
      </c>
    </row>
    <row r="28" ht="15" customHeight="1">
      <c r="A28" t="inlineStr">
        <is>
          <t>A 39868-2025</t>
        </is>
      </c>
      <c r="B28" s="1" t="n">
        <v>45893</v>
      </c>
      <c r="C28" s="1" t="n">
        <v>46200</v>
      </c>
      <c r="D28" t="inlineStr">
        <is>
          <t>NORRBOTTENS LÄN</t>
        </is>
      </c>
      <c r="E28" t="inlineStr">
        <is>
          <t>BODEN</t>
        </is>
      </c>
      <c r="F28" t="inlineStr">
        <is>
          <t>Övriga statliga verk och myndigheter</t>
        </is>
      </c>
      <c r="G28" t="n">
        <v>3.1</v>
      </c>
      <c r="H28" t="n">
        <v>5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Nötkråka
Talltita
Gråspett
Järpe
Spillkråka</t>
        </is>
      </c>
      <c r="S28">
        <f>HYPERLINK("https://klasma.github.io/Logging_2582/artfynd/A 39868-2025 artfynd.xlsx", "A 39868-2025")</f>
        <v/>
      </c>
      <c r="T28">
        <f>HYPERLINK("https://klasma.github.io/Logging_2582/kartor/A 39868-2025 karta.png", "A 39868-2025")</f>
        <v/>
      </c>
      <c r="V28">
        <f>HYPERLINK("https://klasma.github.io/Logging_2582/klagomål/A 39868-2025 FSC-klagomål.docx", "A 39868-2025")</f>
        <v/>
      </c>
      <c r="W28">
        <f>HYPERLINK("https://klasma.github.io/Logging_2582/klagomålsmail/A 39868-2025 FSC-klagomål mail.docx", "A 39868-2025")</f>
        <v/>
      </c>
      <c r="X28">
        <f>HYPERLINK("https://klasma.github.io/Logging_2582/tillsyn/A 39868-2025 tillsynsbegäran.docx", "A 39868-2025")</f>
        <v/>
      </c>
      <c r="Y28">
        <f>HYPERLINK("https://klasma.github.io/Logging_2582/tillsynsmail/A 39868-2025 tillsynsbegäran mail.docx", "A 39868-2025")</f>
        <v/>
      </c>
      <c r="Z28">
        <f>HYPERLINK("https://klasma.github.io/Logging_2582/fåglar/A 39868-2025 prioriterade fågelarter.docx", "A 39868-2025")</f>
        <v/>
      </c>
    </row>
    <row r="29" ht="15" customHeight="1">
      <c r="A29" t="inlineStr">
        <is>
          <t>A 32325-2024</t>
        </is>
      </c>
      <c r="B29" s="1" t="n">
        <v>45512</v>
      </c>
      <c r="C29" s="1" t="n">
        <v>46200</v>
      </c>
      <c r="D29" t="inlineStr">
        <is>
          <t>NORRBOTTENS LÄN</t>
        </is>
      </c>
      <c r="E29" t="inlineStr">
        <is>
          <t>BODEN</t>
        </is>
      </c>
      <c r="F29" t="inlineStr">
        <is>
          <t>Övriga Aktiebolag</t>
        </is>
      </c>
      <c r="G29" t="n">
        <v>36.5</v>
      </c>
      <c r="H29" t="n">
        <v>1</v>
      </c>
      <c r="I29" t="n">
        <v>2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5</v>
      </c>
      <c r="R29" s="2" t="inlineStr">
        <is>
          <t>Garnlav
Knärot
Gammelgransskål
Luddlav
Skinnlav</t>
        </is>
      </c>
      <c r="S29">
        <f>HYPERLINK("https://klasma.github.io/Logging_2582/artfynd/A 32325-2024 artfynd.xlsx", "A 32325-2024")</f>
        <v/>
      </c>
      <c r="T29">
        <f>HYPERLINK("https://klasma.github.io/Logging_2582/kartor/A 32325-2024 karta.png", "A 32325-2024")</f>
        <v/>
      </c>
      <c r="U29">
        <f>HYPERLINK("https://klasma.github.io/Logging_2582/knärot/A 32325-2024 karta knärot.png", "A 32325-2024")</f>
        <v/>
      </c>
      <c r="V29">
        <f>HYPERLINK("https://klasma.github.io/Logging_2582/klagomål/A 32325-2024 FSC-klagomål.docx", "A 32325-2024")</f>
        <v/>
      </c>
      <c r="W29">
        <f>HYPERLINK("https://klasma.github.io/Logging_2582/klagomålsmail/A 32325-2024 FSC-klagomål mail.docx", "A 32325-2024")</f>
        <v/>
      </c>
      <c r="X29">
        <f>HYPERLINK("https://klasma.github.io/Logging_2582/tillsyn/A 32325-2024 tillsynsbegäran.docx", "A 32325-2024")</f>
        <v/>
      </c>
      <c r="Y29">
        <f>HYPERLINK("https://klasma.github.io/Logging_2582/tillsynsmail/A 32325-2024 tillsynsbegäran mail.docx", "A 32325-2024")</f>
        <v/>
      </c>
    </row>
    <row r="30" ht="15" customHeight="1">
      <c r="A30" t="inlineStr">
        <is>
          <t>A 28197-2025</t>
        </is>
      </c>
      <c r="B30" s="1" t="n">
        <v>45818</v>
      </c>
      <c r="C30" s="1" t="n">
        <v>46200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7.2</v>
      </c>
      <c r="H30" t="n">
        <v>2</v>
      </c>
      <c r="I30" t="n">
        <v>1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Knärot
Norna
Lunglav
Stuplav</t>
        </is>
      </c>
      <c r="S30">
        <f>HYPERLINK("https://klasma.github.io/Logging_2582/artfynd/A 28197-2025 artfynd.xlsx", "A 28197-2025")</f>
        <v/>
      </c>
      <c r="T30">
        <f>HYPERLINK("https://klasma.github.io/Logging_2582/kartor/A 28197-2025 karta.png", "A 28197-2025")</f>
        <v/>
      </c>
      <c r="U30">
        <f>HYPERLINK("https://klasma.github.io/Logging_2582/knärot/A 28197-2025 karta knärot.png", "A 28197-2025")</f>
        <v/>
      </c>
      <c r="V30">
        <f>HYPERLINK("https://klasma.github.io/Logging_2582/klagomål/A 28197-2025 FSC-klagomål.docx", "A 28197-2025")</f>
        <v/>
      </c>
      <c r="W30">
        <f>HYPERLINK("https://klasma.github.io/Logging_2582/klagomålsmail/A 28197-2025 FSC-klagomål mail.docx", "A 28197-2025")</f>
        <v/>
      </c>
      <c r="X30">
        <f>HYPERLINK("https://klasma.github.io/Logging_2582/tillsyn/A 28197-2025 tillsynsbegäran.docx", "A 28197-2025")</f>
        <v/>
      </c>
      <c r="Y30">
        <f>HYPERLINK("https://klasma.github.io/Logging_2582/tillsynsmail/A 28197-2025 tillsynsbegäran mail.docx", "A 28197-2025")</f>
        <v/>
      </c>
    </row>
    <row r="31" ht="15" customHeight="1">
      <c r="A31" t="inlineStr">
        <is>
          <t>A 1879-2024</t>
        </is>
      </c>
      <c r="B31" s="1" t="n">
        <v>45307</v>
      </c>
      <c r="C31" s="1" t="n">
        <v>46200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4.5</v>
      </c>
      <c r="H31" t="n">
        <v>0</v>
      </c>
      <c r="I31" t="n">
        <v>1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Garnlav
Ringlav
Skogshare
Bårdlav</t>
        </is>
      </c>
      <c r="S31">
        <f>HYPERLINK("https://klasma.github.io/Logging_2582/artfynd/A 1879-2024 artfynd.xlsx", "A 1879-2024")</f>
        <v/>
      </c>
      <c r="T31">
        <f>HYPERLINK("https://klasma.github.io/Logging_2582/kartor/A 1879-2024 karta.png", "A 1879-2024")</f>
        <v/>
      </c>
      <c r="V31">
        <f>HYPERLINK("https://klasma.github.io/Logging_2582/klagomål/A 1879-2024 FSC-klagomål.docx", "A 1879-2024")</f>
        <v/>
      </c>
      <c r="W31">
        <f>HYPERLINK("https://klasma.github.io/Logging_2582/klagomålsmail/A 1879-2024 FSC-klagomål mail.docx", "A 1879-2024")</f>
        <v/>
      </c>
      <c r="X31">
        <f>HYPERLINK("https://klasma.github.io/Logging_2582/tillsyn/A 1879-2024 tillsynsbegäran.docx", "A 1879-2024")</f>
        <v/>
      </c>
      <c r="Y31">
        <f>HYPERLINK("https://klasma.github.io/Logging_2582/tillsynsmail/A 1879-2024 tillsynsbegäran mail.docx", "A 1879-2024")</f>
        <v/>
      </c>
    </row>
    <row r="32" ht="15" customHeight="1">
      <c r="A32" t="inlineStr">
        <is>
          <t>A 61211-2024</t>
        </is>
      </c>
      <c r="B32" s="1" t="n">
        <v>45645</v>
      </c>
      <c r="C32" s="1" t="n">
        <v>46200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2.7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Skrovlig taggsvamp
Blå taggsvamp
Dropptaggsvamp
Orange taggsvamp</t>
        </is>
      </c>
      <c r="S32">
        <f>HYPERLINK("https://klasma.github.io/Logging_2582/artfynd/A 61211-2024 artfynd.xlsx", "A 61211-2024")</f>
        <v/>
      </c>
      <c r="T32">
        <f>HYPERLINK("https://klasma.github.io/Logging_2582/kartor/A 61211-2024 karta.png", "A 61211-2024")</f>
        <v/>
      </c>
      <c r="V32">
        <f>HYPERLINK("https://klasma.github.io/Logging_2582/klagomål/A 61211-2024 FSC-klagomål.docx", "A 61211-2024")</f>
        <v/>
      </c>
      <c r="W32">
        <f>HYPERLINK("https://klasma.github.io/Logging_2582/klagomålsmail/A 61211-2024 FSC-klagomål mail.docx", "A 61211-2024")</f>
        <v/>
      </c>
      <c r="X32">
        <f>HYPERLINK("https://klasma.github.io/Logging_2582/tillsyn/A 61211-2024 tillsynsbegäran.docx", "A 61211-2024")</f>
        <v/>
      </c>
      <c r="Y32">
        <f>HYPERLINK("https://klasma.github.io/Logging_2582/tillsynsmail/A 61211-2024 tillsynsbegäran mail.docx", "A 61211-2024")</f>
        <v/>
      </c>
    </row>
    <row r="33" ht="15" customHeight="1">
      <c r="A33" t="inlineStr">
        <is>
          <t>A 59028-2025</t>
        </is>
      </c>
      <c r="B33" s="1" t="n">
        <v>45988</v>
      </c>
      <c r="C33" s="1" t="n">
        <v>46200</v>
      </c>
      <c r="D33" t="inlineStr">
        <is>
          <t>NORRBOTTENS LÄN</t>
        </is>
      </c>
      <c r="E33" t="inlineStr">
        <is>
          <t>BODEN</t>
        </is>
      </c>
      <c r="G33" t="n">
        <v>4.3</v>
      </c>
      <c r="H33" t="n">
        <v>0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Goliatmusseron
Skrovlig taggsvamp
Dvärgbägarlav
Skarp dropptaggsvamp</t>
        </is>
      </c>
      <c r="S33">
        <f>HYPERLINK("https://klasma.github.io/Logging_2582/artfynd/A 59028-2025 artfynd.xlsx", "A 59028-2025")</f>
        <v/>
      </c>
      <c r="T33">
        <f>HYPERLINK("https://klasma.github.io/Logging_2582/kartor/A 59028-2025 karta.png", "A 59028-2025")</f>
        <v/>
      </c>
      <c r="V33">
        <f>HYPERLINK("https://klasma.github.io/Logging_2582/klagomål/A 59028-2025 FSC-klagomål.docx", "A 59028-2025")</f>
        <v/>
      </c>
      <c r="W33">
        <f>HYPERLINK("https://klasma.github.io/Logging_2582/klagomålsmail/A 59028-2025 FSC-klagomål mail.docx", "A 59028-2025")</f>
        <v/>
      </c>
      <c r="X33">
        <f>HYPERLINK("https://klasma.github.io/Logging_2582/tillsyn/A 59028-2025 tillsynsbegäran.docx", "A 59028-2025")</f>
        <v/>
      </c>
      <c r="Y33">
        <f>HYPERLINK("https://klasma.github.io/Logging_2582/tillsynsmail/A 59028-2025 tillsynsbegäran mail.docx", "A 59028-2025")</f>
        <v/>
      </c>
    </row>
    <row r="34" ht="15" customHeight="1">
      <c r="A34" t="inlineStr">
        <is>
          <t>A 57526-2025</t>
        </is>
      </c>
      <c r="B34" s="1" t="n">
        <v>45980</v>
      </c>
      <c r="C34" s="1" t="n">
        <v>46200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2.9</v>
      </c>
      <c r="H34" t="n">
        <v>1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Lunglav
Ullticka
Stuplav</t>
        </is>
      </c>
      <c r="S34">
        <f>HYPERLINK("https://klasma.github.io/Logging_2582/artfynd/A 57526-2025 artfynd.xlsx", "A 57526-2025")</f>
        <v/>
      </c>
      <c r="T34">
        <f>HYPERLINK("https://klasma.github.io/Logging_2582/kartor/A 57526-2025 karta.png", "A 57526-2025")</f>
        <v/>
      </c>
      <c r="U34">
        <f>HYPERLINK("https://klasma.github.io/Logging_2582/knärot/A 57526-2025 karta knärot.png", "A 57526-2025")</f>
        <v/>
      </c>
      <c r="V34">
        <f>HYPERLINK("https://klasma.github.io/Logging_2582/klagomål/A 57526-2025 FSC-klagomål.docx", "A 57526-2025")</f>
        <v/>
      </c>
      <c r="W34">
        <f>HYPERLINK("https://klasma.github.io/Logging_2582/klagomålsmail/A 57526-2025 FSC-klagomål mail.docx", "A 57526-2025")</f>
        <v/>
      </c>
      <c r="X34">
        <f>HYPERLINK("https://klasma.github.io/Logging_2582/tillsyn/A 57526-2025 tillsynsbegäran.docx", "A 57526-2025")</f>
        <v/>
      </c>
      <c r="Y34">
        <f>HYPERLINK("https://klasma.github.io/Logging_2582/tillsynsmail/A 57526-2025 tillsynsbegäran mail.docx", "A 57526-2025")</f>
        <v/>
      </c>
    </row>
    <row r="35" ht="15" customHeight="1">
      <c r="A35" t="inlineStr">
        <is>
          <t>A 21475-2026</t>
        </is>
      </c>
      <c r="B35" s="1" t="n">
        <v>46148</v>
      </c>
      <c r="C35" s="1" t="n">
        <v>46200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27.6</v>
      </c>
      <c r="H35" t="n">
        <v>2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Harticka
Tretåig hackspett
Smal svampklubba
Järpe</t>
        </is>
      </c>
      <c r="S35">
        <f>HYPERLINK("https://klasma.github.io/Logging_2582/artfynd/A 21475-2026 artfynd.xlsx", "A 21475-2026")</f>
        <v/>
      </c>
      <c r="T35">
        <f>HYPERLINK("https://klasma.github.io/Logging_2582/kartor/A 21475-2026 karta.png", "A 21475-2026")</f>
        <v/>
      </c>
      <c r="V35">
        <f>HYPERLINK("https://klasma.github.io/Logging_2582/klagomål/A 21475-2026 FSC-klagomål.docx", "A 21475-2026")</f>
        <v/>
      </c>
      <c r="W35">
        <f>HYPERLINK("https://klasma.github.io/Logging_2582/klagomålsmail/A 21475-2026 FSC-klagomål mail.docx", "A 21475-2026")</f>
        <v/>
      </c>
      <c r="X35">
        <f>HYPERLINK("https://klasma.github.io/Logging_2582/tillsyn/A 21475-2026 tillsynsbegäran.docx", "A 21475-2026")</f>
        <v/>
      </c>
      <c r="Y35">
        <f>HYPERLINK("https://klasma.github.io/Logging_2582/tillsynsmail/A 21475-2026 tillsynsbegäran mail.docx", "A 21475-2026")</f>
        <v/>
      </c>
      <c r="Z35">
        <f>HYPERLINK("https://klasma.github.io/Logging_2582/fåglar/A 21475-2026 prioriterade fågelarter.docx", "A 21475-2026")</f>
        <v/>
      </c>
    </row>
    <row r="36" ht="15" customHeight="1">
      <c r="A36" t="inlineStr">
        <is>
          <t>A 28358-2026</t>
        </is>
      </c>
      <c r="B36" s="1" t="n">
        <v>46196</v>
      </c>
      <c r="C36" s="1" t="n">
        <v>46200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7.3</v>
      </c>
      <c r="H36" t="n">
        <v>3</v>
      </c>
      <c r="I36" t="n">
        <v>1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Doftticka
Knärot
Lunglav
Spindelblomster</t>
        </is>
      </c>
      <c r="S36">
        <f>HYPERLINK("https://klasma.github.io/Logging_2582/artfynd/A 28358-2026 artfynd.xlsx", "A 28358-2026")</f>
        <v/>
      </c>
      <c r="T36">
        <f>HYPERLINK("https://klasma.github.io/Logging_2582/kartor/A 28358-2026 karta.png", "A 28358-2026")</f>
        <v/>
      </c>
      <c r="U36">
        <f>HYPERLINK("https://klasma.github.io/Logging_2582/knärot/A 28358-2026 karta knärot.png", "A 28358-2026")</f>
        <v/>
      </c>
      <c r="V36">
        <f>HYPERLINK("https://klasma.github.io/Logging_2582/klagomål/A 28358-2026 FSC-klagomål.docx", "A 28358-2026")</f>
        <v/>
      </c>
      <c r="W36">
        <f>HYPERLINK("https://klasma.github.io/Logging_2582/klagomålsmail/A 28358-2026 FSC-klagomål mail.docx", "A 28358-2026")</f>
        <v/>
      </c>
      <c r="X36">
        <f>HYPERLINK("https://klasma.github.io/Logging_2582/tillsyn/A 28358-2026 tillsynsbegäran.docx", "A 28358-2026")</f>
        <v/>
      </c>
      <c r="Y36">
        <f>HYPERLINK("https://klasma.github.io/Logging_2582/tillsynsmail/A 28358-2026 tillsynsbegäran mail.docx", "A 28358-2026")</f>
        <v/>
      </c>
    </row>
    <row r="37" ht="15" customHeight="1">
      <c r="A37" t="inlineStr">
        <is>
          <t>A 28183-2026</t>
        </is>
      </c>
      <c r="B37" s="1" t="n">
        <v>46195</v>
      </c>
      <c r="C37" s="1" t="n">
        <v>46200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8.199999999999999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Grönpyrola
Fläcknycklar</t>
        </is>
      </c>
      <c r="S37">
        <f>HYPERLINK("https://klasma.github.io/Logging_2582/artfynd/A 28183-2026 artfynd.xlsx", "A 28183-2026")</f>
        <v/>
      </c>
      <c r="T37">
        <f>HYPERLINK("https://klasma.github.io/Logging_2582/kartor/A 28183-2026 karta.png", "A 28183-2026")</f>
        <v/>
      </c>
      <c r="U37">
        <f>HYPERLINK("https://klasma.github.io/Logging_2582/knärot/A 28183-2026 karta knärot.png", "A 28183-2026")</f>
        <v/>
      </c>
      <c r="V37">
        <f>HYPERLINK("https://klasma.github.io/Logging_2582/klagomål/A 28183-2026 FSC-klagomål.docx", "A 28183-2026")</f>
        <v/>
      </c>
      <c r="W37">
        <f>HYPERLINK("https://klasma.github.io/Logging_2582/klagomålsmail/A 28183-2026 FSC-klagomål mail.docx", "A 28183-2026")</f>
        <v/>
      </c>
      <c r="X37">
        <f>HYPERLINK("https://klasma.github.io/Logging_2582/tillsyn/A 28183-2026 tillsynsbegäran.docx", "A 28183-2026")</f>
        <v/>
      </c>
      <c r="Y37">
        <f>HYPERLINK("https://klasma.github.io/Logging_2582/tillsynsmail/A 28183-2026 tillsynsbegäran mail.docx", "A 28183-2026")</f>
        <v/>
      </c>
    </row>
    <row r="38" ht="15" customHeight="1">
      <c r="A38" t="inlineStr">
        <is>
          <t>A 23575-2023</t>
        </is>
      </c>
      <c r="B38" s="1" t="n">
        <v>45077</v>
      </c>
      <c r="C38" s="1" t="n">
        <v>46200</v>
      </c>
      <c r="D38" t="inlineStr">
        <is>
          <t>NORRBOTTENS LÄN</t>
        </is>
      </c>
      <c r="E38" t="inlineStr">
        <is>
          <t>BODEN</t>
        </is>
      </c>
      <c r="G38" t="n">
        <v>7.9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Nordfladdermus
Bollvitmossa</t>
        </is>
      </c>
      <c r="S38">
        <f>HYPERLINK("https://klasma.github.io/Logging_2582/artfynd/A 23575-2023 artfynd.xlsx", "A 23575-2023")</f>
        <v/>
      </c>
      <c r="T38">
        <f>HYPERLINK("https://klasma.github.io/Logging_2582/kartor/A 23575-2023 karta.png", "A 23575-2023")</f>
        <v/>
      </c>
      <c r="V38">
        <f>HYPERLINK("https://klasma.github.io/Logging_2582/klagomål/A 23575-2023 FSC-klagomål.docx", "A 23575-2023")</f>
        <v/>
      </c>
      <c r="W38">
        <f>HYPERLINK("https://klasma.github.io/Logging_2582/klagomålsmail/A 23575-2023 FSC-klagomål mail.docx", "A 23575-2023")</f>
        <v/>
      </c>
      <c r="X38">
        <f>HYPERLINK("https://klasma.github.io/Logging_2582/tillsyn/A 23575-2023 tillsynsbegäran.docx", "A 23575-2023")</f>
        <v/>
      </c>
      <c r="Y38">
        <f>HYPERLINK("https://klasma.github.io/Logging_2582/tillsynsmail/A 23575-2023 tillsynsbegäran mail.docx", "A 23575-2023")</f>
        <v/>
      </c>
    </row>
    <row r="39" ht="15" customHeight="1">
      <c r="A39" t="inlineStr">
        <is>
          <t>A 29150-2023</t>
        </is>
      </c>
      <c r="B39" s="1" t="n">
        <v>45105</v>
      </c>
      <c r="C39" s="1" t="n">
        <v>46200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Urskogsänger
Björkplattnos
Månlåsbräken</t>
        </is>
      </c>
      <c r="S39">
        <f>HYPERLINK("https://klasma.github.io/Logging_2582/artfynd/A 29150-2023 artfynd.xlsx", "A 29150-2023")</f>
        <v/>
      </c>
      <c r="T39">
        <f>HYPERLINK("https://klasma.github.io/Logging_2582/kartor/A 29150-2023 karta.png", "A 29150-2023")</f>
        <v/>
      </c>
      <c r="V39">
        <f>HYPERLINK("https://klasma.github.io/Logging_2582/klagomål/A 29150-2023 FSC-klagomål.docx", "A 29150-2023")</f>
        <v/>
      </c>
      <c r="W39">
        <f>HYPERLINK("https://klasma.github.io/Logging_2582/klagomålsmail/A 29150-2023 FSC-klagomål mail.docx", "A 29150-2023")</f>
        <v/>
      </c>
      <c r="X39">
        <f>HYPERLINK("https://klasma.github.io/Logging_2582/tillsyn/A 29150-2023 tillsynsbegäran.docx", "A 29150-2023")</f>
        <v/>
      </c>
      <c r="Y39">
        <f>HYPERLINK("https://klasma.github.io/Logging_2582/tillsynsmail/A 29150-2023 tillsynsbegäran mail.docx", "A 29150-2023")</f>
        <v/>
      </c>
    </row>
    <row r="40" ht="15" customHeight="1">
      <c r="A40" t="inlineStr">
        <is>
          <t>A 37014-2023</t>
        </is>
      </c>
      <c r="B40" s="1" t="n">
        <v>45155</v>
      </c>
      <c r="C40" s="1" t="n">
        <v>46200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2.4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Garnlav
Talltita
Stuplav</t>
        </is>
      </c>
      <c r="S40">
        <f>HYPERLINK("https://klasma.github.io/Logging_2582/artfynd/A 37014-2023 artfynd.xlsx", "A 37014-2023")</f>
        <v/>
      </c>
      <c r="T40">
        <f>HYPERLINK("https://klasma.github.io/Logging_2582/kartor/A 37014-2023 karta.png", "A 37014-2023")</f>
        <v/>
      </c>
      <c r="V40">
        <f>HYPERLINK("https://klasma.github.io/Logging_2582/klagomål/A 37014-2023 FSC-klagomål.docx", "A 37014-2023")</f>
        <v/>
      </c>
      <c r="W40">
        <f>HYPERLINK("https://klasma.github.io/Logging_2582/klagomålsmail/A 37014-2023 FSC-klagomål mail.docx", "A 37014-2023")</f>
        <v/>
      </c>
      <c r="X40">
        <f>HYPERLINK("https://klasma.github.io/Logging_2582/tillsyn/A 37014-2023 tillsynsbegäran.docx", "A 37014-2023")</f>
        <v/>
      </c>
      <c r="Y40">
        <f>HYPERLINK("https://klasma.github.io/Logging_2582/tillsynsmail/A 37014-2023 tillsynsbegäran mail.docx", "A 37014-2023")</f>
        <v/>
      </c>
      <c r="Z40">
        <f>HYPERLINK("https://klasma.github.io/Logging_2582/fåglar/A 37014-2023 prioriterade fågelarter.docx", "A 37014-2023")</f>
        <v/>
      </c>
    </row>
    <row r="41" ht="15" customHeight="1">
      <c r="A41" t="inlineStr">
        <is>
          <t>A 28267-2025</t>
        </is>
      </c>
      <c r="B41" s="1" t="n">
        <v>45818</v>
      </c>
      <c r="C41" s="1" t="n">
        <v>46200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2.6</v>
      </c>
      <c r="H41" t="n">
        <v>2</v>
      </c>
      <c r="I41" t="n">
        <v>0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3</v>
      </c>
      <c r="R41" s="2" t="inlineStr">
        <is>
          <t>Doftticka
Knärot
Lunglav</t>
        </is>
      </c>
      <c r="S41">
        <f>HYPERLINK("https://klasma.github.io/Logging_2582/artfynd/A 28267-2025 artfynd.xlsx", "A 28267-2025")</f>
        <v/>
      </c>
      <c r="T41">
        <f>HYPERLINK("https://klasma.github.io/Logging_2582/kartor/A 28267-2025 karta.png", "A 28267-2025")</f>
        <v/>
      </c>
      <c r="U41">
        <f>HYPERLINK("https://klasma.github.io/Logging_2582/knärot/A 28267-2025 karta knärot.png", "A 28267-2025")</f>
        <v/>
      </c>
      <c r="V41">
        <f>HYPERLINK("https://klasma.github.io/Logging_2582/klagomål/A 28267-2025 FSC-klagomål.docx", "A 28267-2025")</f>
        <v/>
      </c>
      <c r="W41">
        <f>HYPERLINK("https://klasma.github.io/Logging_2582/klagomålsmail/A 28267-2025 FSC-klagomål mail.docx", "A 28267-2025")</f>
        <v/>
      </c>
      <c r="X41">
        <f>HYPERLINK("https://klasma.github.io/Logging_2582/tillsyn/A 28267-2025 tillsynsbegäran.docx", "A 28267-2025")</f>
        <v/>
      </c>
      <c r="Y41">
        <f>HYPERLINK("https://klasma.github.io/Logging_2582/tillsynsmail/A 28267-2025 tillsynsbegäran mail.docx", "A 28267-2025")</f>
        <v/>
      </c>
    </row>
    <row r="42" ht="15" customHeight="1">
      <c r="A42" t="inlineStr">
        <is>
          <t>A 29797-2022</t>
        </is>
      </c>
      <c r="B42" s="1" t="n">
        <v>44755</v>
      </c>
      <c r="C42" s="1" t="n">
        <v>46200</v>
      </c>
      <c r="D42" t="inlineStr">
        <is>
          <t>NORRBOTTENS LÄN</t>
        </is>
      </c>
      <c r="E42" t="inlineStr">
        <is>
          <t>BODEN</t>
        </is>
      </c>
      <c r="F42" t="inlineStr">
        <is>
          <t>Kyrkan</t>
        </is>
      </c>
      <c r="G42" t="n">
        <v>29.2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Vanlig groda
Vanlig padda
Revlummer</t>
        </is>
      </c>
      <c r="S42">
        <f>HYPERLINK("https://klasma.github.io/Logging_2582/artfynd/A 29797-2022 artfynd.xlsx", "A 29797-2022")</f>
        <v/>
      </c>
      <c r="T42">
        <f>HYPERLINK("https://klasma.github.io/Logging_2582/kartor/A 29797-2022 karta.png", "A 29797-2022")</f>
        <v/>
      </c>
      <c r="V42">
        <f>HYPERLINK("https://klasma.github.io/Logging_2582/klagomål/A 29797-2022 FSC-klagomål.docx", "A 29797-2022")</f>
        <v/>
      </c>
      <c r="W42">
        <f>HYPERLINK("https://klasma.github.io/Logging_2582/klagomålsmail/A 29797-2022 FSC-klagomål mail.docx", "A 29797-2022")</f>
        <v/>
      </c>
      <c r="X42">
        <f>HYPERLINK("https://klasma.github.io/Logging_2582/tillsyn/A 29797-2022 tillsynsbegäran.docx", "A 29797-2022")</f>
        <v/>
      </c>
      <c r="Y42">
        <f>HYPERLINK("https://klasma.github.io/Logging_2582/tillsynsmail/A 29797-2022 tillsynsbegäran mail.docx", "A 29797-2022")</f>
        <v/>
      </c>
    </row>
    <row r="43" ht="15" customHeight="1">
      <c r="A43" t="inlineStr">
        <is>
          <t>A 47929-2025</t>
        </is>
      </c>
      <c r="B43" s="1" t="n">
        <v>45932</v>
      </c>
      <c r="C43" s="1" t="n">
        <v>46200</v>
      </c>
      <c r="D43" t="inlineStr">
        <is>
          <t>NORRBOTTENS LÄN</t>
        </is>
      </c>
      <c r="E43" t="inlineStr">
        <is>
          <t>BODEN</t>
        </is>
      </c>
      <c r="G43" t="n">
        <v>7.5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Garnlav
Skinnlav
Fläcknycklar</t>
        </is>
      </c>
      <c r="S43">
        <f>HYPERLINK("https://klasma.github.io/Logging_2582/artfynd/A 47929-2025 artfynd.xlsx", "A 47929-2025")</f>
        <v/>
      </c>
      <c r="T43">
        <f>HYPERLINK("https://klasma.github.io/Logging_2582/kartor/A 47929-2025 karta.png", "A 47929-2025")</f>
        <v/>
      </c>
      <c r="V43">
        <f>HYPERLINK("https://klasma.github.io/Logging_2582/klagomål/A 47929-2025 FSC-klagomål.docx", "A 47929-2025")</f>
        <v/>
      </c>
      <c r="W43">
        <f>HYPERLINK("https://klasma.github.io/Logging_2582/klagomålsmail/A 47929-2025 FSC-klagomål mail.docx", "A 47929-2025")</f>
        <v/>
      </c>
      <c r="X43">
        <f>HYPERLINK("https://klasma.github.io/Logging_2582/tillsyn/A 47929-2025 tillsynsbegäran.docx", "A 47929-2025")</f>
        <v/>
      </c>
      <c r="Y43">
        <f>HYPERLINK("https://klasma.github.io/Logging_2582/tillsynsmail/A 47929-2025 tillsynsbegäran mail.docx", "A 47929-2025")</f>
        <v/>
      </c>
    </row>
    <row r="44" ht="15" customHeight="1">
      <c r="A44" t="inlineStr">
        <is>
          <t>A 48220-2025</t>
        </is>
      </c>
      <c r="B44" s="1" t="n">
        <v>45933</v>
      </c>
      <c r="C44" s="1" t="n">
        <v>46200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Garnlav
Gammelgransskål
Spillkråka</t>
        </is>
      </c>
      <c r="S44">
        <f>HYPERLINK("https://klasma.github.io/Logging_2582/artfynd/A 48220-2025 artfynd.xlsx", "A 48220-2025")</f>
        <v/>
      </c>
      <c r="T44">
        <f>HYPERLINK("https://klasma.github.io/Logging_2582/kartor/A 48220-2025 karta.png", "A 48220-2025")</f>
        <v/>
      </c>
      <c r="V44">
        <f>HYPERLINK("https://klasma.github.io/Logging_2582/klagomål/A 48220-2025 FSC-klagomål.docx", "A 48220-2025")</f>
        <v/>
      </c>
      <c r="W44">
        <f>HYPERLINK("https://klasma.github.io/Logging_2582/klagomålsmail/A 48220-2025 FSC-klagomål mail.docx", "A 48220-2025")</f>
        <v/>
      </c>
      <c r="X44">
        <f>HYPERLINK("https://klasma.github.io/Logging_2582/tillsyn/A 48220-2025 tillsynsbegäran.docx", "A 48220-2025")</f>
        <v/>
      </c>
      <c r="Y44">
        <f>HYPERLINK("https://klasma.github.io/Logging_2582/tillsynsmail/A 48220-2025 tillsynsbegäran mail.docx", "A 48220-2025")</f>
        <v/>
      </c>
      <c r="Z44">
        <f>HYPERLINK("https://klasma.github.io/Logging_2582/fåglar/A 48220-2025 prioriterade fågelarter.docx", "A 48220-2025")</f>
        <v/>
      </c>
    </row>
    <row r="45" ht="15" customHeight="1">
      <c r="A45" t="inlineStr">
        <is>
          <t>A 43719-2025</t>
        </is>
      </c>
      <c r="B45" s="1" t="n">
        <v>45912</v>
      </c>
      <c r="C45" s="1" t="n">
        <v>46200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1.1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Liten hornflikmossa
Vedtrappmossa
Stuplav</t>
        </is>
      </c>
      <c r="S45">
        <f>HYPERLINK("https://klasma.github.io/Logging_2582/artfynd/A 43719-2025 artfynd.xlsx", "A 43719-2025")</f>
        <v/>
      </c>
      <c r="T45">
        <f>HYPERLINK("https://klasma.github.io/Logging_2582/kartor/A 43719-2025 karta.png", "A 43719-2025")</f>
        <v/>
      </c>
      <c r="V45">
        <f>HYPERLINK("https://klasma.github.io/Logging_2582/klagomål/A 43719-2025 FSC-klagomål.docx", "A 43719-2025")</f>
        <v/>
      </c>
      <c r="W45">
        <f>HYPERLINK("https://klasma.github.io/Logging_2582/klagomålsmail/A 43719-2025 FSC-klagomål mail.docx", "A 43719-2025")</f>
        <v/>
      </c>
      <c r="X45">
        <f>HYPERLINK("https://klasma.github.io/Logging_2582/tillsyn/A 43719-2025 tillsynsbegäran.docx", "A 43719-2025")</f>
        <v/>
      </c>
      <c r="Y45">
        <f>HYPERLINK("https://klasma.github.io/Logging_2582/tillsynsmail/A 43719-2025 tillsynsbegäran mail.docx", "A 43719-2025")</f>
        <v/>
      </c>
    </row>
    <row r="46" ht="15" customHeight="1">
      <c r="A46" t="inlineStr">
        <is>
          <t>A 44704-2025</t>
        </is>
      </c>
      <c r="B46" s="1" t="n">
        <v>45917</v>
      </c>
      <c r="C46" s="1" t="n">
        <v>46200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11.3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Tallticka
Stuplav</t>
        </is>
      </c>
      <c r="S46">
        <f>HYPERLINK("https://klasma.github.io/Logging_2582/artfynd/A 44704-2025 artfynd.xlsx", "A 44704-2025")</f>
        <v/>
      </c>
      <c r="T46">
        <f>HYPERLINK("https://klasma.github.io/Logging_2582/kartor/A 44704-2025 karta.png", "A 44704-2025")</f>
        <v/>
      </c>
      <c r="V46">
        <f>HYPERLINK("https://klasma.github.io/Logging_2582/klagomål/A 44704-2025 FSC-klagomål.docx", "A 44704-2025")</f>
        <v/>
      </c>
      <c r="W46">
        <f>HYPERLINK("https://klasma.github.io/Logging_2582/klagomålsmail/A 44704-2025 FSC-klagomål mail.docx", "A 44704-2025")</f>
        <v/>
      </c>
      <c r="X46">
        <f>HYPERLINK("https://klasma.github.io/Logging_2582/tillsyn/A 44704-2025 tillsynsbegäran.docx", "A 44704-2025")</f>
        <v/>
      </c>
      <c r="Y46">
        <f>HYPERLINK("https://klasma.github.io/Logging_2582/tillsynsmail/A 44704-2025 tillsynsbegäran mail.docx", "A 44704-2025")</f>
        <v/>
      </c>
    </row>
    <row r="47" ht="15" customHeight="1">
      <c r="A47" t="inlineStr">
        <is>
          <t>A 57806-2025</t>
        </is>
      </c>
      <c r="B47" s="1" t="n">
        <v>45981</v>
      </c>
      <c r="C47" s="1" t="n">
        <v>46200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10.4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Dropptaggsvamp
Dvärgbägarlav
Lunglav</t>
        </is>
      </c>
      <c r="S47">
        <f>HYPERLINK("https://klasma.github.io/Logging_2582/artfynd/A 57806-2025 artfynd.xlsx", "A 57806-2025")</f>
        <v/>
      </c>
      <c r="T47">
        <f>HYPERLINK("https://klasma.github.io/Logging_2582/kartor/A 57806-2025 karta.png", "A 57806-2025")</f>
        <v/>
      </c>
      <c r="V47">
        <f>HYPERLINK("https://klasma.github.io/Logging_2582/klagomål/A 57806-2025 FSC-klagomål.docx", "A 57806-2025")</f>
        <v/>
      </c>
      <c r="W47">
        <f>HYPERLINK("https://klasma.github.io/Logging_2582/klagomålsmail/A 57806-2025 FSC-klagomål mail.docx", "A 57806-2025")</f>
        <v/>
      </c>
      <c r="X47">
        <f>HYPERLINK("https://klasma.github.io/Logging_2582/tillsyn/A 57806-2025 tillsynsbegäran.docx", "A 57806-2025")</f>
        <v/>
      </c>
      <c r="Y47">
        <f>HYPERLINK("https://klasma.github.io/Logging_2582/tillsynsmail/A 57806-2025 tillsynsbegäran mail.docx", "A 57806-2025")</f>
        <v/>
      </c>
    </row>
    <row r="48" ht="15" customHeight="1">
      <c r="A48" t="inlineStr">
        <is>
          <t>A 6118-2025</t>
        </is>
      </c>
      <c r="B48" s="1" t="n">
        <v>45698</v>
      </c>
      <c r="C48" s="1" t="n">
        <v>46200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3.7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Garnlav
Tretåig hackspett
Spillkråka</t>
        </is>
      </c>
      <c r="S48">
        <f>HYPERLINK("https://klasma.github.io/Logging_2582/artfynd/A 6118-2025 artfynd.xlsx", "A 6118-2025")</f>
        <v/>
      </c>
      <c r="T48">
        <f>HYPERLINK("https://klasma.github.io/Logging_2582/kartor/A 6118-2025 karta.png", "A 6118-2025")</f>
        <v/>
      </c>
      <c r="V48">
        <f>HYPERLINK("https://klasma.github.io/Logging_2582/klagomål/A 6118-2025 FSC-klagomål.docx", "A 6118-2025")</f>
        <v/>
      </c>
      <c r="W48">
        <f>HYPERLINK("https://klasma.github.io/Logging_2582/klagomålsmail/A 6118-2025 FSC-klagomål mail.docx", "A 6118-2025")</f>
        <v/>
      </c>
      <c r="X48">
        <f>HYPERLINK("https://klasma.github.io/Logging_2582/tillsyn/A 6118-2025 tillsynsbegäran.docx", "A 6118-2025")</f>
        <v/>
      </c>
      <c r="Y48">
        <f>HYPERLINK("https://klasma.github.io/Logging_2582/tillsynsmail/A 6118-2025 tillsynsbegäran mail.docx", "A 6118-2025")</f>
        <v/>
      </c>
      <c r="Z48">
        <f>HYPERLINK("https://klasma.github.io/Logging_2582/fåglar/A 6118-2025 prioriterade fågelarter.docx", "A 6118-2025")</f>
        <v/>
      </c>
    </row>
    <row r="49" ht="15" customHeight="1">
      <c r="A49" t="inlineStr">
        <is>
          <t>A 10087-2026</t>
        </is>
      </c>
      <c r="B49" s="1" t="n">
        <v>46073</v>
      </c>
      <c r="C49" s="1" t="n">
        <v>46200</v>
      </c>
      <c r="D49" t="inlineStr">
        <is>
          <t>NORRBOTTENS LÄN</t>
        </is>
      </c>
      <c r="E49" t="inlineStr">
        <is>
          <t>BODEN</t>
        </is>
      </c>
      <c r="G49" t="n">
        <v>5.9</v>
      </c>
      <c r="H49" t="n">
        <v>2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Korthornad vedstekel
Skogsödla
Vanlig padda</t>
        </is>
      </c>
      <c r="S49">
        <f>HYPERLINK("https://klasma.github.io/Logging_2582/artfynd/A 10087-2026 artfynd.xlsx", "A 10087-2026")</f>
        <v/>
      </c>
      <c r="T49">
        <f>HYPERLINK("https://klasma.github.io/Logging_2582/kartor/A 10087-2026 karta.png", "A 10087-2026")</f>
        <v/>
      </c>
      <c r="V49">
        <f>HYPERLINK("https://klasma.github.io/Logging_2582/klagomål/A 10087-2026 FSC-klagomål.docx", "A 10087-2026")</f>
        <v/>
      </c>
      <c r="W49">
        <f>HYPERLINK("https://klasma.github.io/Logging_2582/klagomålsmail/A 10087-2026 FSC-klagomål mail.docx", "A 10087-2026")</f>
        <v/>
      </c>
      <c r="X49">
        <f>HYPERLINK("https://klasma.github.io/Logging_2582/tillsyn/A 10087-2026 tillsynsbegäran.docx", "A 10087-2026")</f>
        <v/>
      </c>
      <c r="Y49">
        <f>HYPERLINK("https://klasma.github.io/Logging_2582/tillsynsmail/A 10087-2026 tillsynsbegäran mail.docx", "A 10087-2026")</f>
        <v/>
      </c>
    </row>
    <row r="50" ht="15" customHeight="1">
      <c r="A50" t="inlineStr">
        <is>
          <t>A 26040-2026</t>
        </is>
      </c>
      <c r="B50" s="1" t="n">
        <v>46181</v>
      </c>
      <c r="C50" s="1" t="n">
        <v>46200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32.6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Lunglav
Bårdlav</t>
        </is>
      </c>
      <c r="S50">
        <f>HYPERLINK("https://klasma.github.io/Logging_2582/artfynd/A 26040-2026 artfynd.xlsx", "A 26040-2026")</f>
        <v/>
      </c>
      <c r="T50">
        <f>HYPERLINK("https://klasma.github.io/Logging_2582/kartor/A 26040-2026 karta.png", "A 26040-2026")</f>
        <v/>
      </c>
      <c r="V50">
        <f>HYPERLINK("https://klasma.github.io/Logging_2582/klagomål/A 26040-2026 FSC-klagomål.docx", "A 26040-2026")</f>
        <v/>
      </c>
      <c r="W50">
        <f>HYPERLINK("https://klasma.github.io/Logging_2582/klagomålsmail/A 26040-2026 FSC-klagomål mail.docx", "A 26040-2026")</f>
        <v/>
      </c>
      <c r="X50">
        <f>HYPERLINK("https://klasma.github.io/Logging_2582/tillsyn/A 26040-2026 tillsynsbegäran.docx", "A 26040-2026")</f>
        <v/>
      </c>
      <c r="Y50">
        <f>HYPERLINK("https://klasma.github.io/Logging_2582/tillsynsmail/A 26040-2026 tillsynsbegäran mail.docx", "A 26040-2026")</f>
        <v/>
      </c>
    </row>
    <row r="51" ht="15" customHeight="1">
      <c r="A51" t="inlineStr">
        <is>
          <t>A 26728-2026</t>
        </is>
      </c>
      <c r="B51" s="1" t="n">
        <v>46184</v>
      </c>
      <c r="C51" s="1" t="n">
        <v>46200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14.4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Plattlummer
Fläcknycklar</t>
        </is>
      </c>
      <c r="S51">
        <f>HYPERLINK("https://klasma.github.io/Logging_2582/artfynd/A 26728-2026 artfynd.xlsx", "A 26728-2026")</f>
        <v/>
      </c>
      <c r="T51">
        <f>HYPERLINK("https://klasma.github.io/Logging_2582/kartor/A 26728-2026 karta.png", "A 26728-2026")</f>
        <v/>
      </c>
      <c r="V51">
        <f>HYPERLINK("https://klasma.github.io/Logging_2582/klagomål/A 26728-2026 FSC-klagomål.docx", "A 26728-2026")</f>
        <v/>
      </c>
      <c r="W51">
        <f>HYPERLINK("https://klasma.github.io/Logging_2582/klagomålsmail/A 26728-2026 FSC-klagomål mail.docx", "A 26728-2026")</f>
        <v/>
      </c>
      <c r="X51">
        <f>HYPERLINK("https://klasma.github.io/Logging_2582/tillsyn/A 26728-2026 tillsynsbegäran.docx", "A 26728-2026")</f>
        <v/>
      </c>
      <c r="Y51">
        <f>HYPERLINK("https://klasma.github.io/Logging_2582/tillsynsmail/A 26728-2026 tillsynsbegäran mail.docx", "A 26728-2026")</f>
        <v/>
      </c>
    </row>
    <row r="52" ht="15" customHeight="1">
      <c r="A52" t="inlineStr">
        <is>
          <t>A 58196-2021</t>
        </is>
      </c>
      <c r="B52" s="1" t="n">
        <v>44487</v>
      </c>
      <c r="C52" s="1" t="n">
        <v>46200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Lunglav</t>
        </is>
      </c>
      <c r="S52">
        <f>HYPERLINK("https://klasma.github.io/Logging_2582/artfynd/A 58196-2021 artfynd.xlsx", "A 58196-2021")</f>
        <v/>
      </c>
      <c r="T52">
        <f>HYPERLINK("https://klasma.github.io/Logging_2582/kartor/A 58196-2021 karta.png", "A 58196-2021")</f>
        <v/>
      </c>
      <c r="V52">
        <f>HYPERLINK("https://klasma.github.io/Logging_2582/klagomål/A 58196-2021 FSC-klagomål.docx", "A 58196-2021")</f>
        <v/>
      </c>
      <c r="W52">
        <f>HYPERLINK("https://klasma.github.io/Logging_2582/klagomålsmail/A 58196-2021 FSC-klagomål mail.docx", "A 58196-2021")</f>
        <v/>
      </c>
      <c r="X52">
        <f>HYPERLINK("https://klasma.github.io/Logging_2582/tillsyn/A 58196-2021 tillsynsbegäran.docx", "A 58196-2021")</f>
        <v/>
      </c>
      <c r="Y52">
        <f>HYPERLINK("https://klasma.github.io/Logging_2582/tillsynsmail/A 58196-2021 tillsynsbegäran mail.docx", "A 58196-2021")</f>
        <v/>
      </c>
    </row>
    <row r="53" ht="15" customHeight="1">
      <c r="A53" t="inlineStr">
        <is>
          <t>A 13659-2022</t>
        </is>
      </c>
      <c r="B53" s="1" t="n">
        <v>44648</v>
      </c>
      <c r="C53" s="1" t="n">
        <v>46200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7.3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Bollvitmossa
Ögonpyrola</t>
        </is>
      </c>
      <c r="S53">
        <f>HYPERLINK("https://klasma.github.io/Logging_2582/artfynd/A 13659-2022 artfynd.xlsx", "A 13659-2022")</f>
        <v/>
      </c>
      <c r="T53">
        <f>HYPERLINK("https://klasma.github.io/Logging_2582/kartor/A 13659-2022 karta.png", "A 13659-2022")</f>
        <v/>
      </c>
      <c r="V53">
        <f>HYPERLINK("https://klasma.github.io/Logging_2582/klagomål/A 13659-2022 FSC-klagomål.docx", "A 13659-2022")</f>
        <v/>
      </c>
      <c r="W53">
        <f>HYPERLINK("https://klasma.github.io/Logging_2582/klagomålsmail/A 13659-2022 FSC-klagomål mail.docx", "A 13659-2022")</f>
        <v/>
      </c>
      <c r="X53">
        <f>HYPERLINK("https://klasma.github.io/Logging_2582/tillsyn/A 13659-2022 tillsynsbegäran.docx", "A 13659-2022")</f>
        <v/>
      </c>
      <c r="Y53">
        <f>HYPERLINK("https://klasma.github.io/Logging_2582/tillsynsmail/A 13659-2022 tillsynsbegäran mail.docx", "A 13659-2022")</f>
        <v/>
      </c>
    </row>
    <row r="54" ht="15" customHeight="1">
      <c r="A54" t="inlineStr">
        <is>
          <t>A 36629-2022</t>
        </is>
      </c>
      <c r="B54" s="1" t="n">
        <v>44804</v>
      </c>
      <c r="C54" s="1" t="n">
        <v>46200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Dropptaggsvamp
Skarp dropptaggsvamp</t>
        </is>
      </c>
      <c r="S54">
        <f>HYPERLINK("https://klasma.github.io/Logging_2582/artfynd/A 36629-2022 artfynd.xlsx", "A 36629-2022")</f>
        <v/>
      </c>
      <c r="T54">
        <f>HYPERLINK("https://klasma.github.io/Logging_2582/kartor/A 36629-2022 karta.png", "A 36629-2022")</f>
        <v/>
      </c>
      <c r="V54">
        <f>HYPERLINK("https://klasma.github.io/Logging_2582/klagomål/A 36629-2022 FSC-klagomål.docx", "A 36629-2022")</f>
        <v/>
      </c>
      <c r="W54">
        <f>HYPERLINK("https://klasma.github.io/Logging_2582/klagomålsmail/A 36629-2022 FSC-klagomål mail.docx", "A 36629-2022")</f>
        <v/>
      </c>
      <c r="X54">
        <f>HYPERLINK("https://klasma.github.io/Logging_2582/tillsyn/A 36629-2022 tillsynsbegäran.docx", "A 36629-2022")</f>
        <v/>
      </c>
      <c r="Y54">
        <f>HYPERLINK("https://klasma.github.io/Logging_2582/tillsynsmail/A 36629-2022 tillsynsbegäran mail.docx", "A 36629-2022")</f>
        <v/>
      </c>
    </row>
    <row r="55" ht="15" customHeight="1">
      <c r="A55" t="inlineStr">
        <is>
          <t>A 35037-2022</t>
        </is>
      </c>
      <c r="B55" s="1" t="n">
        <v>44796</v>
      </c>
      <c r="C55" s="1" t="n">
        <v>46200</v>
      </c>
      <c r="D55" t="inlineStr">
        <is>
          <t>NORRBOTTENS LÄN</t>
        </is>
      </c>
      <c r="E55" t="inlineStr">
        <is>
          <t>BODEN</t>
        </is>
      </c>
      <c r="G55" t="n">
        <v>0.6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Rödvingetrast
Revlummer</t>
        </is>
      </c>
      <c r="S55">
        <f>HYPERLINK("https://klasma.github.io/Logging_2582/artfynd/A 35037-2022 artfynd.xlsx", "A 35037-2022")</f>
        <v/>
      </c>
      <c r="T55">
        <f>HYPERLINK("https://klasma.github.io/Logging_2582/kartor/A 35037-2022 karta.png", "A 35037-2022")</f>
        <v/>
      </c>
      <c r="V55">
        <f>HYPERLINK("https://klasma.github.io/Logging_2582/klagomål/A 35037-2022 FSC-klagomål.docx", "A 35037-2022")</f>
        <v/>
      </c>
      <c r="W55">
        <f>HYPERLINK("https://klasma.github.io/Logging_2582/klagomålsmail/A 35037-2022 FSC-klagomål mail.docx", "A 35037-2022")</f>
        <v/>
      </c>
      <c r="X55">
        <f>HYPERLINK("https://klasma.github.io/Logging_2582/tillsyn/A 35037-2022 tillsynsbegäran.docx", "A 35037-2022")</f>
        <v/>
      </c>
      <c r="Y55">
        <f>HYPERLINK("https://klasma.github.io/Logging_2582/tillsynsmail/A 35037-2022 tillsynsbegäran mail.docx", "A 35037-2022")</f>
        <v/>
      </c>
      <c r="Z55">
        <f>HYPERLINK("https://klasma.github.io/Logging_2582/fåglar/A 35037-2022 prioriterade fågelarter.docx", "A 35037-2022")</f>
        <v/>
      </c>
    </row>
    <row r="56" ht="15" customHeight="1">
      <c r="A56" t="inlineStr">
        <is>
          <t>A 26346-2022</t>
        </is>
      </c>
      <c r="B56" s="1" t="n">
        <v>44735</v>
      </c>
      <c r="C56" s="1" t="n">
        <v>46200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5.6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Blå taggsvamp
Ullticka</t>
        </is>
      </c>
      <c r="S56">
        <f>HYPERLINK("https://klasma.github.io/Logging_2582/artfynd/A 26346-2022 artfynd.xlsx", "A 26346-2022")</f>
        <v/>
      </c>
      <c r="T56">
        <f>HYPERLINK("https://klasma.github.io/Logging_2582/kartor/A 26346-2022 karta.png", "A 26346-2022")</f>
        <v/>
      </c>
      <c r="V56">
        <f>HYPERLINK("https://klasma.github.io/Logging_2582/klagomål/A 26346-2022 FSC-klagomål.docx", "A 26346-2022")</f>
        <v/>
      </c>
      <c r="W56">
        <f>HYPERLINK("https://klasma.github.io/Logging_2582/klagomålsmail/A 26346-2022 FSC-klagomål mail.docx", "A 26346-2022")</f>
        <v/>
      </c>
      <c r="X56">
        <f>HYPERLINK("https://klasma.github.io/Logging_2582/tillsyn/A 26346-2022 tillsynsbegäran.docx", "A 26346-2022")</f>
        <v/>
      </c>
      <c r="Y56">
        <f>HYPERLINK("https://klasma.github.io/Logging_2582/tillsynsmail/A 26346-2022 tillsynsbegäran mail.docx", "A 26346-2022")</f>
        <v/>
      </c>
    </row>
    <row r="57" ht="15" customHeight="1">
      <c r="A57" t="inlineStr">
        <is>
          <t>A 6639-2024</t>
        </is>
      </c>
      <c r="B57" s="1" t="n">
        <v>45341</v>
      </c>
      <c r="C57" s="1" t="n">
        <v>46200</v>
      </c>
      <c r="D57" t="inlineStr">
        <is>
          <t>NORRBOTTENS LÄN</t>
        </is>
      </c>
      <c r="E57" t="inlineStr">
        <is>
          <t>BODEN</t>
        </is>
      </c>
      <c r="F57" t="inlineStr">
        <is>
          <t>Övriga statliga verk och myndigheter</t>
        </is>
      </c>
      <c r="G57" t="n">
        <v>23.8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Kungsfågel</t>
        </is>
      </c>
      <c r="S57">
        <f>HYPERLINK("https://klasma.github.io/Logging_2582/artfynd/A 6639-2024 artfynd.xlsx", "A 6639-2024")</f>
        <v/>
      </c>
      <c r="T57">
        <f>HYPERLINK("https://klasma.github.io/Logging_2582/kartor/A 6639-2024 karta.png", "A 6639-2024")</f>
        <v/>
      </c>
      <c r="V57">
        <f>HYPERLINK("https://klasma.github.io/Logging_2582/klagomål/A 6639-2024 FSC-klagomål.docx", "A 6639-2024")</f>
        <v/>
      </c>
      <c r="W57">
        <f>HYPERLINK("https://klasma.github.io/Logging_2582/klagomålsmail/A 6639-2024 FSC-klagomål mail.docx", "A 6639-2024")</f>
        <v/>
      </c>
      <c r="X57">
        <f>HYPERLINK("https://klasma.github.io/Logging_2582/tillsyn/A 6639-2024 tillsynsbegäran.docx", "A 6639-2024")</f>
        <v/>
      </c>
      <c r="Y57">
        <f>HYPERLINK("https://klasma.github.io/Logging_2582/tillsynsmail/A 6639-2024 tillsynsbegäran mail.docx", "A 6639-2024")</f>
        <v/>
      </c>
    </row>
    <row r="58" ht="15" customHeight="1">
      <c r="A58" t="inlineStr">
        <is>
          <t>A 32971-2024</t>
        </is>
      </c>
      <c r="B58" s="1" t="n">
        <v>45517</v>
      </c>
      <c r="C58" s="1" t="n">
        <v>46200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10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Fläcknycklar</t>
        </is>
      </c>
      <c r="S58">
        <f>HYPERLINK("https://klasma.github.io/Logging_2582/artfynd/A 32971-2024 artfynd.xlsx", "A 32971-2024")</f>
        <v/>
      </c>
      <c r="T58">
        <f>HYPERLINK("https://klasma.github.io/Logging_2582/kartor/A 32971-2024 karta.png", "A 32971-2024")</f>
        <v/>
      </c>
      <c r="V58">
        <f>HYPERLINK("https://klasma.github.io/Logging_2582/klagomål/A 32971-2024 FSC-klagomål.docx", "A 32971-2024")</f>
        <v/>
      </c>
      <c r="W58">
        <f>HYPERLINK("https://klasma.github.io/Logging_2582/klagomålsmail/A 32971-2024 FSC-klagomål mail.docx", "A 32971-2024")</f>
        <v/>
      </c>
      <c r="X58">
        <f>HYPERLINK("https://klasma.github.io/Logging_2582/tillsyn/A 32971-2024 tillsynsbegäran.docx", "A 32971-2024")</f>
        <v/>
      </c>
      <c r="Y58">
        <f>HYPERLINK("https://klasma.github.io/Logging_2582/tillsynsmail/A 32971-2024 tillsynsbegäran mail.docx", "A 32971-2024")</f>
        <v/>
      </c>
    </row>
    <row r="59" ht="15" customHeight="1">
      <c r="A59" t="inlineStr">
        <is>
          <t>A 34164-2023</t>
        </is>
      </c>
      <c r="B59" s="1" t="n">
        <v>45137</v>
      </c>
      <c r="C59" s="1" t="n">
        <v>46200</v>
      </c>
      <c r="D59" t="inlineStr">
        <is>
          <t>NORRBOTTENS LÄN</t>
        </is>
      </c>
      <c r="E59" t="inlineStr">
        <is>
          <t>BODEN</t>
        </is>
      </c>
      <c r="F59" t="inlineStr">
        <is>
          <t>SCA</t>
        </is>
      </c>
      <c r="G59" t="n">
        <v>2.2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Garnlav
Tretåig hackspett</t>
        </is>
      </c>
      <c r="S59">
        <f>HYPERLINK("https://klasma.github.io/Logging_2582/artfynd/A 34164-2023 artfynd.xlsx", "A 34164-2023")</f>
        <v/>
      </c>
      <c r="T59">
        <f>HYPERLINK("https://klasma.github.io/Logging_2582/kartor/A 34164-2023 karta.png", "A 34164-2023")</f>
        <v/>
      </c>
      <c r="V59">
        <f>HYPERLINK("https://klasma.github.io/Logging_2582/klagomål/A 34164-2023 FSC-klagomål.docx", "A 34164-2023")</f>
        <v/>
      </c>
      <c r="W59">
        <f>HYPERLINK("https://klasma.github.io/Logging_2582/klagomålsmail/A 34164-2023 FSC-klagomål mail.docx", "A 34164-2023")</f>
        <v/>
      </c>
      <c r="X59">
        <f>HYPERLINK("https://klasma.github.io/Logging_2582/tillsyn/A 34164-2023 tillsynsbegäran.docx", "A 34164-2023")</f>
        <v/>
      </c>
      <c r="Y59">
        <f>HYPERLINK("https://klasma.github.io/Logging_2582/tillsynsmail/A 34164-2023 tillsynsbegäran mail.docx", "A 34164-2023")</f>
        <v/>
      </c>
      <c r="Z59">
        <f>HYPERLINK("https://klasma.github.io/Logging_2582/fåglar/A 34164-2023 prioriterade fågelarter.docx", "A 34164-2023")</f>
        <v/>
      </c>
    </row>
    <row r="60" ht="15" customHeight="1">
      <c r="A60" t="inlineStr">
        <is>
          <t>A 48899-2024</t>
        </is>
      </c>
      <c r="B60" s="1" t="n">
        <v>45594</v>
      </c>
      <c r="C60" s="1" t="n">
        <v>46200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18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Hässlebrodd
Fläcknycklar</t>
        </is>
      </c>
      <c r="S60">
        <f>HYPERLINK("https://klasma.github.io/Logging_2582/artfynd/A 48899-2024 artfynd.xlsx", "A 48899-2024")</f>
        <v/>
      </c>
      <c r="T60">
        <f>HYPERLINK("https://klasma.github.io/Logging_2582/kartor/A 48899-2024 karta.png", "A 48899-2024")</f>
        <v/>
      </c>
      <c r="V60">
        <f>HYPERLINK("https://klasma.github.io/Logging_2582/klagomål/A 48899-2024 FSC-klagomål.docx", "A 48899-2024")</f>
        <v/>
      </c>
      <c r="W60">
        <f>HYPERLINK("https://klasma.github.io/Logging_2582/klagomålsmail/A 48899-2024 FSC-klagomål mail.docx", "A 48899-2024")</f>
        <v/>
      </c>
      <c r="X60">
        <f>HYPERLINK("https://klasma.github.io/Logging_2582/tillsyn/A 48899-2024 tillsynsbegäran.docx", "A 48899-2024")</f>
        <v/>
      </c>
      <c r="Y60">
        <f>HYPERLINK("https://klasma.github.io/Logging_2582/tillsynsmail/A 48899-2024 tillsynsbegäran mail.docx", "A 48899-2024")</f>
        <v/>
      </c>
    </row>
    <row r="61" ht="15" customHeight="1">
      <c r="A61" t="inlineStr">
        <is>
          <t>A 61210-2024</t>
        </is>
      </c>
      <c r="B61" s="1" t="n">
        <v>45645</v>
      </c>
      <c r="C61" s="1" t="n">
        <v>46200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Skrovlig taggsvamp
Blå taggsvamp</t>
        </is>
      </c>
      <c r="S61">
        <f>HYPERLINK("https://klasma.github.io/Logging_2582/artfynd/A 61210-2024 artfynd.xlsx", "A 61210-2024")</f>
        <v/>
      </c>
      <c r="T61">
        <f>HYPERLINK("https://klasma.github.io/Logging_2582/kartor/A 61210-2024 karta.png", "A 61210-2024")</f>
        <v/>
      </c>
      <c r="V61">
        <f>HYPERLINK("https://klasma.github.io/Logging_2582/klagomål/A 61210-2024 FSC-klagomål.docx", "A 61210-2024")</f>
        <v/>
      </c>
      <c r="W61">
        <f>HYPERLINK("https://klasma.github.io/Logging_2582/klagomålsmail/A 61210-2024 FSC-klagomål mail.docx", "A 61210-2024")</f>
        <v/>
      </c>
      <c r="X61">
        <f>HYPERLINK("https://klasma.github.io/Logging_2582/tillsyn/A 61210-2024 tillsynsbegäran.docx", "A 61210-2024")</f>
        <v/>
      </c>
      <c r="Y61">
        <f>HYPERLINK("https://klasma.github.io/Logging_2582/tillsynsmail/A 61210-2024 tillsynsbegäran mail.docx", "A 61210-2024")</f>
        <v/>
      </c>
    </row>
    <row r="62" ht="15" customHeight="1">
      <c r="A62" t="inlineStr">
        <is>
          <t>A 1507-2022</t>
        </is>
      </c>
      <c r="B62" s="1" t="n">
        <v>44573</v>
      </c>
      <c r="C62" s="1" t="n">
        <v>46200</v>
      </c>
      <c r="D62" t="inlineStr">
        <is>
          <t>NORRBOTTENS LÄN</t>
        </is>
      </c>
      <c r="E62" t="inlineStr">
        <is>
          <t>BODEN</t>
        </is>
      </c>
      <c r="F62" t="inlineStr">
        <is>
          <t>Övriga statliga verk och myndigheter</t>
        </is>
      </c>
      <c r="G62" t="n">
        <v>15.4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Gråspett</t>
        </is>
      </c>
      <c r="S62">
        <f>HYPERLINK("https://klasma.github.io/Logging_2582/artfynd/A 1507-2022 artfynd.xlsx", "A 1507-2022")</f>
        <v/>
      </c>
      <c r="T62">
        <f>HYPERLINK("https://klasma.github.io/Logging_2582/kartor/A 1507-2022 karta.png", "A 1507-2022")</f>
        <v/>
      </c>
      <c r="V62">
        <f>HYPERLINK("https://klasma.github.io/Logging_2582/klagomål/A 1507-2022 FSC-klagomål.docx", "A 1507-2022")</f>
        <v/>
      </c>
      <c r="W62">
        <f>HYPERLINK("https://klasma.github.io/Logging_2582/klagomålsmail/A 1507-2022 FSC-klagomål mail.docx", "A 1507-2022")</f>
        <v/>
      </c>
      <c r="X62">
        <f>HYPERLINK("https://klasma.github.io/Logging_2582/tillsyn/A 1507-2022 tillsynsbegäran.docx", "A 1507-2022")</f>
        <v/>
      </c>
      <c r="Y62">
        <f>HYPERLINK("https://klasma.github.io/Logging_2582/tillsynsmail/A 1507-2022 tillsynsbegäran mail.docx", "A 1507-2022")</f>
        <v/>
      </c>
      <c r="Z62">
        <f>HYPERLINK("https://klasma.github.io/Logging_2582/fåglar/A 1507-2022 prioriterade fågelarter.docx", "A 1507-2022")</f>
        <v/>
      </c>
    </row>
    <row r="63" ht="15" customHeight="1">
      <c r="A63" t="inlineStr">
        <is>
          <t>A 6895-2025</t>
        </is>
      </c>
      <c r="B63" s="1" t="n">
        <v>45701</v>
      </c>
      <c r="C63" s="1" t="n">
        <v>46200</v>
      </c>
      <c r="D63" t="inlineStr">
        <is>
          <t>NORRBOTTENS LÄN</t>
        </is>
      </c>
      <c r="E63" t="inlineStr">
        <is>
          <t>BODEN</t>
        </is>
      </c>
      <c r="G63" t="n">
        <v>1.5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Kolflarnlav
Plattlummer</t>
        </is>
      </c>
      <c r="S63">
        <f>HYPERLINK("https://klasma.github.io/Logging_2582/artfynd/A 6895-2025 artfynd.xlsx", "A 6895-2025")</f>
        <v/>
      </c>
      <c r="T63">
        <f>HYPERLINK("https://klasma.github.io/Logging_2582/kartor/A 6895-2025 karta.png", "A 6895-2025")</f>
        <v/>
      </c>
      <c r="V63">
        <f>HYPERLINK("https://klasma.github.io/Logging_2582/klagomål/A 6895-2025 FSC-klagomål.docx", "A 6895-2025")</f>
        <v/>
      </c>
      <c r="W63">
        <f>HYPERLINK("https://klasma.github.io/Logging_2582/klagomålsmail/A 6895-2025 FSC-klagomål mail.docx", "A 6895-2025")</f>
        <v/>
      </c>
      <c r="X63">
        <f>HYPERLINK("https://klasma.github.io/Logging_2582/tillsyn/A 6895-2025 tillsynsbegäran.docx", "A 6895-2025")</f>
        <v/>
      </c>
      <c r="Y63">
        <f>HYPERLINK("https://klasma.github.io/Logging_2582/tillsynsmail/A 6895-2025 tillsynsbegäran mail.docx", "A 6895-2025")</f>
        <v/>
      </c>
    </row>
    <row r="64" ht="15" customHeight="1">
      <c r="A64" t="inlineStr">
        <is>
          <t>A 22906-2023</t>
        </is>
      </c>
      <c r="B64" s="1" t="n">
        <v>45072</v>
      </c>
      <c r="C64" s="1" t="n">
        <v>46200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3.5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Utter</t>
        </is>
      </c>
      <c r="S64">
        <f>HYPERLINK("https://klasma.github.io/Logging_2582/artfynd/A 22906-2023 artfynd.xlsx", "A 22906-2023")</f>
        <v/>
      </c>
      <c r="T64">
        <f>HYPERLINK("https://klasma.github.io/Logging_2582/kartor/A 22906-2023 karta.png", "A 22906-2023")</f>
        <v/>
      </c>
      <c r="V64">
        <f>HYPERLINK("https://klasma.github.io/Logging_2582/klagomål/A 22906-2023 FSC-klagomål.docx", "A 22906-2023")</f>
        <v/>
      </c>
      <c r="W64">
        <f>HYPERLINK("https://klasma.github.io/Logging_2582/klagomålsmail/A 22906-2023 FSC-klagomål mail.docx", "A 22906-2023")</f>
        <v/>
      </c>
      <c r="X64">
        <f>HYPERLINK("https://klasma.github.io/Logging_2582/tillsyn/A 22906-2023 tillsynsbegäran.docx", "A 22906-2023")</f>
        <v/>
      </c>
      <c r="Y64">
        <f>HYPERLINK("https://klasma.github.io/Logging_2582/tillsynsmail/A 22906-2023 tillsynsbegäran mail.docx", "A 22906-2023")</f>
        <v/>
      </c>
      <c r="Z64">
        <f>HYPERLINK("https://klasma.github.io/Logging_2582/fåglar/A 22906-2023 prioriterade fågelarter.docx", "A 22906-2023")</f>
        <v/>
      </c>
    </row>
    <row r="65" ht="15" customHeight="1">
      <c r="A65" t="inlineStr">
        <is>
          <t>A 34737-2024</t>
        </is>
      </c>
      <c r="B65" s="1" t="n">
        <v>45526</v>
      </c>
      <c r="C65" s="1" t="n">
        <v>46200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Fläcknycklar</t>
        </is>
      </c>
      <c r="S65">
        <f>HYPERLINK("https://klasma.github.io/Logging_2582/artfynd/A 34737-2024 artfynd.xlsx", "A 34737-2024")</f>
        <v/>
      </c>
      <c r="T65">
        <f>HYPERLINK("https://klasma.github.io/Logging_2582/kartor/A 34737-2024 karta.png", "A 34737-2024")</f>
        <v/>
      </c>
      <c r="V65">
        <f>HYPERLINK("https://klasma.github.io/Logging_2582/klagomål/A 34737-2024 FSC-klagomål.docx", "A 34737-2024")</f>
        <v/>
      </c>
      <c r="W65">
        <f>HYPERLINK("https://klasma.github.io/Logging_2582/klagomålsmail/A 34737-2024 FSC-klagomål mail.docx", "A 34737-2024")</f>
        <v/>
      </c>
      <c r="X65">
        <f>HYPERLINK("https://klasma.github.io/Logging_2582/tillsyn/A 34737-2024 tillsynsbegäran.docx", "A 34737-2024")</f>
        <v/>
      </c>
      <c r="Y65">
        <f>HYPERLINK("https://klasma.github.io/Logging_2582/tillsynsmail/A 34737-2024 tillsynsbegäran mail.docx", "A 34737-2024")</f>
        <v/>
      </c>
    </row>
    <row r="66" ht="15" customHeight="1">
      <c r="A66" t="inlineStr">
        <is>
          <t>A 28867-2025</t>
        </is>
      </c>
      <c r="B66" s="1" t="n">
        <v>45820</v>
      </c>
      <c r="C66" s="1" t="n">
        <v>46200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8.199999999999999</v>
      </c>
      <c r="H66" t="n">
        <v>2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Fläcknycklar</t>
        </is>
      </c>
      <c r="S66">
        <f>HYPERLINK("https://klasma.github.io/Logging_2582/artfynd/A 28867-2025 artfynd.xlsx", "A 28867-2025")</f>
        <v/>
      </c>
      <c r="T66">
        <f>HYPERLINK("https://klasma.github.io/Logging_2582/kartor/A 28867-2025 karta.png", "A 28867-2025")</f>
        <v/>
      </c>
      <c r="U66">
        <f>HYPERLINK("https://klasma.github.io/Logging_2582/knärot/A 28867-2025 karta knärot.png", "A 28867-2025")</f>
        <v/>
      </c>
      <c r="V66">
        <f>HYPERLINK("https://klasma.github.io/Logging_2582/klagomål/A 28867-2025 FSC-klagomål.docx", "A 28867-2025")</f>
        <v/>
      </c>
      <c r="W66">
        <f>HYPERLINK("https://klasma.github.io/Logging_2582/klagomålsmail/A 28867-2025 FSC-klagomål mail.docx", "A 28867-2025")</f>
        <v/>
      </c>
      <c r="X66">
        <f>HYPERLINK("https://klasma.github.io/Logging_2582/tillsyn/A 28867-2025 tillsynsbegäran.docx", "A 28867-2025")</f>
        <v/>
      </c>
      <c r="Y66">
        <f>HYPERLINK("https://klasma.github.io/Logging_2582/tillsynsmail/A 28867-2025 tillsynsbegäran mail.docx", "A 28867-2025")</f>
        <v/>
      </c>
    </row>
    <row r="67" ht="15" customHeight="1">
      <c r="A67" t="inlineStr">
        <is>
          <t>A 17292-2022</t>
        </is>
      </c>
      <c r="B67" s="1" t="n">
        <v>44678</v>
      </c>
      <c r="C67" s="1" t="n">
        <v>46200</v>
      </c>
      <c r="D67" t="inlineStr">
        <is>
          <t>NORRBOTTENS LÄN</t>
        </is>
      </c>
      <c r="E67" t="inlineStr">
        <is>
          <t>BODEN</t>
        </is>
      </c>
      <c r="F67" t="inlineStr">
        <is>
          <t>Kyrkan</t>
        </is>
      </c>
      <c r="G67" t="n">
        <v>0.8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Garnlav
Revlummer</t>
        </is>
      </c>
      <c r="S67">
        <f>HYPERLINK("https://klasma.github.io/Logging_2582/artfynd/A 17292-2022 artfynd.xlsx", "A 17292-2022")</f>
        <v/>
      </c>
      <c r="T67">
        <f>HYPERLINK("https://klasma.github.io/Logging_2582/kartor/A 17292-2022 karta.png", "A 17292-2022")</f>
        <v/>
      </c>
      <c r="V67">
        <f>HYPERLINK("https://klasma.github.io/Logging_2582/klagomål/A 17292-2022 FSC-klagomål.docx", "A 17292-2022")</f>
        <v/>
      </c>
      <c r="W67">
        <f>HYPERLINK("https://klasma.github.io/Logging_2582/klagomålsmail/A 17292-2022 FSC-klagomål mail.docx", "A 17292-2022")</f>
        <v/>
      </c>
      <c r="X67">
        <f>HYPERLINK("https://klasma.github.io/Logging_2582/tillsyn/A 17292-2022 tillsynsbegäran.docx", "A 17292-2022")</f>
        <v/>
      </c>
      <c r="Y67">
        <f>HYPERLINK("https://klasma.github.io/Logging_2582/tillsynsmail/A 17292-2022 tillsynsbegäran mail.docx", "A 17292-2022")</f>
        <v/>
      </c>
    </row>
    <row r="68" ht="15" customHeight="1">
      <c r="A68" t="inlineStr">
        <is>
          <t>A 37086-2025</t>
        </is>
      </c>
      <c r="B68" s="1" t="n">
        <v>45875</v>
      </c>
      <c r="C68" s="1" t="n">
        <v>46200</v>
      </c>
      <c r="D68" t="inlineStr">
        <is>
          <t>NORRBOTTENS LÄN</t>
        </is>
      </c>
      <c r="E68" t="inlineStr">
        <is>
          <t>BODEN</t>
        </is>
      </c>
      <c r="F68" t="inlineStr">
        <is>
          <t>Övriga Aktiebolag</t>
        </is>
      </c>
      <c r="G68" t="n">
        <v>22.8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Stuplav</t>
        </is>
      </c>
      <c r="S68">
        <f>HYPERLINK("https://klasma.github.io/Logging_2582/artfynd/A 37086-2025 artfynd.xlsx", "A 37086-2025")</f>
        <v/>
      </c>
      <c r="T68">
        <f>HYPERLINK("https://klasma.github.io/Logging_2582/kartor/A 37086-2025 karta.png", "A 37086-2025")</f>
        <v/>
      </c>
      <c r="V68">
        <f>HYPERLINK("https://klasma.github.io/Logging_2582/klagomål/A 37086-2025 FSC-klagomål.docx", "A 37086-2025")</f>
        <v/>
      </c>
      <c r="W68">
        <f>HYPERLINK("https://klasma.github.io/Logging_2582/klagomålsmail/A 37086-2025 FSC-klagomål mail.docx", "A 37086-2025")</f>
        <v/>
      </c>
      <c r="X68">
        <f>HYPERLINK("https://klasma.github.io/Logging_2582/tillsyn/A 37086-2025 tillsynsbegäran.docx", "A 37086-2025")</f>
        <v/>
      </c>
      <c r="Y68">
        <f>HYPERLINK("https://klasma.github.io/Logging_2582/tillsynsmail/A 37086-2025 tillsynsbegäran mail.docx", "A 37086-2025")</f>
        <v/>
      </c>
    </row>
    <row r="69" ht="15" customHeight="1">
      <c r="A69" t="inlineStr">
        <is>
          <t>A 42233-2022</t>
        </is>
      </c>
      <c r="B69" s="1" t="n">
        <v>44830</v>
      </c>
      <c r="C69" s="1" t="n">
        <v>46200</v>
      </c>
      <c r="D69" t="inlineStr">
        <is>
          <t>NORRBOTTENS LÄN</t>
        </is>
      </c>
      <c r="E69" t="inlineStr">
        <is>
          <t>BODEN</t>
        </is>
      </c>
      <c r="G69" t="n">
        <v>3.6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Enkelbeckasin
Svartvit flugsnappare</t>
        </is>
      </c>
      <c r="S69">
        <f>HYPERLINK("https://klasma.github.io/Logging_2582/artfynd/A 42233-2022 artfynd.xlsx", "A 42233-2022")</f>
        <v/>
      </c>
      <c r="T69">
        <f>HYPERLINK("https://klasma.github.io/Logging_2582/kartor/A 42233-2022 karta.png", "A 42233-2022")</f>
        <v/>
      </c>
      <c r="V69">
        <f>HYPERLINK("https://klasma.github.io/Logging_2582/klagomål/A 42233-2022 FSC-klagomål.docx", "A 42233-2022")</f>
        <v/>
      </c>
      <c r="W69">
        <f>HYPERLINK("https://klasma.github.io/Logging_2582/klagomålsmail/A 42233-2022 FSC-klagomål mail.docx", "A 42233-2022")</f>
        <v/>
      </c>
      <c r="X69">
        <f>HYPERLINK("https://klasma.github.io/Logging_2582/tillsyn/A 42233-2022 tillsynsbegäran.docx", "A 42233-2022")</f>
        <v/>
      </c>
      <c r="Y69">
        <f>HYPERLINK("https://klasma.github.io/Logging_2582/tillsynsmail/A 42233-2022 tillsynsbegäran mail.docx", "A 42233-2022")</f>
        <v/>
      </c>
      <c r="Z69">
        <f>HYPERLINK("https://klasma.github.io/Logging_2582/fåglar/A 42233-2022 prioriterade fågelarter.docx", "A 42233-2022")</f>
        <v/>
      </c>
    </row>
    <row r="70" ht="15" customHeight="1">
      <c r="A70" t="inlineStr">
        <is>
          <t>A 1507-2022</t>
        </is>
      </c>
      <c r="B70" s="1" t="n">
        <v>44573</v>
      </c>
      <c r="C70" s="1" t="n">
        <v>46200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15.4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Gråspett</t>
        </is>
      </c>
      <c r="S70">
        <f>HYPERLINK("https://klasma.github.io/Logging_2582/artfynd/A 1507-2022 artfynd.xlsx", "A 1507-2022")</f>
        <v/>
      </c>
      <c r="T70">
        <f>HYPERLINK("https://klasma.github.io/Logging_2582/kartor/A 1507-2022 karta.png", "A 1507-2022")</f>
        <v/>
      </c>
      <c r="V70">
        <f>HYPERLINK("https://klasma.github.io/Logging_2582/klagomål/A 1507-2022 FSC-klagomål.docx", "A 1507-2022")</f>
        <v/>
      </c>
      <c r="W70">
        <f>HYPERLINK("https://klasma.github.io/Logging_2582/klagomålsmail/A 1507-2022 FSC-klagomål mail.docx", "A 1507-2022")</f>
        <v/>
      </c>
      <c r="X70">
        <f>HYPERLINK("https://klasma.github.io/Logging_2582/tillsyn/A 1507-2022 tillsynsbegäran.docx", "A 1507-2022")</f>
        <v/>
      </c>
      <c r="Y70">
        <f>HYPERLINK("https://klasma.github.io/Logging_2582/tillsynsmail/A 1507-2022 tillsynsbegäran mail.docx", "A 1507-2022")</f>
        <v/>
      </c>
      <c r="Z70">
        <f>HYPERLINK("https://klasma.github.io/Logging_2582/fåglar/A 1507-2022 prioriterade fågelarter.docx", "A 1507-2022")</f>
        <v/>
      </c>
    </row>
    <row r="71" ht="15" customHeight="1">
      <c r="A71" t="inlineStr">
        <is>
          <t>A 50100-2025</t>
        </is>
      </c>
      <c r="B71" s="1" t="n">
        <v>45943</v>
      </c>
      <c r="C71" s="1" t="n">
        <v>46200</v>
      </c>
      <c r="D71" t="inlineStr">
        <is>
          <t>NORRBOTTENS LÄN</t>
        </is>
      </c>
      <c r="E71" t="inlineStr">
        <is>
          <t>BODEN</t>
        </is>
      </c>
      <c r="G71" t="n">
        <v>6.5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Mörk kolflarnlav
Fläcknycklar</t>
        </is>
      </c>
      <c r="S71">
        <f>HYPERLINK("https://klasma.github.io/Logging_2582/artfynd/A 50100-2025 artfynd.xlsx", "A 50100-2025")</f>
        <v/>
      </c>
      <c r="T71">
        <f>HYPERLINK("https://klasma.github.io/Logging_2582/kartor/A 50100-2025 karta.png", "A 50100-2025")</f>
        <v/>
      </c>
      <c r="V71">
        <f>HYPERLINK("https://klasma.github.io/Logging_2582/klagomål/A 50100-2025 FSC-klagomål.docx", "A 50100-2025")</f>
        <v/>
      </c>
      <c r="W71">
        <f>HYPERLINK("https://klasma.github.io/Logging_2582/klagomålsmail/A 50100-2025 FSC-klagomål mail.docx", "A 50100-2025")</f>
        <v/>
      </c>
      <c r="X71">
        <f>HYPERLINK("https://klasma.github.io/Logging_2582/tillsyn/A 50100-2025 tillsynsbegäran.docx", "A 50100-2025")</f>
        <v/>
      </c>
      <c r="Y71">
        <f>HYPERLINK("https://klasma.github.io/Logging_2582/tillsynsmail/A 50100-2025 tillsynsbegäran mail.docx", "A 50100-2025")</f>
        <v/>
      </c>
    </row>
    <row r="72" ht="15" customHeight="1">
      <c r="A72" t="inlineStr">
        <is>
          <t>A 25701-2025</t>
        </is>
      </c>
      <c r="B72" s="1" t="n">
        <v>45803</v>
      </c>
      <c r="C72" s="1" t="n">
        <v>46200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8.800000000000001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Öring</t>
        </is>
      </c>
      <c r="S72">
        <f>HYPERLINK("https://klasma.github.io/Logging_2582/artfynd/A 25701-2025 artfynd.xlsx", "A 25701-2025")</f>
        <v/>
      </c>
      <c r="T72">
        <f>HYPERLINK("https://klasma.github.io/Logging_2582/kartor/A 25701-2025 karta.png", "A 25701-2025")</f>
        <v/>
      </c>
      <c r="V72">
        <f>HYPERLINK("https://klasma.github.io/Logging_2582/klagomål/A 25701-2025 FSC-klagomål.docx", "A 25701-2025")</f>
        <v/>
      </c>
      <c r="W72">
        <f>HYPERLINK("https://klasma.github.io/Logging_2582/klagomålsmail/A 25701-2025 FSC-klagomål mail.docx", "A 25701-2025")</f>
        <v/>
      </c>
      <c r="X72">
        <f>HYPERLINK("https://klasma.github.io/Logging_2582/tillsyn/A 25701-2025 tillsynsbegäran.docx", "A 25701-2025")</f>
        <v/>
      </c>
      <c r="Y72">
        <f>HYPERLINK("https://klasma.github.io/Logging_2582/tillsynsmail/A 25701-2025 tillsynsbegäran mail.docx", "A 25701-2025")</f>
        <v/>
      </c>
    </row>
    <row r="73" ht="15" customHeight="1">
      <c r="A73" t="inlineStr">
        <is>
          <t>A 51957-2025</t>
        </is>
      </c>
      <c r="B73" s="1" t="n">
        <v>45952</v>
      </c>
      <c r="C73" s="1" t="n">
        <v>46200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8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Garnlav
Harticka</t>
        </is>
      </c>
      <c r="S73">
        <f>HYPERLINK("https://klasma.github.io/Logging_2582/artfynd/A 51957-2025 artfynd.xlsx", "A 51957-2025")</f>
        <v/>
      </c>
      <c r="T73">
        <f>HYPERLINK("https://klasma.github.io/Logging_2582/kartor/A 51957-2025 karta.png", "A 51957-2025")</f>
        <v/>
      </c>
      <c r="V73">
        <f>HYPERLINK("https://klasma.github.io/Logging_2582/klagomål/A 51957-2025 FSC-klagomål.docx", "A 51957-2025")</f>
        <v/>
      </c>
      <c r="W73">
        <f>HYPERLINK("https://klasma.github.io/Logging_2582/klagomålsmail/A 51957-2025 FSC-klagomål mail.docx", "A 51957-2025")</f>
        <v/>
      </c>
      <c r="X73">
        <f>HYPERLINK("https://klasma.github.io/Logging_2582/tillsyn/A 51957-2025 tillsynsbegäran.docx", "A 51957-2025")</f>
        <v/>
      </c>
      <c r="Y73">
        <f>HYPERLINK("https://klasma.github.io/Logging_2582/tillsynsmail/A 51957-2025 tillsynsbegäran mail.docx", "A 51957-2025")</f>
        <v/>
      </c>
    </row>
    <row r="74" ht="15" customHeight="1">
      <c r="A74" t="inlineStr">
        <is>
          <t>A 9306-2025</t>
        </is>
      </c>
      <c r="B74" s="1" t="n">
        <v>45714</v>
      </c>
      <c r="C74" s="1" t="n">
        <v>46200</v>
      </c>
      <c r="D74" t="inlineStr">
        <is>
          <t>NORRBOTTENS LÄN</t>
        </is>
      </c>
      <c r="E74" t="inlineStr">
        <is>
          <t>BODEN</t>
        </is>
      </c>
      <c r="F74" t="inlineStr">
        <is>
          <t>SCA</t>
        </is>
      </c>
      <c r="G74" t="n">
        <v>11.7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Rynkskinn</t>
        </is>
      </c>
      <c r="S74">
        <f>HYPERLINK("https://klasma.github.io/Logging_2582/artfynd/A 9306-2025 artfynd.xlsx", "A 9306-2025")</f>
        <v/>
      </c>
      <c r="T74">
        <f>HYPERLINK("https://klasma.github.io/Logging_2582/kartor/A 9306-2025 karta.png", "A 9306-2025")</f>
        <v/>
      </c>
      <c r="V74">
        <f>HYPERLINK("https://klasma.github.io/Logging_2582/klagomål/A 9306-2025 FSC-klagomål.docx", "A 9306-2025")</f>
        <v/>
      </c>
      <c r="W74">
        <f>HYPERLINK("https://klasma.github.io/Logging_2582/klagomålsmail/A 9306-2025 FSC-klagomål mail.docx", "A 9306-2025")</f>
        <v/>
      </c>
      <c r="X74">
        <f>HYPERLINK("https://klasma.github.io/Logging_2582/tillsyn/A 9306-2025 tillsynsbegäran.docx", "A 9306-2025")</f>
        <v/>
      </c>
      <c r="Y74">
        <f>HYPERLINK("https://klasma.github.io/Logging_2582/tillsynsmail/A 9306-2025 tillsynsbegäran mail.docx", "A 9306-2025")</f>
        <v/>
      </c>
    </row>
    <row r="75" ht="15" customHeight="1">
      <c r="A75" t="inlineStr">
        <is>
          <t>A 43315-2025</t>
        </is>
      </c>
      <c r="B75" s="1" t="n">
        <v>45910</v>
      </c>
      <c r="C75" s="1" t="n">
        <v>46200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Stuplav</t>
        </is>
      </c>
      <c r="S75">
        <f>HYPERLINK("https://klasma.github.io/Logging_2582/artfynd/A 43315-2025 artfynd.xlsx", "A 43315-2025")</f>
        <v/>
      </c>
      <c r="T75">
        <f>HYPERLINK("https://klasma.github.io/Logging_2582/kartor/A 43315-2025 karta.png", "A 43315-2025")</f>
        <v/>
      </c>
      <c r="V75">
        <f>HYPERLINK("https://klasma.github.io/Logging_2582/klagomål/A 43315-2025 FSC-klagomål.docx", "A 43315-2025")</f>
        <v/>
      </c>
      <c r="W75">
        <f>HYPERLINK("https://klasma.github.io/Logging_2582/klagomålsmail/A 43315-2025 FSC-klagomål mail.docx", "A 43315-2025")</f>
        <v/>
      </c>
      <c r="X75">
        <f>HYPERLINK("https://klasma.github.io/Logging_2582/tillsyn/A 43315-2025 tillsynsbegäran.docx", "A 43315-2025")</f>
        <v/>
      </c>
      <c r="Y75">
        <f>HYPERLINK("https://klasma.github.io/Logging_2582/tillsynsmail/A 43315-2025 tillsynsbegäran mail.docx", "A 43315-2025")</f>
        <v/>
      </c>
    </row>
    <row r="76" ht="15" customHeight="1">
      <c r="A76" t="inlineStr">
        <is>
          <t>A 43310-2025</t>
        </is>
      </c>
      <c r="B76" s="1" t="n">
        <v>45910</v>
      </c>
      <c r="C76" s="1" t="n">
        <v>46200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2.8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Stuplav</t>
        </is>
      </c>
      <c r="S76">
        <f>HYPERLINK("https://klasma.github.io/Logging_2582/artfynd/A 43310-2025 artfynd.xlsx", "A 43310-2025")</f>
        <v/>
      </c>
      <c r="T76">
        <f>HYPERLINK("https://klasma.github.io/Logging_2582/kartor/A 43310-2025 karta.png", "A 43310-2025")</f>
        <v/>
      </c>
      <c r="V76">
        <f>HYPERLINK("https://klasma.github.io/Logging_2582/klagomål/A 43310-2025 FSC-klagomål.docx", "A 43310-2025")</f>
        <v/>
      </c>
      <c r="W76">
        <f>HYPERLINK("https://klasma.github.io/Logging_2582/klagomålsmail/A 43310-2025 FSC-klagomål mail.docx", "A 43310-2025")</f>
        <v/>
      </c>
      <c r="X76">
        <f>HYPERLINK("https://klasma.github.io/Logging_2582/tillsyn/A 43310-2025 tillsynsbegäran.docx", "A 43310-2025")</f>
        <v/>
      </c>
      <c r="Y76">
        <f>HYPERLINK("https://klasma.github.io/Logging_2582/tillsynsmail/A 43310-2025 tillsynsbegäran mail.docx", "A 43310-2025")</f>
        <v/>
      </c>
    </row>
    <row r="77" ht="15" customHeight="1">
      <c r="A77" t="inlineStr">
        <is>
          <t>A 45477-2025</t>
        </is>
      </c>
      <c r="B77" s="1" t="n">
        <v>45922</v>
      </c>
      <c r="C77" s="1" t="n">
        <v>46200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9.1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Doftticka
Lunglav</t>
        </is>
      </c>
      <c r="S77">
        <f>HYPERLINK("https://klasma.github.io/Logging_2582/artfynd/A 45477-2025 artfynd.xlsx", "A 45477-2025")</f>
        <v/>
      </c>
      <c r="T77">
        <f>HYPERLINK("https://klasma.github.io/Logging_2582/kartor/A 45477-2025 karta.png", "A 45477-2025")</f>
        <v/>
      </c>
      <c r="V77">
        <f>HYPERLINK("https://klasma.github.io/Logging_2582/klagomål/A 45477-2025 FSC-klagomål.docx", "A 45477-2025")</f>
        <v/>
      </c>
      <c r="W77">
        <f>HYPERLINK("https://klasma.github.io/Logging_2582/klagomålsmail/A 45477-2025 FSC-klagomål mail.docx", "A 45477-2025")</f>
        <v/>
      </c>
      <c r="X77">
        <f>HYPERLINK("https://klasma.github.io/Logging_2582/tillsyn/A 45477-2025 tillsynsbegäran.docx", "A 45477-2025")</f>
        <v/>
      </c>
      <c r="Y77">
        <f>HYPERLINK("https://klasma.github.io/Logging_2582/tillsynsmail/A 45477-2025 tillsynsbegäran mail.docx", "A 45477-2025")</f>
        <v/>
      </c>
    </row>
    <row r="78" ht="15" customHeight="1">
      <c r="A78" t="inlineStr">
        <is>
          <t>A 59435-2024</t>
        </is>
      </c>
      <c r="B78" s="1" t="n">
        <v>45638</v>
      </c>
      <c r="C78" s="1" t="n">
        <v>46200</v>
      </c>
      <c r="D78" t="inlineStr">
        <is>
          <t>NORRBOTTENS LÄN</t>
        </is>
      </c>
      <c r="E78" t="inlineStr">
        <is>
          <t>BODEN</t>
        </is>
      </c>
      <c r="G78" t="n">
        <v>2.1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Lappranunkel
Ögonpyrola</t>
        </is>
      </c>
      <c r="S78">
        <f>HYPERLINK("https://klasma.github.io/Logging_2582/artfynd/A 59435-2024 artfynd.xlsx", "A 59435-2024")</f>
        <v/>
      </c>
      <c r="T78">
        <f>HYPERLINK("https://klasma.github.io/Logging_2582/kartor/A 59435-2024 karta.png", "A 59435-2024")</f>
        <v/>
      </c>
      <c r="V78">
        <f>HYPERLINK("https://klasma.github.io/Logging_2582/klagomål/A 59435-2024 FSC-klagomål.docx", "A 59435-2024")</f>
        <v/>
      </c>
      <c r="W78">
        <f>HYPERLINK("https://klasma.github.io/Logging_2582/klagomålsmail/A 59435-2024 FSC-klagomål mail.docx", "A 59435-2024")</f>
        <v/>
      </c>
      <c r="X78">
        <f>HYPERLINK("https://klasma.github.io/Logging_2582/tillsyn/A 59435-2024 tillsynsbegäran.docx", "A 59435-2024")</f>
        <v/>
      </c>
      <c r="Y78">
        <f>HYPERLINK("https://klasma.github.io/Logging_2582/tillsynsmail/A 59435-2024 tillsynsbegäran mail.docx", "A 59435-2024")</f>
        <v/>
      </c>
    </row>
    <row r="79" ht="15" customHeight="1">
      <c r="A79" t="inlineStr">
        <is>
          <t>A 8703-2026</t>
        </is>
      </c>
      <c r="B79" s="1" t="n">
        <v>46066</v>
      </c>
      <c r="C79" s="1" t="n">
        <v>46200</v>
      </c>
      <c r="D79" t="inlineStr">
        <is>
          <t>NORRBOTTENS LÄN</t>
        </is>
      </c>
      <c r="E79" t="inlineStr">
        <is>
          <t>BODEN</t>
        </is>
      </c>
      <c r="G79" t="n">
        <v>1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Ullticka
Skinnlav</t>
        </is>
      </c>
      <c r="S79">
        <f>HYPERLINK("https://klasma.github.io/Logging_2582/artfynd/A 8703-2026 artfynd.xlsx", "A 8703-2026")</f>
        <v/>
      </c>
      <c r="T79">
        <f>HYPERLINK("https://klasma.github.io/Logging_2582/kartor/A 8703-2026 karta.png", "A 8703-2026")</f>
        <v/>
      </c>
      <c r="V79">
        <f>HYPERLINK("https://klasma.github.io/Logging_2582/klagomål/A 8703-2026 FSC-klagomål.docx", "A 8703-2026")</f>
        <v/>
      </c>
      <c r="W79">
        <f>HYPERLINK("https://klasma.github.io/Logging_2582/klagomålsmail/A 8703-2026 FSC-klagomål mail.docx", "A 8703-2026")</f>
        <v/>
      </c>
      <c r="X79">
        <f>HYPERLINK("https://klasma.github.io/Logging_2582/tillsyn/A 8703-2026 tillsynsbegäran.docx", "A 8703-2026")</f>
        <v/>
      </c>
      <c r="Y79">
        <f>HYPERLINK("https://klasma.github.io/Logging_2582/tillsynsmail/A 8703-2026 tillsynsbegäran mail.docx", "A 8703-2026")</f>
        <v/>
      </c>
    </row>
    <row r="80" ht="15" customHeight="1">
      <c r="A80" t="inlineStr">
        <is>
          <t>A 8754-2026</t>
        </is>
      </c>
      <c r="B80" s="1" t="n">
        <v>46066</v>
      </c>
      <c r="C80" s="1" t="n">
        <v>46200</v>
      </c>
      <c r="D80" t="inlineStr">
        <is>
          <t>NORRBOTTENS LÄN</t>
        </is>
      </c>
      <c r="E80" t="inlineStr">
        <is>
          <t>BODEN</t>
        </is>
      </c>
      <c r="G80" t="n">
        <v>2.1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Garnlav
Ullticka</t>
        </is>
      </c>
      <c r="S80">
        <f>HYPERLINK("https://klasma.github.io/Logging_2582/artfynd/A 8754-2026 artfynd.xlsx", "A 8754-2026")</f>
        <v/>
      </c>
      <c r="T80">
        <f>HYPERLINK("https://klasma.github.io/Logging_2582/kartor/A 8754-2026 karta.png", "A 8754-2026")</f>
        <v/>
      </c>
      <c r="V80">
        <f>HYPERLINK("https://klasma.github.io/Logging_2582/klagomål/A 8754-2026 FSC-klagomål.docx", "A 8754-2026")</f>
        <v/>
      </c>
      <c r="W80">
        <f>HYPERLINK("https://klasma.github.io/Logging_2582/klagomålsmail/A 8754-2026 FSC-klagomål mail.docx", "A 8754-2026")</f>
        <v/>
      </c>
      <c r="X80">
        <f>HYPERLINK("https://klasma.github.io/Logging_2582/tillsyn/A 8754-2026 tillsynsbegäran.docx", "A 8754-2026")</f>
        <v/>
      </c>
      <c r="Y80">
        <f>HYPERLINK("https://klasma.github.io/Logging_2582/tillsynsmail/A 8754-2026 tillsynsbegäran mail.docx", "A 8754-2026")</f>
        <v/>
      </c>
    </row>
    <row r="81" ht="15" customHeight="1">
      <c r="A81" t="inlineStr">
        <is>
          <t>A 23794-2026</t>
        </is>
      </c>
      <c r="B81" s="1" t="n">
        <v>46164</v>
      </c>
      <c r="C81" s="1" t="n">
        <v>46200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3.1</v>
      </c>
      <c r="H81" t="n">
        <v>2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Plattlummer
Spindelblomster</t>
        </is>
      </c>
      <c r="S81">
        <f>HYPERLINK("https://klasma.github.io/Logging_2582/artfynd/A 23794-2026 artfynd.xlsx", "A 23794-2026")</f>
        <v/>
      </c>
      <c r="T81">
        <f>HYPERLINK("https://klasma.github.io/Logging_2582/kartor/A 23794-2026 karta.png", "A 23794-2026")</f>
        <v/>
      </c>
      <c r="V81">
        <f>HYPERLINK("https://klasma.github.io/Logging_2582/klagomål/A 23794-2026 FSC-klagomål.docx", "A 23794-2026")</f>
        <v/>
      </c>
      <c r="W81">
        <f>HYPERLINK("https://klasma.github.io/Logging_2582/klagomålsmail/A 23794-2026 FSC-klagomål mail.docx", "A 23794-2026")</f>
        <v/>
      </c>
      <c r="X81">
        <f>HYPERLINK("https://klasma.github.io/Logging_2582/tillsyn/A 23794-2026 tillsynsbegäran.docx", "A 23794-2026")</f>
        <v/>
      </c>
      <c r="Y81">
        <f>HYPERLINK("https://klasma.github.io/Logging_2582/tillsynsmail/A 23794-2026 tillsynsbegäran mail.docx", "A 23794-2026")</f>
        <v/>
      </c>
    </row>
    <row r="82" ht="15" customHeight="1">
      <c r="A82" t="inlineStr">
        <is>
          <t>A 24233-2026</t>
        </is>
      </c>
      <c r="B82" s="1" t="n">
        <v>46168</v>
      </c>
      <c r="C82" s="1" t="n">
        <v>46200</v>
      </c>
      <c r="D82" t="inlineStr">
        <is>
          <t>NORRBOTTENS LÄN</t>
        </is>
      </c>
      <c r="E82" t="inlineStr">
        <is>
          <t>BODEN</t>
        </is>
      </c>
      <c r="G82" t="n">
        <v>2.7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Tretåig hackspett
Skinnlav</t>
        </is>
      </c>
      <c r="S82">
        <f>HYPERLINK("https://klasma.github.io/Logging_2582/artfynd/A 24233-2026 artfynd.xlsx", "A 24233-2026")</f>
        <v/>
      </c>
      <c r="T82">
        <f>HYPERLINK("https://klasma.github.io/Logging_2582/kartor/A 24233-2026 karta.png", "A 24233-2026")</f>
        <v/>
      </c>
      <c r="V82">
        <f>HYPERLINK("https://klasma.github.io/Logging_2582/klagomål/A 24233-2026 FSC-klagomål.docx", "A 24233-2026")</f>
        <v/>
      </c>
      <c r="W82">
        <f>HYPERLINK("https://klasma.github.io/Logging_2582/klagomålsmail/A 24233-2026 FSC-klagomål mail.docx", "A 24233-2026")</f>
        <v/>
      </c>
      <c r="X82">
        <f>HYPERLINK("https://klasma.github.io/Logging_2582/tillsyn/A 24233-2026 tillsynsbegäran.docx", "A 24233-2026")</f>
        <v/>
      </c>
      <c r="Y82">
        <f>HYPERLINK("https://klasma.github.io/Logging_2582/tillsynsmail/A 24233-2026 tillsynsbegäran mail.docx", "A 24233-2026")</f>
        <v/>
      </c>
      <c r="Z82">
        <f>HYPERLINK("https://klasma.github.io/Logging_2582/fåglar/A 24233-2026 prioriterade fågelarter.docx", "A 24233-2026")</f>
        <v/>
      </c>
    </row>
    <row r="83" ht="15" customHeight="1">
      <c r="A83" t="inlineStr">
        <is>
          <t>A 60774-2025</t>
        </is>
      </c>
      <c r="B83" s="1" t="n">
        <v>45999</v>
      </c>
      <c r="C83" s="1" t="n">
        <v>46200</v>
      </c>
      <c r="D83" t="inlineStr">
        <is>
          <t>NORRBOTTENS LÄN</t>
        </is>
      </c>
      <c r="E83" t="inlineStr">
        <is>
          <t>BODEN</t>
        </is>
      </c>
      <c r="G83" t="n">
        <v>1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Ullticka
Skinnlav</t>
        </is>
      </c>
      <c r="S83">
        <f>HYPERLINK("https://klasma.github.io/Logging_2582/artfynd/A 60774-2025 artfynd.xlsx", "A 60774-2025")</f>
        <v/>
      </c>
      <c r="T83">
        <f>HYPERLINK("https://klasma.github.io/Logging_2582/kartor/A 60774-2025 karta.png", "A 60774-2025")</f>
        <v/>
      </c>
      <c r="V83">
        <f>HYPERLINK("https://klasma.github.io/Logging_2582/klagomål/A 60774-2025 FSC-klagomål.docx", "A 60774-2025")</f>
        <v/>
      </c>
      <c r="W83">
        <f>HYPERLINK("https://klasma.github.io/Logging_2582/klagomålsmail/A 60774-2025 FSC-klagomål mail.docx", "A 60774-2025")</f>
        <v/>
      </c>
      <c r="X83">
        <f>HYPERLINK("https://klasma.github.io/Logging_2582/tillsyn/A 60774-2025 tillsynsbegäran.docx", "A 60774-2025")</f>
        <v/>
      </c>
      <c r="Y83">
        <f>HYPERLINK("https://klasma.github.io/Logging_2582/tillsynsmail/A 60774-2025 tillsynsbegäran mail.docx", "A 60774-2025")</f>
        <v/>
      </c>
    </row>
    <row r="84" ht="15" customHeight="1">
      <c r="A84" t="inlineStr">
        <is>
          <t>A 54167-2025</t>
        </is>
      </c>
      <c r="B84" s="1" t="n">
        <v>45964</v>
      </c>
      <c r="C84" s="1" t="n">
        <v>46200</v>
      </c>
      <c r="D84" t="inlineStr">
        <is>
          <t>NORRBOTTENS LÄN</t>
        </is>
      </c>
      <c r="E84" t="inlineStr">
        <is>
          <t>BODEN</t>
        </is>
      </c>
      <c r="G84" t="n">
        <v>1.1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Stiftgelélav</t>
        </is>
      </c>
      <c r="S84">
        <f>HYPERLINK("https://klasma.github.io/Logging_2582/artfynd/A 54167-2025 artfynd.xlsx", "A 54167-2025")</f>
        <v/>
      </c>
      <c r="T84">
        <f>HYPERLINK("https://klasma.github.io/Logging_2582/kartor/A 54167-2025 karta.png", "A 54167-2025")</f>
        <v/>
      </c>
      <c r="V84">
        <f>HYPERLINK("https://klasma.github.io/Logging_2582/klagomål/A 54167-2025 FSC-klagomål.docx", "A 54167-2025")</f>
        <v/>
      </c>
      <c r="W84">
        <f>HYPERLINK("https://klasma.github.io/Logging_2582/klagomålsmail/A 54167-2025 FSC-klagomål mail.docx", "A 54167-2025")</f>
        <v/>
      </c>
      <c r="X84">
        <f>HYPERLINK("https://klasma.github.io/Logging_2582/tillsyn/A 54167-2025 tillsynsbegäran.docx", "A 54167-2025")</f>
        <v/>
      </c>
      <c r="Y84">
        <f>HYPERLINK("https://klasma.github.io/Logging_2582/tillsynsmail/A 54167-2025 tillsynsbegäran mail.docx", "A 54167-2025")</f>
        <v/>
      </c>
    </row>
    <row r="85" ht="15" customHeight="1">
      <c r="A85" t="inlineStr">
        <is>
          <t>A 900-2024</t>
        </is>
      </c>
      <c r="B85" s="1" t="n">
        <v>45301</v>
      </c>
      <c r="C85" s="1" t="n">
        <v>46200</v>
      </c>
      <c r="D85" t="inlineStr">
        <is>
          <t>NORRBOTTENS LÄN</t>
        </is>
      </c>
      <c r="E85" t="inlineStr">
        <is>
          <t>BODEN</t>
        </is>
      </c>
      <c r="G85" t="n">
        <v>5.2</v>
      </c>
      <c r="H85" t="n">
        <v>2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Revlummer</t>
        </is>
      </c>
      <c r="S85">
        <f>HYPERLINK("https://klasma.github.io/Logging_2582/artfynd/A 900-2024 artfynd.xlsx", "A 900-2024")</f>
        <v/>
      </c>
      <c r="T85">
        <f>HYPERLINK("https://klasma.github.io/Logging_2582/kartor/A 900-2024 karta.png", "A 900-2024")</f>
        <v/>
      </c>
      <c r="U85">
        <f>HYPERLINK("https://klasma.github.io/Logging_2582/knärot/A 900-2024 karta knärot.png", "A 900-2024")</f>
        <v/>
      </c>
      <c r="V85">
        <f>HYPERLINK("https://klasma.github.io/Logging_2582/klagomål/A 900-2024 FSC-klagomål.docx", "A 900-2024")</f>
        <v/>
      </c>
      <c r="W85">
        <f>HYPERLINK("https://klasma.github.io/Logging_2582/klagomålsmail/A 900-2024 FSC-klagomål mail.docx", "A 900-2024")</f>
        <v/>
      </c>
      <c r="X85">
        <f>HYPERLINK("https://klasma.github.io/Logging_2582/tillsyn/A 900-2024 tillsynsbegäran.docx", "A 900-2024")</f>
        <v/>
      </c>
      <c r="Y85">
        <f>HYPERLINK("https://klasma.github.io/Logging_2582/tillsynsmail/A 900-2024 tillsynsbegäran mail.docx", "A 900-2024")</f>
        <v/>
      </c>
    </row>
    <row r="86" ht="15" customHeight="1">
      <c r="A86" t="inlineStr">
        <is>
          <t>A 31758-2025</t>
        </is>
      </c>
      <c r="B86" s="1" t="n">
        <v>45834</v>
      </c>
      <c r="C86" s="1" t="n">
        <v>46200</v>
      </c>
      <c r="D86" t="inlineStr">
        <is>
          <t>NORRBOTTENS LÄN</t>
        </is>
      </c>
      <c r="E86" t="inlineStr">
        <is>
          <t>BODEN</t>
        </is>
      </c>
      <c r="G86" t="n">
        <v>19.9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Garnlav
Tretåig hackspett</t>
        </is>
      </c>
      <c r="S86">
        <f>HYPERLINK("https://klasma.github.io/Logging_2582/artfynd/A 31758-2025 artfynd.xlsx", "A 31758-2025")</f>
        <v/>
      </c>
      <c r="T86">
        <f>HYPERLINK("https://klasma.github.io/Logging_2582/kartor/A 31758-2025 karta.png", "A 31758-2025")</f>
        <v/>
      </c>
      <c r="V86">
        <f>HYPERLINK("https://klasma.github.io/Logging_2582/klagomål/A 31758-2025 FSC-klagomål.docx", "A 31758-2025")</f>
        <v/>
      </c>
      <c r="W86">
        <f>HYPERLINK("https://klasma.github.io/Logging_2582/klagomålsmail/A 31758-2025 FSC-klagomål mail.docx", "A 31758-2025")</f>
        <v/>
      </c>
      <c r="X86">
        <f>HYPERLINK("https://klasma.github.io/Logging_2582/tillsyn/A 31758-2025 tillsynsbegäran.docx", "A 31758-2025")</f>
        <v/>
      </c>
      <c r="Y86">
        <f>HYPERLINK("https://klasma.github.io/Logging_2582/tillsynsmail/A 31758-2025 tillsynsbegäran mail.docx", "A 31758-2025")</f>
        <v/>
      </c>
      <c r="Z86">
        <f>HYPERLINK("https://klasma.github.io/Logging_2582/fåglar/A 31758-2025 prioriterade fågelarter.docx", "A 31758-2025")</f>
        <v/>
      </c>
    </row>
    <row r="87" ht="15" customHeight="1">
      <c r="A87" t="inlineStr">
        <is>
          <t>A 26773-2026</t>
        </is>
      </c>
      <c r="B87" s="1" t="n">
        <v>46184</v>
      </c>
      <c r="C87" s="1" t="n">
        <v>46200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2.9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Lunglav</t>
        </is>
      </c>
      <c r="S87">
        <f>HYPERLINK("https://klasma.github.io/Logging_2582/artfynd/A 26773-2026 artfynd.xlsx", "A 26773-2026")</f>
        <v/>
      </c>
      <c r="T87">
        <f>HYPERLINK("https://klasma.github.io/Logging_2582/kartor/A 26773-2026 karta.png", "A 26773-2026")</f>
        <v/>
      </c>
      <c r="U87">
        <f>HYPERLINK("https://klasma.github.io/Logging_2582/knärot/A 26773-2026 karta knärot.png", "A 26773-2026")</f>
        <v/>
      </c>
      <c r="V87">
        <f>HYPERLINK("https://klasma.github.io/Logging_2582/klagomål/A 26773-2026 FSC-klagomål.docx", "A 26773-2026")</f>
        <v/>
      </c>
      <c r="W87">
        <f>HYPERLINK("https://klasma.github.io/Logging_2582/klagomålsmail/A 26773-2026 FSC-klagomål mail.docx", "A 26773-2026")</f>
        <v/>
      </c>
      <c r="X87">
        <f>HYPERLINK("https://klasma.github.io/Logging_2582/tillsyn/A 26773-2026 tillsynsbegäran.docx", "A 26773-2026")</f>
        <v/>
      </c>
      <c r="Y87">
        <f>HYPERLINK("https://klasma.github.io/Logging_2582/tillsynsmail/A 26773-2026 tillsynsbegäran mail.docx", "A 26773-2026")</f>
        <v/>
      </c>
    </row>
    <row r="88" ht="15" customHeight="1">
      <c r="A88" t="inlineStr">
        <is>
          <t>A 26721-2026</t>
        </is>
      </c>
      <c r="B88" s="1" t="n">
        <v>46184</v>
      </c>
      <c r="C88" s="1" t="n">
        <v>46200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7.8</v>
      </c>
      <c r="H88" t="n">
        <v>1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Plattlummer
Tibast</t>
        </is>
      </c>
      <c r="S88">
        <f>HYPERLINK("https://klasma.github.io/Logging_2582/artfynd/A 26721-2026 artfynd.xlsx", "A 26721-2026")</f>
        <v/>
      </c>
      <c r="T88">
        <f>HYPERLINK("https://klasma.github.io/Logging_2582/kartor/A 26721-2026 karta.png", "A 26721-2026")</f>
        <v/>
      </c>
      <c r="V88">
        <f>HYPERLINK("https://klasma.github.io/Logging_2582/klagomål/A 26721-2026 FSC-klagomål.docx", "A 26721-2026")</f>
        <v/>
      </c>
      <c r="W88">
        <f>HYPERLINK("https://klasma.github.io/Logging_2582/klagomålsmail/A 26721-2026 FSC-klagomål mail.docx", "A 26721-2026")</f>
        <v/>
      </c>
      <c r="X88">
        <f>HYPERLINK("https://klasma.github.io/Logging_2582/tillsyn/A 26721-2026 tillsynsbegäran.docx", "A 26721-2026")</f>
        <v/>
      </c>
      <c r="Y88">
        <f>HYPERLINK("https://klasma.github.io/Logging_2582/tillsynsmail/A 26721-2026 tillsynsbegäran mail.docx", "A 26721-2026")</f>
        <v/>
      </c>
    </row>
    <row r="89" ht="15" customHeight="1">
      <c r="A89" t="inlineStr">
        <is>
          <t>A 21657-2026</t>
        </is>
      </c>
      <c r="B89" s="1" t="n">
        <v>46149</v>
      </c>
      <c r="C89" s="1" t="n">
        <v>46200</v>
      </c>
      <c r="D89" t="inlineStr">
        <is>
          <t>NORRBOTTENS LÄN</t>
        </is>
      </c>
      <c r="E89" t="inlineStr">
        <is>
          <t>BODEN</t>
        </is>
      </c>
      <c r="G89" t="n">
        <v>9.800000000000001</v>
      </c>
      <c r="H89" t="n">
        <v>2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Orre
Utter</t>
        </is>
      </c>
      <c r="S89">
        <f>HYPERLINK("https://klasma.github.io/Logging_2582/artfynd/A 21657-2026 artfynd.xlsx", "A 21657-2026")</f>
        <v/>
      </c>
      <c r="T89">
        <f>HYPERLINK("https://klasma.github.io/Logging_2582/kartor/A 21657-2026 karta.png", "A 21657-2026")</f>
        <v/>
      </c>
      <c r="V89">
        <f>HYPERLINK("https://klasma.github.io/Logging_2582/klagomål/A 21657-2026 FSC-klagomål.docx", "A 21657-2026")</f>
        <v/>
      </c>
      <c r="W89">
        <f>HYPERLINK("https://klasma.github.io/Logging_2582/klagomålsmail/A 21657-2026 FSC-klagomål mail.docx", "A 21657-2026")</f>
        <v/>
      </c>
      <c r="X89">
        <f>HYPERLINK("https://klasma.github.io/Logging_2582/tillsyn/A 21657-2026 tillsynsbegäran.docx", "A 21657-2026")</f>
        <v/>
      </c>
      <c r="Y89">
        <f>HYPERLINK("https://klasma.github.io/Logging_2582/tillsynsmail/A 21657-2026 tillsynsbegäran mail.docx", "A 21657-2026")</f>
        <v/>
      </c>
      <c r="Z89">
        <f>HYPERLINK("https://klasma.github.io/Logging_2582/fåglar/A 21657-2026 prioriterade fågelarter.docx", "A 21657-2026")</f>
        <v/>
      </c>
    </row>
    <row r="90" ht="15" customHeight="1">
      <c r="A90" t="inlineStr">
        <is>
          <t>A 13647-2022</t>
        </is>
      </c>
      <c r="B90" s="1" t="n">
        <v>44648</v>
      </c>
      <c r="C90" s="1" t="n">
        <v>46200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3.8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HYPERLINK("https://klasma.github.io/Logging_2582/artfynd/A 13647-2022 artfynd.xlsx", "A 13647-2022")</f>
        <v/>
      </c>
      <c r="T90">
        <f>HYPERLINK("https://klasma.github.io/Logging_2582/kartor/A 13647-2022 karta.png", "A 13647-2022")</f>
        <v/>
      </c>
      <c r="V90">
        <f>HYPERLINK("https://klasma.github.io/Logging_2582/klagomål/A 13647-2022 FSC-klagomål.docx", "A 13647-2022")</f>
        <v/>
      </c>
      <c r="W90">
        <f>HYPERLINK("https://klasma.github.io/Logging_2582/klagomålsmail/A 13647-2022 FSC-klagomål mail.docx", "A 13647-2022")</f>
        <v/>
      </c>
      <c r="X90">
        <f>HYPERLINK("https://klasma.github.io/Logging_2582/tillsyn/A 13647-2022 tillsynsbegäran.docx", "A 13647-2022")</f>
        <v/>
      </c>
      <c r="Y90">
        <f>HYPERLINK("https://klasma.github.io/Logging_2582/tillsynsmail/A 13647-2022 tillsynsbegäran mail.docx", "A 13647-2022")</f>
        <v/>
      </c>
    </row>
    <row r="91" ht="15" customHeight="1">
      <c r="A91" t="inlineStr">
        <is>
          <t>A 39884-2021</t>
        </is>
      </c>
      <c r="B91" s="1" t="n">
        <v>44417</v>
      </c>
      <c r="C91" s="1" t="n">
        <v>46200</v>
      </c>
      <c r="D91" t="inlineStr">
        <is>
          <t>NORRBOTTENS LÄN</t>
        </is>
      </c>
      <c r="E91" t="inlineStr">
        <is>
          <t>BODEN</t>
        </is>
      </c>
      <c r="G91" t="n">
        <v>5.1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padda</t>
        </is>
      </c>
      <c r="S91">
        <f>HYPERLINK("https://klasma.github.io/Logging_2582/artfynd/A 39884-2021 artfynd.xlsx", "A 39884-2021")</f>
        <v/>
      </c>
      <c r="T91">
        <f>HYPERLINK("https://klasma.github.io/Logging_2582/kartor/A 39884-2021 karta.png", "A 39884-2021")</f>
        <v/>
      </c>
      <c r="V91">
        <f>HYPERLINK("https://klasma.github.io/Logging_2582/klagomål/A 39884-2021 FSC-klagomål.docx", "A 39884-2021")</f>
        <v/>
      </c>
      <c r="W91">
        <f>HYPERLINK("https://klasma.github.io/Logging_2582/klagomålsmail/A 39884-2021 FSC-klagomål mail.docx", "A 39884-2021")</f>
        <v/>
      </c>
      <c r="X91">
        <f>HYPERLINK("https://klasma.github.io/Logging_2582/tillsyn/A 39884-2021 tillsynsbegäran.docx", "A 39884-2021")</f>
        <v/>
      </c>
      <c r="Y91">
        <f>HYPERLINK("https://klasma.github.io/Logging_2582/tillsynsmail/A 39884-2021 tillsynsbegäran mail.docx", "A 39884-2021")</f>
        <v/>
      </c>
    </row>
    <row r="92" ht="15" customHeight="1">
      <c r="A92" t="inlineStr">
        <is>
          <t>A 44768-2022</t>
        </is>
      </c>
      <c r="B92" s="1" t="n">
        <v>44840</v>
      </c>
      <c r="C92" s="1" t="n">
        <v>46200</v>
      </c>
      <c r="D92" t="inlineStr">
        <is>
          <t>NORRBOTTENS LÄN</t>
        </is>
      </c>
      <c r="E92" t="inlineStr">
        <is>
          <t>BODEN</t>
        </is>
      </c>
      <c r="F92" t="inlineStr">
        <is>
          <t>SCA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HYPERLINK("https://klasma.github.io/Logging_2582/artfynd/A 44768-2022 artfynd.xlsx", "A 44768-2022")</f>
        <v/>
      </c>
      <c r="T92">
        <f>HYPERLINK("https://klasma.github.io/Logging_2582/kartor/A 44768-2022 karta.png", "A 44768-2022")</f>
        <v/>
      </c>
      <c r="V92">
        <f>HYPERLINK("https://klasma.github.io/Logging_2582/klagomål/A 44768-2022 FSC-klagomål.docx", "A 44768-2022")</f>
        <v/>
      </c>
      <c r="W92">
        <f>HYPERLINK("https://klasma.github.io/Logging_2582/klagomålsmail/A 44768-2022 FSC-klagomål mail.docx", "A 44768-2022")</f>
        <v/>
      </c>
      <c r="X92">
        <f>HYPERLINK("https://klasma.github.io/Logging_2582/tillsyn/A 44768-2022 tillsynsbegäran.docx", "A 44768-2022")</f>
        <v/>
      </c>
      <c r="Y92">
        <f>HYPERLINK("https://klasma.github.io/Logging_2582/tillsynsmail/A 44768-2022 tillsynsbegäran mail.docx", "A 44768-2022")</f>
        <v/>
      </c>
    </row>
    <row r="93" ht="15" customHeight="1">
      <c r="A93" t="inlineStr">
        <is>
          <t>A 47030-2021</t>
        </is>
      </c>
      <c r="B93" s="1" t="n">
        <v>44446</v>
      </c>
      <c r="C93" s="1" t="n">
        <v>46200</v>
      </c>
      <c r="D93" t="inlineStr">
        <is>
          <t>NORRBOTTENS LÄN</t>
        </is>
      </c>
      <c r="E93" t="inlineStr">
        <is>
          <t>BODEN</t>
        </is>
      </c>
      <c r="G93" t="n">
        <v>3.3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HYPERLINK("https://klasma.github.io/Logging_2582/artfynd/A 47030-2021 artfynd.xlsx", "A 47030-2021")</f>
        <v/>
      </c>
      <c r="T93">
        <f>HYPERLINK("https://klasma.github.io/Logging_2582/kartor/A 47030-2021 karta.png", "A 47030-2021")</f>
        <v/>
      </c>
      <c r="V93">
        <f>HYPERLINK("https://klasma.github.io/Logging_2582/klagomål/A 47030-2021 FSC-klagomål.docx", "A 47030-2021")</f>
        <v/>
      </c>
      <c r="W93">
        <f>HYPERLINK("https://klasma.github.io/Logging_2582/klagomålsmail/A 47030-2021 FSC-klagomål mail.docx", "A 47030-2021")</f>
        <v/>
      </c>
      <c r="X93">
        <f>HYPERLINK("https://klasma.github.io/Logging_2582/tillsyn/A 47030-2021 tillsynsbegäran.docx", "A 47030-2021")</f>
        <v/>
      </c>
      <c r="Y93">
        <f>HYPERLINK("https://klasma.github.io/Logging_2582/tillsynsmail/A 47030-2021 tillsynsbegäran mail.docx", "A 47030-2021")</f>
        <v/>
      </c>
    </row>
    <row r="94" ht="15" customHeight="1">
      <c r="A94" t="inlineStr">
        <is>
          <t>A 40779-2021</t>
        </is>
      </c>
      <c r="B94" s="1" t="n">
        <v>44421</v>
      </c>
      <c r="C94" s="1" t="n">
        <v>46200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Garnlav</t>
        </is>
      </c>
      <c r="S94">
        <f>HYPERLINK("https://klasma.github.io/Logging_2582/artfynd/A 40779-2021 artfynd.xlsx", "A 40779-2021")</f>
        <v/>
      </c>
      <c r="T94">
        <f>HYPERLINK("https://klasma.github.io/Logging_2582/kartor/A 40779-2021 karta.png", "A 40779-2021")</f>
        <v/>
      </c>
      <c r="V94">
        <f>HYPERLINK("https://klasma.github.io/Logging_2582/klagomål/A 40779-2021 FSC-klagomål.docx", "A 40779-2021")</f>
        <v/>
      </c>
      <c r="W94">
        <f>HYPERLINK("https://klasma.github.io/Logging_2582/klagomålsmail/A 40779-2021 FSC-klagomål mail.docx", "A 40779-2021")</f>
        <v/>
      </c>
      <c r="X94">
        <f>HYPERLINK("https://klasma.github.io/Logging_2582/tillsyn/A 40779-2021 tillsynsbegäran.docx", "A 40779-2021")</f>
        <v/>
      </c>
      <c r="Y94">
        <f>HYPERLINK("https://klasma.github.io/Logging_2582/tillsynsmail/A 40779-2021 tillsynsbegäran mail.docx", "A 40779-2021")</f>
        <v/>
      </c>
    </row>
    <row r="95" ht="15" customHeight="1">
      <c r="A95" t="inlineStr">
        <is>
          <t>A 13568-2022</t>
        </is>
      </c>
      <c r="B95" s="1" t="n">
        <v>44648</v>
      </c>
      <c r="C95" s="1" t="n">
        <v>46200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1.5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Lavskrika</t>
        </is>
      </c>
      <c r="S95">
        <f>HYPERLINK("https://klasma.github.io/Logging_2582/artfynd/A 13568-2022 artfynd.xlsx", "A 13568-2022")</f>
        <v/>
      </c>
      <c r="T95">
        <f>HYPERLINK("https://klasma.github.io/Logging_2582/kartor/A 13568-2022 karta.png", "A 13568-2022")</f>
        <v/>
      </c>
      <c r="V95">
        <f>HYPERLINK("https://klasma.github.io/Logging_2582/klagomål/A 13568-2022 FSC-klagomål.docx", "A 13568-2022")</f>
        <v/>
      </c>
      <c r="W95">
        <f>HYPERLINK("https://klasma.github.io/Logging_2582/klagomålsmail/A 13568-2022 FSC-klagomål mail.docx", "A 13568-2022")</f>
        <v/>
      </c>
      <c r="X95">
        <f>HYPERLINK("https://klasma.github.io/Logging_2582/tillsyn/A 13568-2022 tillsynsbegäran.docx", "A 13568-2022")</f>
        <v/>
      </c>
      <c r="Y95">
        <f>HYPERLINK("https://klasma.github.io/Logging_2582/tillsynsmail/A 13568-2022 tillsynsbegäran mail.docx", "A 13568-2022")</f>
        <v/>
      </c>
      <c r="Z95">
        <f>HYPERLINK("https://klasma.github.io/Logging_2582/fåglar/A 13568-2022 prioriterade fågelarter.docx", "A 13568-2022")</f>
        <v/>
      </c>
    </row>
    <row r="96" ht="15" customHeight="1">
      <c r="A96" t="inlineStr">
        <is>
          <t>A 2568-2024</t>
        </is>
      </c>
      <c r="B96" s="1" t="n">
        <v>45313</v>
      </c>
      <c r="C96" s="1" t="n">
        <v>46200</v>
      </c>
      <c r="D96" t="inlineStr">
        <is>
          <t>NORRBOTTENS LÄN</t>
        </is>
      </c>
      <c r="E96" t="inlineStr">
        <is>
          <t>BODEN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Blå taggsvamp</t>
        </is>
      </c>
      <c r="S96">
        <f>HYPERLINK("https://klasma.github.io/Logging_2582/artfynd/A 2568-2024 artfynd.xlsx", "A 2568-2024")</f>
        <v/>
      </c>
      <c r="T96">
        <f>HYPERLINK("https://klasma.github.io/Logging_2582/kartor/A 2568-2024 karta.png", "A 2568-2024")</f>
        <v/>
      </c>
      <c r="V96">
        <f>HYPERLINK("https://klasma.github.io/Logging_2582/klagomål/A 2568-2024 FSC-klagomål.docx", "A 2568-2024")</f>
        <v/>
      </c>
      <c r="W96">
        <f>HYPERLINK("https://klasma.github.io/Logging_2582/klagomålsmail/A 2568-2024 FSC-klagomål mail.docx", "A 2568-2024")</f>
        <v/>
      </c>
      <c r="X96">
        <f>HYPERLINK("https://klasma.github.io/Logging_2582/tillsyn/A 2568-2024 tillsynsbegäran.docx", "A 2568-2024")</f>
        <v/>
      </c>
      <c r="Y96">
        <f>HYPERLINK("https://klasma.github.io/Logging_2582/tillsynsmail/A 2568-2024 tillsynsbegäran mail.docx", "A 2568-2024")</f>
        <v/>
      </c>
    </row>
    <row r="97" ht="15" customHeight="1">
      <c r="A97" t="inlineStr">
        <is>
          <t>A 18678-2025</t>
        </is>
      </c>
      <c r="B97" s="1" t="n">
        <v>45763</v>
      </c>
      <c r="C97" s="1" t="n">
        <v>46200</v>
      </c>
      <c r="D97" t="inlineStr">
        <is>
          <t>NORRBOTTENS LÄN</t>
        </is>
      </c>
      <c r="E97" t="inlineStr">
        <is>
          <t>BODEN</t>
        </is>
      </c>
      <c r="G97" t="n">
        <v>1.6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Garnlav</t>
        </is>
      </c>
      <c r="S97">
        <f>HYPERLINK("https://klasma.github.io/Logging_2582/artfynd/A 18678-2025 artfynd.xlsx", "A 18678-2025")</f>
        <v/>
      </c>
      <c r="T97">
        <f>HYPERLINK("https://klasma.github.io/Logging_2582/kartor/A 18678-2025 karta.png", "A 18678-2025")</f>
        <v/>
      </c>
      <c r="V97">
        <f>HYPERLINK("https://klasma.github.io/Logging_2582/klagomål/A 18678-2025 FSC-klagomål.docx", "A 18678-2025")</f>
        <v/>
      </c>
      <c r="W97">
        <f>HYPERLINK("https://klasma.github.io/Logging_2582/klagomålsmail/A 18678-2025 FSC-klagomål mail.docx", "A 18678-2025")</f>
        <v/>
      </c>
      <c r="X97">
        <f>HYPERLINK("https://klasma.github.io/Logging_2582/tillsyn/A 18678-2025 tillsynsbegäran.docx", "A 18678-2025")</f>
        <v/>
      </c>
      <c r="Y97">
        <f>HYPERLINK("https://klasma.github.io/Logging_2582/tillsynsmail/A 18678-2025 tillsynsbegäran mail.docx", "A 18678-2025")</f>
        <v/>
      </c>
    </row>
    <row r="98" ht="15" customHeight="1">
      <c r="A98" t="inlineStr">
        <is>
          <t>A 12832-2022</t>
        </is>
      </c>
      <c r="B98" s="1" t="n">
        <v>44642</v>
      </c>
      <c r="C98" s="1" t="n">
        <v>46200</v>
      </c>
      <c r="D98" t="inlineStr">
        <is>
          <t>NORRBOTTENS LÄN</t>
        </is>
      </c>
      <c r="E98" t="inlineStr">
        <is>
          <t>BODEN</t>
        </is>
      </c>
      <c r="G98" t="n">
        <v>6.6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Doftticka</t>
        </is>
      </c>
      <c r="S98">
        <f>HYPERLINK("https://klasma.github.io/Logging_2582/artfynd/A 12832-2022 artfynd.xlsx", "A 12832-2022")</f>
        <v/>
      </c>
      <c r="T98">
        <f>HYPERLINK("https://klasma.github.io/Logging_2582/kartor/A 12832-2022 karta.png", "A 12832-2022")</f>
        <v/>
      </c>
      <c r="V98">
        <f>HYPERLINK("https://klasma.github.io/Logging_2582/klagomål/A 12832-2022 FSC-klagomål.docx", "A 12832-2022")</f>
        <v/>
      </c>
      <c r="W98">
        <f>HYPERLINK("https://klasma.github.io/Logging_2582/klagomålsmail/A 12832-2022 FSC-klagomål mail.docx", "A 12832-2022")</f>
        <v/>
      </c>
      <c r="X98">
        <f>HYPERLINK("https://klasma.github.io/Logging_2582/tillsyn/A 12832-2022 tillsynsbegäran.docx", "A 12832-2022")</f>
        <v/>
      </c>
      <c r="Y98">
        <f>HYPERLINK("https://klasma.github.io/Logging_2582/tillsynsmail/A 12832-2022 tillsynsbegäran mail.docx", "A 12832-2022")</f>
        <v/>
      </c>
    </row>
    <row r="99" ht="15" customHeight="1">
      <c r="A99" t="inlineStr">
        <is>
          <t>A 68560-2021</t>
        </is>
      </c>
      <c r="B99" s="1" t="n">
        <v>44529</v>
      </c>
      <c r="C99" s="1" t="n">
        <v>46200</v>
      </c>
      <c r="D99" t="inlineStr">
        <is>
          <t>NORRBOTTENS LÄN</t>
        </is>
      </c>
      <c r="E99" t="inlineStr">
        <is>
          <t>BODEN</t>
        </is>
      </c>
      <c r="G99" t="n">
        <v>3.5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Småflikig brosklav</t>
        </is>
      </c>
      <c r="S99">
        <f>HYPERLINK("https://klasma.github.io/Logging_2582/artfynd/A 68560-2021 artfynd.xlsx", "A 68560-2021")</f>
        <v/>
      </c>
      <c r="T99">
        <f>HYPERLINK("https://klasma.github.io/Logging_2582/kartor/A 68560-2021 karta.png", "A 68560-2021")</f>
        <v/>
      </c>
      <c r="V99">
        <f>HYPERLINK("https://klasma.github.io/Logging_2582/klagomål/A 68560-2021 FSC-klagomål.docx", "A 68560-2021")</f>
        <v/>
      </c>
      <c r="W99">
        <f>HYPERLINK("https://klasma.github.io/Logging_2582/klagomålsmail/A 68560-2021 FSC-klagomål mail.docx", "A 68560-2021")</f>
        <v/>
      </c>
      <c r="X99">
        <f>HYPERLINK("https://klasma.github.io/Logging_2582/tillsyn/A 68560-2021 tillsynsbegäran.docx", "A 68560-2021")</f>
        <v/>
      </c>
      <c r="Y99">
        <f>HYPERLINK("https://klasma.github.io/Logging_2582/tillsynsmail/A 68560-2021 tillsynsbegäran mail.docx", "A 68560-2021")</f>
        <v/>
      </c>
    </row>
    <row r="100" ht="15" customHeight="1">
      <c r="A100" t="inlineStr">
        <is>
          <t>A 52078-2021</t>
        </is>
      </c>
      <c r="B100" s="1" t="n">
        <v>44463</v>
      </c>
      <c r="C100" s="1" t="n">
        <v>46200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0.5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HYPERLINK("https://klasma.github.io/Logging_2582/artfynd/A 52078-2021 artfynd.xlsx", "A 52078-2021")</f>
        <v/>
      </c>
      <c r="T100">
        <f>HYPERLINK("https://klasma.github.io/Logging_2582/kartor/A 52078-2021 karta.png", "A 52078-2021")</f>
        <v/>
      </c>
      <c r="U100">
        <f>HYPERLINK("https://klasma.github.io/Logging_2582/knärot/A 52078-2021 karta knärot.png", "A 52078-2021")</f>
        <v/>
      </c>
      <c r="V100">
        <f>HYPERLINK("https://klasma.github.io/Logging_2582/klagomål/A 52078-2021 FSC-klagomål.docx", "A 52078-2021")</f>
        <v/>
      </c>
      <c r="W100">
        <f>HYPERLINK("https://klasma.github.io/Logging_2582/klagomålsmail/A 52078-2021 FSC-klagomål mail.docx", "A 52078-2021")</f>
        <v/>
      </c>
      <c r="X100">
        <f>HYPERLINK("https://klasma.github.io/Logging_2582/tillsyn/A 52078-2021 tillsynsbegäran.docx", "A 52078-2021")</f>
        <v/>
      </c>
      <c r="Y100">
        <f>HYPERLINK("https://klasma.github.io/Logging_2582/tillsynsmail/A 52078-2021 tillsynsbegäran mail.docx", "A 52078-2021")</f>
        <v/>
      </c>
    </row>
    <row r="101" ht="15" customHeight="1">
      <c r="A101" t="inlineStr">
        <is>
          <t>A 41087-2024</t>
        </is>
      </c>
      <c r="B101" s="1" t="n">
        <v>45559</v>
      </c>
      <c r="C101" s="1" t="n">
        <v>46200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Garnlav</t>
        </is>
      </c>
      <c r="S101">
        <f>HYPERLINK("https://klasma.github.io/Logging_2582/artfynd/A 41087-2024 artfynd.xlsx", "A 41087-2024")</f>
        <v/>
      </c>
      <c r="T101">
        <f>HYPERLINK("https://klasma.github.io/Logging_2582/kartor/A 41087-2024 karta.png", "A 41087-2024")</f>
        <v/>
      </c>
      <c r="V101">
        <f>HYPERLINK("https://klasma.github.io/Logging_2582/klagomål/A 41087-2024 FSC-klagomål.docx", "A 41087-2024")</f>
        <v/>
      </c>
      <c r="W101">
        <f>HYPERLINK("https://klasma.github.io/Logging_2582/klagomålsmail/A 41087-2024 FSC-klagomål mail.docx", "A 41087-2024")</f>
        <v/>
      </c>
      <c r="X101">
        <f>HYPERLINK("https://klasma.github.io/Logging_2582/tillsyn/A 41087-2024 tillsynsbegäran.docx", "A 41087-2024")</f>
        <v/>
      </c>
      <c r="Y101">
        <f>HYPERLINK("https://klasma.github.io/Logging_2582/tillsynsmail/A 41087-2024 tillsynsbegäran mail.docx", "A 41087-2024")</f>
        <v/>
      </c>
    </row>
    <row r="102" ht="15" customHeight="1">
      <c r="A102" t="inlineStr">
        <is>
          <t>A 68514-2021</t>
        </is>
      </c>
      <c r="B102" s="1" t="n">
        <v>44529</v>
      </c>
      <c r="C102" s="1" t="n">
        <v>46200</v>
      </c>
      <c r="D102" t="inlineStr">
        <is>
          <t>NORRBOTTENS LÄN</t>
        </is>
      </c>
      <c r="E102" t="inlineStr">
        <is>
          <t>BODEN</t>
        </is>
      </c>
      <c r="G102" t="n">
        <v>6.2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HYPERLINK("https://klasma.github.io/Logging_2582/artfynd/A 68514-2021 artfynd.xlsx", "A 68514-2021")</f>
        <v/>
      </c>
      <c r="T102">
        <f>HYPERLINK("https://klasma.github.io/Logging_2582/kartor/A 68514-2021 karta.png", "A 68514-2021")</f>
        <v/>
      </c>
      <c r="U102">
        <f>HYPERLINK("https://klasma.github.io/Logging_2582/knärot/A 68514-2021 karta knärot.png", "A 68514-2021")</f>
        <v/>
      </c>
      <c r="V102">
        <f>HYPERLINK("https://klasma.github.io/Logging_2582/klagomål/A 68514-2021 FSC-klagomål.docx", "A 68514-2021")</f>
        <v/>
      </c>
      <c r="W102">
        <f>HYPERLINK("https://klasma.github.io/Logging_2582/klagomålsmail/A 68514-2021 FSC-klagomål mail.docx", "A 68514-2021")</f>
        <v/>
      </c>
      <c r="X102">
        <f>HYPERLINK("https://klasma.github.io/Logging_2582/tillsyn/A 68514-2021 tillsynsbegäran.docx", "A 68514-2021")</f>
        <v/>
      </c>
      <c r="Y102">
        <f>HYPERLINK("https://klasma.github.io/Logging_2582/tillsynsmail/A 68514-2021 tillsynsbegäran mail.docx", "A 68514-2021")</f>
        <v/>
      </c>
      <c r="Z102">
        <f>HYPERLINK("https://klasma.github.io/Logging_2582/fåglar/A 68514-2021 prioriterade fågelarter.docx", "A 68514-2021")</f>
        <v/>
      </c>
    </row>
    <row r="103" ht="15" customHeight="1">
      <c r="A103" t="inlineStr">
        <is>
          <t>A 22892-2024</t>
        </is>
      </c>
      <c r="B103" s="1" t="n">
        <v>45448</v>
      </c>
      <c r="C103" s="1" t="n">
        <v>46200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Bollvitmossa</t>
        </is>
      </c>
      <c r="S103">
        <f>HYPERLINK("https://klasma.github.io/Logging_2582/artfynd/A 22892-2024 artfynd.xlsx", "A 22892-2024")</f>
        <v/>
      </c>
      <c r="T103">
        <f>HYPERLINK("https://klasma.github.io/Logging_2582/kartor/A 22892-2024 karta.png", "A 22892-2024")</f>
        <v/>
      </c>
      <c r="V103">
        <f>HYPERLINK("https://klasma.github.io/Logging_2582/klagomål/A 22892-2024 FSC-klagomål.docx", "A 22892-2024")</f>
        <v/>
      </c>
      <c r="W103">
        <f>HYPERLINK("https://klasma.github.io/Logging_2582/klagomålsmail/A 22892-2024 FSC-klagomål mail.docx", "A 22892-2024")</f>
        <v/>
      </c>
      <c r="X103">
        <f>HYPERLINK("https://klasma.github.io/Logging_2582/tillsyn/A 22892-2024 tillsynsbegäran.docx", "A 22892-2024")</f>
        <v/>
      </c>
      <c r="Y103">
        <f>HYPERLINK("https://klasma.github.io/Logging_2582/tillsynsmail/A 22892-2024 tillsynsbegäran mail.docx", "A 22892-2024")</f>
        <v/>
      </c>
    </row>
    <row r="104" ht="15" customHeight="1">
      <c r="A104" t="inlineStr">
        <is>
          <t>A 36743-2024</t>
        </is>
      </c>
      <c r="B104" s="1" t="n">
        <v>45538</v>
      </c>
      <c r="C104" s="1" t="n">
        <v>46200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HYPERLINK("https://klasma.github.io/Logging_2582/artfynd/A 36743-2024 artfynd.xlsx", "A 36743-2024")</f>
        <v/>
      </c>
      <c r="T104">
        <f>HYPERLINK("https://klasma.github.io/Logging_2582/kartor/A 36743-2024 karta.png", "A 36743-2024")</f>
        <v/>
      </c>
      <c r="V104">
        <f>HYPERLINK("https://klasma.github.io/Logging_2582/klagomål/A 36743-2024 FSC-klagomål.docx", "A 36743-2024")</f>
        <v/>
      </c>
      <c r="W104">
        <f>HYPERLINK("https://klasma.github.io/Logging_2582/klagomålsmail/A 36743-2024 FSC-klagomål mail.docx", "A 36743-2024")</f>
        <v/>
      </c>
      <c r="X104">
        <f>HYPERLINK("https://klasma.github.io/Logging_2582/tillsyn/A 36743-2024 tillsynsbegäran.docx", "A 36743-2024")</f>
        <v/>
      </c>
      <c r="Y104">
        <f>HYPERLINK("https://klasma.github.io/Logging_2582/tillsynsmail/A 36743-2024 tillsynsbegäran mail.docx", "A 36743-2024")</f>
        <v/>
      </c>
    </row>
    <row r="105" ht="15" customHeight="1">
      <c r="A105" t="inlineStr">
        <is>
          <t>A 32600-2024</t>
        </is>
      </c>
      <c r="B105" s="1" t="n">
        <v>45513</v>
      </c>
      <c r="C105" s="1" t="n">
        <v>46200</v>
      </c>
      <c r="D105" t="inlineStr">
        <is>
          <t>NORRBOTTENS LÄN</t>
        </is>
      </c>
      <c r="E105" t="inlineStr">
        <is>
          <t>BODEN</t>
        </is>
      </c>
      <c r="G105" t="n">
        <v>2.5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HYPERLINK("https://klasma.github.io/Logging_2582/artfynd/A 32600-2024 artfynd.xlsx", "A 32600-2024")</f>
        <v/>
      </c>
      <c r="T105">
        <f>HYPERLINK("https://klasma.github.io/Logging_2582/kartor/A 32600-2024 karta.png", "A 32600-2024")</f>
        <v/>
      </c>
      <c r="V105">
        <f>HYPERLINK("https://klasma.github.io/Logging_2582/klagomål/A 32600-2024 FSC-klagomål.docx", "A 32600-2024")</f>
        <v/>
      </c>
      <c r="W105">
        <f>HYPERLINK("https://klasma.github.io/Logging_2582/klagomålsmail/A 32600-2024 FSC-klagomål mail.docx", "A 32600-2024")</f>
        <v/>
      </c>
      <c r="X105">
        <f>HYPERLINK("https://klasma.github.io/Logging_2582/tillsyn/A 32600-2024 tillsynsbegäran.docx", "A 32600-2024")</f>
        <v/>
      </c>
      <c r="Y105">
        <f>HYPERLINK("https://klasma.github.io/Logging_2582/tillsynsmail/A 32600-2024 tillsynsbegäran mail.docx", "A 32600-2024")</f>
        <v/>
      </c>
    </row>
    <row r="106" ht="15" customHeight="1">
      <c r="A106" t="inlineStr">
        <is>
          <t>A 31358-2025</t>
        </is>
      </c>
      <c r="B106" s="1" t="n">
        <v>45833</v>
      </c>
      <c r="C106" s="1" t="n">
        <v>46200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9.300000000000001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HYPERLINK("https://klasma.github.io/Logging_2582/artfynd/A 31358-2025 artfynd.xlsx", "A 31358-2025")</f>
        <v/>
      </c>
      <c r="T106">
        <f>HYPERLINK("https://klasma.github.io/Logging_2582/kartor/A 31358-2025 karta.png", "A 31358-2025")</f>
        <v/>
      </c>
      <c r="V106">
        <f>HYPERLINK("https://klasma.github.io/Logging_2582/klagomål/A 31358-2025 FSC-klagomål.docx", "A 31358-2025")</f>
        <v/>
      </c>
      <c r="W106">
        <f>HYPERLINK("https://klasma.github.io/Logging_2582/klagomålsmail/A 31358-2025 FSC-klagomål mail.docx", "A 31358-2025")</f>
        <v/>
      </c>
      <c r="X106">
        <f>HYPERLINK("https://klasma.github.io/Logging_2582/tillsyn/A 31358-2025 tillsynsbegäran.docx", "A 31358-2025")</f>
        <v/>
      </c>
      <c r="Y106">
        <f>HYPERLINK("https://klasma.github.io/Logging_2582/tillsynsmail/A 31358-2025 tillsynsbegäran mail.docx", "A 31358-2025")</f>
        <v/>
      </c>
    </row>
    <row r="107" ht="15" customHeight="1">
      <c r="A107" t="inlineStr">
        <is>
          <t>A 665-2023</t>
        </is>
      </c>
      <c r="B107" s="1" t="n">
        <v>44925</v>
      </c>
      <c r="C107" s="1" t="n">
        <v>46200</v>
      </c>
      <c r="D107" t="inlineStr">
        <is>
          <t>NORRBOTTENS LÄN</t>
        </is>
      </c>
      <c r="E107" t="inlineStr">
        <is>
          <t>BODEN</t>
        </is>
      </c>
      <c r="G107" t="n">
        <v>0.9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665-2023 artfynd.xlsx", "A 665-2023")</f>
        <v/>
      </c>
      <c r="T107">
        <f>HYPERLINK("https://klasma.github.io/Logging_2582/kartor/A 665-2023 karta.png", "A 665-2023")</f>
        <v/>
      </c>
      <c r="V107">
        <f>HYPERLINK("https://klasma.github.io/Logging_2582/klagomål/A 665-2023 FSC-klagomål.docx", "A 665-2023")</f>
        <v/>
      </c>
      <c r="W107">
        <f>HYPERLINK("https://klasma.github.io/Logging_2582/klagomålsmail/A 665-2023 FSC-klagomål mail.docx", "A 665-2023")</f>
        <v/>
      </c>
      <c r="X107">
        <f>HYPERLINK("https://klasma.github.io/Logging_2582/tillsyn/A 665-2023 tillsynsbegäran.docx", "A 665-2023")</f>
        <v/>
      </c>
      <c r="Y107">
        <f>HYPERLINK("https://klasma.github.io/Logging_2582/tillsynsmail/A 665-2023 tillsynsbegäran mail.docx", "A 665-2023")</f>
        <v/>
      </c>
      <c r="Z107">
        <f>HYPERLINK("https://klasma.github.io/Logging_2582/fåglar/A 665-2023 prioriterade fågelarter.docx", "A 665-2023")</f>
        <v/>
      </c>
    </row>
    <row r="108" ht="15" customHeight="1">
      <c r="A108" t="inlineStr">
        <is>
          <t>A 36008-2025</t>
        </is>
      </c>
      <c r="B108" s="1" t="n">
        <v>45863</v>
      </c>
      <c r="C108" s="1" t="n">
        <v>46200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HYPERLINK("https://klasma.github.io/Logging_2582/artfynd/A 36008-2025 artfynd.xlsx", "A 36008-2025")</f>
        <v/>
      </c>
      <c r="T108">
        <f>HYPERLINK("https://klasma.github.io/Logging_2582/kartor/A 36008-2025 karta.png", "A 36008-2025")</f>
        <v/>
      </c>
      <c r="V108">
        <f>HYPERLINK("https://klasma.github.io/Logging_2582/klagomål/A 36008-2025 FSC-klagomål.docx", "A 36008-2025")</f>
        <v/>
      </c>
      <c r="W108">
        <f>HYPERLINK("https://klasma.github.io/Logging_2582/klagomålsmail/A 36008-2025 FSC-klagomål mail.docx", "A 36008-2025")</f>
        <v/>
      </c>
      <c r="X108">
        <f>HYPERLINK("https://klasma.github.io/Logging_2582/tillsyn/A 36008-2025 tillsynsbegäran.docx", "A 36008-2025")</f>
        <v/>
      </c>
      <c r="Y108">
        <f>HYPERLINK("https://klasma.github.io/Logging_2582/tillsynsmail/A 36008-2025 tillsynsbegäran mail.docx", "A 36008-2025")</f>
        <v/>
      </c>
    </row>
    <row r="109" ht="15" customHeight="1">
      <c r="A109" t="inlineStr">
        <is>
          <t>A 19396-2022</t>
        </is>
      </c>
      <c r="B109" s="1" t="n">
        <v>44692</v>
      </c>
      <c r="C109" s="1" t="n">
        <v>46200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13.1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19396-2022 artfynd.xlsx", "A 19396-2022")</f>
        <v/>
      </c>
      <c r="T109">
        <f>HYPERLINK("https://klasma.github.io/Logging_2582/kartor/A 19396-2022 karta.png", "A 19396-2022")</f>
        <v/>
      </c>
      <c r="V109">
        <f>HYPERLINK("https://klasma.github.io/Logging_2582/klagomål/A 19396-2022 FSC-klagomål.docx", "A 19396-2022")</f>
        <v/>
      </c>
      <c r="W109">
        <f>HYPERLINK("https://klasma.github.io/Logging_2582/klagomålsmail/A 19396-2022 FSC-klagomål mail.docx", "A 19396-2022")</f>
        <v/>
      </c>
      <c r="X109">
        <f>HYPERLINK("https://klasma.github.io/Logging_2582/tillsyn/A 19396-2022 tillsynsbegäran.docx", "A 19396-2022")</f>
        <v/>
      </c>
      <c r="Y109">
        <f>HYPERLINK("https://klasma.github.io/Logging_2582/tillsynsmail/A 19396-2022 tillsynsbegäran mail.docx", "A 19396-2022")</f>
        <v/>
      </c>
    </row>
    <row r="110" ht="15" customHeight="1">
      <c r="A110" t="inlineStr">
        <is>
          <t>A 49410-2023</t>
        </is>
      </c>
      <c r="B110" s="1" t="n">
        <v>45211</v>
      </c>
      <c r="C110" s="1" t="n">
        <v>46200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HYPERLINK("https://klasma.github.io/Logging_2582/artfynd/A 49410-2023 artfynd.xlsx", "A 49410-2023")</f>
        <v/>
      </c>
      <c r="T110">
        <f>HYPERLINK("https://klasma.github.io/Logging_2582/kartor/A 49410-2023 karta.png", "A 49410-2023")</f>
        <v/>
      </c>
      <c r="V110">
        <f>HYPERLINK("https://klasma.github.io/Logging_2582/klagomål/A 49410-2023 FSC-klagomål.docx", "A 49410-2023")</f>
        <v/>
      </c>
      <c r="W110">
        <f>HYPERLINK("https://klasma.github.io/Logging_2582/klagomålsmail/A 49410-2023 FSC-klagomål mail.docx", "A 49410-2023")</f>
        <v/>
      </c>
      <c r="X110">
        <f>HYPERLINK("https://klasma.github.io/Logging_2582/tillsyn/A 49410-2023 tillsynsbegäran.docx", "A 49410-2023")</f>
        <v/>
      </c>
      <c r="Y110">
        <f>HYPERLINK("https://klasma.github.io/Logging_2582/tillsynsmail/A 49410-2023 tillsynsbegäran mail.docx", "A 49410-2023")</f>
        <v/>
      </c>
    </row>
    <row r="111" ht="15" customHeight="1">
      <c r="A111" t="inlineStr">
        <is>
          <t>A 50394-2025</t>
        </is>
      </c>
      <c r="B111" s="1" t="n">
        <v>45944</v>
      </c>
      <c r="C111" s="1" t="n">
        <v>46200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2.2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HYPERLINK("https://klasma.github.io/Logging_2582/artfynd/A 50394-2025 artfynd.xlsx", "A 50394-2025")</f>
        <v/>
      </c>
      <c r="T111">
        <f>HYPERLINK("https://klasma.github.io/Logging_2582/kartor/A 50394-2025 karta.png", "A 50394-2025")</f>
        <v/>
      </c>
      <c r="V111">
        <f>HYPERLINK("https://klasma.github.io/Logging_2582/klagomål/A 50394-2025 FSC-klagomål.docx", "A 50394-2025")</f>
        <v/>
      </c>
      <c r="W111">
        <f>HYPERLINK("https://klasma.github.io/Logging_2582/klagomålsmail/A 50394-2025 FSC-klagomål mail.docx", "A 50394-2025")</f>
        <v/>
      </c>
      <c r="X111">
        <f>HYPERLINK("https://klasma.github.io/Logging_2582/tillsyn/A 50394-2025 tillsynsbegäran.docx", "A 50394-2025")</f>
        <v/>
      </c>
      <c r="Y111">
        <f>HYPERLINK("https://klasma.github.io/Logging_2582/tillsynsmail/A 50394-2025 tillsynsbegäran mail.docx", "A 50394-2025")</f>
        <v/>
      </c>
    </row>
    <row r="112" ht="15" customHeight="1">
      <c r="A112" t="inlineStr">
        <is>
          <t>A 51184-2025</t>
        </is>
      </c>
      <c r="B112" s="1" t="n">
        <v>45947</v>
      </c>
      <c r="C112" s="1" t="n">
        <v>46200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51184-2025 artfynd.xlsx", "A 51184-2025")</f>
        <v/>
      </c>
      <c r="T112">
        <f>HYPERLINK("https://klasma.github.io/Logging_2582/kartor/A 51184-2025 karta.png", "A 51184-2025")</f>
        <v/>
      </c>
      <c r="V112">
        <f>HYPERLINK("https://klasma.github.io/Logging_2582/klagomål/A 51184-2025 FSC-klagomål.docx", "A 51184-2025")</f>
        <v/>
      </c>
      <c r="W112">
        <f>HYPERLINK("https://klasma.github.io/Logging_2582/klagomålsmail/A 51184-2025 FSC-klagomål mail.docx", "A 51184-2025")</f>
        <v/>
      </c>
      <c r="X112">
        <f>HYPERLINK("https://klasma.github.io/Logging_2582/tillsyn/A 51184-2025 tillsynsbegäran.docx", "A 51184-2025")</f>
        <v/>
      </c>
      <c r="Y112">
        <f>HYPERLINK("https://klasma.github.io/Logging_2582/tillsynsmail/A 51184-2025 tillsynsbegäran mail.docx", "A 51184-2025")</f>
        <v/>
      </c>
    </row>
    <row r="113" ht="15" customHeight="1">
      <c r="A113" t="inlineStr">
        <is>
          <t>A 41443-2025</t>
        </is>
      </c>
      <c r="B113" s="1" t="n">
        <v>45901</v>
      </c>
      <c r="C113" s="1" t="n">
        <v>46200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HYPERLINK("https://klasma.github.io/Logging_2582/artfynd/A 41443-2025 artfynd.xlsx", "A 41443-2025")</f>
        <v/>
      </c>
      <c r="T113">
        <f>HYPERLINK("https://klasma.github.io/Logging_2582/kartor/A 41443-2025 karta.png", "A 41443-2025")</f>
        <v/>
      </c>
      <c r="V113">
        <f>HYPERLINK("https://klasma.github.io/Logging_2582/klagomål/A 41443-2025 FSC-klagomål.docx", "A 41443-2025")</f>
        <v/>
      </c>
      <c r="W113">
        <f>HYPERLINK("https://klasma.github.io/Logging_2582/klagomålsmail/A 41443-2025 FSC-klagomål mail.docx", "A 41443-2025")</f>
        <v/>
      </c>
      <c r="X113">
        <f>HYPERLINK("https://klasma.github.io/Logging_2582/tillsyn/A 41443-2025 tillsynsbegäran.docx", "A 41443-2025")</f>
        <v/>
      </c>
      <c r="Y113">
        <f>HYPERLINK("https://klasma.github.io/Logging_2582/tillsynsmail/A 41443-2025 tillsynsbegäran mail.docx", "A 41443-2025")</f>
        <v/>
      </c>
    </row>
    <row r="114" ht="15" customHeight="1">
      <c r="A114" t="inlineStr">
        <is>
          <t>A 51304-2025</t>
        </is>
      </c>
      <c r="B114" s="1" t="n">
        <v>45950</v>
      </c>
      <c r="C114" s="1" t="n">
        <v>46200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1.3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Bollvitmossa</t>
        </is>
      </c>
      <c r="S114">
        <f>HYPERLINK("https://klasma.github.io/Logging_2582/artfynd/A 51304-2025 artfynd.xlsx", "A 51304-2025")</f>
        <v/>
      </c>
      <c r="T114">
        <f>HYPERLINK("https://klasma.github.io/Logging_2582/kartor/A 51304-2025 karta.png", "A 51304-2025")</f>
        <v/>
      </c>
      <c r="V114">
        <f>HYPERLINK("https://klasma.github.io/Logging_2582/klagomål/A 51304-2025 FSC-klagomål.docx", "A 51304-2025")</f>
        <v/>
      </c>
      <c r="W114">
        <f>HYPERLINK("https://klasma.github.io/Logging_2582/klagomålsmail/A 51304-2025 FSC-klagomål mail.docx", "A 51304-2025")</f>
        <v/>
      </c>
      <c r="X114">
        <f>HYPERLINK("https://klasma.github.io/Logging_2582/tillsyn/A 51304-2025 tillsynsbegäran.docx", "A 51304-2025")</f>
        <v/>
      </c>
      <c r="Y114">
        <f>HYPERLINK("https://klasma.github.io/Logging_2582/tillsynsmail/A 51304-2025 tillsynsbegäran mail.docx", "A 51304-2025")</f>
        <v/>
      </c>
    </row>
    <row r="115" ht="15" customHeight="1">
      <c r="A115" t="inlineStr">
        <is>
          <t>A 51258-2025</t>
        </is>
      </c>
      <c r="B115" s="1" t="n">
        <v>45949</v>
      </c>
      <c r="C115" s="1" t="n">
        <v>46200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1.4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Sångsvan</t>
        </is>
      </c>
      <c r="S115">
        <f>HYPERLINK("https://klasma.github.io/Logging_2582/artfynd/A 51258-2025 artfynd.xlsx", "A 51258-2025")</f>
        <v/>
      </c>
      <c r="T115">
        <f>HYPERLINK("https://klasma.github.io/Logging_2582/kartor/A 51258-2025 karta.png", "A 51258-2025")</f>
        <v/>
      </c>
      <c r="V115">
        <f>HYPERLINK("https://klasma.github.io/Logging_2582/klagomål/A 51258-2025 FSC-klagomål.docx", "A 51258-2025")</f>
        <v/>
      </c>
      <c r="W115">
        <f>HYPERLINK("https://klasma.github.io/Logging_2582/klagomålsmail/A 51258-2025 FSC-klagomål mail.docx", "A 51258-2025")</f>
        <v/>
      </c>
      <c r="X115">
        <f>HYPERLINK("https://klasma.github.io/Logging_2582/tillsyn/A 51258-2025 tillsynsbegäran.docx", "A 51258-2025")</f>
        <v/>
      </c>
      <c r="Y115">
        <f>HYPERLINK("https://klasma.github.io/Logging_2582/tillsynsmail/A 51258-2025 tillsynsbegäran mail.docx", "A 51258-2025")</f>
        <v/>
      </c>
      <c r="Z115">
        <f>HYPERLINK("https://klasma.github.io/Logging_2582/fåglar/A 51258-2025 prioriterade fågelarter.docx", "A 51258-2025")</f>
        <v/>
      </c>
    </row>
    <row r="116" ht="15" customHeight="1">
      <c r="A116" t="inlineStr">
        <is>
          <t>A 51874-2025</t>
        </is>
      </c>
      <c r="B116" s="1" t="n">
        <v>45952</v>
      </c>
      <c r="C116" s="1" t="n">
        <v>46200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0.7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Skinnlav</t>
        </is>
      </c>
      <c r="S116">
        <f>HYPERLINK("https://klasma.github.io/Logging_2582/artfynd/A 51874-2025 artfynd.xlsx", "A 51874-2025")</f>
        <v/>
      </c>
      <c r="T116">
        <f>HYPERLINK("https://klasma.github.io/Logging_2582/kartor/A 51874-2025 karta.png", "A 51874-2025")</f>
        <v/>
      </c>
      <c r="V116">
        <f>HYPERLINK("https://klasma.github.io/Logging_2582/klagomål/A 51874-2025 FSC-klagomål.docx", "A 51874-2025")</f>
        <v/>
      </c>
      <c r="W116">
        <f>HYPERLINK("https://klasma.github.io/Logging_2582/klagomålsmail/A 51874-2025 FSC-klagomål mail.docx", "A 51874-2025")</f>
        <v/>
      </c>
      <c r="X116">
        <f>HYPERLINK("https://klasma.github.io/Logging_2582/tillsyn/A 51874-2025 tillsynsbegäran.docx", "A 51874-2025")</f>
        <v/>
      </c>
      <c r="Y116">
        <f>HYPERLINK("https://klasma.github.io/Logging_2582/tillsynsmail/A 51874-2025 tillsynsbegäran mail.docx", "A 51874-2025")</f>
        <v/>
      </c>
    </row>
    <row r="117" ht="15" customHeight="1">
      <c r="A117" t="inlineStr">
        <is>
          <t>A 41436-2025</t>
        </is>
      </c>
      <c r="B117" s="1" t="n">
        <v>45901</v>
      </c>
      <c r="C117" s="1" t="n">
        <v>46200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21.5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HYPERLINK("https://klasma.github.io/Logging_2582/artfynd/A 41436-2025 artfynd.xlsx", "A 41436-2025")</f>
        <v/>
      </c>
      <c r="T117">
        <f>HYPERLINK("https://klasma.github.io/Logging_2582/kartor/A 41436-2025 karta.png", "A 41436-2025")</f>
        <v/>
      </c>
      <c r="V117">
        <f>HYPERLINK("https://klasma.github.io/Logging_2582/klagomål/A 41436-2025 FSC-klagomål.docx", "A 41436-2025")</f>
        <v/>
      </c>
      <c r="W117">
        <f>HYPERLINK("https://klasma.github.io/Logging_2582/klagomålsmail/A 41436-2025 FSC-klagomål mail.docx", "A 41436-2025")</f>
        <v/>
      </c>
      <c r="X117">
        <f>HYPERLINK("https://klasma.github.io/Logging_2582/tillsyn/A 41436-2025 tillsynsbegäran.docx", "A 41436-2025")</f>
        <v/>
      </c>
      <c r="Y117">
        <f>HYPERLINK("https://klasma.github.io/Logging_2582/tillsynsmail/A 41436-2025 tillsynsbegäran mail.docx", "A 41436-2025")</f>
        <v/>
      </c>
    </row>
    <row r="118" ht="15" customHeight="1">
      <c r="A118" t="inlineStr">
        <is>
          <t>A 53180-2025</t>
        </is>
      </c>
      <c r="B118" s="1" t="n">
        <v>45958</v>
      </c>
      <c r="C118" s="1" t="n">
        <v>46200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13.2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HYPERLINK("https://klasma.github.io/Logging_2582/artfynd/A 53180-2025 artfynd.xlsx", "A 53180-2025")</f>
        <v/>
      </c>
      <c r="T118">
        <f>HYPERLINK("https://klasma.github.io/Logging_2582/kartor/A 53180-2025 karta.png", "A 53180-2025")</f>
        <v/>
      </c>
      <c r="V118">
        <f>HYPERLINK("https://klasma.github.io/Logging_2582/klagomål/A 53180-2025 FSC-klagomål.docx", "A 53180-2025")</f>
        <v/>
      </c>
      <c r="W118">
        <f>HYPERLINK("https://klasma.github.io/Logging_2582/klagomålsmail/A 53180-2025 FSC-klagomål mail.docx", "A 53180-2025")</f>
        <v/>
      </c>
      <c r="X118">
        <f>HYPERLINK("https://klasma.github.io/Logging_2582/tillsyn/A 53180-2025 tillsynsbegäran.docx", "A 53180-2025")</f>
        <v/>
      </c>
      <c r="Y118">
        <f>HYPERLINK("https://klasma.github.io/Logging_2582/tillsynsmail/A 53180-2025 tillsynsbegäran mail.docx", "A 53180-2025")</f>
        <v/>
      </c>
    </row>
    <row r="119" ht="15" customHeight="1">
      <c r="A119" t="inlineStr">
        <is>
          <t>A 53590-2025</t>
        </is>
      </c>
      <c r="B119" s="1" t="n">
        <v>45960</v>
      </c>
      <c r="C119" s="1" t="n">
        <v>46200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7.6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Gulskölding</t>
        </is>
      </c>
      <c r="S119">
        <f>HYPERLINK("https://klasma.github.io/Logging_2582/artfynd/A 53590-2025 artfynd.xlsx", "A 53590-2025")</f>
        <v/>
      </c>
      <c r="T119">
        <f>HYPERLINK("https://klasma.github.io/Logging_2582/kartor/A 53590-2025 karta.png", "A 53590-2025")</f>
        <v/>
      </c>
      <c r="V119">
        <f>HYPERLINK("https://klasma.github.io/Logging_2582/klagomål/A 53590-2025 FSC-klagomål.docx", "A 53590-2025")</f>
        <v/>
      </c>
      <c r="W119">
        <f>HYPERLINK("https://klasma.github.io/Logging_2582/klagomålsmail/A 53590-2025 FSC-klagomål mail.docx", "A 53590-2025")</f>
        <v/>
      </c>
      <c r="X119">
        <f>HYPERLINK("https://klasma.github.io/Logging_2582/tillsyn/A 53590-2025 tillsynsbegäran.docx", "A 53590-2025")</f>
        <v/>
      </c>
      <c r="Y119">
        <f>HYPERLINK("https://klasma.github.io/Logging_2582/tillsynsmail/A 53590-2025 tillsynsbegäran mail.docx", "A 53590-2025")</f>
        <v/>
      </c>
    </row>
    <row r="120" ht="15" customHeight="1">
      <c r="A120" t="inlineStr">
        <is>
          <t>A 26359-2022</t>
        </is>
      </c>
      <c r="B120" s="1" t="n">
        <v>44735</v>
      </c>
      <c r="C120" s="1" t="n">
        <v>46200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11.4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HYPERLINK("https://klasma.github.io/Logging_2582/artfynd/A 26359-2022 artfynd.xlsx", "A 26359-2022")</f>
        <v/>
      </c>
      <c r="T120">
        <f>HYPERLINK("https://klasma.github.io/Logging_2582/kartor/A 26359-2022 karta.png", "A 26359-2022")</f>
        <v/>
      </c>
      <c r="V120">
        <f>HYPERLINK("https://klasma.github.io/Logging_2582/klagomål/A 26359-2022 FSC-klagomål.docx", "A 26359-2022")</f>
        <v/>
      </c>
      <c r="W120">
        <f>HYPERLINK("https://klasma.github.io/Logging_2582/klagomålsmail/A 26359-2022 FSC-klagomål mail.docx", "A 26359-2022")</f>
        <v/>
      </c>
      <c r="X120">
        <f>HYPERLINK("https://klasma.github.io/Logging_2582/tillsyn/A 26359-2022 tillsynsbegäran.docx", "A 26359-2022")</f>
        <v/>
      </c>
      <c r="Y120">
        <f>HYPERLINK("https://klasma.github.io/Logging_2582/tillsynsmail/A 26359-2022 tillsynsbegäran mail.docx", "A 26359-2022")</f>
        <v/>
      </c>
    </row>
    <row r="121" ht="15" customHeight="1">
      <c r="A121" t="inlineStr">
        <is>
          <t>A 54563-2025</t>
        </is>
      </c>
      <c r="B121" s="1" t="n">
        <v>45965</v>
      </c>
      <c r="C121" s="1" t="n">
        <v>46200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HYPERLINK("https://klasma.github.io/Logging_2582/artfynd/A 54563-2025 artfynd.xlsx", "A 54563-2025")</f>
        <v/>
      </c>
      <c r="T121">
        <f>HYPERLINK("https://klasma.github.io/Logging_2582/kartor/A 54563-2025 karta.png", "A 54563-2025")</f>
        <v/>
      </c>
      <c r="V121">
        <f>HYPERLINK("https://klasma.github.io/Logging_2582/klagomål/A 54563-2025 FSC-klagomål.docx", "A 54563-2025")</f>
        <v/>
      </c>
      <c r="W121">
        <f>HYPERLINK("https://klasma.github.io/Logging_2582/klagomålsmail/A 54563-2025 FSC-klagomål mail.docx", "A 54563-2025")</f>
        <v/>
      </c>
      <c r="X121">
        <f>HYPERLINK("https://klasma.github.io/Logging_2582/tillsyn/A 54563-2025 tillsynsbegäran.docx", "A 54563-2025")</f>
        <v/>
      </c>
      <c r="Y121">
        <f>HYPERLINK("https://klasma.github.io/Logging_2582/tillsynsmail/A 54563-2025 tillsynsbegäran mail.docx", "A 54563-2025")</f>
        <v/>
      </c>
    </row>
    <row r="122" ht="15" customHeight="1">
      <c r="A122" t="inlineStr">
        <is>
          <t>A 16217-2024</t>
        </is>
      </c>
      <c r="B122" s="1" t="n">
        <v>45406</v>
      </c>
      <c r="C122" s="1" t="n">
        <v>46200</v>
      </c>
      <c r="D122" t="inlineStr">
        <is>
          <t>NORRBOTTENS LÄN</t>
        </is>
      </c>
      <c r="E122" t="inlineStr">
        <is>
          <t>BODEN</t>
        </is>
      </c>
      <c r="G122" t="n">
        <v>7.2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Videsparv</t>
        </is>
      </c>
      <c r="S122">
        <f>HYPERLINK("https://klasma.github.io/Logging_2582/artfynd/A 16217-2024 artfynd.xlsx", "A 16217-2024")</f>
        <v/>
      </c>
      <c r="T122">
        <f>HYPERLINK("https://klasma.github.io/Logging_2582/kartor/A 16217-2024 karta.png", "A 16217-2024")</f>
        <v/>
      </c>
      <c r="V122">
        <f>HYPERLINK("https://klasma.github.io/Logging_2582/klagomål/A 16217-2024 FSC-klagomål.docx", "A 16217-2024")</f>
        <v/>
      </c>
      <c r="W122">
        <f>HYPERLINK("https://klasma.github.io/Logging_2582/klagomålsmail/A 16217-2024 FSC-klagomål mail.docx", "A 16217-2024")</f>
        <v/>
      </c>
      <c r="X122">
        <f>HYPERLINK("https://klasma.github.io/Logging_2582/tillsyn/A 16217-2024 tillsynsbegäran.docx", "A 16217-2024")</f>
        <v/>
      </c>
      <c r="Y122">
        <f>HYPERLINK("https://klasma.github.io/Logging_2582/tillsynsmail/A 16217-2024 tillsynsbegäran mail.docx", "A 16217-2024")</f>
        <v/>
      </c>
      <c r="Z122">
        <f>HYPERLINK("https://klasma.github.io/Logging_2582/fåglar/A 16217-2024 prioriterade fågelarter.docx", "A 16217-2024")</f>
        <v/>
      </c>
    </row>
    <row r="123" ht="15" customHeight="1">
      <c r="A123" t="inlineStr">
        <is>
          <t>A 56598-2025</t>
        </is>
      </c>
      <c r="B123" s="1" t="n">
        <v>45975</v>
      </c>
      <c r="C123" s="1" t="n">
        <v>46200</v>
      </c>
      <c r="D123" t="inlineStr">
        <is>
          <t>NORRBOTTENS LÄN</t>
        </is>
      </c>
      <c r="E123" t="inlineStr">
        <is>
          <t>BODEN</t>
        </is>
      </c>
      <c r="G123" t="n">
        <v>1.1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HYPERLINK("https://klasma.github.io/Logging_2582/artfynd/A 56598-2025 artfynd.xlsx", "A 56598-2025")</f>
        <v/>
      </c>
      <c r="T123">
        <f>HYPERLINK("https://klasma.github.io/Logging_2582/kartor/A 56598-2025 karta.png", "A 56598-2025")</f>
        <v/>
      </c>
      <c r="V123">
        <f>HYPERLINK("https://klasma.github.io/Logging_2582/klagomål/A 56598-2025 FSC-klagomål.docx", "A 56598-2025")</f>
        <v/>
      </c>
      <c r="W123">
        <f>HYPERLINK("https://klasma.github.io/Logging_2582/klagomålsmail/A 56598-2025 FSC-klagomål mail.docx", "A 56598-2025")</f>
        <v/>
      </c>
      <c r="X123">
        <f>HYPERLINK("https://klasma.github.io/Logging_2582/tillsyn/A 56598-2025 tillsynsbegäran.docx", "A 56598-2025")</f>
        <v/>
      </c>
      <c r="Y123">
        <f>HYPERLINK("https://klasma.github.io/Logging_2582/tillsynsmail/A 56598-2025 tillsynsbegäran mail.docx", "A 56598-2025")</f>
        <v/>
      </c>
    </row>
    <row r="124" ht="15" customHeight="1">
      <c r="A124" t="inlineStr">
        <is>
          <t>A 57809-2025</t>
        </is>
      </c>
      <c r="B124" s="1" t="n">
        <v>45981</v>
      </c>
      <c r="C124" s="1" t="n">
        <v>46200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Tallticka</t>
        </is>
      </c>
      <c r="S124">
        <f>HYPERLINK("https://klasma.github.io/Logging_2582/artfynd/A 57809-2025 artfynd.xlsx", "A 57809-2025")</f>
        <v/>
      </c>
      <c r="T124">
        <f>HYPERLINK("https://klasma.github.io/Logging_2582/kartor/A 57809-2025 karta.png", "A 57809-2025")</f>
        <v/>
      </c>
      <c r="V124">
        <f>HYPERLINK("https://klasma.github.io/Logging_2582/klagomål/A 57809-2025 FSC-klagomål.docx", "A 57809-2025")</f>
        <v/>
      </c>
      <c r="W124">
        <f>HYPERLINK("https://klasma.github.io/Logging_2582/klagomålsmail/A 57809-2025 FSC-klagomål mail.docx", "A 57809-2025")</f>
        <v/>
      </c>
      <c r="X124">
        <f>HYPERLINK("https://klasma.github.io/Logging_2582/tillsyn/A 57809-2025 tillsynsbegäran.docx", "A 57809-2025")</f>
        <v/>
      </c>
      <c r="Y124">
        <f>HYPERLINK("https://klasma.github.io/Logging_2582/tillsynsmail/A 57809-2025 tillsynsbegäran mail.docx", "A 57809-2025")</f>
        <v/>
      </c>
    </row>
    <row r="125" ht="15" customHeight="1">
      <c r="A125" t="inlineStr">
        <is>
          <t>A 60196-2025</t>
        </is>
      </c>
      <c r="B125" s="1" t="n">
        <v>45994</v>
      </c>
      <c r="C125" s="1" t="n">
        <v>46200</v>
      </c>
      <c r="D125" t="inlineStr">
        <is>
          <t>NORRBOTTENS LÄN</t>
        </is>
      </c>
      <c r="E125" t="inlineStr">
        <is>
          <t>BODEN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Igelkott</t>
        </is>
      </c>
      <c r="S125">
        <f>HYPERLINK("https://klasma.github.io/Logging_2582/artfynd/A 60196-2025 artfynd.xlsx", "A 60196-2025")</f>
        <v/>
      </c>
      <c r="T125">
        <f>HYPERLINK("https://klasma.github.io/Logging_2582/kartor/A 60196-2025 karta.png", "A 60196-2025")</f>
        <v/>
      </c>
      <c r="V125">
        <f>HYPERLINK("https://klasma.github.io/Logging_2582/klagomål/A 60196-2025 FSC-klagomål.docx", "A 60196-2025")</f>
        <v/>
      </c>
      <c r="W125">
        <f>HYPERLINK("https://klasma.github.io/Logging_2582/klagomålsmail/A 60196-2025 FSC-klagomål mail.docx", "A 60196-2025")</f>
        <v/>
      </c>
      <c r="X125">
        <f>HYPERLINK("https://klasma.github.io/Logging_2582/tillsyn/A 60196-2025 tillsynsbegäran.docx", "A 60196-2025")</f>
        <v/>
      </c>
      <c r="Y125">
        <f>HYPERLINK("https://klasma.github.io/Logging_2582/tillsynsmail/A 60196-2025 tillsynsbegäran mail.docx", "A 60196-2025")</f>
        <v/>
      </c>
    </row>
    <row r="126" ht="15" customHeight="1">
      <c r="A126" t="inlineStr">
        <is>
          <t>A 60781-2025</t>
        </is>
      </c>
      <c r="B126" s="1" t="n">
        <v>45999</v>
      </c>
      <c r="C126" s="1" t="n">
        <v>46200</v>
      </c>
      <c r="D126" t="inlineStr">
        <is>
          <t>NORRBOTTENS LÄN</t>
        </is>
      </c>
      <c r="E126" t="inlineStr">
        <is>
          <t>BODEN</t>
        </is>
      </c>
      <c r="G126" t="n">
        <v>12.3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Rosenticka</t>
        </is>
      </c>
      <c r="S126">
        <f>HYPERLINK("https://klasma.github.io/Logging_2582/artfynd/A 60781-2025 artfynd.xlsx", "A 60781-2025")</f>
        <v/>
      </c>
      <c r="T126">
        <f>HYPERLINK("https://klasma.github.io/Logging_2582/kartor/A 60781-2025 karta.png", "A 60781-2025")</f>
        <v/>
      </c>
      <c r="V126">
        <f>HYPERLINK("https://klasma.github.io/Logging_2582/klagomål/A 60781-2025 FSC-klagomål.docx", "A 60781-2025")</f>
        <v/>
      </c>
      <c r="W126">
        <f>HYPERLINK("https://klasma.github.io/Logging_2582/klagomålsmail/A 60781-2025 FSC-klagomål mail.docx", "A 60781-2025")</f>
        <v/>
      </c>
      <c r="X126">
        <f>HYPERLINK("https://klasma.github.io/Logging_2582/tillsyn/A 60781-2025 tillsynsbegäran.docx", "A 60781-2025")</f>
        <v/>
      </c>
      <c r="Y126">
        <f>HYPERLINK("https://klasma.github.io/Logging_2582/tillsynsmail/A 60781-2025 tillsynsbegäran mail.docx", "A 60781-2025")</f>
        <v/>
      </c>
    </row>
    <row r="127" ht="15" customHeight="1">
      <c r="A127" t="inlineStr">
        <is>
          <t>A 62002-2025</t>
        </is>
      </c>
      <c r="B127" s="1" t="n">
        <v>46003</v>
      </c>
      <c r="C127" s="1" t="n">
        <v>46200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Vitgrynig nållav</t>
        </is>
      </c>
      <c r="S127">
        <f>HYPERLINK("https://klasma.github.io/Logging_2582/artfynd/A 62002-2025 artfynd.xlsx", "A 62002-2025")</f>
        <v/>
      </c>
      <c r="T127">
        <f>HYPERLINK("https://klasma.github.io/Logging_2582/kartor/A 62002-2025 karta.png", "A 62002-2025")</f>
        <v/>
      </c>
      <c r="V127">
        <f>HYPERLINK("https://klasma.github.io/Logging_2582/klagomål/A 62002-2025 FSC-klagomål.docx", "A 62002-2025")</f>
        <v/>
      </c>
      <c r="W127">
        <f>HYPERLINK("https://klasma.github.io/Logging_2582/klagomålsmail/A 62002-2025 FSC-klagomål mail.docx", "A 62002-2025")</f>
        <v/>
      </c>
      <c r="X127">
        <f>HYPERLINK("https://klasma.github.io/Logging_2582/tillsyn/A 62002-2025 tillsynsbegäran.docx", "A 62002-2025")</f>
        <v/>
      </c>
      <c r="Y127">
        <f>HYPERLINK("https://klasma.github.io/Logging_2582/tillsynsmail/A 62002-2025 tillsynsbegäran mail.docx", "A 62002-2025")</f>
        <v/>
      </c>
    </row>
    <row r="128" ht="15" customHeight="1">
      <c r="A128" t="inlineStr">
        <is>
          <t>A 4878-2026</t>
        </is>
      </c>
      <c r="B128" s="1" t="n">
        <v>46048</v>
      </c>
      <c r="C128" s="1" t="n">
        <v>46200</v>
      </c>
      <c r="D128" t="inlineStr">
        <is>
          <t>NORRBOTTENS LÄN</t>
        </is>
      </c>
      <c r="E128" t="inlineStr">
        <is>
          <t>BODEN</t>
        </is>
      </c>
      <c r="G128" t="n">
        <v>1.8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Vanlig padda</t>
        </is>
      </c>
      <c r="S128">
        <f>HYPERLINK("https://klasma.github.io/Logging_2582/artfynd/A 4878-2026 artfynd.xlsx", "A 4878-2026")</f>
        <v/>
      </c>
      <c r="T128">
        <f>HYPERLINK("https://klasma.github.io/Logging_2582/kartor/A 4878-2026 karta.png", "A 4878-2026")</f>
        <v/>
      </c>
      <c r="V128">
        <f>HYPERLINK("https://klasma.github.io/Logging_2582/klagomål/A 4878-2026 FSC-klagomål.docx", "A 4878-2026")</f>
        <v/>
      </c>
      <c r="W128">
        <f>HYPERLINK("https://klasma.github.io/Logging_2582/klagomålsmail/A 4878-2026 FSC-klagomål mail.docx", "A 4878-2026")</f>
        <v/>
      </c>
      <c r="X128">
        <f>HYPERLINK("https://klasma.github.io/Logging_2582/tillsyn/A 4878-2026 tillsynsbegäran.docx", "A 4878-2026")</f>
        <v/>
      </c>
      <c r="Y128">
        <f>HYPERLINK("https://klasma.github.io/Logging_2582/tillsynsmail/A 4878-2026 tillsynsbegäran mail.docx", "A 4878-2026")</f>
        <v/>
      </c>
    </row>
    <row r="129" ht="15" customHeight="1">
      <c r="A129" t="inlineStr">
        <is>
          <t>A 2565-2026</t>
        </is>
      </c>
      <c r="B129" s="1" t="n">
        <v>46037</v>
      </c>
      <c r="C129" s="1" t="n">
        <v>46200</v>
      </c>
      <c r="D129" t="inlineStr">
        <is>
          <t>NORRBOTTENS LÄN</t>
        </is>
      </c>
      <c r="E129" t="inlineStr">
        <is>
          <t>BODEN</t>
        </is>
      </c>
      <c r="F129" t="inlineStr">
        <is>
          <t>Naturvårdsverket</t>
        </is>
      </c>
      <c r="G129" t="n">
        <v>4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Garnlav</t>
        </is>
      </c>
      <c r="S129">
        <f>HYPERLINK("https://klasma.github.io/Logging_2582/artfynd/A 2565-2026 artfynd.xlsx", "A 2565-2026")</f>
        <v/>
      </c>
      <c r="T129">
        <f>HYPERLINK("https://klasma.github.io/Logging_2582/kartor/A 2565-2026 karta.png", "A 2565-2026")</f>
        <v/>
      </c>
      <c r="V129">
        <f>HYPERLINK("https://klasma.github.io/Logging_2582/klagomål/A 2565-2026 FSC-klagomål.docx", "A 2565-2026")</f>
        <v/>
      </c>
      <c r="W129">
        <f>HYPERLINK("https://klasma.github.io/Logging_2582/klagomålsmail/A 2565-2026 FSC-klagomål mail.docx", "A 2565-2026")</f>
        <v/>
      </c>
      <c r="X129">
        <f>HYPERLINK("https://klasma.github.io/Logging_2582/tillsyn/A 2565-2026 tillsynsbegäran.docx", "A 2565-2026")</f>
        <v/>
      </c>
      <c r="Y129">
        <f>HYPERLINK("https://klasma.github.io/Logging_2582/tillsynsmail/A 2565-2026 tillsynsbegäran mail.docx", "A 2565-2026")</f>
        <v/>
      </c>
    </row>
    <row r="130" ht="15" customHeight="1">
      <c r="A130" t="inlineStr">
        <is>
          <t>A 8059-2026</t>
        </is>
      </c>
      <c r="B130" s="1" t="n">
        <v>46063</v>
      </c>
      <c r="C130" s="1" t="n">
        <v>46200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Garnlav</t>
        </is>
      </c>
      <c r="S130">
        <f>HYPERLINK("https://klasma.github.io/Logging_2582/artfynd/A 8059-2026 artfynd.xlsx", "A 8059-2026")</f>
        <v/>
      </c>
      <c r="T130">
        <f>HYPERLINK("https://klasma.github.io/Logging_2582/kartor/A 8059-2026 karta.png", "A 8059-2026")</f>
        <v/>
      </c>
      <c r="V130">
        <f>HYPERLINK("https://klasma.github.io/Logging_2582/klagomål/A 8059-2026 FSC-klagomål.docx", "A 8059-2026")</f>
        <v/>
      </c>
      <c r="W130">
        <f>HYPERLINK("https://klasma.github.io/Logging_2582/klagomålsmail/A 8059-2026 FSC-klagomål mail.docx", "A 8059-2026")</f>
        <v/>
      </c>
      <c r="X130">
        <f>HYPERLINK("https://klasma.github.io/Logging_2582/tillsyn/A 8059-2026 tillsynsbegäran.docx", "A 8059-2026")</f>
        <v/>
      </c>
      <c r="Y130">
        <f>HYPERLINK("https://klasma.github.io/Logging_2582/tillsynsmail/A 8059-2026 tillsynsbegäran mail.docx", "A 8059-2026")</f>
        <v/>
      </c>
    </row>
    <row r="131" ht="15" customHeight="1">
      <c r="A131" t="inlineStr">
        <is>
          <t>A 14329-2026</t>
        </is>
      </c>
      <c r="B131" s="1" t="n">
        <v>46100</v>
      </c>
      <c r="C131" s="1" t="n">
        <v>46200</v>
      </c>
      <c r="D131" t="inlineStr">
        <is>
          <t>NORRBOTTENS LÄN</t>
        </is>
      </c>
      <c r="E131" t="inlineStr">
        <is>
          <t>BODEN</t>
        </is>
      </c>
      <c r="G131" t="n">
        <v>1.1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Tjäder</t>
        </is>
      </c>
      <c r="S131">
        <f>HYPERLINK("https://klasma.github.io/Logging_2582/artfynd/A 14329-2026 artfynd.xlsx", "A 14329-2026")</f>
        <v/>
      </c>
      <c r="T131">
        <f>HYPERLINK("https://klasma.github.io/Logging_2582/kartor/A 14329-2026 karta.png", "A 14329-2026")</f>
        <v/>
      </c>
      <c r="V131">
        <f>HYPERLINK("https://klasma.github.io/Logging_2582/klagomål/A 14329-2026 FSC-klagomål.docx", "A 14329-2026")</f>
        <v/>
      </c>
      <c r="W131">
        <f>HYPERLINK("https://klasma.github.io/Logging_2582/klagomålsmail/A 14329-2026 FSC-klagomål mail.docx", "A 14329-2026")</f>
        <v/>
      </c>
      <c r="X131">
        <f>HYPERLINK("https://klasma.github.io/Logging_2582/tillsyn/A 14329-2026 tillsynsbegäran.docx", "A 14329-2026")</f>
        <v/>
      </c>
      <c r="Y131">
        <f>HYPERLINK("https://klasma.github.io/Logging_2582/tillsynsmail/A 14329-2026 tillsynsbegäran mail.docx", "A 14329-2026")</f>
        <v/>
      </c>
      <c r="Z131">
        <f>HYPERLINK("https://klasma.github.io/Logging_2582/fåglar/A 14329-2026 prioriterade fågelarter.docx", "A 14329-2026")</f>
        <v/>
      </c>
    </row>
    <row r="132" ht="15" customHeight="1">
      <c r="A132" t="inlineStr">
        <is>
          <t>A 16368-2026</t>
        </is>
      </c>
      <c r="B132" s="1" t="n">
        <v>46111</v>
      </c>
      <c r="C132" s="1" t="n">
        <v>46200</v>
      </c>
      <c r="D132" t="inlineStr">
        <is>
          <t>NORRBOTTENS LÄN</t>
        </is>
      </c>
      <c r="E132" t="inlineStr">
        <is>
          <t>BODEN</t>
        </is>
      </c>
      <c r="G132" t="n">
        <v>12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HYPERLINK("https://klasma.github.io/Logging_2582/artfynd/A 16368-2026 artfynd.xlsx", "A 16368-2026")</f>
        <v/>
      </c>
      <c r="T132">
        <f>HYPERLINK("https://klasma.github.io/Logging_2582/kartor/A 16368-2026 karta.png", "A 16368-2026")</f>
        <v/>
      </c>
      <c r="V132">
        <f>HYPERLINK("https://klasma.github.io/Logging_2582/klagomål/A 16368-2026 FSC-klagomål.docx", "A 16368-2026")</f>
        <v/>
      </c>
      <c r="W132">
        <f>HYPERLINK("https://klasma.github.io/Logging_2582/klagomålsmail/A 16368-2026 FSC-klagomål mail.docx", "A 16368-2026")</f>
        <v/>
      </c>
      <c r="X132">
        <f>HYPERLINK("https://klasma.github.io/Logging_2582/tillsyn/A 16368-2026 tillsynsbegäran.docx", "A 16368-2026")</f>
        <v/>
      </c>
      <c r="Y132">
        <f>HYPERLINK("https://klasma.github.io/Logging_2582/tillsynsmail/A 16368-2026 tillsynsbegäran mail.docx", "A 16368-2026")</f>
        <v/>
      </c>
    </row>
    <row r="133" ht="15" customHeight="1">
      <c r="A133" t="inlineStr">
        <is>
          <t>A 24429-2026</t>
        </is>
      </c>
      <c r="B133" s="1" t="n">
        <v>46168</v>
      </c>
      <c r="C133" s="1" t="n">
        <v>46200</v>
      </c>
      <c r="D133" t="inlineStr">
        <is>
          <t>NORRBOTTENS LÄN</t>
        </is>
      </c>
      <c r="E133" t="inlineStr">
        <is>
          <t>BODEN</t>
        </is>
      </c>
      <c r="G133" t="n">
        <v>0.5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HYPERLINK("https://klasma.github.io/Logging_2582/artfynd/A 24429-2026 artfynd.xlsx", "A 24429-2026")</f>
        <v/>
      </c>
      <c r="T133">
        <f>HYPERLINK("https://klasma.github.io/Logging_2582/kartor/A 24429-2026 karta.png", "A 24429-2026")</f>
        <v/>
      </c>
      <c r="V133">
        <f>HYPERLINK("https://klasma.github.io/Logging_2582/klagomål/A 24429-2026 FSC-klagomål.docx", "A 24429-2026")</f>
        <v/>
      </c>
      <c r="W133">
        <f>HYPERLINK("https://klasma.github.io/Logging_2582/klagomålsmail/A 24429-2026 FSC-klagomål mail.docx", "A 24429-2026")</f>
        <v/>
      </c>
      <c r="X133">
        <f>HYPERLINK("https://klasma.github.io/Logging_2582/tillsyn/A 24429-2026 tillsynsbegäran.docx", "A 24429-2026")</f>
        <v/>
      </c>
      <c r="Y133">
        <f>HYPERLINK("https://klasma.github.io/Logging_2582/tillsynsmail/A 24429-2026 tillsynsbegäran mail.docx", "A 24429-2026")</f>
        <v/>
      </c>
    </row>
    <row r="134" ht="15" customHeight="1">
      <c r="A134" t="inlineStr">
        <is>
          <t>A 19580-2026</t>
        </is>
      </c>
      <c r="B134" s="1" t="n">
        <v>46134</v>
      </c>
      <c r="C134" s="1" t="n">
        <v>46200</v>
      </c>
      <c r="D134" t="inlineStr">
        <is>
          <t>NORRBOTTENS LÄN</t>
        </is>
      </c>
      <c r="E134" t="inlineStr">
        <is>
          <t>BODEN</t>
        </is>
      </c>
      <c r="G134" t="n">
        <v>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HYPERLINK("https://klasma.github.io/Logging_2582/artfynd/A 19580-2026 artfynd.xlsx", "A 19580-2026")</f>
        <v/>
      </c>
      <c r="T134">
        <f>HYPERLINK("https://klasma.github.io/Logging_2582/kartor/A 19580-2026 karta.png", "A 19580-2026")</f>
        <v/>
      </c>
      <c r="V134">
        <f>HYPERLINK("https://klasma.github.io/Logging_2582/klagomål/A 19580-2026 FSC-klagomål.docx", "A 19580-2026")</f>
        <v/>
      </c>
      <c r="W134">
        <f>HYPERLINK("https://klasma.github.io/Logging_2582/klagomålsmail/A 19580-2026 FSC-klagomål mail.docx", "A 19580-2026")</f>
        <v/>
      </c>
      <c r="X134">
        <f>HYPERLINK("https://klasma.github.io/Logging_2582/tillsyn/A 19580-2026 tillsynsbegäran.docx", "A 19580-2026")</f>
        <v/>
      </c>
      <c r="Y134">
        <f>HYPERLINK("https://klasma.github.io/Logging_2582/tillsynsmail/A 19580-2026 tillsynsbegäran mail.docx", "A 19580-2026")</f>
        <v/>
      </c>
    </row>
    <row r="135" ht="15" customHeight="1">
      <c r="A135" t="inlineStr">
        <is>
          <t>A 25803-2026</t>
        </is>
      </c>
      <c r="B135" s="1" t="n">
        <v>46178</v>
      </c>
      <c r="C135" s="1" t="n">
        <v>46200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9.9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Spindelblomster</t>
        </is>
      </c>
      <c r="S135">
        <f>HYPERLINK("https://klasma.github.io/Logging_2582/artfynd/A 25803-2026 artfynd.xlsx", "A 25803-2026")</f>
        <v/>
      </c>
      <c r="T135">
        <f>HYPERLINK("https://klasma.github.io/Logging_2582/kartor/A 25803-2026 karta.png", "A 25803-2026")</f>
        <v/>
      </c>
      <c r="V135">
        <f>HYPERLINK("https://klasma.github.io/Logging_2582/klagomål/A 25803-2026 FSC-klagomål.docx", "A 25803-2026")</f>
        <v/>
      </c>
      <c r="W135">
        <f>HYPERLINK("https://klasma.github.io/Logging_2582/klagomålsmail/A 25803-2026 FSC-klagomål mail.docx", "A 25803-2026")</f>
        <v/>
      </c>
      <c r="X135">
        <f>HYPERLINK("https://klasma.github.io/Logging_2582/tillsyn/A 25803-2026 tillsynsbegäran.docx", "A 25803-2026")</f>
        <v/>
      </c>
      <c r="Y135">
        <f>HYPERLINK("https://klasma.github.io/Logging_2582/tillsynsmail/A 25803-2026 tillsynsbegäran mail.docx", "A 25803-2026")</f>
        <v/>
      </c>
    </row>
    <row r="136" ht="15" customHeight="1">
      <c r="A136" t="inlineStr">
        <is>
          <t>A 25801-2026</t>
        </is>
      </c>
      <c r="B136" s="1" t="n">
        <v>46178</v>
      </c>
      <c r="C136" s="1" t="n">
        <v>46200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1.9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HYPERLINK("https://klasma.github.io/Logging_2582/artfynd/A 25801-2026 artfynd.xlsx", "A 25801-2026")</f>
        <v/>
      </c>
      <c r="T136">
        <f>HYPERLINK("https://klasma.github.io/Logging_2582/kartor/A 25801-2026 karta.png", "A 25801-2026")</f>
        <v/>
      </c>
      <c r="U136">
        <f>HYPERLINK("https://klasma.github.io/Logging_2582/knärot/A 25801-2026 karta knärot.png", "A 25801-2026")</f>
        <v/>
      </c>
      <c r="V136">
        <f>HYPERLINK("https://klasma.github.io/Logging_2582/klagomål/A 25801-2026 FSC-klagomål.docx", "A 25801-2026")</f>
        <v/>
      </c>
      <c r="W136">
        <f>HYPERLINK("https://klasma.github.io/Logging_2582/klagomålsmail/A 25801-2026 FSC-klagomål mail.docx", "A 25801-2026")</f>
        <v/>
      </c>
      <c r="X136">
        <f>HYPERLINK("https://klasma.github.io/Logging_2582/tillsyn/A 25801-2026 tillsynsbegäran.docx", "A 25801-2026")</f>
        <v/>
      </c>
      <c r="Y136">
        <f>HYPERLINK("https://klasma.github.io/Logging_2582/tillsynsmail/A 25801-2026 tillsynsbegäran mail.docx", "A 25801-2026")</f>
        <v/>
      </c>
    </row>
    <row r="137" ht="15" customHeight="1">
      <c r="A137" t="inlineStr">
        <is>
          <t>A 25805-2026</t>
        </is>
      </c>
      <c r="B137" s="1" t="n">
        <v>46178</v>
      </c>
      <c r="C137" s="1" t="n">
        <v>46200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3.6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Plattlummer</t>
        </is>
      </c>
      <c r="S137">
        <f>HYPERLINK("https://klasma.github.io/Logging_2582/artfynd/A 25805-2026 artfynd.xlsx", "A 25805-2026")</f>
        <v/>
      </c>
      <c r="T137">
        <f>HYPERLINK("https://klasma.github.io/Logging_2582/kartor/A 25805-2026 karta.png", "A 25805-2026")</f>
        <v/>
      </c>
      <c r="V137">
        <f>HYPERLINK("https://klasma.github.io/Logging_2582/klagomål/A 25805-2026 FSC-klagomål.docx", "A 25805-2026")</f>
        <v/>
      </c>
      <c r="W137">
        <f>HYPERLINK("https://klasma.github.io/Logging_2582/klagomålsmail/A 25805-2026 FSC-klagomål mail.docx", "A 25805-2026")</f>
        <v/>
      </c>
      <c r="X137">
        <f>HYPERLINK("https://klasma.github.io/Logging_2582/tillsyn/A 25805-2026 tillsynsbegäran.docx", "A 25805-2026")</f>
        <v/>
      </c>
      <c r="Y137">
        <f>HYPERLINK("https://klasma.github.io/Logging_2582/tillsynsmail/A 25805-2026 tillsynsbegäran mail.docx", "A 25805-2026")</f>
        <v/>
      </c>
    </row>
    <row r="138" ht="15" customHeight="1">
      <c r="A138" t="inlineStr">
        <is>
          <t>A 26438-2026</t>
        </is>
      </c>
      <c r="B138" s="1" t="n">
        <v>46183</v>
      </c>
      <c r="C138" s="1" t="n">
        <v>46200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15.9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HYPERLINK("https://klasma.github.io/Logging_2582/artfynd/A 26438-2026 artfynd.xlsx", "A 26438-2026")</f>
        <v/>
      </c>
      <c r="T138">
        <f>HYPERLINK("https://klasma.github.io/Logging_2582/kartor/A 26438-2026 karta.png", "A 26438-2026")</f>
        <v/>
      </c>
      <c r="V138">
        <f>HYPERLINK("https://klasma.github.io/Logging_2582/klagomål/A 26438-2026 FSC-klagomål.docx", "A 26438-2026")</f>
        <v/>
      </c>
      <c r="W138">
        <f>HYPERLINK("https://klasma.github.io/Logging_2582/klagomålsmail/A 26438-2026 FSC-klagomål mail.docx", "A 26438-2026")</f>
        <v/>
      </c>
      <c r="X138">
        <f>HYPERLINK("https://klasma.github.io/Logging_2582/tillsyn/A 26438-2026 tillsynsbegäran.docx", "A 26438-2026")</f>
        <v/>
      </c>
      <c r="Y138">
        <f>HYPERLINK("https://klasma.github.io/Logging_2582/tillsynsmail/A 26438-2026 tillsynsbegäran mail.docx", "A 26438-2026")</f>
        <v/>
      </c>
    </row>
    <row r="139" ht="15" customHeight="1">
      <c r="A139" t="inlineStr">
        <is>
          <t>A 26690-2026</t>
        </is>
      </c>
      <c r="B139" s="1" t="n">
        <v>46184</v>
      </c>
      <c r="C139" s="1" t="n">
        <v>46200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11.9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HYPERLINK("https://klasma.github.io/Logging_2582/artfynd/A 26690-2026 artfynd.xlsx", "A 26690-2026")</f>
        <v/>
      </c>
      <c r="T139">
        <f>HYPERLINK("https://klasma.github.io/Logging_2582/kartor/A 26690-2026 karta.png", "A 26690-2026")</f>
        <v/>
      </c>
      <c r="U139">
        <f>HYPERLINK("https://klasma.github.io/Logging_2582/knärot/A 26690-2026 karta knärot.png", "A 26690-2026")</f>
        <v/>
      </c>
      <c r="V139">
        <f>HYPERLINK("https://klasma.github.io/Logging_2582/klagomål/A 26690-2026 FSC-klagomål.docx", "A 26690-2026")</f>
        <v/>
      </c>
      <c r="W139">
        <f>HYPERLINK("https://klasma.github.io/Logging_2582/klagomålsmail/A 26690-2026 FSC-klagomål mail.docx", "A 26690-2026")</f>
        <v/>
      </c>
      <c r="X139">
        <f>HYPERLINK("https://klasma.github.io/Logging_2582/tillsyn/A 26690-2026 tillsynsbegäran.docx", "A 26690-2026")</f>
        <v/>
      </c>
      <c r="Y139">
        <f>HYPERLINK("https://klasma.github.io/Logging_2582/tillsynsmail/A 26690-2026 tillsynsbegäran mail.docx", "A 26690-2026")</f>
        <v/>
      </c>
    </row>
    <row r="140" ht="15" customHeight="1">
      <c r="A140" t="inlineStr">
        <is>
          <t>A 21310-2026</t>
        </is>
      </c>
      <c r="B140" s="1" t="n">
        <v>46147</v>
      </c>
      <c r="C140" s="1" t="n">
        <v>46200</v>
      </c>
      <c r="D140" t="inlineStr">
        <is>
          <t>NORRBOTTENS LÄN</t>
        </is>
      </c>
      <c r="E140" t="inlineStr">
        <is>
          <t>BODEN</t>
        </is>
      </c>
      <c r="G140" t="n">
        <v>1.9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HYPERLINK("https://klasma.github.io/Logging_2582/artfynd/A 21310-2026 artfynd.xlsx", "A 21310-2026")</f>
        <v/>
      </c>
      <c r="T140">
        <f>HYPERLINK("https://klasma.github.io/Logging_2582/kartor/A 21310-2026 karta.png", "A 21310-2026")</f>
        <v/>
      </c>
      <c r="V140">
        <f>HYPERLINK("https://klasma.github.io/Logging_2582/klagomål/A 21310-2026 FSC-klagomål.docx", "A 21310-2026")</f>
        <v/>
      </c>
      <c r="W140">
        <f>HYPERLINK("https://klasma.github.io/Logging_2582/klagomålsmail/A 21310-2026 FSC-klagomål mail.docx", "A 21310-2026")</f>
        <v/>
      </c>
      <c r="X140">
        <f>HYPERLINK("https://klasma.github.io/Logging_2582/tillsyn/A 21310-2026 tillsynsbegäran.docx", "A 21310-2026")</f>
        <v/>
      </c>
      <c r="Y140">
        <f>HYPERLINK("https://klasma.github.io/Logging_2582/tillsynsmail/A 21310-2026 tillsynsbegäran mail.docx", "A 21310-2026")</f>
        <v/>
      </c>
    </row>
    <row r="141" ht="15" customHeight="1">
      <c r="A141" t="inlineStr">
        <is>
          <t>A 63790-2021</t>
        </is>
      </c>
      <c r="B141" s="1" t="n">
        <v>44509</v>
      </c>
      <c r="C141" s="1" t="n">
        <v>46200</v>
      </c>
      <c r="D141" t="inlineStr">
        <is>
          <t>NORRBOTTENS LÄN</t>
        </is>
      </c>
      <c r="E141" t="inlineStr">
        <is>
          <t>BODEN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17121-2022</t>
        </is>
      </c>
      <c r="B142" s="1" t="n">
        <v>44677</v>
      </c>
      <c r="C142" s="1" t="n">
        <v>46200</v>
      </c>
      <c r="D142" t="inlineStr">
        <is>
          <t>NORRBOTTENS LÄN</t>
        </is>
      </c>
      <c r="E142" t="inlineStr">
        <is>
          <t>BODEN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2100-2022</t>
        </is>
      </c>
      <c r="B143" s="1" t="n">
        <v>44577</v>
      </c>
      <c r="C143" s="1" t="n">
        <v>46200</v>
      </c>
      <c r="D143" t="inlineStr">
        <is>
          <t>NORRBOTTENS LÄN</t>
        </is>
      </c>
      <c r="E143" t="inlineStr">
        <is>
          <t>BODEN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39701-2021</t>
        </is>
      </c>
      <c r="B144" s="1" t="n">
        <v>44414</v>
      </c>
      <c r="C144" s="1" t="n">
        <v>46200</v>
      </c>
      <c r="D144" t="inlineStr">
        <is>
          <t>NORRBOTTENS LÄN</t>
        </is>
      </c>
      <c r="E144" t="inlineStr">
        <is>
          <t>BODEN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39673-2021</t>
        </is>
      </c>
      <c r="B145" s="1" t="n">
        <v>44414</v>
      </c>
      <c r="C145" s="1" t="n">
        <v>46200</v>
      </c>
      <c r="D145" t="inlineStr">
        <is>
          <t>NORRBOTTENS LÄN</t>
        </is>
      </c>
      <c r="E145" t="inlineStr">
        <is>
          <t>BODEN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15406-2022</t>
        </is>
      </c>
      <c r="B146" s="1" t="n">
        <v>44659</v>
      </c>
      <c r="C146" s="1" t="n">
        <v>46200</v>
      </c>
      <c r="D146" t="inlineStr">
        <is>
          <t>NORRBOTTENS LÄN</t>
        </is>
      </c>
      <c r="E146" t="inlineStr">
        <is>
          <t>BODEN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16530-2022</t>
        </is>
      </c>
      <c r="B147" s="1" t="n">
        <v>44671</v>
      </c>
      <c r="C147" s="1" t="n">
        <v>46200</v>
      </c>
      <c r="D147" t="inlineStr">
        <is>
          <t>NORRBOTTENS LÄN</t>
        </is>
      </c>
      <c r="E147" t="inlineStr">
        <is>
          <t>BODEN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58975-2021</t>
        </is>
      </c>
      <c r="B148" s="1" t="n">
        <v>44489</v>
      </c>
      <c r="C148" s="1" t="n">
        <v>46200</v>
      </c>
      <c r="D148" t="inlineStr">
        <is>
          <t>NORRBOTTENS LÄN</t>
        </is>
      </c>
      <c r="E148" t="inlineStr">
        <is>
          <t>BODEN</t>
        </is>
      </c>
      <c r="F148" t="inlineStr">
        <is>
          <t>SCA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51963-2021</t>
        </is>
      </c>
      <c r="B149" s="1" t="n">
        <v>44463</v>
      </c>
      <c r="C149" s="1" t="n">
        <v>46200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39711-2021</t>
        </is>
      </c>
      <c r="B150" s="1" t="n">
        <v>44414</v>
      </c>
      <c r="C150" s="1" t="n">
        <v>46200</v>
      </c>
      <c r="D150" t="inlineStr">
        <is>
          <t>NORRBOTTENS LÄN</t>
        </is>
      </c>
      <c r="E150" t="inlineStr">
        <is>
          <t>BODEN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39740-2021</t>
        </is>
      </c>
      <c r="B151" s="1" t="n">
        <v>44414</v>
      </c>
      <c r="C151" s="1" t="n">
        <v>46200</v>
      </c>
      <c r="D151" t="inlineStr">
        <is>
          <t>NORRBOTTENS LÄN</t>
        </is>
      </c>
      <c r="E151" t="inlineStr">
        <is>
          <t>BODEN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39695-2021</t>
        </is>
      </c>
      <c r="B152" s="1" t="n">
        <v>44414</v>
      </c>
      <c r="C152" s="1" t="n">
        <v>46200</v>
      </c>
      <c r="D152" t="inlineStr">
        <is>
          <t>NORRBOTTENS LÄN</t>
        </is>
      </c>
      <c r="E152" t="inlineStr">
        <is>
          <t>BODEN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39689-2021</t>
        </is>
      </c>
      <c r="B153" s="1" t="n">
        <v>44414</v>
      </c>
      <c r="C153" s="1" t="n">
        <v>46200</v>
      </c>
      <c r="D153" t="inlineStr">
        <is>
          <t>NORRBOTTENS LÄN</t>
        </is>
      </c>
      <c r="E153" t="inlineStr">
        <is>
          <t>BODEN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38722-2022</t>
        </is>
      </c>
      <c r="B154" s="1" t="n">
        <v>44815</v>
      </c>
      <c r="C154" s="1" t="n">
        <v>46200</v>
      </c>
      <c r="D154" t="inlineStr">
        <is>
          <t>NORRBOTTENS LÄN</t>
        </is>
      </c>
      <c r="E154" t="inlineStr">
        <is>
          <t>BODEN</t>
        </is>
      </c>
      <c r="F154" t="inlineStr">
        <is>
          <t>Övriga statliga verk och myndigheter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47277-2022</t>
        </is>
      </c>
      <c r="B155" s="1" t="n">
        <v>44852</v>
      </c>
      <c r="C155" s="1" t="n">
        <v>46200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13577-2022</t>
        </is>
      </c>
      <c r="B156" s="1" t="n">
        <v>44648</v>
      </c>
      <c r="C156" s="1" t="n">
        <v>46200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51902-2021</t>
        </is>
      </c>
      <c r="B157" s="1" t="n">
        <v>44462</v>
      </c>
      <c r="C157" s="1" t="n">
        <v>46200</v>
      </c>
      <c r="D157" t="inlineStr">
        <is>
          <t>NORRBOTTENS LÄN</t>
        </is>
      </c>
      <c r="E157" t="inlineStr">
        <is>
          <t>BODEN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50322-2022</t>
        </is>
      </c>
      <c r="B158" s="1" t="n">
        <v>44865</v>
      </c>
      <c r="C158" s="1" t="n">
        <v>46200</v>
      </c>
      <c r="D158" t="inlineStr">
        <is>
          <t>NORRBOTTENS LÄN</t>
        </is>
      </c>
      <c r="E158" t="inlineStr">
        <is>
          <t>BODEN</t>
        </is>
      </c>
      <c r="F158" t="inlineStr">
        <is>
          <t>SCA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26013-2022</t>
        </is>
      </c>
      <c r="B159" s="1" t="n">
        <v>44734</v>
      </c>
      <c r="C159" s="1" t="n">
        <v>46200</v>
      </c>
      <c r="D159" t="inlineStr">
        <is>
          <t>NORRBOTTENS LÄN</t>
        </is>
      </c>
      <c r="E159" t="inlineStr">
        <is>
          <t>BODEN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9527-2022</t>
        </is>
      </c>
      <c r="B160" s="1" t="n">
        <v>44617</v>
      </c>
      <c r="C160" s="1" t="n">
        <v>46200</v>
      </c>
      <c r="D160" t="inlineStr">
        <is>
          <t>NORRBOTTENS LÄN</t>
        </is>
      </c>
      <c r="E160" t="inlineStr">
        <is>
          <t>BODEN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8112-2022</t>
        </is>
      </c>
      <c r="B161" s="1" t="n">
        <v>44609</v>
      </c>
      <c r="C161" s="1" t="n">
        <v>46200</v>
      </c>
      <c r="D161" t="inlineStr">
        <is>
          <t>NORRBOTTENS LÄN</t>
        </is>
      </c>
      <c r="E161" t="inlineStr">
        <is>
          <t>BODEN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8125-2022</t>
        </is>
      </c>
      <c r="B162" s="1" t="n">
        <v>44609</v>
      </c>
      <c r="C162" s="1" t="n">
        <v>46200</v>
      </c>
      <c r="D162" t="inlineStr">
        <is>
          <t>NORRBOTTENS LÄN</t>
        </is>
      </c>
      <c r="E162" t="inlineStr">
        <is>
          <t>BODEN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13592-2022</t>
        </is>
      </c>
      <c r="B163" s="1" t="n">
        <v>44648</v>
      </c>
      <c r="C163" s="1" t="n">
        <v>46200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51328-2021</t>
        </is>
      </c>
      <c r="B164" s="1" t="n">
        <v>44461</v>
      </c>
      <c r="C164" s="1" t="n">
        <v>46200</v>
      </c>
      <c r="D164" t="inlineStr">
        <is>
          <t>NORRBOTTENS LÄN</t>
        </is>
      </c>
      <c r="E164" t="inlineStr">
        <is>
          <t>BODEN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45185-2021</t>
        </is>
      </c>
      <c r="B165" s="1" t="n">
        <v>44439</v>
      </c>
      <c r="C165" s="1" t="n">
        <v>46200</v>
      </c>
      <c r="D165" t="inlineStr">
        <is>
          <t>NORRBOTTENS LÄN</t>
        </is>
      </c>
      <c r="E165" t="inlineStr">
        <is>
          <t>BODEN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710-2022</t>
        </is>
      </c>
      <c r="B166" s="1" t="n">
        <v>44566</v>
      </c>
      <c r="C166" s="1" t="n">
        <v>46200</v>
      </c>
      <c r="D166" t="inlineStr">
        <is>
          <t>NORRBOTTENS LÄN</t>
        </is>
      </c>
      <c r="E166" t="inlineStr">
        <is>
          <t>BODEN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714-2022</t>
        </is>
      </c>
      <c r="B167" s="1" t="n">
        <v>44566</v>
      </c>
      <c r="C167" s="1" t="n">
        <v>46200</v>
      </c>
      <c r="D167" t="inlineStr">
        <is>
          <t>NORRBOTTENS LÄN</t>
        </is>
      </c>
      <c r="E167" t="inlineStr">
        <is>
          <t>BODEN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6181-2022</t>
        </is>
      </c>
      <c r="B168" s="1" t="n">
        <v>44600</v>
      </c>
      <c r="C168" s="1" t="n">
        <v>46200</v>
      </c>
      <c r="D168" t="inlineStr">
        <is>
          <t>NORRBOTTENS LÄN</t>
        </is>
      </c>
      <c r="E168" t="inlineStr">
        <is>
          <t>BODEN</t>
        </is>
      </c>
      <c r="F168" t="inlineStr">
        <is>
          <t>Sveaskog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52345-2021</t>
        </is>
      </c>
      <c r="B169" s="1" t="n">
        <v>44464</v>
      </c>
      <c r="C169" s="1" t="n">
        <v>46200</v>
      </c>
      <c r="D169" t="inlineStr">
        <is>
          <t>NORRBOTTENS LÄN</t>
        </is>
      </c>
      <c r="E169" t="inlineStr">
        <is>
          <t>BODEN</t>
        </is>
      </c>
      <c r="G169" t="n">
        <v>11.7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55536-2022</t>
        </is>
      </c>
      <c r="B170" s="1" t="n">
        <v>44887</v>
      </c>
      <c r="C170" s="1" t="n">
        <v>46200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23546-2022</t>
        </is>
      </c>
      <c r="B171" s="1" t="n">
        <v>44721</v>
      </c>
      <c r="C171" s="1" t="n">
        <v>46200</v>
      </c>
      <c r="D171" t="inlineStr">
        <is>
          <t>NORRBOTTENS LÄN</t>
        </is>
      </c>
      <c r="E171" t="inlineStr">
        <is>
          <t>BODEN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71833-2021</t>
        </is>
      </c>
      <c r="B172" s="1" t="n">
        <v>44543</v>
      </c>
      <c r="C172" s="1" t="n">
        <v>46200</v>
      </c>
      <c r="D172" t="inlineStr">
        <is>
          <t>NORRBOTTENS LÄN</t>
        </is>
      </c>
      <c r="E172" t="inlineStr">
        <is>
          <t>BODEN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33903-2021</t>
        </is>
      </c>
      <c r="B173" s="1" t="n">
        <v>44378</v>
      </c>
      <c r="C173" s="1" t="n">
        <v>46200</v>
      </c>
      <c r="D173" t="inlineStr">
        <is>
          <t>NORRBOTTENS LÄN</t>
        </is>
      </c>
      <c r="E173" t="inlineStr">
        <is>
          <t>BODEN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36017-2021</t>
        </is>
      </c>
      <c r="B174" s="1" t="n">
        <v>44389</v>
      </c>
      <c r="C174" s="1" t="n">
        <v>46200</v>
      </c>
      <c r="D174" t="inlineStr">
        <is>
          <t>NORRBOTTENS LÄN</t>
        </is>
      </c>
      <c r="E174" t="inlineStr">
        <is>
          <t>BODEN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29119-2022</t>
        </is>
      </c>
      <c r="B175" s="1" t="n">
        <v>44749</v>
      </c>
      <c r="C175" s="1" t="n">
        <v>46200</v>
      </c>
      <c r="D175" t="inlineStr">
        <is>
          <t>NORRBOTTENS LÄN</t>
        </is>
      </c>
      <c r="E175" t="inlineStr">
        <is>
          <t>BODEN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23871-2022</t>
        </is>
      </c>
      <c r="B176" s="1" t="n">
        <v>44722</v>
      </c>
      <c r="C176" s="1" t="n">
        <v>46200</v>
      </c>
      <c r="D176" t="inlineStr">
        <is>
          <t>NORRBOTTENS LÄN</t>
        </is>
      </c>
      <c r="E176" t="inlineStr">
        <is>
          <t>BODEN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16478-2022</t>
        </is>
      </c>
      <c r="B177" s="1" t="n">
        <v>44671</v>
      </c>
      <c r="C177" s="1" t="n">
        <v>46200</v>
      </c>
      <c r="D177" t="inlineStr">
        <is>
          <t>NORRBOTTENS LÄN</t>
        </is>
      </c>
      <c r="E177" t="inlineStr">
        <is>
          <t>BODEN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68914-2021</t>
        </is>
      </c>
      <c r="B178" s="1" t="n">
        <v>44530</v>
      </c>
      <c r="C178" s="1" t="n">
        <v>46200</v>
      </c>
      <c r="D178" t="inlineStr">
        <is>
          <t>NORRBOTTENS LÄN</t>
        </is>
      </c>
      <c r="E178" t="inlineStr">
        <is>
          <t>BODEN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45002-2021</t>
        </is>
      </c>
      <c r="B179" s="1" t="n">
        <v>44438</v>
      </c>
      <c r="C179" s="1" t="n">
        <v>46200</v>
      </c>
      <c r="D179" t="inlineStr">
        <is>
          <t>NORRBOTTENS LÄN</t>
        </is>
      </c>
      <c r="E179" t="inlineStr">
        <is>
          <t>BODEN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69124-2021</t>
        </is>
      </c>
      <c r="B180" s="1" t="n">
        <v>44530</v>
      </c>
      <c r="C180" s="1" t="n">
        <v>46200</v>
      </c>
      <c r="D180" t="inlineStr">
        <is>
          <t>NORRBOTTENS LÄN</t>
        </is>
      </c>
      <c r="E180" t="inlineStr">
        <is>
          <t>BODEN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56467-2021</t>
        </is>
      </c>
      <c r="B181" s="1" t="n">
        <v>44480</v>
      </c>
      <c r="C181" s="1" t="n">
        <v>46200</v>
      </c>
      <c r="D181" t="inlineStr">
        <is>
          <t>NORRBOTTENS LÄN</t>
        </is>
      </c>
      <c r="E181" t="inlineStr">
        <is>
          <t>BODEN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39833-2021</t>
        </is>
      </c>
      <c r="B182" s="1" t="n">
        <v>44414</v>
      </c>
      <c r="C182" s="1" t="n">
        <v>46200</v>
      </c>
      <c r="D182" t="inlineStr">
        <is>
          <t>NORRBOTTENS LÄN</t>
        </is>
      </c>
      <c r="E182" t="inlineStr">
        <is>
          <t>BODEN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446-2022</t>
        </is>
      </c>
      <c r="B183" s="1" t="n">
        <v>44565</v>
      </c>
      <c r="C183" s="1" t="n">
        <v>46200</v>
      </c>
      <c r="D183" t="inlineStr">
        <is>
          <t>NORRBOTTENS LÄN</t>
        </is>
      </c>
      <c r="E183" t="inlineStr">
        <is>
          <t>BODEN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1447-2022</t>
        </is>
      </c>
      <c r="B184" s="1" t="n">
        <v>44573</v>
      </c>
      <c r="C184" s="1" t="n">
        <v>46200</v>
      </c>
      <c r="D184" t="inlineStr">
        <is>
          <t>NORRBOTTENS LÄN</t>
        </is>
      </c>
      <c r="E184" t="inlineStr">
        <is>
          <t>BODEN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13552-2022</t>
        </is>
      </c>
      <c r="B185" s="1" t="n">
        <v>44648</v>
      </c>
      <c r="C185" s="1" t="n">
        <v>46200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35752-2022</t>
        </is>
      </c>
      <c r="B186" s="1" t="n">
        <v>44799</v>
      </c>
      <c r="C186" s="1" t="n">
        <v>46200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711-2022</t>
        </is>
      </c>
      <c r="B187" s="1" t="n">
        <v>44566</v>
      </c>
      <c r="C187" s="1" t="n">
        <v>46200</v>
      </c>
      <c r="D187" t="inlineStr">
        <is>
          <t>NORRBOTTENS LÄN</t>
        </is>
      </c>
      <c r="E187" t="inlineStr">
        <is>
          <t>BODEN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35753-2022</t>
        </is>
      </c>
      <c r="B188" s="1" t="n">
        <v>44799</v>
      </c>
      <c r="C188" s="1" t="n">
        <v>46200</v>
      </c>
      <c r="D188" t="inlineStr">
        <is>
          <t>NORRBOTTENS LÄN</t>
        </is>
      </c>
      <c r="E188" t="inlineStr">
        <is>
          <t>BODEN</t>
        </is>
      </c>
      <c r="F188" t="inlineStr">
        <is>
          <t>SCA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54818-2021</t>
        </is>
      </c>
      <c r="B189" s="1" t="n">
        <v>44473</v>
      </c>
      <c r="C189" s="1" t="n">
        <v>46200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56485-2021</t>
        </is>
      </c>
      <c r="B190" s="1" t="n">
        <v>44480</v>
      </c>
      <c r="C190" s="1" t="n">
        <v>46200</v>
      </c>
      <c r="D190" t="inlineStr">
        <is>
          <t>NORRBOTTENS LÄN</t>
        </is>
      </c>
      <c r="E190" t="inlineStr">
        <is>
          <t>BODEN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9530-2022</t>
        </is>
      </c>
      <c r="B191" s="1" t="n">
        <v>44617</v>
      </c>
      <c r="C191" s="1" t="n">
        <v>46200</v>
      </c>
      <c r="D191" t="inlineStr">
        <is>
          <t>NORRBOTTENS LÄN</t>
        </is>
      </c>
      <c r="E191" t="inlineStr">
        <is>
          <t>BODEN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39971-2022</t>
        </is>
      </c>
      <c r="B192" s="1" t="n">
        <v>44820</v>
      </c>
      <c r="C192" s="1" t="n">
        <v>46200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10709-2022</t>
        </is>
      </c>
      <c r="B193" s="1" t="n">
        <v>44625</v>
      </c>
      <c r="C193" s="1" t="n">
        <v>46200</v>
      </c>
      <c r="D193" t="inlineStr">
        <is>
          <t>NORRBOTTENS LÄN</t>
        </is>
      </c>
      <c r="E193" t="inlineStr">
        <is>
          <t>BODEN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5733-2022</t>
        </is>
      </c>
      <c r="B194" s="1" t="n">
        <v>44596</v>
      </c>
      <c r="C194" s="1" t="n">
        <v>46200</v>
      </c>
      <c r="D194" t="inlineStr">
        <is>
          <t>NORRBOTTENS LÄN</t>
        </is>
      </c>
      <c r="E194" t="inlineStr">
        <is>
          <t>BODEN</t>
        </is>
      </c>
      <c r="F194" t="inlineStr">
        <is>
          <t>Övriga statliga verk och myndigheter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27688-2022</t>
        </is>
      </c>
      <c r="B195" s="1" t="n">
        <v>44743</v>
      </c>
      <c r="C195" s="1" t="n">
        <v>46200</v>
      </c>
      <c r="D195" t="inlineStr">
        <is>
          <t>NORRBOTTENS LÄN</t>
        </is>
      </c>
      <c r="E195" t="inlineStr">
        <is>
          <t>BODEN</t>
        </is>
      </c>
      <c r="G195" t="n">
        <v>13.5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68569-2021</t>
        </is>
      </c>
      <c r="B196" s="1" t="n">
        <v>44529</v>
      </c>
      <c r="C196" s="1" t="n">
        <v>46200</v>
      </c>
      <c r="D196" t="inlineStr">
        <is>
          <t>NORRBOTTENS LÄN</t>
        </is>
      </c>
      <c r="E196" t="inlineStr">
        <is>
          <t>BODEN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35044-2022</t>
        </is>
      </c>
      <c r="B197" s="1" t="n">
        <v>44796</v>
      </c>
      <c r="C197" s="1" t="n">
        <v>46200</v>
      </c>
      <c r="D197" t="inlineStr">
        <is>
          <t>NORRBOTTENS LÄN</t>
        </is>
      </c>
      <c r="E197" t="inlineStr">
        <is>
          <t>BODEN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35046-2022</t>
        </is>
      </c>
      <c r="B198" s="1" t="n">
        <v>44796</v>
      </c>
      <c r="C198" s="1" t="n">
        <v>46200</v>
      </c>
      <c r="D198" t="inlineStr">
        <is>
          <t>NORRBOTTENS LÄN</t>
        </is>
      </c>
      <c r="E198" t="inlineStr">
        <is>
          <t>BODEN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57583-2021</t>
        </is>
      </c>
      <c r="B199" s="1" t="n">
        <v>44484</v>
      </c>
      <c r="C199" s="1" t="n">
        <v>46200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42632-2022</t>
        </is>
      </c>
      <c r="B200" s="1" t="n">
        <v>44831</v>
      </c>
      <c r="C200" s="1" t="n">
        <v>46200</v>
      </c>
      <c r="D200" t="inlineStr">
        <is>
          <t>NORRBOTTENS LÄN</t>
        </is>
      </c>
      <c r="E200" t="inlineStr">
        <is>
          <t>BODEN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452-2022</t>
        </is>
      </c>
      <c r="B201" s="1" t="n">
        <v>44565</v>
      </c>
      <c r="C201" s="1" t="n">
        <v>46200</v>
      </c>
      <c r="D201" t="inlineStr">
        <is>
          <t>NORRBOTTENS LÄN</t>
        </is>
      </c>
      <c r="E201" t="inlineStr">
        <is>
          <t>BODEN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45189-2021</t>
        </is>
      </c>
      <c r="B202" s="1" t="n">
        <v>44439</v>
      </c>
      <c r="C202" s="1" t="n">
        <v>46200</v>
      </c>
      <c r="D202" t="inlineStr">
        <is>
          <t>NORRBOTTENS LÄN</t>
        </is>
      </c>
      <c r="E202" t="inlineStr">
        <is>
          <t>BODEN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38213-2022</t>
        </is>
      </c>
      <c r="B203" s="1" t="n">
        <v>44812</v>
      </c>
      <c r="C203" s="1" t="n">
        <v>46200</v>
      </c>
      <c r="D203" t="inlineStr">
        <is>
          <t>NORRBOTTENS LÄN</t>
        </is>
      </c>
      <c r="E203" t="inlineStr">
        <is>
          <t>BODEN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28745-2023</t>
        </is>
      </c>
      <c r="B204" s="1" t="n">
        <v>45103</v>
      </c>
      <c r="C204" s="1" t="n">
        <v>46200</v>
      </c>
      <c r="D204" t="inlineStr">
        <is>
          <t>NORRBOTTENS LÄN</t>
        </is>
      </c>
      <c r="E204" t="inlineStr">
        <is>
          <t>BODEN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16531-2022</t>
        </is>
      </c>
      <c r="B205" s="1" t="n">
        <v>44671</v>
      </c>
      <c r="C205" s="1" t="n">
        <v>46200</v>
      </c>
      <c r="D205" t="inlineStr">
        <is>
          <t>NORRBOTTENS LÄN</t>
        </is>
      </c>
      <c r="E205" t="inlineStr">
        <is>
          <t>BODEN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11935-2022</t>
        </is>
      </c>
      <c r="B206" s="1" t="n">
        <v>44635</v>
      </c>
      <c r="C206" s="1" t="n">
        <v>46200</v>
      </c>
      <c r="D206" t="inlineStr">
        <is>
          <t>NORRBOTTENS LÄN</t>
        </is>
      </c>
      <c r="E206" t="inlineStr">
        <is>
          <t>BODEN</t>
        </is>
      </c>
      <c r="F206" t="inlineStr">
        <is>
          <t>Kyrkan</t>
        </is>
      </c>
      <c r="G206" t="n">
        <v>16.5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2426-2024</t>
        </is>
      </c>
      <c r="B207" s="1" t="n">
        <v>45310</v>
      </c>
      <c r="C207" s="1" t="n">
        <v>46200</v>
      </c>
      <c r="D207" t="inlineStr">
        <is>
          <t>NORRBOTTENS LÄN</t>
        </is>
      </c>
      <c r="E207" t="inlineStr">
        <is>
          <t>BODEN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15157-2025</t>
        </is>
      </c>
      <c r="B208" s="1" t="n">
        <v>45744</v>
      </c>
      <c r="C208" s="1" t="n">
        <v>46200</v>
      </c>
      <c r="D208" t="inlineStr">
        <is>
          <t>NORRBOTTENS LÄN</t>
        </is>
      </c>
      <c r="E208" t="inlineStr">
        <is>
          <t>BODEN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52075-2021</t>
        </is>
      </c>
      <c r="B209" s="1" t="n">
        <v>44463</v>
      </c>
      <c r="C209" s="1" t="n">
        <v>46200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5451-2025</t>
        </is>
      </c>
      <c r="B210" s="1" t="n">
        <v>45692</v>
      </c>
      <c r="C210" s="1" t="n">
        <v>46200</v>
      </c>
      <c r="D210" t="inlineStr">
        <is>
          <t>NORRBOTTENS LÄN</t>
        </is>
      </c>
      <c r="E210" t="inlineStr">
        <is>
          <t>BODEN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41180-2021</t>
        </is>
      </c>
      <c r="B211" s="1" t="n">
        <v>44423</v>
      </c>
      <c r="C211" s="1" t="n">
        <v>46200</v>
      </c>
      <c r="D211" t="inlineStr">
        <is>
          <t>NORRBOTTENS LÄN</t>
        </is>
      </c>
      <c r="E211" t="inlineStr">
        <is>
          <t>BODEN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16965-2024</t>
        </is>
      </c>
      <c r="B212" s="1" t="n">
        <v>45411</v>
      </c>
      <c r="C212" s="1" t="n">
        <v>46200</v>
      </c>
      <c r="D212" t="inlineStr">
        <is>
          <t>NORRBOTTENS LÄN</t>
        </is>
      </c>
      <c r="E212" t="inlineStr">
        <is>
          <t>BODEN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22460-2023</t>
        </is>
      </c>
      <c r="B213" s="1" t="n">
        <v>45070</v>
      </c>
      <c r="C213" s="1" t="n">
        <v>46200</v>
      </c>
      <c r="D213" t="inlineStr">
        <is>
          <t>NORRBOTTENS LÄN</t>
        </is>
      </c>
      <c r="E213" t="inlineStr">
        <is>
          <t>BODEN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42711-2021</t>
        </is>
      </c>
      <c r="B214" s="1" t="n">
        <v>44428</v>
      </c>
      <c r="C214" s="1" t="n">
        <v>46200</v>
      </c>
      <c r="D214" t="inlineStr">
        <is>
          <t>NORRBOTTENS LÄN</t>
        </is>
      </c>
      <c r="E214" t="inlineStr">
        <is>
          <t>BODEN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42995-2022</t>
        </is>
      </c>
      <c r="B215" s="1" t="n">
        <v>44833</v>
      </c>
      <c r="C215" s="1" t="n">
        <v>46200</v>
      </c>
      <c r="D215" t="inlineStr">
        <is>
          <t>NORRBOTTENS LÄN</t>
        </is>
      </c>
      <c r="E215" t="inlineStr">
        <is>
          <t>BODEN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73910-2021</t>
        </is>
      </c>
      <c r="B216" s="1" t="n">
        <v>44552</v>
      </c>
      <c r="C216" s="1" t="n">
        <v>46200</v>
      </c>
      <c r="D216" t="inlineStr">
        <is>
          <t>NORRBOTTENS LÄN</t>
        </is>
      </c>
      <c r="E216" t="inlineStr">
        <is>
          <t>BODEN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35069-2022</t>
        </is>
      </c>
      <c r="B217" s="1" t="n">
        <v>44797</v>
      </c>
      <c r="C217" s="1" t="n">
        <v>46200</v>
      </c>
      <c r="D217" t="inlineStr">
        <is>
          <t>NORRBOTTENS LÄN</t>
        </is>
      </c>
      <c r="E217" t="inlineStr">
        <is>
          <t>BODEN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53840-2022</t>
        </is>
      </c>
      <c r="B218" s="1" t="n">
        <v>44880</v>
      </c>
      <c r="C218" s="1" t="n">
        <v>46200</v>
      </c>
      <c r="D218" t="inlineStr">
        <is>
          <t>NORRBOTTENS LÄN</t>
        </is>
      </c>
      <c r="E218" t="inlineStr">
        <is>
          <t>BODEN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19051-2025</t>
        </is>
      </c>
      <c r="B219" s="1" t="n">
        <v>45764</v>
      </c>
      <c r="C219" s="1" t="n">
        <v>46200</v>
      </c>
      <c r="D219" t="inlineStr">
        <is>
          <t>NORRBOTTENS LÄN</t>
        </is>
      </c>
      <c r="E219" t="inlineStr">
        <is>
          <t>BODEN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18436-2025</t>
        </is>
      </c>
      <c r="B220" s="1" t="n">
        <v>45762</v>
      </c>
      <c r="C220" s="1" t="n">
        <v>46200</v>
      </c>
      <c r="D220" t="inlineStr">
        <is>
          <t>NORRBOTTENS LÄN</t>
        </is>
      </c>
      <c r="E220" t="inlineStr">
        <is>
          <t>BODEN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15881-2023</t>
        </is>
      </c>
      <c r="B221" s="1" t="n">
        <v>45022</v>
      </c>
      <c r="C221" s="1" t="n">
        <v>46200</v>
      </c>
      <c r="D221" t="inlineStr">
        <is>
          <t>NORRBOTTENS LÄN</t>
        </is>
      </c>
      <c r="E221" t="inlineStr">
        <is>
          <t>BODEN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1961-2025</t>
        </is>
      </c>
      <c r="B222" s="1" t="n">
        <v>45672</v>
      </c>
      <c r="C222" s="1" t="n">
        <v>46200</v>
      </c>
      <c r="D222" t="inlineStr">
        <is>
          <t>NORRBOTTENS LÄN</t>
        </is>
      </c>
      <c r="E222" t="inlineStr">
        <is>
          <t>BODEN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18871-2025</t>
        </is>
      </c>
      <c r="B223" s="1" t="n">
        <v>45764</v>
      </c>
      <c r="C223" s="1" t="n">
        <v>46200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8120-2022</t>
        </is>
      </c>
      <c r="B224" s="1" t="n">
        <v>44609</v>
      </c>
      <c r="C224" s="1" t="n">
        <v>46200</v>
      </c>
      <c r="D224" t="inlineStr">
        <is>
          <t>NORRBOTTENS LÄN</t>
        </is>
      </c>
      <c r="E224" t="inlineStr">
        <is>
          <t>BODEN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59890-2023</t>
        </is>
      </c>
      <c r="B225" s="1" t="n">
        <v>45254</v>
      </c>
      <c r="C225" s="1" t="n">
        <v>46200</v>
      </c>
      <c r="D225" t="inlineStr">
        <is>
          <t>NORRBOTTENS LÄN</t>
        </is>
      </c>
      <c r="E225" t="inlineStr">
        <is>
          <t>BODEN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55628-2023</t>
        </is>
      </c>
      <c r="B226" s="1" t="n">
        <v>45238</v>
      </c>
      <c r="C226" s="1" t="n">
        <v>46200</v>
      </c>
      <c r="D226" t="inlineStr">
        <is>
          <t>NORRBOTTENS LÄN</t>
        </is>
      </c>
      <c r="E226" t="inlineStr">
        <is>
          <t>BODEN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54240-2022</t>
        </is>
      </c>
      <c r="B227" s="1" t="n">
        <v>44881</v>
      </c>
      <c r="C227" s="1" t="n">
        <v>46200</v>
      </c>
      <c r="D227" t="inlineStr">
        <is>
          <t>NORRBOTTENS LÄN</t>
        </is>
      </c>
      <c r="E227" t="inlineStr">
        <is>
          <t>BODEN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25575-2024</t>
        </is>
      </c>
      <c r="B228" s="1" t="n">
        <v>45463</v>
      </c>
      <c r="C228" s="1" t="n">
        <v>46200</v>
      </c>
      <c r="D228" t="inlineStr">
        <is>
          <t>NORRBOTTENS LÄN</t>
        </is>
      </c>
      <c r="E228" t="inlineStr">
        <is>
          <t>BODEN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14757-2023</t>
        </is>
      </c>
      <c r="B229" s="1" t="n">
        <v>45014</v>
      </c>
      <c r="C229" s="1" t="n">
        <v>46200</v>
      </c>
      <c r="D229" t="inlineStr">
        <is>
          <t>NORRBOTTENS LÄN</t>
        </is>
      </c>
      <c r="E229" t="inlineStr">
        <is>
          <t>BODEN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1205-2025</t>
        </is>
      </c>
      <c r="B230" s="1" t="n">
        <v>45667</v>
      </c>
      <c r="C230" s="1" t="n">
        <v>46200</v>
      </c>
      <c r="D230" t="inlineStr">
        <is>
          <t>NORRBOTTENS LÄN</t>
        </is>
      </c>
      <c r="E230" t="inlineStr">
        <is>
          <t>BODEN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32754-2022</t>
        </is>
      </c>
      <c r="B231" s="1" t="n">
        <v>44783</v>
      </c>
      <c r="C231" s="1" t="n">
        <v>46200</v>
      </c>
      <c r="D231" t="inlineStr">
        <is>
          <t>NORRBOTTENS LÄN</t>
        </is>
      </c>
      <c r="E231" t="inlineStr">
        <is>
          <t>BODEN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61600-2024</t>
        </is>
      </c>
      <c r="B232" s="1" t="n">
        <v>45646</v>
      </c>
      <c r="C232" s="1" t="n">
        <v>46200</v>
      </c>
      <c r="D232" t="inlineStr">
        <is>
          <t>NORRBOTTENS LÄN</t>
        </is>
      </c>
      <c r="E232" t="inlineStr">
        <is>
          <t>BODEN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49124-2023</t>
        </is>
      </c>
      <c r="B233" s="1" t="n">
        <v>45210</v>
      </c>
      <c r="C233" s="1" t="n">
        <v>46200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18679-2025</t>
        </is>
      </c>
      <c r="B234" s="1" t="n">
        <v>45763</v>
      </c>
      <c r="C234" s="1" t="n">
        <v>46200</v>
      </c>
      <c r="D234" t="inlineStr">
        <is>
          <t>NORRBOTTENS LÄN</t>
        </is>
      </c>
      <c r="E234" t="inlineStr">
        <is>
          <t>BODEN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33034-2023</t>
        </is>
      </c>
      <c r="B235" s="1" t="n">
        <v>45125</v>
      </c>
      <c r="C235" s="1" t="n">
        <v>46200</v>
      </c>
      <c r="D235" t="inlineStr">
        <is>
          <t>NORRBOTTENS LÄN</t>
        </is>
      </c>
      <c r="E235" t="inlineStr">
        <is>
          <t>BODEN</t>
        </is>
      </c>
      <c r="F235" t="inlineStr">
        <is>
          <t>SCA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11092-2022</t>
        </is>
      </c>
      <c r="B236" s="1" t="n">
        <v>44628</v>
      </c>
      <c r="C236" s="1" t="n">
        <v>46200</v>
      </c>
      <c r="D236" t="inlineStr">
        <is>
          <t>NORRBOTTENS LÄN</t>
        </is>
      </c>
      <c r="E236" t="inlineStr">
        <is>
          <t>BODEN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36138-2021</t>
        </is>
      </c>
      <c r="B237" s="1" t="n">
        <v>44392</v>
      </c>
      <c r="C237" s="1" t="n">
        <v>46200</v>
      </c>
      <c r="D237" t="inlineStr">
        <is>
          <t>NORRBOTTENS LÄN</t>
        </is>
      </c>
      <c r="E237" t="inlineStr">
        <is>
          <t>BODEN</t>
        </is>
      </c>
      <c r="G237" t="n">
        <v>18.5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6244-2023</t>
        </is>
      </c>
      <c r="B238" s="1" t="n">
        <v>44964</v>
      </c>
      <c r="C238" s="1" t="n">
        <v>46200</v>
      </c>
      <c r="D238" t="inlineStr">
        <is>
          <t>NORRBOTTENS LÄN</t>
        </is>
      </c>
      <c r="E238" t="inlineStr">
        <is>
          <t>BODEN</t>
        </is>
      </c>
      <c r="F238" t="inlineStr">
        <is>
          <t>SCA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58877-2021</t>
        </is>
      </c>
      <c r="B239" s="1" t="n">
        <v>44489</v>
      </c>
      <c r="C239" s="1" t="n">
        <v>46200</v>
      </c>
      <c r="D239" t="inlineStr">
        <is>
          <t>NORRBOTTENS LÄN</t>
        </is>
      </c>
      <c r="E239" t="inlineStr">
        <is>
          <t>BODEN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50103-2024</t>
        </is>
      </c>
      <c r="B240" s="1" t="n">
        <v>45600</v>
      </c>
      <c r="C240" s="1" t="n">
        <v>46200</v>
      </c>
      <c r="D240" t="inlineStr">
        <is>
          <t>NORRBOTTENS LÄN</t>
        </is>
      </c>
      <c r="E240" t="inlineStr">
        <is>
          <t>BODEN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50107-2024</t>
        </is>
      </c>
      <c r="B241" s="1" t="n">
        <v>45600</v>
      </c>
      <c r="C241" s="1" t="n">
        <v>46200</v>
      </c>
      <c r="D241" t="inlineStr">
        <is>
          <t>NORRBOTTENS LÄN</t>
        </is>
      </c>
      <c r="E241" t="inlineStr">
        <is>
          <t>BODEN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38371-2023</t>
        </is>
      </c>
      <c r="B242" s="1" t="n">
        <v>45161</v>
      </c>
      <c r="C242" s="1" t="n">
        <v>46200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38372-2023</t>
        </is>
      </c>
      <c r="B243" s="1" t="n">
        <v>45161</v>
      </c>
      <c r="C243" s="1" t="n">
        <v>46200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58504-2024</t>
        </is>
      </c>
      <c r="B244" s="1" t="n">
        <v>45635</v>
      </c>
      <c r="C244" s="1" t="n">
        <v>46200</v>
      </c>
      <c r="D244" t="inlineStr">
        <is>
          <t>NORRBOTTENS LÄN</t>
        </is>
      </c>
      <c r="E244" t="inlineStr">
        <is>
          <t>BODEN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9940-2025</t>
        </is>
      </c>
      <c r="B245" s="1" t="n">
        <v>45718</v>
      </c>
      <c r="C245" s="1" t="n">
        <v>46200</v>
      </c>
      <c r="D245" t="inlineStr">
        <is>
          <t>NORRBOTTENS LÄN</t>
        </is>
      </c>
      <c r="E245" t="inlineStr">
        <is>
          <t>BODEN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61603-2024</t>
        </is>
      </c>
      <c r="B246" s="1" t="n">
        <v>45646</v>
      </c>
      <c r="C246" s="1" t="n">
        <v>46200</v>
      </c>
      <c r="D246" t="inlineStr">
        <is>
          <t>NORRBOTTENS LÄN</t>
        </is>
      </c>
      <c r="E246" t="inlineStr">
        <is>
          <t>BODEN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57579-2023</t>
        </is>
      </c>
      <c r="B247" s="1" t="n">
        <v>45246</v>
      </c>
      <c r="C247" s="1" t="n">
        <v>46200</v>
      </c>
      <c r="D247" t="inlineStr">
        <is>
          <t>NORRBOTTENS LÄN</t>
        </is>
      </c>
      <c r="E247" t="inlineStr">
        <is>
          <t>BODEN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19624-2025</t>
        </is>
      </c>
      <c r="B248" s="1" t="n">
        <v>45770</v>
      </c>
      <c r="C248" s="1" t="n">
        <v>46200</v>
      </c>
      <c r="D248" t="inlineStr">
        <is>
          <t>NORRBOTTENS LÄN</t>
        </is>
      </c>
      <c r="E248" t="inlineStr">
        <is>
          <t>BODEN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17962-2024</t>
        </is>
      </c>
      <c r="B249" s="1" t="n">
        <v>45419</v>
      </c>
      <c r="C249" s="1" t="n">
        <v>46200</v>
      </c>
      <c r="D249" t="inlineStr">
        <is>
          <t>NORRBOTTENS LÄN</t>
        </is>
      </c>
      <c r="E249" t="inlineStr">
        <is>
          <t>BODEN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40781-2021</t>
        </is>
      </c>
      <c r="B250" s="1" t="n">
        <v>44421</v>
      </c>
      <c r="C250" s="1" t="n">
        <v>46200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59893-2023</t>
        </is>
      </c>
      <c r="B251" s="1" t="n">
        <v>45254</v>
      </c>
      <c r="C251" s="1" t="n">
        <v>46200</v>
      </c>
      <c r="D251" t="inlineStr">
        <is>
          <t>NORRBOTTENS LÄN</t>
        </is>
      </c>
      <c r="E251" t="inlineStr">
        <is>
          <t>BODEN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8782-2024</t>
        </is>
      </c>
      <c r="B252" s="1" t="n">
        <v>45356</v>
      </c>
      <c r="C252" s="1" t="n">
        <v>46200</v>
      </c>
      <c r="D252" t="inlineStr">
        <is>
          <t>NORRBOTTENS LÄN</t>
        </is>
      </c>
      <c r="E252" t="inlineStr">
        <is>
          <t>BODEN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9322-2024</t>
        </is>
      </c>
      <c r="B253" s="1" t="n">
        <v>45358</v>
      </c>
      <c r="C253" s="1" t="n">
        <v>46200</v>
      </c>
      <c r="D253" t="inlineStr">
        <is>
          <t>NORRBOTTENS LÄN</t>
        </is>
      </c>
      <c r="E253" t="inlineStr">
        <is>
          <t>BODEN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35040-2022</t>
        </is>
      </c>
      <c r="B254" s="1" t="n">
        <v>44796</v>
      </c>
      <c r="C254" s="1" t="n">
        <v>46200</v>
      </c>
      <c r="D254" t="inlineStr">
        <is>
          <t>NORRBOTTENS LÄN</t>
        </is>
      </c>
      <c r="E254" t="inlineStr">
        <is>
          <t>BODEN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59584-2023</t>
        </is>
      </c>
      <c r="B255" s="1" t="n">
        <v>45254</v>
      </c>
      <c r="C255" s="1" t="n">
        <v>46200</v>
      </c>
      <c r="D255" t="inlineStr">
        <is>
          <t>NORRBOTTENS LÄN</t>
        </is>
      </c>
      <c r="E255" t="inlineStr">
        <is>
          <t>BODEN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28444-2023</t>
        </is>
      </c>
      <c r="B256" s="1" t="n">
        <v>45102</v>
      </c>
      <c r="C256" s="1" t="n">
        <v>46200</v>
      </c>
      <c r="D256" t="inlineStr">
        <is>
          <t>NORRBOTTENS LÄN</t>
        </is>
      </c>
      <c r="E256" t="inlineStr">
        <is>
          <t>BODEN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54236-2022</t>
        </is>
      </c>
      <c r="B257" s="1" t="n">
        <v>44881</v>
      </c>
      <c r="C257" s="1" t="n">
        <v>46200</v>
      </c>
      <c r="D257" t="inlineStr">
        <is>
          <t>NORRBOTTENS LÄN</t>
        </is>
      </c>
      <c r="E257" t="inlineStr">
        <is>
          <t>BODEN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3146-2024</t>
        </is>
      </c>
      <c r="B258" s="1" t="n">
        <v>45316</v>
      </c>
      <c r="C258" s="1" t="n">
        <v>46200</v>
      </c>
      <c r="D258" t="inlineStr">
        <is>
          <t>NORRBOTTENS LÄN</t>
        </is>
      </c>
      <c r="E258" t="inlineStr">
        <is>
          <t>BODEN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19590-2025</t>
        </is>
      </c>
      <c r="B259" s="1" t="n">
        <v>45770</v>
      </c>
      <c r="C259" s="1" t="n">
        <v>46200</v>
      </c>
      <c r="D259" t="inlineStr">
        <is>
          <t>NORRBOTTENS LÄN</t>
        </is>
      </c>
      <c r="E259" t="inlineStr">
        <is>
          <t>BODEN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68611-2021</t>
        </is>
      </c>
      <c r="B260" s="1" t="n">
        <v>44529</v>
      </c>
      <c r="C260" s="1" t="n">
        <v>46200</v>
      </c>
      <c r="D260" t="inlineStr">
        <is>
          <t>NORRBOTTENS LÄN</t>
        </is>
      </c>
      <c r="E260" t="inlineStr">
        <is>
          <t>BODEN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38370-2023</t>
        </is>
      </c>
      <c r="B261" s="1" t="n">
        <v>45161</v>
      </c>
      <c r="C261" s="1" t="n">
        <v>46200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36438-2024</t>
        </is>
      </c>
      <c r="B262" s="1" t="n">
        <v>45537</v>
      </c>
      <c r="C262" s="1" t="n">
        <v>46200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33353-2021</t>
        </is>
      </c>
      <c r="B263" s="1" t="n">
        <v>44377</v>
      </c>
      <c r="C263" s="1" t="n">
        <v>46200</v>
      </c>
      <c r="D263" t="inlineStr">
        <is>
          <t>NORRBOTTENS LÄN</t>
        </is>
      </c>
      <c r="E263" t="inlineStr">
        <is>
          <t>BODEN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13556-2022</t>
        </is>
      </c>
      <c r="B264" s="1" t="n">
        <v>44648</v>
      </c>
      <c r="C264" s="1" t="n">
        <v>46200</v>
      </c>
      <c r="D264" t="inlineStr">
        <is>
          <t>NORRBOTTENS LÄN</t>
        </is>
      </c>
      <c r="E264" t="inlineStr">
        <is>
          <t>BODEN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51193-2023</t>
        </is>
      </c>
      <c r="B265" s="1" t="n">
        <v>45212</v>
      </c>
      <c r="C265" s="1" t="n">
        <v>46200</v>
      </c>
      <c r="D265" t="inlineStr">
        <is>
          <t>NORRBOTTENS LÄN</t>
        </is>
      </c>
      <c r="E265" t="inlineStr">
        <is>
          <t>BODEN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55317-2023</t>
        </is>
      </c>
      <c r="B266" s="1" t="n">
        <v>45237</v>
      </c>
      <c r="C266" s="1" t="n">
        <v>46200</v>
      </c>
      <c r="D266" t="inlineStr">
        <is>
          <t>NORRBOTTENS LÄN</t>
        </is>
      </c>
      <c r="E266" t="inlineStr">
        <is>
          <t>BODEN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7442-2024</t>
        </is>
      </c>
      <c r="B267" s="1" t="n">
        <v>45345</v>
      </c>
      <c r="C267" s="1" t="n">
        <v>46200</v>
      </c>
      <c r="D267" t="inlineStr">
        <is>
          <t>NORRBOTTENS LÄN</t>
        </is>
      </c>
      <c r="E267" t="inlineStr">
        <is>
          <t>BODEN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5792-2025</t>
        </is>
      </c>
      <c r="B268" s="1" t="n">
        <v>45694</v>
      </c>
      <c r="C268" s="1" t="n">
        <v>46200</v>
      </c>
      <c r="D268" t="inlineStr">
        <is>
          <t>NORRBOTTENS LÄN</t>
        </is>
      </c>
      <c r="E268" t="inlineStr">
        <is>
          <t>BODEN</t>
        </is>
      </c>
      <c r="F268" t="inlineStr">
        <is>
          <t>SCA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28079-2024</t>
        </is>
      </c>
      <c r="B269" s="1" t="n">
        <v>45476</v>
      </c>
      <c r="C269" s="1" t="n">
        <v>46200</v>
      </c>
      <c r="D269" t="inlineStr">
        <is>
          <t>NORRBOTTENS LÄN</t>
        </is>
      </c>
      <c r="E269" t="inlineStr">
        <is>
          <t>BODEN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54935-2021</t>
        </is>
      </c>
      <c r="B270" s="1" t="n">
        <v>44474</v>
      </c>
      <c r="C270" s="1" t="n">
        <v>46200</v>
      </c>
      <c r="D270" t="inlineStr">
        <is>
          <t>NORRBOTTENS LÄN</t>
        </is>
      </c>
      <c r="E270" t="inlineStr">
        <is>
          <t>BODEN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708-2022</t>
        </is>
      </c>
      <c r="B271" s="1" t="n">
        <v>44566</v>
      </c>
      <c r="C271" s="1" t="n">
        <v>46200</v>
      </c>
      <c r="D271" t="inlineStr">
        <is>
          <t>NORRBOTTENS LÄN</t>
        </is>
      </c>
      <c r="E271" t="inlineStr">
        <is>
          <t>BODEN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39272-2024</t>
        </is>
      </c>
      <c r="B272" s="1" t="n">
        <v>45551</v>
      </c>
      <c r="C272" s="1" t="n">
        <v>46200</v>
      </c>
      <c r="D272" t="inlineStr">
        <is>
          <t>NORRBOTTENS LÄN</t>
        </is>
      </c>
      <c r="E272" t="inlineStr">
        <is>
          <t>BODEN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50085-2024</t>
        </is>
      </c>
      <c r="B273" s="1" t="n">
        <v>45600</v>
      </c>
      <c r="C273" s="1" t="n">
        <v>46200</v>
      </c>
      <c r="D273" t="inlineStr">
        <is>
          <t>NORRBOTTENS LÄN</t>
        </is>
      </c>
      <c r="E273" t="inlineStr">
        <is>
          <t>BODEN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8008-2025</t>
        </is>
      </c>
      <c r="B274" s="1" t="n">
        <v>45707</v>
      </c>
      <c r="C274" s="1" t="n">
        <v>46200</v>
      </c>
      <c r="D274" t="inlineStr">
        <is>
          <t>NORRBOTTENS LÄN</t>
        </is>
      </c>
      <c r="E274" t="inlineStr">
        <is>
          <t>BODEN</t>
        </is>
      </c>
      <c r="G274" t="n">
        <v>11.3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32347-2024</t>
        </is>
      </c>
      <c r="B275" s="1" t="n">
        <v>45512</v>
      </c>
      <c r="C275" s="1" t="n">
        <v>46200</v>
      </c>
      <c r="D275" t="inlineStr">
        <is>
          <t>NORRBOTTENS LÄN</t>
        </is>
      </c>
      <c r="E275" t="inlineStr">
        <is>
          <t>BODEN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74264-2021</t>
        </is>
      </c>
      <c r="B276" s="1" t="n">
        <v>44558</v>
      </c>
      <c r="C276" s="1" t="n">
        <v>46200</v>
      </c>
      <c r="D276" t="inlineStr">
        <is>
          <t>NORRBOTTENS LÄN</t>
        </is>
      </c>
      <c r="E276" t="inlineStr">
        <is>
          <t>BODEN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33915-2024</t>
        </is>
      </c>
      <c r="B277" s="1" t="n">
        <v>45523</v>
      </c>
      <c r="C277" s="1" t="n">
        <v>46200</v>
      </c>
      <c r="D277" t="inlineStr">
        <is>
          <t>NORRBOTTENS LÄN</t>
        </is>
      </c>
      <c r="E277" t="inlineStr">
        <is>
          <t>BODEN</t>
        </is>
      </c>
      <c r="F277" t="inlineStr">
        <is>
          <t>SCA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19082-2025</t>
        </is>
      </c>
      <c r="B278" s="1" t="n">
        <v>45766</v>
      </c>
      <c r="C278" s="1" t="n">
        <v>46200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56111-2021</t>
        </is>
      </c>
      <c r="B279" s="1" t="n">
        <v>44477</v>
      </c>
      <c r="C279" s="1" t="n">
        <v>46200</v>
      </c>
      <c r="D279" t="inlineStr">
        <is>
          <t>NORRBOTTENS LÄN</t>
        </is>
      </c>
      <c r="E279" t="inlineStr">
        <is>
          <t>BODEN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36112-2023</t>
        </is>
      </c>
      <c r="B280" s="1" t="n">
        <v>45149</v>
      </c>
      <c r="C280" s="1" t="n">
        <v>46200</v>
      </c>
      <c r="D280" t="inlineStr">
        <is>
          <t>NORRBOTTENS LÄN</t>
        </is>
      </c>
      <c r="E280" t="inlineStr">
        <is>
          <t>BODEN</t>
        </is>
      </c>
      <c r="G280" t="n">
        <v>16.1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33697-2023</t>
        </is>
      </c>
      <c r="B281" s="1" t="n">
        <v>45132</v>
      </c>
      <c r="C281" s="1" t="n">
        <v>46200</v>
      </c>
      <c r="D281" t="inlineStr">
        <is>
          <t>NORRBOTTENS LÄN</t>
        </is>
      </c>
      <c r="E281" t="inlineStr">
        <is>
          <t>BODEN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20505-2023</t>
        </is>
      </c>
      <c r="B282" s="1" t="n">
        <v>45054</v>
      </c>
      <c r="C282" s="1" t="n">
        <v>46200</v>
      </c>
      <c r="D282" t="inlineStr">
        <is>
          <t>NORRBOTTENS LÄN</t>
        </is>
      </c>
      <c r="E282" t="inlineStr">
        <is>
          <t>BODEN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21335-2024</t>
        </is>
      </c>
      <c r="B283" s="1" t="n">
        <v>45429</v>
      </c>
      <c r="C283" s="1" t="n">
        <v>46200</v>
      </c>
      <c r="D283" t="inlineStr">
        <is>
          <t>NORRBOTTENS LÄN</t>
        </is>
      </c>
      <c r="E283" t="inlineStr">
        <is>
          <t>BODEN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37114-2024</t>
        </is>
      </c>
      <c r="B284" s="1" t="n">
        <v>45539</v>
      </c>
      <c r="C284" s="1" t="n">
        <v>46200</v>
      </c>
      <c r="D284" t="inlineStr">
        <is>
          <t>NORRBOTTENS LÄN</t>
        </is>
      </c>
      <c r="E284" t="inlineStr">
        <is>
          <t>BODEN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35843-2021</t>
        </is>
      </c>
      <c r="B285" s="1" t="n">
        <v>44386</v>
      </c>
      <c r="C285" s="1" t="n">
        <v>46200</v>
      </c>
      <c r="D285" t="inlineStr">
        <is>
          <t>NORRBOTTENS LÄN</t>
        </is>
      </c>
      <c r="E285" t="inlineStr">
        <is>
          <t>BODEN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61748-2024</t>
        </is>
      </c>
      <c r="B286" s="1" t="n">
        <v>45649</v>
      </c>
      <c r="C286" s="1" t="n">
        <v>46200</v>
      </c>
      <c r="D286" t="inlineStr">
        <is>
          <t>NORRBOTTENS LÄN</t>
        </is>
      </c>
      <c r="E286" t="inlineStr">
        <is>
          <t>BODEN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61757-2024</t>
        </is>
      </c>
      <c r="B287" s="1" t="n">
        <v>45649</v>
      </c>
      <c r="C287" s="1" t="n">
        <v>46200</v>
      </c>
      <c r="D287" t="inlineStr">
        <is>
          <t>NORRBOTTENS LÄN</t>
        </is>
      </c>
      <c r="E287" t="inlineStr">
        <is>
          <t>BODEN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34789-2022</t>
        </is>
      </c>
      <c r="B288" s="1" t="n">
        <v>44795</v>
      </c>
      <c r="C288" s="1" t="n">
        <v>46200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25916-2023</t>
        </is>
      </c>
      <c r="B289" s="1" t="n">
        <v>45085</v>
      </c>
      <c r="C289" s="1" t="n">
        <v>46200</v>
      </c>
      <c r="D289" t="inlineStr">
        <is>
          <t>NORRBOTTENS LÄN</t>
        </is>
      </c>
      <c r="E289" t="inlineStr">
        <is>
          <t>BODEN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58898-2021</t>
        </is>
      </c>
      <c r="B290" s="1" t="n">
        <v>44489</v>
      </c>
      <c r="C290" s="1" t="n">
        <v>46200</v>
      </c>
      <c r="D290" t="inlineStr">
        <is>
          <t>NORRBOTTENS LÄN</t>
        </is>
      </c>
      <c r="E290" t="inlineStr">
        <is>
          <t>BODEN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68565-2021</t>
        </is>
      </c>
      <c r="B291" s="1" t="n">
        <v>44529</v>
      </c>
      <c r="C291" s="1" t="n">
        <v>46200</v>
      </c>
      <c r="D291" t="inlineStr">
        <is>
          <t>NORRBOTTENS LÄN</t>
        </is>
      </c>
      <c r="E291" t="inlineStr">
        <is>
          <t>BODEN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12801-2023</t>
        </is>
      </c>
      <c r="B292" s="1" t="n">
        <v>45001</v>
      </c>
      <c r="C292" s="1" t="n">
        <v>46200</v>
      </c>
      <c r="D292" t="inlineStr">
        <is>
          <t>NORRBOTTENS LÄN</t>
        </is>
      </c>
      <c r="E292" t="inlineStr">
        <is>
          <t>BODEN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29309-2023</t>
        </is>
      </c>
      <c r="B293" s="1" t="n">
        <v>45105</v>
      </c>
      <c r="C293" s="1" t="n">
        <v>46200</v>
      </c>
      <c r="D293" t="inlineStr">
        <is>
          <t>NORRBOTTENS LÄN</t>
        </is>
      </c>
      <c r="E293" t="inlineStr">
        <is>
          <t>BODEN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20028-2025</t>
        </is>
      </c>
      <c r="B294" s="1" t="n">
        <v>45772</v>
      </c>
      <c r="C294" s="1" t="n">
        <v>46200</v>
      </c>
      <c r="D294" t="inlineStr">
        <is>
          <t>NORRBOTTENS LÄN</t>
        </is>
      </c>
      <c r="E294" t="inlineStr">
        <is>
          <t>BODEN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20041-2025</t>
        </is>
      </c>
      <c r="B295" s="1" t="n">
        <v>45772</v>
      </c>
      <c r="C295" s="1" t="n">
        <v>46200</v>
      </c>
      <c r="D295" t="inlineStr">
        <is>
          <t>NORRBOTTENS LÄN</t>
        </is>
      </c>
      <c r="E295" t="inlineStr">
        <is>
          <t>BODEN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64649-2023</t>
        </is>
      </c>
      <c r="B296" s="1" t="n">
        <v>45281</v>
      </c>
      <c r="C296" s="1" t="n">
        <v>46200</v>
      </c>
      <c r="D296" t="inlineStr">
        <is>
          <t>NORRBOTTENS LÄN</t>
        </is>
      </c>
      <c r="E296" t="inlineStr">
        <is>
          <t>BODEN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19582-2025</t>
        </is>
      </c>
      <c r="B297" s="1" t="n">
        <v>45770</v>
      </c>
      <c r="C297" s="1" t="n">
        <v>46200</v>
      </c>
      <c r="D297" t="inlineStr">
        <is>
          <t>NORRBOTTENS LÄN</t>
        </is>
      </c>
      <c r="E297" t="inlineStr">
        <is>
          <t>BODEN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47097-2023</t>
        </is>
      </c>
      <c r="B298" s="1" t="n">
        <v>45201</v>
      </c>
      <c r="C298" s="1" t="n">
        <v>46200</v>
      </c>
      <c r="D298" t="inlineStr">
        <is>
          <t>NORRBOTTENS LÄN</t>
        </is>
      </c>
      <c r="E298" t="inlineStr">
        <is>
          <t>BODEN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28359-2023</t>
        </is>
      </c>
      <c r="B299" s="1" t="n">
        <v>45099</v>
      </c>
      <c r="C299" s="1" t="n">
        <v>46200</v>
      </c>
      <c r="D299" t="inlineStr">
        <is>
          <t>NORRBOTTENS LÄN</t>
        </is>
      </c>
      <c r="E299" t="inlineStr">
        <is>
          <t>BODEN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8170-2025</t>
        </is>
      </c>
      <c r="B300" s="1" t="n">
        <v>45708</v>
      </c>
      <c r="C300" s="1" t="n">
        <v>46200</v>
      </c>
      <c r="D300" t="inlineStr">
        <is>
          <t>NORRBOTTENS LÄN</t>
        </is>
      </c>
      <c r="E300" t="inlineStr">
        <is>
          <t>BODEN</t>
        </is>
      </c>
      <c r="F300" t="inlineStr">
        <is>
          <t>Övriga Aktiebolag</t>
        </is>
      </c>
      <c r="G300" t="n">
        <v>15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11647-2023</t>
        </is>
      </c>
      <c r="B301" s="1" t="n">
        <v>44994</v>
      </c>
      <c r="C301" s="1" t="n">
        <v>46200</v>
      </c>
      <c r="D301" t="inlineStr">
        <is>
          <t>NORRBOTTENS LÄN</t>
        </is>
      </c>
      <c r="E301" t="inlineStr">
        <is>
          <t>BODEN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6242-2023</t>
        </is>
      </c>
      <c r="B302" s="1" t="n">
        <v>44964</v>
      </c>
      <c r="C302" s="1" t="n">
        <v>46200</v>
      </c>
      <c r="D302" t="inlineStr">
        <is>
          <t>NORRBOTTENS LÄN</t>
        </is>
      </c>
      <c r="E302" t="inlineStr">
        <is>
          <t>BODEN</t>
        </is>
      </c>
      <c r="F302" t="inlineStr">
        <is>
          <t>SCA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57895-2021</t>
        </is>
      </c>
      <c r="B303" s="1" t="n">
        <v>44486</v>
      </c>
      <c r="C303" s="1" t="n">
        <v>46200</v>
      </c>
      <c r="D303" t="inlineStr">
        <is>
          <t>NORRBOTTENS LÄN</t>
        </is>
      </c>
      <c r="E303" t="inlineStr">
        <is>
          <t>BODEN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11865-2025</t>
        </is>
      </c>
      <c r="B304" s="1" t="n">
        <v>45728</v>
      </c>
      <c r="C304" s="1" t="n">
        <v>46200</v>
      </c>
      <c r="D304" t="inlineStr">
        <is>
          <t>NORRBOTTENS LÄN</t>
        </is>
      </c>
      <c r="E304" t="inlineStr">
        <is>
          <t>BODEN</t>
        </is>
      </c>
      <c r="F304" t="inlineStr">
        <is>
          <t>Övriga Aktiebolag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59722-2024</t>
        </is>
      </c>
      <c r="B305" s="1" t="n">
        <v>45639</v>
      </c>
      <c r="C305" s="1" t="n">
        <v>46200</v>
      </c>
      <c r="D305" t="inlineStr">
        <is>
          <t>NORRBOTTENS LÄN</t>
        </is>
      </c>
      <c r="E305" t="inlineStr">
        <is>
          <t>BODEN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59028-2022</t>
        </is>
      </c>
      <c r="B306" s="1" t="n">
        <v>44903</v>
      </c>
      <c r="C306" s="1" t="n">
        <v>46200</v>
      </c>
      <c r="D306" t="inlineStr">
        <is>
          <t>NORRBOTTENS LÄN</t>
        </is>
      </c>
      <c r="E306" t="inlineStr">
        <is>
          <t>BODEN</t>
        </is>
      </c>
      <c r="G306" t="n">
        <v>16.1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7159-2023</t>
        </is>
      </c>
      <c r="B307" s="1" t="n">
        <v>44970</v>
      </c>
      <c r="C307" s="1" t="n">
        <v>46200</v>
      </c>
      <c r="D307" t="inlineStr">
        <is>
          <t>NORRBOTTENS LÄN</t>
        </is>
      </c>
      <c r="E307" t="inlineStr">
        <is>
          <t>BODEN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46901-2024</t>
        </is>
      </c>
      <c r="B308" s="1" t="n">
        <v>45583</v>
      </c>
      <c r="C308" s="1" t="n">
        <v>46200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46541-2021</t>
        </is>
      </c>
      <c r="B309" s="1" t="n">
        <v>44445</v>
      </c>
      <c r="C309" s="1" t="n">
        <v>46200</v>
      </c>
      <c r="D309" t="inlineStr">
        <is>
          <t>NORRBOTTENS LÄN</t>
        </is>
      </c>
      <c r="E309" t="inlineStr">
        <is>
          <t>BODEN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6638-2024</t>
        </is>
      </c>
      <c r="B310" s="1" t="n">
        <v>45341</v>
      </c>
      <c r="C310" s="1" t="n">
        <v>46200</v>
      </c>
      <c r="D310" t="inlineStr">
        <is>
          <t>NORRBOTTENS LÄN</t>
        </is>
      </c>
      <c r="E310" t="inlineStr">
        <is>
          <t>BODEN</t>
        </is>
      </c>
      <c r="F310" t="inlineStr">
        <is>
          <t>Övriga statliga verk och myndigheter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64975-2023</t>
        </is>
      </c>
      <c r="B311" s="1" t="n">
        <v>45285</v>
      </c>
      <c r="C311" s="1" t="n">
        <v>46200</v>
      </c>
      <c r="D311" t="inlineStr">
        <is>
          <t>NORRBOTTENS LÄN</t>
        </is>
      </c>
      <c r="E311" t="inlineStr">
        <is>
          <t>BODEN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41957-2024</t>
        </is>
      </c>
      <c r="B312" s="1" t="n">
        <v>45561</v>
      </c>
      <c r="C312" s="1" t="n">
        <v>46200</v>
      </c>
      <c r="D312" t="inlineStr">
        <is>
          <t>NORRBOTTENS LÄN</t>
        </is>
      </c>
      <c r="E312" t="inlineStr">
        <is>
          <t>BODEN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49127-2023</t>
        </is>
      </c>
      <c r="B313" s="1" t="n">
        <v>45210</v>
      </c>
      <c r="C313" s="1" t="n">
        <v>46200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59983-2023</t>
        </is>
      </c>
      <c r="B314" s="1" t="n">
        <v>45257</v>
      </c>
      <c r="C314" s="1" t="n">
        <v>46200</v>
      </c>
      <c r="D314" t="inlineStr">
        <is>
          <t>NORRBOTTENS LÄN</t>
        </is>
      </c>
      <c r="E314" t="inlineStr">
        <is>
          <t>BODEN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51614-2024</t>
        </is>
      </c>
      <c r="B315" s="1" t="n">
        <v>45604</v>
      </c>
      <c r="C315" s="1" t="n">
        <v>46200</v>
      </c>
      <c r="D315" t="inlineStr">
        <is>
          <t>NORRBOTTENS LÄN</t>
        </is>
      </c>
      <c r="E315" t="inlineStr">
        <is>
          <t>BODEN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67068-2021</t>
        </is>
      </c>
      <c r="B316" s="1" t="n">
        <v>44522</v>
      </c>
      <c r="C316" s="1" t="n">
        <v>46200</v>
      </c>
      <c r="D316" t="inlineStr">
        <is>
          <t>NORRBOTTENS LÄN</t>
        </is>
      </c>
      <c r="E316" t="inlineStr">
        <is>
          <t>BODEN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45677-2021</t>
        </is>
      </c>
      <c r="B317" s="1" t="n">
        <v>44441</v>
      </c>
      <c r="C317" s="1" t="n">
        <v>46200</v>
      </c>
      <c r="D317" t="inlineStr">
        <is>
          <t>NORRBOTTENS LÄN</t>
        </is>
      </c>
      <c r="E317" t="inlineStr">
        <is>
          <t>BODEN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14801-2024</t>
        </is>
      </c>
      <c r="B318" s="1" t="n">
        <v>45397</v>
      </c>
      <c r="C318" s="1" t="n">
        <v>46200</v>
      </c>
      <c r="D318" t="inlineStr">
        <is>
          <t>NORRBOTTENS LÄN</t>
        </is>
      </c>
      <c r="E318" t="inlineStr">
        <is>
          <t>BODEN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14802-2024</t>
        </is>
      </c>
      <c r="B319" s="1" t="n">
        <v>45397</v>
      </c>
      <c r="C319" s="1" t="n">
        <v>46200</v>
      </c>
      <c r="D319" t="inlineStr">
        <is>
          <t>NORRBOTTENS LÄN</t>
        </is>
      </c>
      <c r="E319" t="inlineStr">
        <is>
          <t>BODEN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43007-2022</t>
        </is>
      </c>
      <c r="B320" s="1" t="n">
        <v>44833</v>
      </c>
      <c r="C320" s="1" t="n">
        <v>46200</v>
      </c>
      <c r="D320" t="inlineStr">
        <is>
          <t>NORRBOTTENS LÄN</t>
        </is>
      </c>
      <c r="E320" t="inlineStr">
        <is>
          <t>BODEN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49730-2024</t>
        </is>
      </c>
      <c r="B321" s="1" t="n">
        <v>45596</v>
      </c>
      <c r="C321" s="1" t="n">
        <v>46200</v>
      </c>
      <c r="D321" t="inlineStr">
        <is>
          <t>NORRBOTTENS LÄN</t>
        </is>
      </c>
      <c r="E321" t="inlineStr">
        <is>
          <t>BODEN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47424-2024</t>
        </is>
      </c>
      <c r="B322" s="1" t="n">
        <v>45587</v>
      </c>
      <c r="C322" s="1" t="n">
        <v>46200</v>
      </c>
      <c r="D322" t="inlineStr">
        <is>
          <t>NORRBOTTENS LÄN</t>
        </is>
      </c>
      <c r="E322" t="inlineStr">
        <is>
          <t>BODEN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18866-2025</t>
        </is>
      </c>
      <c r="B323" s="1" t="n">
        <v>45764</v>
      </c>
      <c r="C323" s="1" t="n">
        <v>46200</v>
      </c>
      <c r="D323" t="inlineStr">
        <is>
          <t>NORRBOTTENS LÄN</t>
        </is>
      </c>
      <c r="E323" t="inlineStr">
        <is>
          <t>BODEN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67438-2021</t>
        </is>
      </c>
      <c r="B324" s="1" t="n">
        <v>44524</v>
      </c>
      <c r="C324" s="1" t="n">
        <v>46200</v>
      </c>
      <c r="D324" t="inlineStr">
        <is>
          <t>NORRBOTTENS LÄN</t>
        </is>
      </c>
      <c r="E324" t="inlineStr">
        <is>
          <t>BODEN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9596-2023</t>
        </is>
      </c>
      <c r="B325" s="1" t="n">
        <v>44983</v>
      </c>
      <c r="C325" s="1" t="n">
        <v>46200</v>
      </c>
      <c r="D325" t="inlineStr">
        <is>
          <t>NORRBOTTENS LÄN</t>
        </is>
      </c>
      <c r="E325" t="inlineStr">
        <is>
          <t>BODEN</t>
        </is>
      </c>
      <c r="G325" t="n">
        <v>37.1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4254-2025</t>
        </is>
      </c>
      <c r="B326" s="1" t="n">
        <v>45685</v>
      </c>
      <c r="C326" s="1" t="n">
        <v>46200</v>
      </c>
      <c r="D326" t="inlineStr">
        <is>
          <t>NORRBOTTENS LÄN</t>
        </is>
      </c>
      <c r="E326" t="inlineStr">
        <is>
          <t>BODEN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46512-2021</t>
        </is>
      </c>
      <c r="B327" s="1" t="n">
        <v>44445</v>
      </c>
      <c r="C327" s="1" t="n">
        <v>46200</v>
      </c>
      <c r="D327" t="inlineStr">
        <is>
          <t>NORRBOTTENS LÄN</t>
        </is>
      </c>
      <c r="E327" t="inlineStr">
        <is>
          <t>BODEN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49859-2023</t>
        </is>
      </c>
      <c r="B328" s="1" t="n">
        <v>45212</v>
      </c>
      <c r="C328" s="1" t="n">
        <v>46200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17417-2023</t>
        </is>
      </c>
      <c r="B329" s="1" t="n">
        <v>45035</v>
      </c>
      <c r="C329" s="1" t="n">
        <v>46200</v>
      </c>
      <c r="D329" t="inlineStr">
        <is>
          <t>NORRBOTTENS LÄN</t>
        </is>
      </c>
      <c r="E329" t="inlineStr">
        <is>
          <t>BODEN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33908-2021</t>
        </is>
      </c>
      <c r="B330" s="1" t="n">
        <v>44378</v>
      </c>
      <c r="C330" s="1" t="n">
        <v>46200</v>
      </c>
      <c r="D330" t="inlineStr">
        <is>
          <t>NORRBOTTENS LÄN</t>
        </is>
      </c>
      <c r="E330" t="inlineStr">
        <is>
          <t>BODEN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21421-2022</t>
        </is>
      </c>
      <c r="B331" s="1" t="n">
        <v>44706</v>
      </c>
      <c r="C331" s="1" t="n">
        <v>46200</v>
      </c>
      <c r="D331" t="inlineStr">
        <is>
          <t>NORRBOTTENS LÄN</t>
        </is>
      </c>
      <c r="E331" t="inlineStr">
        <is>
          <t>BODEN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28074-2024</t>
        </is>
      </c>
      <c r="B332" s="1" t="n">
        <v>45476</v>
      </c>
      <c r="C332" s="1" t="n">
        <v>46200</v>
      </c>
      <c r="D332" t="inlineStr">
        <is>
          <t>NORRBOTTENS LÄN</t>
        </is>
      </c>
      <c r="E332" t="inlineStr">
        <is>
          <t>BODEN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26964-2023</t>
        </is>
      </c>
      <c r="B333" s="1" t="n">
        <v>45093</v>
      </c>
      <c r="C333" s="1" t="n">
        <v>46200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55080-2021</t>
        </is>
      </c>
      <c r="B334" s="1" t="n">
        <v>44474</v>
      </c>
      <c r="C334" s="1" t="n">
        <v>46200</v>
      </c>
      <c r="D334" t="inlineStr">
        <is>
          <t>NORRBOTTENS LÄN</t>
        </is>
      </c>
      <c r="E334" t="inlineStr">
        <is>
          <t>BODEN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17839-2025</t>
        </is>
      </c>
      <c r="B335" s="1" t="n">
        <v>45758</v>
      </c>
      <c r="C335" s="1" t="n">
        <v>46200</v>
      </c>
      <c r="D335" t="inlineStr">
        <is>
          <t>NORRBOTTENS LÄN</t>
        </is>
      </c>
      <c r="E335" t="inlineStr">
        <is>
          <t>BODEN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54590-2022</t>
        </is>
      </c>
      <c r="B336" s="1" t="n">
        <v>44883</v>
      </c>
      <c r="C336" s="1" t="n">
        <v>46200</v>
      </c>
      <c r="D336" t="inlineStr">
        <is>
          <t>NORRBOTTENS LÄN</t>
        </is>
      </c>
      <c r="E336" t="inlineStr">
        <is>
          <t>BODEN</t>
        </is>
      </c>
      <c r="F336" t="inlineStr">
        <is>
          <t>Sveaskog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11930-2023</t>
        </is>
      </c>
      <c r="B337" s="1" t="n">
        <v>44994</v>
      </c>
      <c r="C337" s="1" t="n">
        <v>46200</v>
      </c>
      <c r="D337" t="inlineStr">
        <is>
          <t>NORRBOTTENS LÄN</t>
        </is>
      </c>
      <c r="E337" t="inlineStr">
        <is>
          <t>BODEN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28432-2022</t>
        </is>
      </c>
      <c r="B338" s="1" t="n">
        <v>44747</v>
      </c>
      <c r="C338" s="1" t="n">
        <v>46200</v>
      </c>
      <c r="D338" t="inlineStr">
        <is>
          <t>NORRBOTTENS LÄN</t>
        </is>
      </c>
      <c r="E338" t="inlineStr">
        <is>
          <t>BODEN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35115-2024</t>
        </is>
      </c>
      <c r="B339" s="1" t="n">
        <v>45529</v>
      </c>
      <c r="C339" s="1" t="n">
        <v>46200</v>
      </c>
      <c r="D339" t="inlineStr">
        <is>
          <t>NORRBOTTENS LÄN</t>
        </is>
      </c>
      <c r="E339" t="inlineStr">
        <is>
          <t>BODEN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16741-2022</t>
        </is>
      </c>
      <c r="B340" s="1" t="n">
        <v>44673</v>
      </c>
      <c r="C340" s="1" t="n">
        <v>46200</v>
      </c>
      <c r="D340" t="inlineStr">
        <is>
          <t>NORRBOTTENS LÄN</t>
        </is>
      </c>
      <c r="E340" t="inlineStr">
        <is>
          <t>BODEN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30105-2023</t>
        </is>
      </c>
      <c r="B341" s="1" t="n">
        <v>45099</v>
      </c>
      <c r="C341" s="1" t="n">
        <v>46200</v>
      </c>
      <c r="D341" t="inlineStr">
        <is>
          <t>NORRBOTTENS LÄN</t>
        </is>
      </c>
      <c r="E341" t="inlineStr">
        <is>
          <t>BODEN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57604-2021</t>
        </is>
      </c>
      <c r="B342" s="1" t="n">
        <v>44484</v>
      </c>
      <c r="C342" s="1" t="n">
        <v>46200</v>
      </c>
      <c r="D342" t="inlineStr">
        <is>
          <t>NORRBOTTENS LÄN</t>
        </is>
      </c>
      <c r="E342" t="inlineStr">
        <is>
          <t>BODEN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37993-2024</t>
        </is>
      </c>
      <c r="B343" s="1" t="n">
        <v>45544</v>
      </c>
      <c r="C343" s="1" t="n">
        <v>46200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56139-2024</t>
        </is>
      </c>
      <c r="B344" s="1" t="n">
        <v>45624</v>
      </c>
      <c r="C344" s="1" t="n">
        <v>46200</v>
      </c>
      <c r="D344" t="inlineStr">
        <is>
          <t>NORRBOTTENS LÄN</t>
        </is>
      </c>
      <c r="E344" t="inlineStr">
        <is>
          <t>BODEN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38994-2024</t>
        </is>
      </c>
      <c r="B345" s="1" t="n">
        <v>45548</v>
      </c>
      <c r="C345" s="1" t="n">
        <v>46200</v>
      </c>
      <c r="D345" t="inlineStr">
        <is>
          <t>NORRBOTTENS LÄN</t>
        </is>
      </c>
      <c r="E345" t="inlineStr">
        <is>
          <t>BODEN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14995-2022</t>
        </is>
      </c>
      <c r="B346" s="1" t="n">
        <v>44657</v>
      </c>
      <c r="C346" s="1" t="n">
        <v>46200</v>
      </c>
      <c r="D346" t="inlineStr">
        <is>
          <t>NORRBOTTENS LÄN</t>
        </is>
      </c>
      <c r="E346" t="inlineStr">
        <is>
          <t>BODEN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15000-2022</t>
        </is>
      </c>
      <c r="B347" s="1" t="n">
        <v>44657</v>
      </c>
      <c r="C347" s="1" t="n">
        <v>46200</v>
      </c>
      <c r="D347" t="inlineStr">
        <is>
          <t>NORRBOTTENS LÄN</t>
        </is>
      </c>
      <c r="E347" t="inlineStr">
        <is>
          <t>BODEN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20038-2025</t>
        </is>
      </c>
      <c r="B348" s="1" t="n">
        <v>45772</v>
      </c>
      <c r="C348" s="1" t="n">
        <v>46200</v>
      </c>
      <c r="D348" t="inlineStr">
        <is>
          <t>NORRBOTTENS LÄN</t>
        </is>
      </c>
      <c r="E348" t="inlineStr">
        <is>
          <t>BODEN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32276-2024</t>
        </is>
      </c>
      <c r="B349" s="1" t="n">
        <v>45512</v>
      </c>
      <c r="C349" s="1" t="n">
        <v>46200</v>
      </c>
      <c r="D349" t="inlineStr">
        <is>
          <t>NORRBOTTENS LÄN</t>
        </is>
      </c>
      <c r="E349" t="inlineStr">
        <is>
          <t>BODEN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61241-2023</t>
        </is>
      </c>
      <c r="B350" s="1" t="n">
        <v>45260</v>
      </c>
      <c r="C350" s="1" t="n">
        <v>46200</v>
      </c>
      <c r="D350" t="inlineStr">
        <is>
          <t>NORRBOTTENS LÄN</t>
        </is>
      </c>
      <c r="E350" t="inlineStr">
        <is>
          <t>BODEN</t>
        </is>
      </c>
      <c r="G350" t="n">
        <v>33.9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56163-2022</t>
        </is>
      </c>
      <c r="B351" s="1" t="n">
        <v>44889</v>
      </c>
      <c r="C351" s="1" t="n">
        <v>46200</v>
      </c>
      <c r="D351" t="inlineStr">
        <is>
          <t>NORRBOTTENS LÄN</t>
        </is>
      </c>
      <c r="E351" t="inlineStr">
        <is>
          <t>BODEN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34969-2024</t>
        </is>
      </c>
      <c r="B352" s="1" t="n">
        <v>45527</v>
      </c>
      <c r="C352" s="1" t="n">
        <v>46200</v>
      </c>
      <c r="D352" t="inlineStr">
        <is>
          <t>NORRBOTTENS LÄN</t>
        </is>
      </c>
      <c r="E352" t="inlineStr">
        <is>
          <t>BODEN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57873-2021</t>
        </is>
      </c>
      <c r="B353" s="1" t="n">
        <v>44484</v>
      </c>
      <c r="C353" s="1" t="n">
        <v>46200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16222-2024</t>
        </is>
      </c>
      <c r="B354" s="1" t="n">
        <v>45406</v>
      </c>
      <c r="C354" s="1" t="n">
        <v>46200</v>
      </c>
      <c r="D354" t="inlineStr">
        <is>
          <t>NORRBOTTENS LÄN</t>
        </is>
      </c>
      <c r="E354" t="inlineStr">
        <is>
          <t>BODEN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61487-2023</t>
        </is>
      </c>
      <c r="B355" s="1" t="n">
        <v>45264</v>
      </c>
      <c r="C355" s="1" t="n">
        <v>46200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61488-2023</t>
        </is>
      </c>
      <c r="B356" s="1" t="n">
        <v>45264</v>
      </c>
      <c r="C356" s="1" t="n">
        <v>46200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19968-2025</t>
        </is>
      </c>
      <c r="B357" s="1" t="n">
        <v>45771</v>
      </c>
      <c r="C357" s="1" t="n">
        <v>46200</v>
      </c>
      <c r="D357" t="inlineStr">
        <is>
          <t>NORRBOTTENS LÄN</t>
        </is>
      </c>
      <c r="E357" t="inlineStr">
        <is>
          <t>BODEN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6776-2023</t>
        </is>
      </c>
      <c r="B358" s="1" t="n">
        <v>44966</v>
      </c>
      <c r="C358" s="1" t="n">
        <v>46200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54104-2022</t>
        </is>
      </c>
      <c r="B359" s="1" t="n">
        <v>44881</v>
      </c>
      <c r="C359" s="1" t="n">
        <v>46200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32906-2024</t>
        </is>
      </c>
      <c r="B360" s="1" t="n">
        <v>45516</v>
      </c>
      <c r="C360" s="1" t="n">
        <v>46200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32913-2024</t>
        </is>
      </c>
      <c r="B361" s="1" t="n">
        <v>45516</v>
      </c>
      <c r="C361" s="1" t="n">
        <v>46200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47423-2024</t>
        </is>
      </c>
      <c r="B362" s="1" t="n">
        <v>45587</v>
      </c>
      <c r="C362" s="1" t="n">
        <v>46200</v>
      </c>
      <c r="D362" t="inlineStr">
        <is>
          <t>NORRBOTTENS LÄN</t>
        </is>
      </c>
      <c r="E362" t="inlineStr">
        <is>
          <t>BODEN</t>
        </is>
      </c>
      <c r="G362" t="n">
        <v>17.2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58099-2023</t>
        </is>
      </c>
      <c r="B363" s="1" t="n">
        <v>45248</v>
      </c>
      <c r="C363" s="1" t="n">
        <v>46200</v>
      </c>
      <c r="D363" t="inlineStr">
        <is>
          <t>NORRBOTTENS LÄN</t>
        </is>
      </c>
      <c r="E363" t="inlineStr">
        <is>
          <t>BODEN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1017-2023</t>
        </is>
      </c>
      <c r="B364" s="1" t="n">
        <v>44935</v>
      </c>
      <c r="C364" s="1" t="n">
        <v>46200</v>
      </c>
      <c r="D364" t="inlineStr">
        <is>
          <t>NORRBOTTENS LÄN</t>
        </is>
      </c>
      <c r="E364" t="inlineStr">
        <is>
          <t>BODEN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47920-2024</t>
        </is>
      </c>
      <c r="B365" s="1" t="n">
        <v>45589</v>
      </c>
      <c r="C365" s="1" t="n">
        <v>46200</v>
      </c>
      <c r="D365" t="inlineStr">
        <is>
          <t>NORRBOTTENS LÄN</t>
        </is>
      </c>
      <c r="E365" t="inlineStr">
        <is>
          <t>BODEN</t>
        </is>
      </c>
      <c r="F365" t="inlineStr">
        <is>
          <t>Naturvårdsverket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5071-2025</t>
        </is>
      </c>
      <c r="B366" s="1" t="n">
        <v>45691</v>
      </c>
      <c r="C366" s="1" t="n">
        <v>46200</v>
      </c>
      <c r="D366" t="inlineStr">
        <is>
          <t>NORRBOTTENS LÄN</t>
        </is>
      </c>
      <c r="E366" t="inlineStr">
        <is>
          <t>BODEN</t>
        </is>
      </c>
      <c r="F366" t="inlineStr">
        <is>
          <t>SCA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13714-2022</t>
        </is>
      </c>
      <c r="B367" s="1" t="n">
        <v>44648</v>
      </c>
      <c r="C367" s="1" t="n">
        <v>46200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37791-2024</t>
        </is>
      </c>
      <c r="B368" s="1" t="n">
        <v>45543</v>
      </c>
      <c r="C368" s="1" t="n">
        <v>46200</v>
      </c>
      <c r="D368" t="inlineStr">
        <is>
          <t>NORRBOTTENS LÄN</t>
        </is>
      </c>
      <c r="E368" t="inlineStr">
        <is>
          <t>BODEN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467-2022</t>
        </is>
      </c>
      <c r="B369" s="1" t="n">
        <v>44565</v>
      </c>
      <c r="C369" s="1" t="n">
        <v>46200</v>
      </c>
      <c r="D369" t="inlineStr">
        <is>
          <t>NORRBOTTENS LÄN</t>
        </is>
      </c>
      <c r="E369" t="inlineStr">
        <is>
          <t>BODEN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8571-2025</t>
        </is>
      </c>
      <c r="B370" s="1" t="n">
        <v>45709</v>
      </c>
      <c r="C370" s="1" t="n">
        <v>46200</v>
      </c>
      <c r="D370" t="inlineStr">
        <is>
          <t>NORRBOTTENS LÄN</t>
        </is>
      </c>
      <c r="E370" t="inlineStr">
        <is>
          <t>BODEN</t>
        </is>
      </c>
      <c r="F370" t="inlineStr">
        <is>
          <t>Övriga Aktiebolag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2547-2025</t>
        </is>
      </c>
      <c r="B371" s="1" t="n">
        <v>45674</v>
      </c>
      <c r="C371" s="1" t="n">
        <v>46200</v>
      </c>
      <c r="D371" t="inlineStr">
        <is>
          <t>NORRBOTTENS LÄN</t>
        </is>
      </c>
      <c r="E371" t="inlineStr">
        <is>
          <t>BODEN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5129-2025</t>
        </is>
      </c>
      <c r="B372" s="1" t="n">
        <v>45691</v>
      </c>
      <c r="C372" s="1" t="n">
        <v>46200</v>
      </c>
      <c r="D372" t="inlineStr">
        <is>
          <t>NORRBOTTENS LÄN</t>
        </is>
      </c>
      <c r="E372" t="inlineStr">
        <is>
          <t>BODEN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61743-2024</t>
        </is>
      </c>
      <c r="B373" s="1" t="n">
        <v>45649</v>
      </c>
      <c r="C373" s="1" t="n">
        <v>46200</v>
      </c>
      <c r="D373" t="inlineStr">
        <is>
          <t>NORRBOTTENS LÄN</t>
        </is>
      </c>
      <c r="E373" t="inlineStr">
        <is>
          <t>BODEN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41487-2024</t>
        </is>
      </c>
      <c r="B374" s="1" t="n">
        <v>45560</v>
      </c>
      <c r="C374" s="1" t="n">
        <v>46200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57563-2023</t>
        </is>
      </c>
      <c r="B375" s="1" t="n">
        <v>45246</v>
      </c>
      <c r="C375" s="1" t="n">
        <v>46200</v>
      </c>
      <c r="D375" t="inlineStr">
        <is>
          <t>NORRBOTTENS LÄN</t>
        </is>
      </c>
      <c r="E375" t="inlineStr">
        <is>
          <t>BODEN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44553-2024</t>
        </is>
      </c>
      <c r="B376" s="1" t="n">
        <v>45574</v>
      </c>
      <c r="C376" s="1" t="n">
        <v>46200</v>
      </c>
      <c r="D376" t="inlineStr">
        <is>
          <t>NORRBOTTENS LÄN</t>
        </is>
      </c>
      <c r="E376" t="inlineStr">
        <is>
          <t>BODEN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1081-2024</t>
        </is>
      </c>
      <c r="B377" s="1" t="n">
        <v>45301</v>
      </c>
      <c r="C377" s="1" t="n">
        <v>46200</v>
      </c>
      <c r="D377" t="inlineStr">
        <is>
          <t>NORRBOTTENS LÄN</t>
        </is>
      </c>
      <c r="E377" t="inlineStr">
        <is>
          <t>BODEN</t>
        </is>
      </c>
      <c r="F377" t="inlineStr">
        <is>
          <t>Övriga statliga verk och myndigheter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48592-2024</t>
        </is>
      </c>
      <c r="B378" s="1" t="n">
        <v>45593</v>
      </c>
      <c r="C378" s="1" t="n">
        <v>46200</v>
      </c>
      <c r="D378" t="inlineStr">
        <is>
          <t>NORRBOTTENS LÄN</t>
        </is>
      </c>
      <c r="E378" t="inlineStr">
        <is>
          <t>BODEN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45446-2023</t>
        </is>
      </c>
      <c r="B379" s="1" t="n">
        <v>45194</v>
      </c>
      <c r="C379" s="1" t="n">
        <v>46200</v>
      </c>
      <c r="D379" t="inlineStr">
        <is>
          <t>NORRBOTTENS LÄN</t>
        </is>
      </c>
      <c r="E379" t="inlineStr">
        <is>
          <t>BODEN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18173-2025</t>
        </is>
      </c>
      <c r="B380" s="1" t="n">
        <v>45761</v>
      </c>
      <c r="C380" s="1" t="n">
        <v>46200</v>
      </c>
      <c r="D380" t="inlineStr">
        <is>
          <t>NORRBOTTENS LÄN</t>
        </is>
      </c>
      <c r="E380" t="inlineStr">
        <is>
          <t>BODEN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16180-2025</t>
        </is>
      </c>
      <c r="B381" s="1" t="n">
        <v>45750</v>
      </c>
      <c r="C381" s="1" t="n">
        <v>46200</v>
      </c>
      <c r="D381" t="inlineStr">
        <is>
          <t>NORRBOTTENS LÄN</t>
        </is>
      </c>
      <c r="E381" t="inlineStr">
        <is>
          <t>BODEN</t>
        </is>
      </c>
      <c r="F381" t="inlineStr">
        <is>
          <t>Övriga Aktiebolag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56837-2023</t>
        </is>
      </c>
      <c r="B382" s="1" t="n">
        <v>45244</v>
      </c>
      <c r="C382" s="1" t="n">
        <v>46200</v>
      </c>
      <c r="D382" t="inlineStr">
        <is>
          <t>NORRBOTTENS LÄN</t>
        </is>
      </c>
      <c r="E382" t="inlineStr">
        <is>
          <t>BODEN</t>
        </is>
      </c>
      <c r="F382" t="inlineStr">
        <is>
          <t>Övriga statliga verk och myndigheter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23706-2024</t>
        </is>
      </c>
      <c r="B383" s="1" t="n">
        <v>45454</v>
      </c>
      <c r="C383" s="1" t="n">
        <v>46200</v>
      </c>
      <c r="D383" t="inlineStr">
        <is>
          <t>NORRBOTTENS LÄN</t>
        </is>
      </c>
      <c r="E383" t="inlineStr">
        <is>
          <t>BODEN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16020-2025</t>
        </is>
      </c>
      <c r="B384" s="1" t="n">
        <v>45748</v>
      </c>
      <c r="C384" s="1" t="n">
        <v>46200</v>
      </c>
      <c r="D384" t="inlineStr">
        <is>
          <t>NORRBOTTENS LÄN</t>
        </is>
      </c>
      <c r="E384" t="inlineStr">
        <is>
          <t>BODEN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8776-2022</t>
        </is>
      </c>
      <c r="B385" s="1" t="n">
        <v>44614</v>
      </c>
      <c r="C385" s="1" t="n">
        <v>46200</v>
      </c>
      <c r="D385" t="inlineStr">
        <is>
          <t>NORRBOTTENS LÄN</t>
        </is>
      </c>
      <c r="E385" t="inlineStr">
        <is>
          <t>BODEN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25387-2023</t>
        </is>
      </c>
      <c r="B386" s="1" t="n">
        <v>45079</v>
      </c>
      <c r="C386" s="1" t="n">
        <v>46200</v>
      </c>
      <c r="D386" t="inlineStr">
        <is>
          <t>NORRBOTTENS LÄN</t>
        </is>
      </c>
      <c r="E386" t="inlineStr">
        <is>
          <t>BODEN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18428-2025</t>
        </is>
      </c>
      <c r="B387" s="1" t="n">
        <v>45762</v>
      </c>
      <c r="C387" s="1" t="n">
        <v>46200</v>
      </c>
      <c r="D387" t="inlineStr">
        <is>
          <t>NORRBOTTENS LÄN</t>
        </is>
      </c>
      <c r="E387" t="inlineStr">
        <is>
          <t>BODEN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19528-2024</t>
        </is>
      </c>
      <c r="B388" s="1" t="n">
        <v>45429</v>
      </c>
      <c r="C388" s="1" t="n">
        <v>46200</v>
      </c>
      <c r="D388" t="inlineStr">
        <is>
          <t>NORRBOTTENS LÄN</t>
        </is>
      </c>
      <c r="E388" t="inlineStr">
        <is>
          <t>BODEN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19533-2024</t>
        </is>
      </c>
      <c r="B389" s="1" t="n">
        <v>45429</v>
      </c>
      <c r="C389" s="1" t="n">
        <v>46200</v>
      </c>
      <c r="D389" t="inlineStr">
        <is>
          <t>NORRBOTTENS LÄN</t>
        </is>
      </c>
      <c r="E389" t="inlineStr">
        <is>
          <t>BODEN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25920-2023</t>
        </is>
      </c>
      <c r="B390" s="1" t="n">
        <v>45085</v>
      </c>
      <c r="C390" s="1" t="n">
        <v>46200</v>
      </c>
      <c r="D390" t="inlineStr">
        <is>
          <t>NORRBOTTENS LÄN</t>
        </is>
      </c>
      <c r="E390" t="inlineStr">
        <is>
          <t>BODEN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62140-2024</t>
        </is>
      </c>
      <c r="B391" s="1" t="n">
        <v>45646</v>
      </c>
      <c r="C391" s="1" t="n">
        <v>46200</v>
      </c>
      <c r="D391" t="inlineStr">
        <is>
          <t>NORRBOTTENS LÄN</t>
        </is>
      </c>
      <c r="E391" t="inlineStr">
        <is>
          <t>BODEN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48129-2023</t>
        </is>
      </c>
      <c r="B392" s="1" t="n">
        <v>45205</v>
      </c>
      <c r="C392" s="1" t="n">
        <v>46200</v>
      </c>
      <c r="D392" t="inlineStr">
        <is>
          <t>NORRBOTTENS LÄN</t>
        </is>
      </c>
      <c r="E392" t="inlineStr">
        <is>
          <t>BODEN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54616-2023</t>
        </is>
      </c>
      <c r="B393" s="1" t="n">
        <v>45233</v>
      </c>
      <c r="C393" s="1" t="n">
        <v>46200</v>
      </c>
      <c r="D393" t="inlineStr">
        <is>
          <t>NORRBOTTENS LÄN</t>
        </is>
      </c>
      <c r="E393" t="inlineStr">
        <is>
          <t>BODEN</t>
        </is>
      </c>
      <c r="F393" t="inlineStr">
        <is>
          <t>SCA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30299-2023</t>
        </is>
      </c>
      <c r="B394" s="1" t="n">
        <v>45110</v>
      </c>
      <c r="C394" s="1" t="n">
        <v>46200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57897-2022</t>
        </is>
      </c>
      <c r="B395" s="1" t="n">
        <v>44900</v>
      </c>
      <c r="C395" s="1" t="n">
        <v>46200</v>
      </c>
      <c r="D395" t="inlineStr">
        <is>
          <t>NORRBOTTENS LÄN</t>
        </is>
      </c>
      <c r="E395" t="inlineStr">
        <is>
          <t>BODEN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61260-2023</t>
        </is>
      </c>
      <c r="B396" s="1" t="n">
        <v>45264</v>
      </c>
      <c r="C396" s="1" t="n">
        <v>46200</v>
      </c>
      <c r="D396" t="inlineStr">
        <is>
          <t>NORRBOTTENS LÄN</t>
        </is>
      </c>
      <c r="E396" t="inlineStr">
        <is>
          <t>BODEN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5452-2025</t>
        </is>
      </c>
      <c r="B397" s="1" t="n">
        <v>45692</v>
      </c>
      <c r="C397" s="1" t="n">
        <v>46200</v>
      </c>
      <c r="D397" t="inlineStr">
        <is>
          <t>NORRBOTTENS LÄN</t>
        </is>
      </c>
      <c r="E397" t="inlineStr">
        <is>
          <t>BODEN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19564-2024</t>
        </is>
      </c>
      <c r="B398" s="1" t="n">
        <v>45429</v>
      </c>
      <c r="C398" s="1" t="n">
        <v>46200</v>
      </c>
      <c r="D398" t="inlineStr">
        <is>
          <t>NORRBOTTENS LÄN</t>
        </is>
      </c>
      <c r="E398" t="inlineStr">
        <is>
          <t>BODEN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25735-2024</t>
        </is>
      </c>
      <c r="B399" s="1" t="n">
        <v>45464</v>
      </c>
      <c r="C399" s="1" t="n">
        <v>46200</v>
      </c>
      <c r="D399" t="inlineStr">
        <is>
          <t>NORRBOTTENS LÄN</t>
        </is>
      </c>
      <c r="E399" t="inlineStr">
        <is>
          <t>BODEN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61031-2024</t>
        </is>
      </c>
      <c r="B400" s="1" t="n">
        <v>45645</v>
      </c>
      <c r="C400" s="1" t="n">
        <v>46200</v>
      </c>
      <c r="D400" t="inlineStr">
        <is>
          <t>NORRBOTTENS LÄN</t>
        </is>
      </c>
      <c r="E400" t="inlineStr">
        <is>
          <t>BODEN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18671-2025</t>
        </is>
      </c>
      <c r="B401" s="1" t="n">
        <v>45763</v>
      </c>
      <c r="C401" s="1" t="n">
        <v>46200</v>
      </c>
      <c r="D401" t="inlineStr">
        <is>
          <t>NORRBOTTENS LÄN</t>
        </is>
      </c>
      <c r="E401" t="inlineStr">
        <is>
          <t>BODEN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38652-2024</t>
        </is>
      </c>
      <c r="B402" s="1" t="n">
        <v>45546</v>
      </c>
      <c r="C402" s="1" t="n">
        <v>46200</v>
      </c>
      <c r="D402" t="inlineStr">
        <is>
          <t>NORRBOTTENS LÄN</t>
        </is>
      </c>
      <c r="E402" t="inlineStr">
        <is>
          <t>BODEN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29377-2024</t>
        </is>
      </c>
      <c r="B403" s="1" t="n">
        <v>45483</v>
      </c>
      <c r="C403" s="1" t="n">
        <v>46200</v>
      </c>
      <c r="D403" t="inlineStr">
        <is>
          <t>NORRBOTTENS LÄN</t>
        </is>
      </c>
      <c r="E403" t="inlineStr">
        <is>
          <t>BODEN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36915-2023</t>
        </is>
      </c>
      <c r="B404" s="1" t="n">
        <v>45153</v>
      </c>
      <c r="C404" s="1" t="n">
        <v>46200</v>
      </c>
      <c r="D404" t="inlineStr">
        <is>
          <t>NORRBOTTENS LÄN</t>
        </is>
      </c>
      <c r="E404" t="inlineStr">
        <is>
          <t>BODEN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34021-2021</t>
        </is>
      </c>
      <c r="B405" s="1" t="n">
        <v>44378</v>
      </c>
      <c r="C405" s="1" t="n">
        <v>46200</v>
      </c>
      <c r="D405" t="inlineStr">
        <is>
          <t>NORRBOTTENS LÄN</t>
        </is>
      </c>
      <c r="E405" t="inlineStr">
        <is>
          <t>BODEN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56474-2023</t>
        </is>
      </c>
      <c r="B406" s="1" t="n">
        <v>45243</v>
      </c>
      <c r="C406" s="1" t="n">
        <v>46200</v>
      </c>
      <c r="D406" t="inlineStr">
        <is>
          <t>NORRBOTTENS LÄN</t>
        </is>
      </c>
      <c r="E406" t="inlineStr">
        <is>
          <t>BODEN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31754-2024</t>
        </is>
      </c>
      <c r="B407" s="1" t="n">
        <v>45509</v>
      </c>
      <c r="C407" s="1" t="n">
        <v>46200</v>
      </c>
      <c r="D407" t="inlineStr">
        <is>
          <t>NORRBOTTENS LÄN</t>
        </is>
      </c>
      <c r="E407" t="inlineStr">
        <is>
          <t>BODEN</t>
        </is>
      </c>
      <c r="G407" t="n">
        <v>11.1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12562-2024</t>
        </is>
      </c>
      <c r="B408" s="1" t="n">
        <v>45379</v>
      </c>
      <c r="C408" s="1" t="n">
        <v>46200</v>
      </c>
      <c r="D408" t="inlineStr">
        <is>
          <t>NORRBOTTENS LÄN</t>
        </is>
      </c>
      <c r="E408" t="inlineStr">
        <is>
          <t>BODEN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59029-2022</t>
        </is>
      </c>
      <c r="B409" s="1" t="n">
        <v>44903</v>
      </c>
      <c r="C409" s="1" t="n">
        <v>46200</v>
      </c>
      <c r="D409" t="inlineStr">
        <is>
          <t>NORRBOTTENS LÄN</t>
        </is>
      </c>
      <c r="E409" t="inlineStr">
        <is>
          <t>BODEN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27604-2025</t>
        </is>
      </c>
      <c r="B410" s="1" t="n">
        <v>45813</v>
      </c>
      <c r="C410" s="1" t="n">
        <v>46200</v>
      </c>
      <c r="D410" t="inlineStr">
        <is>
          <t>NORRBOTTENS LÄN</t>
        </is>
      </c>
      <c r="E410" t="inlineStr">
        <is>
          <t>BODEN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20260-2025</t>
        </is>
      </c>
      <c r="B411" s="1" t="n">
        <v>45773</v>
      </c>
      <c r="C411" s="1" t="n">
        <v>46200</v>
      </c>
      <c r="D411" t="inlineStr">
        <is>
          <t>NORRBOTTENS LÄN</t>
        </is>
      </c>
      <c r="E411" t="inlineStr">
        <is>
          <t>BODEN</t>
        </is>
      </c>
      <c r="F411" t="inlineStr">
        <is>
          <t>SCA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59688-2023</t>
        </is>
      </c>
      <c r="B412" s="1" t="n">
        <v>45256</v>
      </c>
      <c r="C412" s="1" t="n">
        <v>46200</v>
      </c>
      <c r="D412" t="inlineStr">
        <is>
          <t>NORRBOTTENS LÄN</t>
        </is>
      </c>
      <c r="E412" t="inlineStr">
        <is>
          <t>BODEN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27543-2025</t>
        </is>
      </c>
      <c r="B413" s="1" t="n">
        <v>45813</v>
      </c>
      <c r="C413" s="1" t="n">
        <v>46200</v>
      </c>
      <c r="D413" t="inlineStr">
        <is>
          <t>NORRBOTTENS LÄN</t>
        </is>
      </c>
      <c r="E413" t="inlineStr">
        <is>
          <t>BODEN</t>
        </is>
      </c>
      <c r="F413" t="inlineStr">
        <is>
          <t>SCA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42196-2024</t>
        </is>
      </c>
      <c r="B414" s="1" t="n">
        <v>45562</v>
      </c>
      <c r="C414" s="1" t="n">
        <v>46200</v>
      </c>
      <c r="D414" t="inlineStr">
        <is>
          <t>NORRBOTTENS LÄN</t>
        </is>
      </c>
      <c r="E414" t="inlineStr">
        <is>
          <t>BODEN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27508-2025</t>
        </is>
      </c>
      <c r="B415" s="1" t="n">
        <v>45813</v>
      </c>
      <c r="C415" s="1" t="n">
        <v>46200</v>
      </c>
      <c r="D415" t="inlineStr">
        <is>
          <t>NORRBOTTENS LÄN</t>
        </is>
      </c>
      <c r="E415" t="inlineStr">
        <is>
          <t>BODEN</t>
        </is>
      </c>
      <c r="F415" t="inlineStr">
        <is>
          <t>SCA</t>
        </is>
      </c>
      <c r="G415" t="n">
        <v>13.9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61932-2024</t>
        </is>
      </c>
      <c r="B416" s="1" t="n">
        <v>45653</v>
      </c>
      <c r="C416" s="1" t="n">
        <v>46200</v>
      </c>
      <c r="D416" t="inlineStr">
        <is>
          <t>NORRBOTTENS LÄN</t>
        </is>
      </c>
      <c r="E416" t="inlineStr">
        <is>
          <t>BODEN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19757-2025</t>
        </is>
      </c>
      <c r="B417" s="1" t="n">
        <v>45770</v>
      </c>
      <c r="C417" s="1" t="n">
        <v>46200</v>
      </c>
      <c r="D417" t="inlineStr">
        <is>
          <t>NORRBOTTENS LÄN</t>
        </is>
      </c>
      <c r="E417" t="inlineStr">
        <is>
          <t>BODEN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3090-2024</t>
        </is>
      </c>
      <c r="B418" s="1" t="n">
        <v>45316</v>
      </c>
      <c r="C418" s="1" t="n">
        <v>46200</v>
      </c>
      <c r="D418" t="inlineStr">
        <is>
          <t>NORRBOTTENS LÄN</t>
        </is>
      </c>
      <c r="E418" t="inlineStr">
        <is>
          <t>BODEN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11651-2023</t>
        </is>
      </c>
      <c r="B419" s="1" t="n">
        <v>44994</v>
      </c>
      <c r="C419" s="1" t="n">
        <v>46200</v>
      </c>
      <c r="D419" t="inlineStr">
        <is>
          <t>NORRBOTTENS LÄN</t>
        </is>
      </c>
      <c r="E419" t="inlineStr">
        <is>
          <t>BODEN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29109-2024</t>
        </is>
      </c>
      <c r="B420" s="1" t="n">
        <v>45481</v>
      </c>
      <c r="C420" s="1" t="n">
        <v>46200</v>
      </c>
      <c r="D420" t="inlineStr">
        <is>
          <t>NORRBOTTENS LÄN</t>
        </is>
      </c>
      <c r="E420" t="inlineStr">
        <is>
          <t>BODEN</t>
        </is>
      </c>
      <c r="F420" t="inlineStr">
        <is>
          <t>SCA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1962-2025</t>
        </is>
      </c>
      <c r="B421" s="1" t="n">
        <v>45672</v>
      </c>
      <c r="C421" s="1" t="n">
        <v>46200</v>
      </c>
      <c r="D421" t="inlineStr">
        <is>
          <t>NORRBOTTENS LÄN</t>
        </is>
      </c>
      <c r="E421" t="inlineStr">
        <is>
          <t>BODEN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19080-2025</t>
        </is>
      </c>
      <c r="B422" s="1" t="n">
        <v>45766</v>
      </c>
      <c r="C422" s="1" t="n">
        <v>46200</v>
      </c>
      <c r="D422" t="inlineStr">
        <is>
          <t>NORRBOTTENS LÄN</t>
        </is>
      </c>
      <c r="E422" t="inlineStr">
        <is>
          <t>BODEN</t>
        </is>
      </c>
      <c r="F422" t="inlineStr">
        <is>
          <t>SCA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57968-2023</t>
        </is>
      </c>
      <c r="B423" s="1" t="n">
        <v>45247</v>
      </c>
      <c r="C423" s="1" t="n">
        <v>46200</v>
      </c>
      <c r="D423" t="inlineStr">
        <is>
          <t>NORRBOTTENS LÄN</t>
        </is>
      </c>
      <c r="E423" t="inlineStr">
        <is>
          <t>BODEN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718-2022</t>
        </is>
      </c>
      <c r="B424" s="1" t="n">
        <v>44568</v>
      </c>
      <c r="C424" s="1" t="n">
        <v>46200</v>
      </c>
      <c r="D424" t="inlineStr">
        <is>
          <t>NORRBOTTENS LÄN</t>
        </is>
      </c>
      <c r="E424" t="inlineStr">
        <is>
          <t>BODEN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43969-2024</t>
        </is>
      </c>
      <c r="B425" s="1" t="n">
        <v>45572</v>
      </c>
      <c r="C425" s="1" t="n">
        <v>46200</v>
      </c>
      <c r="D425" t="inlineStr">
        <is>
          <t>NORRBOTTENS LÄN</t>
        </is>
      </c>
      <c r="E425" t="inlineStr">
        <is>
          <t>BODEN</t>
        </is>
      </c>
      <c r="F425" t="inlineStr">
        <is>
          <t>Sveaskog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28297-2025</t>
        </is>
      </c>
      <c r="B426" s="1" t="n">
        <v>45818</v>
      </c>
      <c r="C426" s="1" t="n">
        <v>46200</v>
      </c>
      <c r="D426" t="inlineStr">
        <is>
          <t>NORRBOTTENS LÄN</t>
        </is>
      </c>
      <c r="E426" t="inlineStr">
        <is>
          <t>BODEN</t>
        </is>
      </c>
      <c r="F426" t="inlineStr">
        <is>
          <t>Sveaskog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19060-2024</t>
        </is>
      </c>
      <c r="B427" s="1" t="n">
        <v>45427</v>
      </c>
      <c r="C427" s="1" t="n">
        <v>46200</v>
      </c>
      <c r="D427" t="inlineStr">
        <is>
          <t>NORRBOTTENS LÄN</t>
        </is>
      </c>
      <c r="E427" t="inlineStr">
        <is>
          <t>BODEN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48415-2024</t>
        </is>
      </c>
      <c r="B428" s="1" t="n">
        <v>45590</v>
      </c>
      <c r="C428" s="1" t="n">
        <v>46200</v>
      </c>
      <c r="D428" t="inlineStr">
        <is>
          <t>NORRBOTTENS LÄN</t>
        </is>
      </c>
      <c r="E428" t="inlineStr">
        <is>
          <t>BODEN</t>
        </is>
      </c>
      <c r="F428" t="inlineStr">
        <is>
          <t>SCA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48471-2024</t>
        </is>
      </c>
      <c r="B429" s="1" t="n">
        <v>45591</v>
      </c>
      <c r="C429" s="1" t="n">
        <v>46200</v>
      </c>
      <c r="D429" t="inlineStr">
        <is>
          <t>NORRBOTTENS LÄN</t>
        </is>
      </c>
      <c r="E429" t="inlineStr">
        <is>
          <t>BODEN</t>
        </is>
      </c>
      <c r="F429" t="inlineStr">
        <is>
          <t>SCA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48472-2024</t>
        </is>
      </c>
      <c r="B430" s="1" t="n">
        <v>45591</v>
      </c>
      <c r="C430" s="1" t="n">
        <v>46200</v>
      </c>
      <c r="D430" t="inlineStr">
        <is>
          <t>NORRBOTTENS LÄN</t>
        </is>
      </c>
      <c r="E430" t="inlineStr">
        <is>
          <t>BODEN</t>
        </is>
      </c>
      <c r="F430" t="inlineStr">
        <is>
          <t>SCA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28134-2025</t>
        </is>
      </c>
      <c r="B431" s="1" t="n">
        <v>45818</v>
      </c>
      <c r="C431" s="1" t="n">
        <v>46200</v>
      </c>
      <c r="D431" t="inlineStr">
        <is>
          <t>NORRBOTTENS LÄN</t>
        </is>
      </c>
      <c r="E431" t="inlineStr">
        <is>
          <t>BODEN</t>
        </is>
      </c>
      <c r="F431" t="inlineStr">
        <is>
          <t>SCA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19048-2025</t>
        </is>
      </c>
      <c r="B432" s="1" t="n">
        <v>45764</v>
      </c>
      <c r="C432" s="1" t="n">
        <v>46200</v>
      </c>
      <c r="D432" t="inlineStr">
        <is>
          <t>NORRBOTTENS LÄN</t>
        </is>
      </c>
      <c r="E432" t="inlineStr">
        <is>
          <t>BODEN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19050-2025</t>
        </is>
      </c>
      <c r="B433" s="1" t="n">
        <v>45764</v>
      </c>
      <c r="C433" s="1" t="n">
        <v>46200</v>
      </c>
      <c r="D433" t="inlineStr">
        <is>
          <t>NORRBOTTENS LÄN</t>
        </is>
      </c>
      <c r="E433" t="inlineStr">
        <is>
          <t>BODEN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44625-2024</t>
        </is>
      </c>
      <c r="B434" s="1" t="n">
        <v>45574</v>
      </c>
      <c r="C434" s="1" t="n">
        <v>46200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28270-2025</t>
        </is>
      </c>
      <c r="B435" s="1" t="n">
        <v>45818</v>
      </c>
      <c r="C435" s="1" t="n">
        <v>46200</v>
      </c>
      <c r="D435" t="inlineStr">
        <is>
          <t>NORRBOTTENS LÄN</t>
        </is>
      </c>
      <c r="E435" t="inlineStr">
        <is>
          <t>BODEN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54718-2024</t>
        </is>
      </c>
      <c r="B436" s="1" t="n">
        <v>45618</v>
      </c>
      <c r="C436" s="1" t="n">
        <v>46200</v>
      </c>
      <c r="D436" t="inlineStr">
        <is>
          <t>NORRBOTTENS LÄN</t>
        </is>
      </c>
      <c r="E436" t="inlineStr">
        <is>
          <t>BODEN</t>
        </is>
      </c>
      <c r="F436" t="inlineStr">
        <is>
          <t>SCA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29328-2024</t>
        </is>
      </c>
      <c r="B437" s="1" t="n">
        <v>45483</v>
      </c>
      <c r="C437" s="1" t="n">
        <v>46200</v>
      </c>
      <c r="D437" t="inlineStr">
        <is>
          <t>NORRBOTTENS LÄN</t>
        </is>
      </c>
      <c r="E437" t="inlineStr">
        <is>
          <t>BODEN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18569-2024</t>
        </is>
      </c>
      <c r="B438" s="1" t="n">
        <v>45425</v>
      </c>
      <c r="C438" s="1" t="n">
        <v>46200</v>
      </c>
      <c r="D438" t="inlineStr">
        <is>
          <t>NORRBOTTENS LÄN</t>
        </is>
      </c>
      <c r="E438" t="inlineStr">
        <is>
          <t>BODEN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28357-2023</t>
        </is>
      </c>
      <c r="B439" s="1" t="n">
        <v>45099</v>
      </c>
      <c r="C439" s="1" t="n">
        <v>46200</v>
      </c>
      <c r="D439" t="inlineStr">
        <is>
          <t>NORRBOTTENS LÄN</t>
        </is>
      </c>
      <c r="E439" t="inlineStr">
        <is>
          <t>BODEN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31007-2024</t>
        </is>
      </c>
      <c r="B440" s="1" t="n">
        <v>45499</v>
      </c>
      <c r="C440" s="1" t="n">
        <v>46200</v>
      </c>
      <c r="D440" t="inlineStr">
        <is>
          <t>NORRBOTTENS LÄN</t>
        </is>
      </c>
      <c r="E440" t="inlineStr">
        <is>
          <t>BODEN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15017-2022</t>
        </is>
      </c>
      <c r="B441" s="1" t="n">
        <v>44657</v>
      </c>
      <c r="C441" s="1" t="n">
        <v>46200</v>
      </c>
      <c r="D441" t="inlineStr">
        <is>
          <t>NORRBOTTENS LÄN</t>
        </is>
      </c>
      <c r="E441" t="inlineStr">
        <is>
          <t>BODEN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37384-2023</t>
        </is>
      </c>
      <c r="B442" s="1" t="n">
        <v>45156</v>
      </c>
      <c r="C442" s="1" t="n">
        <v>46200</v>
      </c>
      <c r="D442" t="inlineStr">
        <is>
          <t>NORRBOTTENS LÄN</t>
        </is>
      </c>
      <c r="E442" t="inlineStr">
        <is>
          <t>BODEN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38219-2022</t>
        </is>
      </c>
      <c r="B443" s="1" t="n">
        <v>44812</v>
      </c>
      <c r="C443" s="1" t="n">
        <v>46200</v>
      </c>
      <c r="D443" t="inlineStr">
        <is>
          <t>NORRBOTTENS LÄN</t>
        </is>
      </c>
      <c r="E443" t="inlineStr">
        <is>
          <t>BODEN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30089-2025</t>
        </is>
      </c>
      <c r="B444" s="1" t="n">
        <v>45826</v>
      </c>
      <c r="C444" s="1" t="n">
        <v>46200</v>
      </c>
      <c r="D444" t="inlineStr">
        <is>
          <t>NORRBOTTENS LÄN</t>
        </is>
      </c>
      <c r="E444" t="inlineStr">
        <is>
          <t>BODEN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40624-2022</t>
        </is>
      </c>
      <c r="B445" s="1" t="n">
        <v>44823</v>
      </c>
      <c r="C445" s="1" t="n">
        <v>46200</v>
      </c>
      <c r="D445" t="inlineStr">
        <is>
          <t>NORRBOTTENS LÄN</t>
        </is>
      </c>
      <c r="E445" t="inlineStr">
        <is>
          <t>BODEN</t>
        </is>
      </c>
      <c r="F445" t="inlineStr">
        <is>
          <t>SCA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46564-2022</t>
        </is>
      </c>
      <c r="B446" s="1" t="n">
        <v>44847</v>
      </c>
      <c r="C446" s="1" t="n">
        <v>46200</v>
      </c>
      <c r="D446" t="inlineStr">
        <is>
          <t>NORRBOTTENS LÄN</t>
        </is>
      </c>
      <c r="E446" t="inlineStr">
        <is>
          <t>BODEN</t>
        </is>
      </c>
      <c r="G446" t="n">
        <v>28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49162-2023</t>
        </is>
      </c>
      <c r="B447" s="1" t="n">
        <v>45210</v>
      </c>
      <c r="C447" s="1" t="n">
        <v>46200</v>
      </c>
      <c r="D447" t="inlineStr">
        <is>
          <t>NORRBOTTENS LÄN</t>
        </is>
      </c>
      <c r="E447" t="inlineStr">
        <is>
          <t>BODEN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12893-2022</t>
        </is>
      </c>
      <c r="B448" s="1" t="n">
        <v>44642</v>
      </c>
      <c r="C448" s="1" t="n">
        <v>46200</v>
      </c>
      <c r="D448" t="inlineStr">
        <is>
          <t>NORRBOTTENS LÄN</t>
        </is>
      </c>
      <c r="E448" t="inlineStr">
        <is>
          <t>BODEN</t>
        </is>
      </c>
      <c r="F448" t="inlineStr">
        <is>
          <t>Övriga statliga verk och myndigheter</t>
        </is>
      </c>
      <c r="G448" t="n">
        <v>15.8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22458-2023</t>
        </is>
      </c>
      <c r="B449" s="1" t="n">
        <v>45070</v>
      </c>
      <c r="C449" s="1" t="n">
        <v>46200</v>
      </c>
      <c r="D449" t="inlineStr">
        <is>
          <t>NORRBOTTENS LÄN</t>
        </is>
      </c>
      <c r="E449" t="inlineStr">
        <is>
          <t>BODEN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31363-2025</t>
        </is>
      </c>
      <c r="B450" s="1" t="n">
        <v>45833</v>
      </c>
      <c r="C450" s="1" t="n">
        <v>46200</v>
      </c>
      <c r="D450" t="inlineStr">
        <is>
          <t>NORRBOTTENS LÄN</t>
        </is>
      </c>
      <c r="E450" t="inlineStr">
        <is>
          <t>BODEN</t>
        </is>
      </c>
      <c r="F450" t="inlineStr">
        <is>
          <t>Sveaskog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58373-2022</t>
        </is>
      </c>
      <c r="B451" s="1" t="n">
        <v>44901</v>
      </c>
      <c r="C451" s="1" t="n">
        <v>46200</v>
      </c>
      <c r="D451" t="inlineStr">
        <is>
          <t>NORRBOTTENS LÄN</t>
        </is>
      </c>
      <c r="E451" t="inlineStr">
        <is>
          <t>BODEN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31203-2025</t>
        </is>
      </c>
      <c r="B452" s="1" t="n">
        <v>45832</v>
      </c>
      <c r="C452" s="1" t="n">
        <v>46200</v>
      </c>
      <c r="D452" t="inlineStr">
        <is>
          <t>NORRBOTTENS LÄN</t>
        </is>
      </c>
      <c r="E452" t="inlineStr">
        <is>
          <t>BODEN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31200-2025</t>
        </is>
      </c>
      <c r="B453" s="1" t="n">
        <v>45832</v>
      </c>
      <c r="C453" s="1" t="n">
        <v>46200</v>
      </c>
      <c r="D453" t="inlineStr">
        <is>
          <t>NORRBOTTENS LÄN</t>
        </is>
      </c>
      <c r="E453" t="inlineStr">
        <is>
          <t>BODEN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31487-2025</t>
        </is>
      </c>
      <c r="B454" s="1" t="n">
        <v>45833</v>
      </c>
      <c r="C454" s="1" t="n">
        <v>46200</v>
      </c>
      <c r="D454" t="inlineStr">
        <is>
          <t>NORRBOTTENS LÄN</t>
        </is>
      </c>
      <c r="E454" t="inlineStr">
        <is>
          <t>BODEN</t>
        </is>
      </c>
      <c r="F454" t="inlineStr">
        <is>
          <t>Övriga Aktiebolag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31531-2025</t>
        </is>
      </c>
      <c r="B455" s="1" t="n">
        <v>45833</v>
      </c>
      <c r="C455" s="1" t="n">
        <v>46200</v>
      </c>
      <c r="D455" t="inlineStr">
        <is>
          <t>NORRBOTTENS LÄN</t>
        </is>
      </c>
      <c r="E455" t="inlineStr">
        <is>
          <t>BODEN</t>
        </is>
      </c>
      <c r="F455" t="inlineStr">
        <is>
          <t>Övriga Aktiebolag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1497-2022</t>
        </is>
      </c>
      <c r="B456" s="1" t="n">
        <v>44573</v>
      </c>
      <c r="C456" s="1" t="n">
        <v>46200</v>
      </c>
      <c r="D456" t="inlineStr">
        <is>
          <t>NORRBOTTENS LÄN</t>
        </is>
      </c>
      <c r="E456" t="inlineStr">
        <is>
          <t>BODEN</t>
        </is>
      </c>
      <c r="F456" t="inlineStr">
        <is>
          <t>Övriga statliga verk och myndigheter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32052-2025</t>
        </is>
      </c>
      <c r="B457" s="1" t="n">
        <v>45835</v>
      </c>
      <c r="C457" s="1" t="n">
        <v>46200</v>
      </c>
      <c r="D457" t="inlineStr">
        <is>
          <t>NORRBOTTENS LÄN</t>
        </is>
      </c>
      <c r="E457" t="inlineStr">
        <is>
          <t>BODEN</t>
        </is>
      </c>
      <c r="F457" t="inlineStr">
        <is>
          <t>Sveaskog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48950-2022</t>
        </is>
      </c>
      <c r="B458" s="1" t="n">
        <v>44859</v>
      </c>
      <c r="C458" s="1" t="n">
        <v>46200</v>
      </c>
      <c r="D458" t="inlineStr">
        <is>
          <t>NORRBOTTENS LÄN</t>
        </is>
      </c>
      <c r="E458" t="inlineStr">
        <is>
          <t>BODEN</t>
        </is>
      </c>
      <c r="F458" t="inlineStr">
        <is>
          <t>SCA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56457-2024</t>
        </is>
      </c>
      <c r="B459" s="1" t="n">
        <v>45625</v>
      </c>
      <c r="C459" s="1" t="n">
        <v>46200</v>
      </c>
      <c r="D459" t="inlineStr">
        <is>
          <t>NORRBOTTENS LÄN</t>
        </is>
      </c>
      <c r="E459" t="inlineStr">
        <is>
          <t>BODEN</t>
        </is>
      </c>
      <c r="F459" t="inlineStr">
        <is>
          <t>SCA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8869-2024</t>
        </is>
      </c>
      <c r="B460" s="1" t="n">
        <v>45356</v>
      </c>
      <c r="C460" s="1" t="n">
        <v>46200</v>
      </c>
      <c r="D460" t="inlineStr">
        <is>
          <t>NORRBOTTENS LÄN</t>
        </is>
      </c>
      <c r="E460" t="inlineStr">
        <is>
          <t>BODEN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11159-2025</t>
        </is>
      </c>
      <c r="B461" s="1" t="n">
        <v>45723</v>
      </c>
      <c r="C461" s="1" t="n">
        <v>46200</v>
      </c>
      <c r="D461" t="inlineStr">
        <is>
          <t>NORRBOTTENS LÄN</t>
        </is>
      </c>
      <c r="E461" t="inlineStr">
        <is>
          <t>BODEN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37984-2024</t>
        </is>
      </c>
      <c r="B462" s="1" t="n">
        <v>45544</v>
      </c>
      <c r="C462" s="1" t="n">
        <v>46200</v>
      </c>
      <c r="D462" t="inlineStr">
        <is>
          <t>NORRBOTTENS LÄN</t>
        </is>
      </c>
      <c r="E462" t="inlineStr">
        <is>
          <t>BODEN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45929-2023</t>
        </is>
      </c>
      <c r="B463" s="1" t="n">
        <v>45195</v>
      </c>
      <c r="C463" s="1" t="n">
        <v>46200</v>
      </c>
      <c r="D463" t="inlineStr">
        <is>
          <t>NORRBOTTENS LÄN</t>
        </is>
      </c>
      <c r="E463" t="inlineStr">
        <is>
          <t>BODEN</t>
        </is>
      </c>
      <c r="F463" t="inlineStr">
        <is>
          <t>SCA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2682-2024</t>
        </is>
      </c>
      <c r="B464" s="1" t="n">
        <v>45314</v>
      </c>
      <c r="C464" s="1" t="n">
        <v>46200</v>
      </c>
      <c r="D464" t="inlineStr">
        <is>
          <t>NORRBOTTENS LÄN</t>
        </is>
      </c>
      <c r="E464" t="inlineStr">
        <is>
          <t>BODEN</t>
        </is>
      </c>
      <c r="G464" t="n">
        <v>17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48107-2022</t>
        </is>
      </c>
      <c r="B465" s="1" t="n">
        <v>44856</v>
      </c>
      <c r="C465" s="1" t="n">
        <v>46200</v>
      </c>
      <c r="D465" t="inlineStr">
        <is>
          <t>NORRBOTTENS LÄN</t>
        </is>
      </c>
      <c r="E465" t="inlineStr">
        <is>
          <t>BODEN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25926-2025</t>
        </is>
      </c>
      <c r="B466" s="1" t="n">
        <v>45803</v>
      </c>
      <c r="C466" s="1" t="n">
        <v>46200</v>
      </c>
      <c r="D466" t="inlineStr">
        <is>
          <t>NORRBOTTENS LÄN</t>
        </is>
      </c>
      <c r="E466" t="inlineStr">
        <is>
          <t>BODEN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14743-2023</t>
        </is>
      </c>
      <c r="B467" s="1" t="n">
        <v>45013</v>
      </c>
      <c r="C467" s="1" t="n">
        <v>46200</v>
      </c>
      <c r="D467" t="inlineStr">
        <is>
          <t>NORRBOTTENS LÄN</t>
        </is>
      </c>
      <c r="E467" t="inlineStr">
        <is>
          <t>BODEN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3462-2022</t>
        </is>
      </c>
      <c r="B468" s="1" t="n">
        <v>44585</v>
      </c>
      <c r="C468" s="1" t="n">
        <v>46200</v>
      </c>
      <c r="D468" t="inlineStr">
        <is>
          <t>NORRBOTTENS LÄN</t>
        </is>
      </c>
      <c r="E468" t="inlineStr">
        <is>
          <t>BODEN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19563-2024</t>
        </is>
      </c>
      <c r="B469" s="1" t="n">
        <v>45429</v>
      </c>
      <c r="C469" s="1" t="n">
        <v>46200</v>
      </c>
      <c r="D469" t="inlineStr">
        <is>
          <t>NORRBOTTENS LÄN</t>
        </is>
      </c>
      <c r="E469" t="inlineStr">
        <is>
          <t>BODEN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33130-2025</t>
        </is>
      </c>
      <c r="B470" s="1" t="n">
        <v>45840</v>
      </c>
      <c r="C470" s="1" t="n">
        <v>46200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33276-2025</t>
        </is>
      </c>
      <c r="B471" s="1" t="n">
        <v>45840</v>
      </c>
      <c r="C471" s="1" t="n">
        <v>46200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15486-2025</t>
        </is>
      </c>
      <c r="B472" s="1" t="n">
        <v>45747</v>
      </c>
      <c r="C472" s="1" t="n">
        <v>46200</v>
      </c>
      <c r="D472" t="inlineStr">
        <is>
          <t>NORRBOTTENS LÄN</t>
        </is>
      </c>
      <c r="E472" t="inlineStr">
        <is>
          <t>BODEN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6693-2023</t>
        </is>
      </c>
      <c r="B473" s="1" t="n">
        <v>44963</v>
      </c>
      <c r="C473" s="1" t="n">
        <v>46200</v>
      </c>
      <c r="D473" t="inlineStr">
        <is>
          <t>NORRBOTTENS LÄN</t>
        </is>
      </c>
      <c r="E473" t="inlineStr">
        <is>
          <t>BODEN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33981-2025</t>
        </is>
      </c>
      <c r="B474" s="1" t="n">
        <v>45843</v>
      </c>
      <c r="C474" s="1" t="n">
        <v>46200</v>
      </c>
      <c r="D474" t="inlineStr">
        <is>
          <t>NORRBOTTENS LÄN</t>
        </is>
      </c>
      <c r="E474" t="inlineStr">
        <is>
          <t>BODEN</t>
        </is>
      </c>
      <c r="F474" t="inlineStr">
        <is>
          <t>SCA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46183-2021</t>
        </is>
      </c>
      <c r="B475" s="1" t="n">
        <v>44441</v>
      </c>
      <c r="C475" s="1" t="n">
        <v>46200</v>
      </c>
      <c r="D475" t="inlineStr">
        <is>
          <t>NORRBOTTENS LÄN</t>
        </is>
      </c>
      <c r="E475" t="inlineStr">
        <is>
          <t>BODEN</t>
        </is>
      </c>
      <c r="G475" t="n">
        <v>13.6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31456-2024</t>
        </is>
      </c>
      <c r="B476" s="1" t="n">
        <v>45505</v>
      </c>
      <c r="C476" s="1" t="n">
        <v>46200</v>
      </c>
      <c r="D476" t="inlineStr">
        <is>
          <t>NORRBOTTENS LÄN</t>
        </is>
      </c>
      <c r="E476" t="inlineStr">
        <is>
          <t>BODEN</t>
        </is>
      </c>
      <c r="F476" t="inlineStr">
        <is>
          <t>SCA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61750-2024</t>
        </is>
      </c>
      <c r="B477" s="1" t="n">
        <v>45649</v>
      </c>
      <c r="C477" s="1" t="n">
        <v>46200</v>
      </c>
      <c r="D477" t="inlineStr">
        <is>
          <t>NORRBOTTENS LÄN</t>
        </is>
      </c>
      <c r="E477" t="inlineStr">
        <is>
          <t>BODEN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61756-2024</t>
        </is>
      </c>
      <c r="B478" s="1" t="n">
        <v>45649</v>
      </c>
      <c r="C478" s="1" t="n">
        <v>46200</v>
      </c>
      <c r="D478" t="inlineStr">
        <is>
          <t>NORRBOTTENS LÄN</t>
        </is>
      </c>
      <c r="E478" t="inlineStr">
        <is>
          <t>BODEN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9969-2023</t>
        </is>
      </c>
      <c r="B479" s="1" t="n">
        <v>44979</v>
      </c>
      <c r="C479" s="1" t="n">
        <v>46200</v>
      </c>
      <c r="D479" t="inlineStr">
        <is>
          <t>NORRBOTTENS LÄN</t>
        </is>
      </c>
      <c r="E479" t="inlineStr">
        <is>
          <t>BODEN</t>
        </is>
      </c>
      <c r="F479" t="inlineStr">
        <is>
          <t>Övriga statliga verk och myndigheter</t>
        </is>
      </c>
      <c r="G479" t="n">
        <v>18.8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47922-2024</t>
        </is>
      </c>
      <c r="B480" s="1" t="n">
        <v>45589</v>
      </c>
      <c r="C480" s="1" t="n">
        <v>46200</v>
      </c>
      <c r="D480" t="inlineStr">
        <is>
          <t>NORRBOTTENS LÄN</t>
        </is>
      </c>
      <c r="E480" t="inlineStr">
        <is>
          <t>BODEN</t>
        </is>
      </c>
      <c r="F480" t="inlineStr">
        <is>
          <t>Naturvårdsverket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47924-2024</t>
        </is>
      </c>
      <c r="B481" s="1" t="n">
        <v>45589</v>
      </c>
      <c r="C481" s="1" t="n">
        <v>46200</v>
      </c>
      <c r="D481" t="inlineStr">
        <is>
          <t>NORRBOTTENS LÄN</t>
        </is>
      </c>
      <c r="E481" t="inlineStr">
        <is>
          <t>BODEN</t>
        </is>
      </c>
      <c r="F481" t="inlineStr">
        <is>
          <t>SCA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32511-2021</t>
        </is>
      </c>
      <c r="B482" s="1" t="n">
        <v>44374</v>
      </c>
      <c r="C482" s="1" t="n">
        <v>46200</v>
      </c>
      <c r="D482" t="inlineStr">
        <is>
          <t>NORRBOTTENS LÄN</t>
        </is>
      </c>
      <c r="E482" t="inlineStr">
        <is>
          <t>BODEN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26806-2024</t>
        </is>
      </c>
      <c r="B483" s="1" t="n">
        <v>45470</v>
      </c>
      <c r="C483" s="1" t="n">
        <v>46200</v>
      </c>
      <c r="D483" t="inlineStr">
        <is>
          <t>NORRBOTTENS LÄN</t>
        </is>
      </c>
      <c r="E483" t="inlineStr">
        <is>
          <t>BODEN</t>
        </is>
      </c>
      <c r="F483" t="inlineStr">
        <is>
          <t>Övriga Aktiebolag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49113-2023</t>
        </is>
      </c>
      <c r="B484" s="1" t="n">
        <v>45204</v>
      </c>
      <c r="C484" s="1" t="n">
        <v>46200</v>
      </c>
      <c r="D484" t="inlineStr">
        <is>
          <t>NORRBOTTENS LÄN</t>
        </is>
      </c>
      <c r="E484" t="inlineStr">
        <is>
          <t>BODEN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61941-2024</t>
        </is>
      </c>
      <c r="B485" s="1" t="n">
        <v>45653</v>
      </c>
      <c r="C485" s="1" t="n">
        <v>46200</v>
      </c>
      <c r="D485" t="inlineStr">
        <is>
          <t>NORRBOTTENS LÄN</t>
        </is>
      </c>
      <c r="E485" t="inlineStr">
        <is>
          <t>BODEN</t>
        </is>
      </c>
      <c r="G485" t="n">
        <v>17.6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4630-2025</t>
        </is>
      </c>
      <c r="B486" s="1" t="n">
        <v>45687</v>
      </c>
      <c r="C486" s="1" t="n">
        <v>46200</v>
      </c>
      <c r="D486" t="inlineStr">
        <is>
          <t>NORRBOTTENS LÄN</t>
        </is>
      </c>
      <c r="E486" t="inlineStr">
        <is>
          <t>BODEN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24744-2024</t>
        </is>
      </c>
      <c r="B487" s="1" t="n">
        <v>45460</v>
      </c>
      <c r="C487" s="1" t="n">
        <v>46200</v>
      </c>
      <c r="D487" t="inlineStr">
        <is>
          <t>NORRBOTTENS LÄN</t>
        </is>
      </c>
      <c r="E487" t="inlineStr">
        <is>
          <t>BODEN</t>
        </is>
      </c>
      <c r="F487" t="inlineStr">
        <is>
          <t>Övriga Aktiebolag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51280-2024</t>
        </is>
      </c>
      <c r="B488" s="1" t="n">
        <v>45603</v>
      </c>
      <c r="C488" s="1" t="n">
        <v>46200</v>
      </c>
      <c r="D488" t="inlineStr">
        <is>
          <t>NORRBOTTENS LÄN</t>
        </is>
      </c>
      <c r="E488" t="inlineStr">
        <is>
          <t>BODEN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35561-2025</t>
        </is>
      </c>
      <c r="B489" s="1" t="n">
        <v>45856</v>
      </c>
      <c r="C489" s="1" t="n">
        <v>46200</v>
      </c>
      <c r="D489" t="inlineStr">
        <is>
          <t>NORRBOTTENS LÄN</t>
        </is>
      </c>
      <c r="E489" t="inlineStr">
        <is>
          <t>BODEN</t>
        </is>
      </c>
      <c r="F489" t="inlineStr">
        <is>
          <t>SCA</t>
        </is>
      </c>
      <c r="G489" t="n">
        <v>10.8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24058-2025</t>
        </is>
      </c>
      <c r="B490" s="1" t="n">
        <v>45796</v>
      </c>
      <c r="C490" s="1" t="n">
        <v>46200</v>
      </c>
      <c r="D490" t="inlineStr">
        <is>
          <t>NORRBOTTENS LÄN</t>
        </is>
      </c>
      <c r="E490" t="inlineStr">
        <is>
          <t>BODEN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2601-2025</t>
        </is>
      </c>
      <c r="B491" s="1" t="n">
        <v>45674</v>
      </c>
      <c r="C491" s="1" t="n">
        <v>46200</v>
      </c>
      <c r="D491" t="inlineStr">
        <is>
          <t>NORRBOTTENS LÄN</t>
        </is>
      </c>
      <c r="E491" t="inlineStr">
        <is>
          <t>BODEN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68591-2021</t>
        </is>
      </c>
      <c r="B492" s="1" t="n">
        <v>44529</v>
      </c>
      <c r="C492" s="1" t="n">
        <v>46200</v>
      </c>
      <c r="D492" t="inlineStr">
        <is>
          <t>NORRBOTTENS LÄN</t>
        </is>
      </c>
      <c r="E492" t="inlineStr">
        <is>
          <t>BODEN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49728-2024</t>
        </is>
      </c>
      <c r="B493" s="1" t="n">
        <v>45596</v>
      </c>
      <c r="C493" s="1" t="n">
        <v>46200</v>
      </c>
      <c r="D493" t="inlineStr">
        <is>
          <t>NORRBOTTENS LÄN</t>
        </is>
      </c>
      <c r="E493" t="inlineStr">
        <is>
          <t>BODEN</t>
        </is>
      </c>
      <c r="G493" t="n">
        <v>22.7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44567-2024</t>
        </is>
      </c>
      <c r="B494" s="1" t="n">
        <v>45574</v>
      </c>
      <c r="C494" s="1" t="n">
        <v>46200</v>
      </c>
      <c r="D494" t="inlineStr">
        <is>
          <t>NORRBOTTENS LÄN</t>
        </is>
      </c>
      <c r="E494" t="inlineStr">
        <is>
          <t>BODEN</t>
        </is>
      </c>
      <c r="F494" t="inlineStr">
        <is>
          <t>SCA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36006-2025</t>
        </is>
      </c>
      <c r="B495" s="1" t="n">
        <v>45863</v>
      </c>
      <c r="C495" s="1" t="n">
        <v>46200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36019-2025</t>
        </is>
      </c>
      <c r="B496" s="1" t="n">
        <v>45863</v>
      </c>
      <c r="C496" s="1" t="n">
        <v>46200</v>
      </c>
      <c r="D496" t="inlineStr">
        <is>
          <t>NORRBOTTENS LÄN</t>
        </is>
      </c>
      <c r="E496" t="inlineStr">
        <is>
          <t>BODEN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8028-2024</t>
        </is>
      </c>
      <c r="B497" s="1" t="n">
        <v>45350</v>
      </c>
      <c r="C497" s="1" t="n">
        <v>46200</v>
      </c>
      <c r="D497" t="inlineStr">
        <is>
          <t>NORRBOTTENS LÄN</t>
        </is>
      </c>
      <c r="E497" t="inlineStr">
        <is>
          <t>BODEN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1023-2023</t>
        </is>
      </c>
      <c r="B498" s="1" t="n">
        <v>44935</v>
      </c>
      <c r="C498" s="1" t="n">
        <v>46200</v>
      </c>
      <c r="D498" t="inlineStr">
        <is>
          <t>NORRBOTTENS LÄN</t>
        </is>
      </c>
      <c r="E498" t="inlineStr">
        <is>
          <t>BODEN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38584-2025</t>
        </is>
      </c>
      <c r="B499" s="1" t="n">
        <v>45884</v>
      </c>
      <c r="C499" s="1" t="n">
        <v>46200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25627-2022</t>
        </is>
      </c>
      <c r="B500" s="1" t="n">
        <v>44732</v>
      </c>
      <c r="C500" s="1" t="n">
        <v>46200</v>
      </c>
      <c r="D500" t="inlineStr">
        <is>
          <t>NORRBOTTENS LÄN</t>
        </is>
      </c>
      <c r="E500" t="inlineStr">
        <is>
          <t>BODEN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24193-2024</t>
        </is>
      </c>
      <c r="B501" s="1" t="n">
        <v>45456</v>
      </c>
      <c r="C501" s="1" t="n">
        <v>46200</v>
      </c>
      <c r="D501" t="inlineStr">
        <is>
          <t>NORRBOTTENS LÄN</t>
        </is>
      </c>
      <c r="E501" t="inlineStr">
        <is>
          <t>BODEN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6396-2024</t>
        </is>
      </c>
      <c r="B502" s="1" t="n">
        <v>45338</v>
      </c>
      <c r="C502" s="1" t="n">
        <v>46200</v>
      </c>
      <c r="D502" t="inlineStr">
        <is>
          <t>NORRBOTTENS LÄN</t>
        </is>
      </c>
      <c r="E502" t="inlineStr">
        <is>
          <t>BODEN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2732-2025</t>
        </is>
      </c>
      <c r="B503" s="1" t="n">
        <v>45677</v>
      </c>
      <c r="C503" s="1" t="n">
        <v>46200</v>
      </c>
      <c r="D503" t="inlineStr">
        <is>
          <t>NORRBOTTENS LÄN</t>
        </is>
      </c>
      <c r="E503" t="inlineStr">
        <is>
          <t>BODEN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23232-2024</t>
        </is>
      </c>
      <c r="B504" s="1" t="n">
        <v>45453</v>
      </c>
      <c r="C504" s="1" t="n">
        <v>46200</v>
      </c>
      <c r="D504" t="inlineStr">
        <is>
          <t>NORRBOTTENS LÄN</t>
        </is>
      </c>
      <c r="E504" t="inlineStr">
        <is>
          <t>BODEN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10730-2024</t>
        </is>
      </c>
      <c r="B505" s="1" t="n">
        <v>45369</v>
      </c>
      <c r="C505" s="1" t="n">
        <v>46200</v>
      </c>
      <c r="D505" t="inlineStr">
        <is>
          <t>NORRBOTTENS LÄN</t>
        </is>
      </c>
      <c r="E505" t="inlineStr">
        <is>
          <t>BODEN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61588-2024</t>
        </is>
      </c>
      <c r="B506" s="1" t="n">
        <v>45646</v>
      </c>
      <c r="C506" s="1" t="n">
        <v>46200</v>
      </c>
      <c r="D506" t="inlineStr">
        <is>
          <t>NORRBOTTENS LÄN</t>
        </is>
      </c>
      <c r="E506" t="inlineStr">
        <is>
          <t>BODEN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61107-2022</t>
        </is>
      </c>
      <c r="B507" s="1" t="n">
        <v>44908</v>
      </c>
      <c r="C507" s="1" t="n">
        <v>46200</v>
      </c>
      <c r="D507" t="inlineStr">
        <is>
          <t>NORRBOTTENS LÄN</t>
        </is>
      </c>
      <c r="E507" t="inlineStr">
        <is>
          <t>BODEN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32582-2025</t>
        </is>
      </c>
      <c r="B508" s="1" t="n">
        <v>45838</v>
      </c>
      <c r="C508" s="1" t="n">
        <v>46200</v>
      </c>
      <c r="D508" t="inlineStr">
        <is>
          <t>NORRBOTTENS LÄN</t>
        </is>
      </c>
      <c r="E508" t="inlineStr">
        <is>
          <t>BODEN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28758-2024</t>
        </is>
      </c>
      <c r="B509" s="1" t="n">
        <v>45478</v>
      </c>
      <c r="C509" s="1" t="n">
        <v>46200</v>
      </c>
      <c r="D509" t="inlineStr">
        <is>
          <t>NORRBOTTENS LÄN</t>
        </is>
      </c>
      <c r="E509" t="inlineStr">
        <is>
          <t>BODEN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50327-2023</t>
        </is>
      </c>
      <c r="B510" s="1" t="n">
        <v>45216</v>
      </c>
      <c r="C510" s="1" t="n">
        <v>46200</v>
      </c>
      <c r="D510" t="inlineStr">
        <is>
          <t>NORRBOTTENS LÄN</t>
        </is>
      </c>
      <c r="E510" t="inlineStr">
        <is>
          <t>BODEN</t>
        </is>
      </c>
      <c r="F510" t="inlineStr">
        <is>
          <t>Sveaskog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24400-2022</t>
        </is>
      </c>
      <c r="B511" s="1" t="n">
        <v>44726</v>
      </c>
      <c r="C511" s="1" t="n">
        <v>46200</v>
      </c>
      <c r="D511" t="inlineStr">
        <is>
          <t>NORRBOTTENS LÄN</t>
        </is>
      </c>
      <c r="E511" t="inlineStr">
        <is>
          <t>BODEN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37212-2025</t>
        </is>
      </c>
      <c r="B512" s="1" t="n">
        <v>45875</v>
      </c>
      <c r="C512" s="1" t="n">
        <v>46200</v>
      </c>
      <c r="D512" t="inlineStr">
        <is>
          <t>NORRBOTTENS LÄN</t>
        </is>
      </c>
      <c r="E512" t="inlineStr">
        <is>
          <t>BODEN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706-2022</t>
        </is>
      </c>
      <c r="B513" s="1" t="n">
        <v>44566</v>
      </c>
      <c r="C513" s="1" t="n">
        <v>46200</v>
      </c>
      <c r="D513" t="inlineStr">
        <is>
          <t>NORRBOTTENS LÄN</t>
        </is>
      </c>
      <c r="E513" t="inlineStr">
        <is>
          <t>BODEN</t>
        </is>
      </c>
      <c r="G513" t="n">
        <v>12.4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36310-2025</t>
        </is>
      </c>
      <c r="B514" s="1" t="n">
        <v>45868</v>
      </c>
      <c r="C514" s="1" t="n">
        <v>46200</v>
      </c>
      <c r="D514" t="inlineStr">
        <is>
          <t>NORRBOTTENS LÄN</t>
        </is>
      </c>
      <c r="E514" t="inlineStr">
        <is>
          <t>BODEN</t>
        </is>
      </c>
      <c r="F514" t="inlineStr">
        <is>
          <t>SCA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22447-2024</t>
        </is>
      </c>
      <c r="B515" s="1" t="n">
        <v>45446</v>
      </c>
      <c r="C515" s="1" t="n">
        <v>46200</v>
      </c>
      <c r="D515" t="inlineStr">
        <is>
          <t>NORRBOTTENS LÄN</t>
        </is>
      </c>
      <c r="E515" t="inlineStr">
        <is>
          <t>BODEN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13925-2024</t>
        </is>
      </c>
      <c r="B516" s="1" t="n">
        <v>45391</v>
      </c>
      <c r="C516" s="1" t="n">
        <v>46200</v>
      </c>
      <c r="D516" t="inlineStr">
        <is>
          <t>NORRBOTTENS LÄN</t>
        </is>
      </c>
      <c r="E516" t="inlineStr">
        <is>
          <t>BODEN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36926-2025</t>
        </is>
      </c>
      <c r="B517" s="1" t="n">
        <v>45874</v>
      </c>
      <c r="C517" s="1" t="n">
        <v>46200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61771-2024</t>
        </is>
      </c>
      <c r="B518" s="1" t="n">
        <v>45649</v>
      </c>
      <c r="C518" s="1" t="n">
        <v>46200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37404-2025</t>
        </is>
      </c>
      <c r="B519" s="1" t="n">
        <v>45877</v>
      </c>
      <c r="C519" s="1" t="n">
        <v>46200</v>
      </c>
      <c r="D519" t="inlineStr">
        <is>
          <t>NORRBOTTENS LÄN</t>
        </is>
      </c>
      <c r="E519" t="inlineStr">
        <is>
          <t>BODEN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45035-2022</t>
        </is>
      </c>
      <c r="B520" s="1" t="n">
        <v>44841</v>
      </c>
      <c r="C520" s="1" t="n">
        <v>46200</v>
      </c>
      <c r="D520" t="inlineStr">
        <is>
          <t>NORRBOTTENS LÄN</t>
        </is>
      </c>
      <c r="E520" t="inlineStr">
        <is>
          <t>BODEN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37653-2025</t>
        </is>
      </c>
      <c r="B521" s="1" t="n">
        <v>45880</v>
      </c>
      <c r="C521" s="1" t="n">
        <v>46200</v>
      </c>
      <c r="D521" t="inlineStr">
        <is>
          <t>NORRBOTTENS LÄN</t>
        </is>
      </c>
      <c r="E521" t="inlineStr">
        <is>
          <t>BODEN</t>
        </is>
      </c>
      <c r="F521" t="inlineStr">
        <is>
          <t>SCA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21128-2025</t>
        </is>
      </c>
      <c r="B522" s="1" t="n">
        <v>45778</v>
      </c>
      <c r="C522" s="1" t="n">
        <v>46200</v>
      </c>
      <c r="D522" t="inlineStr">
        <is>
          <t>NORRBOTTENS LÄN</t>
        </is>
      </c>
      <c r="E522" t="inlineStr">
        <is>
          <t>BODEN</t>
        </is>
      </c>
      <c r="F522" t="inlineStr">
        <is>
          <t>SCA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37854-2025</t>
        </is>
      </c>
      <c r="B523" s="1" t="n">
        <v>45881</v>
      </c>
      <c r="C523" s="1" t="n">
        <v>46200</v>
      </c>
      <c r="D523" t="inlineStr">
        <is>
          <t>NORRBOTTENS LÄN</t>
        </is>
      </c>
      <c r="E523" t="inlineStr">
        <is>
          <t>BODEN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8873-2024</t>
        </is>
      </c>
      <c r="B524" s="1" t="n">
        <v>45356</v>
      </c>
      <c r="C524" s="1" t="n">
        <v>46200</v>
      </c>
      <c r="D524" t="inlineStr">
        <is>
          <t>NORRBOTTENS LÄN</t>
        </is>
      </c>
      <c r="E524" t="inlineStr">
        <is>
          <t>BODEN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21349-2025</t>
        </is>
      </c>
      <c r="B525" s="1" t="n">
        <v>45782</v>
      </c>
      <c r="C525" s="1" t="n">
        <v>46200</v>
      </c>
      <c r="D525" t="inlineStr">
        <is>
          <t>NORRBOTTENS LÄN</t>
        </is>
      </c>
      <c r="E525" t="inlineStr">
        <is>
          <t>BODEN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38286-2025</t>
        </is>
      </c>
      <c r="B526" s="1" t="n">
        <v>45882</v>
      </c>
      <c r="C526" s="1" t="n">
        <v>46200</v>
      </c>
      <c r="D526" t="inlineStr">
        <is>
          <t>NORRBOTTENS LÄN</t>
        </is>
      </c>
      <c r="E526" t="inlineStr">
        <is>
          <t>BODEN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38288-2025</t>
        </is>
      </c>
      <c r="B527" s="1" t="n">
        <v>45882</v>
      </c>
      <c r="C527" s="1" t="n">
        <v>46200</v>
      </c>
      <c r="D527" t="inlineStr">
        <is>
          <t>NORRBOTTENS LÄN</t>
        </is>
      </c>
      <c r="E527" t="inlineStr">
        <is>
          <t>BODEN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60466-2024</t>
        </is>
      </c>
      <c r="B528" s="1" t="n">
        <v>45643</v>
      </c>
      <c r="C528" s="1" t="n">
        <v>46200</v>
      </c>
      <c r="D528" t="inlineStr">
        <is>
          <t>NORRBOTTENS LÄN</t>
        </is>
      </c>
      <c r="E528" t="inlineStr">
        <is>
          <t>BODEN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38583-2025</t>
        </is>
      </c>
      <c r="B529" s="1" t="n">
        <v>45884</v>
      </c>
      <c r="C529" s="1" t="n">
        <v>46200</v>
      </c>
      <c r="D529" t="inlineStr">
        <is>
          <t>NORRBOTTENS LÄN</t>
        </is>
      </c>
      <c r="E529" t="inlineStr">
        <is>
          <t>BODEN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18900-2025</t>
        </is>
      </c>
      <c r="B530" s="1" t="n">
        <v>45764</v>
      </c>
      <c r="C530" s="1" t="n">
        <v>46200</v>
      </c>
      <c r="D530" t="inlineStr">
        <is>
          <t>NORRBOTTENS LÄN</t>
        </is>
      </c>
      <c r="E530" t="inlineStr">
        <is>
          <t>BODEN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48091-2025</t>
        </is>
      </c>
      <c r="B531" s="1" t="n">
        <v>45933</v>
      </c>
      <c r="C531" s="1" t="n">
        <v>46200</v>
      </c>
      <c r="D531" t="inlineStr">
        <is>
          <t>NORRBOTTENS LÄN</t>
        </is>
      </c>
      <c r="E531" t="inlineStr">
        <is>
          <t>BODEN</t>
        </is>
      </c>
      <c r="F531" t="inlineStr">
        <is>
          <t>Sveaskog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42653-2025</t>
        </is>
      </c>
      <c r="B532" s="1" t="n">
        <v>45906</v>
      </c>
      <c r="C532" s="1" t="n">
        <v>46200</v>
      </c>
      <c r="D532" t="inlineStr">
        <is>
          <t>NORRBOTTENS LÄN</t>
        </is>
      </c>
      <c r="E532" t="inlineStr">
        <is>
          <t>BODEN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47935-2025</t>
        </is>
      </c>
      <c r="B533" s="1" t="n">
        <v>45932</v>
      </c>
      <c r="C533" s="1" t="n">
        <v>46200</v>
      </c>
      <c r="D533" t="inlineStr">
        <is>
          <t>NORRBOTTENS LÄN</t>
        </is>
      </c>
      <c r="E533" t="inlineStr">
        <is>
          <t>BODEN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45115-2021</t>
        </is>
      </c>
      <c r="B534" s="1" t="n">
        <v>44438</v>
      </c>
      <c r="C534" s="1" t="n">
        <v>46200</v>
      </c>
      <c r="D534" t="inlineStr">
        <is>
          <t>NORRBOTTENS LÄN</t>
        </is>
      </c>
      <c r="E534" t="inlineStr">
        <is>
          <t>BODEN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48172-2025</t>
        </is>
      </c>
      <c r="B535" s="1" t="n">
        <v>45933</v>
      </c>
      <c r="C535" s="1" t="n">
        <v>46200</v>
      </c>
      <c r="D535" t="inlineStr">
        <is>
          <t>NORRBOTTENS LÄN</t>
        </is>
      </c>
      <c r="E535" t="inlineStr">
        <is>
          <t>BODEN</t>
        </is>
      </c>
      <c r="F535" t="inlineStr">
        <is>
          <t>Sveaskog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48173-2025</t>
        </is>
      </c>
      <c r="B536" s="1" t="n">
        <v>45933</v>
      </c>
      <c r="C536" s="1" t="n">
        <v>46200</v>
      </c>
      <c r="D536" t="inlineStr">
        <is>
          <t>NORRBOTTENS LÄN</t>
        </is>
      </c>
      <c r="E536" t="inlineStr">
        <is>
          <t>BODEN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48549-2025</t>
        </is>
      </c>
      <c r="B537" s="1" t="n">
        <v>45936</v>
      </c>
      <c r="C537" s="1" t="n">
        <v>46200</v>
      </c>
      <c r="D537" t="inlineStr">
        <is>
          <t>NORRBOTTENS LÄN</t>
        </is>
      </c>
      <c r="E537" t="inlineStr">
        <is>
          <t>BODEN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48551-2025</t>
        </is>
      </c>
      <c r="B538" s="1" t="n">
        <v>45936</v>
      </c>
      <c r="C538" s="1" t="n">
        <v>46200</v>
      </c>
      <c r="D538" t="inlineStr">
        <is>
          <t>NORRBOTTENS LÄN</t>
        </is>
      </c>
      <c r="E538" t="inlineStr">
        <is>
          <t>BODEN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49357-2025</t>
        </is>
      </c>
      <c r="B539" s="1" t="n">
        <v>45938</v>
      </c>
      <c r="C539" s="1" t="n">
        <v>46200</v>
      </c>
      <c r="D539" t="inlineStr">
        <is>
          <t>NORRBOTTENS LÄN</t>
        </is>
      </c>
      <c r="E539" t="inlineStr">
        <is>
          <t>BODEN</t>
        </is>
      </c>
      <c r="F539" t="inlineStr">
        <is>
          <t>SCA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48805-2025</t>
        </is>
      </c>
      <c r="B540" s="1" t="n">
        <v>45937</v>
      </c>
      <c r="C540" s="1" t="n">
        <v>46200</v>
      </c>
      <c r="D540" t="inlineStr">
        <is>
          <t>NORRBOTTENS LÄN</t>
        </is>
      </c>
      <c r="E540" t="inlineStr">
        <is>
          <t>BODEN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26022-2022</t>
        </is>
      </c>
      <c r="B541" s="1" t="n">
        <v>44734</v>
      </c>
      <c r="C541" s="1" t="n">
        <v>46200</v>
      </c>
      <c r="D541" t="inlineStr">
        <is>
          <t>NORRBOTTENS LÄN</t>
        </is>
      </c>
      <c r="E541" t="inlineStr">
        <is>
          <t>BODEN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61969-2024</t>
        </is>
      </c>
      <c r="B542" s="1" t="n">
        <v>45653</v>
      </c>
      <c r="C542" s="1" t="n">
        <v>46200</v>
      </c>
      <c r="D542" t="inlineStr">
        <is>
          <t>NORRBOTTENS LÄN</t>
        </is>
      </c>
      <c r="E542" t="inlineStr">
        <is>
          <t>BODEN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18915-2025</t>
        </is>
      </c>
      <c r="B543" s="1" t="n">
        <v>45764</v>
      </c>
      <c r="C543" s="1" t="n">
        <v>46200</v>
      </c>
      <c r="D543" t="inlineStr">
        <is>
          <t>NORRBOTTENS LÄN</t>
        </is>
      </c>
      <c r="E543" t="inlineStr">
        <is>
          <t>BODEN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19584-2025</t>
        </is>
      </c>
      <c r="B544" s="1" t="n">
        <v>45770</v>
      </c>
      <c r="C544" s="1" t="n">
        <v>46200</v>
      </c>
      <c r="D544" t="inlineStr">
        <is>
          <t>NORRBOTTENS LÄN</t>
        </is>
      </c>
      <c r="E544" t="inlineStr">
        <is>
          <t>BODEN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49215-2025</t>
        </is>
      </c>
      <c r="B545" s="1" t="n">
        <v>45938</v>
      </c>
      <c r="C545" s="1" t="n">
        <v>46200</v>
      </c>
      <c r="D545" t="inlineStr">
        <is>
          <t>NORRBOTTENS LÄN</t>
        </is>
      </c>
      <c r="E545" t="inlineStr">
        <is>
          <t>BODEN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37866-2024</t>
        </is>
      </c>
      <c r="B546" s="1" t="n">
        <v>45544</v>
      </c>
      <c r="C546" s="1" t="n">
        <v>46200</v>
      </c>
      <c r="D546" t="inlineStr">
        <is>
          <t>NORRBOTTENS LÄN</t>
        </is>
      </c>
      <c r="E546" t="inlineStr">
        <is>
          <t>BODEN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61770-2024</t>
        </is>
      </c>
      <c r="B547" s="1" t="n">
        <v>45649</v>
      </c>
      <c r="C547" s="1" t="n">
        <v>46200</v>
      </c>
      <c r="D547" t="inlineStr">
        <is>
          <t>NORRBOTTENS LÄN</t>
        </is>
      </c>
      <c r="E547" t="inlineStr">
        <is>
          <t>BODEN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49379-2025</t>
        </is>
      </c>
      <c r="B548" s="1" t="n">
        <v>45938</v>
      </c>
      <c r="C548" s="1" t="n">
        <v>46200</v>
      </c>
      <c r="D548" t="inlineStr">
        <is>
          <t>NORRBOTTENS LÄN</t>
        </is>
      </c>
      <c r="E548" t="inlineStr">
        <is>
          <t>BODEN</t>
        </is>
      </c>
      <c r="F548" t="inlineStr">
        <is>
          <t>SCA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49588-2025</t>
        </is>
      </c>
      <c r="B549" s="1" t="n">
        <v>45939</v>
      </c>
      <c r="C549" s="1" t="n">
        <v>46200</v>
      </c>
      <c r="D549" t="inlineStr">
        <is>
          <t>NORRBOTTENS LÄN</t>
        </is>
      </c>
      <c r="E549" t="inlineStr">
        <is>
          <t>BODEN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50147-2025</t>
        </is>
      </c>
      <c r="B550" s="1" t="n">
        <v>45943</v>
      </c>
      <c r="C550" s="1" t="n">
        <v>46200</v>
      </c>
      <c r="D550" t="inlineStr">
        <is>
          <t>NORRBOTTENS LÄN</t>
        </is>
      </c>
      <c r="E550" t="inlineStr">
        <is>
          <t>BODEN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39717-2025</t>
        </is>
      </c>
      <c r="B551" s="1" t="n">
        <v>45891</v>
      </c>
      <c r="C551" s="1" t="n">
        <v>46200</v>
      </c>
      <c r="D551" t="inlineStr">
        <is>
          <t>NORRBOTTENS LÄN</t>
        </is>
      </c>
      <c r="E551" t="inlineStr">
        <is>
          <t>BODEN</t>
        </is>
      </c>
      <c r="G551" t="n">
        <v>13.9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39741-2025</t>
        </is>
      </c>
      <c r="B552" s="1" t="n">
        <v>45891</v>
      </c>
      <c r="C552" s="1" t="n">
        <v>46200</v>
      </c>
      <c r="D552" t="inlineStr">
        <is>
          <t>NORRBOTTENS LÄN</t>
        </is>
      </c>
      <c r="E552" t="inlineStr">
        <is>
          <t>BODEN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49870-2025</t>
        </is>
      </c>
      <c r="B553" s="1" t="n">
        <v>45940</v>
      </c>
      <c r="C553" s="1" t="n">
        <v>46200</v>
      </c>
      <c r="D553" t="inlineStr">
        <is>
          <t>NORRBOTTENS LÄN</t>
        </is>
      </c>
      <c r="E553" t="inlineStr">
        <is>
          <t>BODEN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40183-2025</t>
        </is>
      </c>
      <c r="B554" s="1" t="n">
        <v>45894</v>
      </c>
      <c r="C554" s="1" t="n">
        <v>46200</v>
      </c>
      <c r="D554" t="inlineStr">
        <is>
          <t>NORRBOTTENS LÄN</t>
        </is>
      </c>
      <c r="E554" t="inlineStr">
        <is>
          <t>BODEN</t>
        </is>
      </c>
      <c r="F554" t="inlineStr">
        <is>
          <t>Sveaskog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34760-2022</t>
        </is>
      </c>
      <c r="B555" s="1" t="n">
        <v>44795</v>
      </c>
      <c r="C555" s="1" t="n">
        <v>46200</v>
      </c>
      <c r="D555" t="inlineStr">
        <is>
          <t>NORRBOTTENS LÄN</t>
        </is>
      </c>
      <c r="E555" t="inlineStr">
        <is>
          <t>BODEN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50449-2025</t>
        </is>
      </c>
      <c r="B556" s="1" t="n">
        <v>45945</v>
      </c>
      <c r="C556" s="1" t="n">
        <v>46200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50479-2025</t>
        </is>
      </c>
      <c r="B557" s="1" t="n">
        <v>45945</v>
      </c>
      <c r="C557" s="1" t="n">
        <v>46200</v>
      </c>
      <c r="D557" t="inlineStr">
        <is>
          <t>NORRBOTTENS LÄN</t>
        </is>
      </c>
      <c r="E557" t="inlineStr">
        <is>
          <t>BODEN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40023-2025</t>
        </is>
      </c>
      <c r="B558" s="1" t="n">
        <v>45894</v>
      </c>
      <c r="C558" s="1" t="n">
        <v>46200</v>
      </c>
      <c r="D558" t="inlineStr">
        <is>
          <t>NORRBOTTENS LÄN</t>
        </is>
      </c>
      <c r="E558" t="inlineStr">
        <is>
          <t>BODEN</t>
        </is>
      </c>
      <c r="F558" t="inlineStr">
        <is>
          <t>SCA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50387-2025</t>
        </is>
      </c>
      <c r="B559" s="1" t="n">
        <v>45944</v>
      </c>
      <c r="C559" s="1" t="n">
        <v>46200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50419-2025</t>
        </is>
      </c>
      <c r="B560" s="1" t="n">
        <v>45944</v>
      </c>
      <c r="C560" s="1" t="n">
        <v>46200</v>
      </c>
      <c r="D560" t="inlineStr">
        <is>
          <t>NORRBOTTENS LÄN</t>
        </is>
      </c>
      <c r="E560" t="inlineStr">
        <is>
          <t>BODEN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39975-2025</t>
        </is>
      </c>
      <c r="B561" s="1" t="n">
        <v>45893</v>
      </c>
      <c r="C561" s="1" t="n">
        <v>46200</v>
      </c>
      <c r="D561" t="inlineStr">
        <is>
          <t>NORRBOTTENS LÄN</t>
        </is>
      </c>
      <c r="E561" t="inlineStr">
        <is>
          <t>BODEN</t>
        </is>
      </c>
      <c r="F561" t="inlineStr">
        <is>
          <t>SCA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50390-2025</t>
        </is>
      </c>
      <c r="B562" s="1" t="n">
        <v>45944</v>
      </c>
      <c r="C562" s="1" t="n">
        <v>46200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18910-2025</t>
        </is>
      </c>
      <c r="B563" s="1" t="n">
        <v>45764</v>
      </c>
      <c r="C563" s="1" t="n">
        <v>46200</v>
      </c>
      <c r="D563" t="inlineStr">
        <is>
          <t>NORRBOTTENS LÄN</t>
        </is>
      </c>
      <c r="E563" t="inlineStr">
        <is>
          <t>BODEN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50410-2025</t>
        </is>
      </c>
      <c r="B564" s="1" t="n">
        <v>45944</v>
      </c>
      <c r="C564" s="1" t="n">
        <v>46200</v>
      </c>
      <c r="D564" t="inlineStr">
        <is>
          <t>NORRBOTTENS LÄN</t>
        </is>
      </c>
      <c r="E564" t="inlineStr">
        <is>
          <t>BODEN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50471-2025</t>
        </is>
      </c>
      <c r="B565" s="1" t="n">
        <v>45945</v>
      </c>
      <c r="C565" s="1" t="n">
        <v>46200</v>
      </c>
      <c r="D565" t="inlineStr">
        <is>
          <t>NORRBOTTENS LÄN</t>
        </is>
      </c>
      <c r="E565" t="inlineStr">
        <is>
          <t>BODEN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40117-2025</t>
        </is>
      </c>
      <c r="B566" s="1" t="n">
        <v>45894</v>
      </c>
      <c r="C566" s="1" t="n">
        <v>46200</v>
      </c>
      <c r="D566" t="inlineStr">
        <is>
          <t>NORRBOTTENS LÄN</t>
        </is>
      </c>
      <c r="E566" t="inlineStr">
        <is>
          <t>BODEN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50361-2025</t>
        </is>
      </c>
      <c r="B567" s="1" t="n">
        <v>45944</v>
      </c>
      <c r="C567" s="1" t="n">
        <v>46200</v>
      </c>
      <c r="D567" t="inlineStr">
        <is>
          <t>NORRBOTTENS LÄN</t>
        </is>
      </c>
      <c r="E567" t="inlineStr">
        <is>
          <t>BODEN</t>
        </is>
      </c>
      <c r="F567" t="inlineStr">
        <is>
          <t>Sveaskog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40816-2025</t>
        </is>
      </c>
      <c r="B568" s="1" t="n">
        <v>45897</v>
      </c>
      <c r="C568" s="1" t="n">
        <v>46200</v>
      </c>
      <c r="D568" t="inlineStr">
        <is>
          <t>NORRBOTTENS LÄN</t>
        </is>
      </c>
      <c r="E568" t="inlineStr">
        <is>
          <t>BODEN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40814-2025</t>
        </is>
      </c>
      <c r="B569" s="1" t="n">
        <v>45897</v>
      </c>
      <c r="C569" s="1" t="n">
        <v>46200</v>
      </c>
      <c r="D569" t="inlineStr">
        <is>
          <t>NORRBOTTENS LÄN</t>
        </is>
      </c>
      <c r="E569" t="inlineStr">
        <is>
          <t>BODEN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38874-2023</t>
        </is>
      </c>
      <c r="B570" s="1" t="n">
        <v>45161</v>
      </c>
      <c r="C570" s="1" t="n">
        <v>46200</v>
      </c>
      <c r="D570" t="inlineStr">
        <is>
          <t>NORRBOTTENS LÄN</t>
        </is>
      </c>
      <c r="E570" t="inlineStr">
        <is>
          <t>BODEN</t>
        </is>
      </c>
      <c r="G570" t="n">
        <v>15.5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36115-2023</t>
        </is>
      </c>
      <c r="B571" s="1" t="n">
        <v>45149</v>
      </c>
      <c r="C571" s="1" t="n">
        <v>46200</v>
      </c>
      <c r="D571" t="inlineStr">
        <is>
          <t>NORRBOTTENS LÄN</t>
        </is>
      </c>
      <c r="E571" t="inlineStr">
        <is>
          <t>BODEN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22372-2025</t>
        </is>
      </c>
      <c r="B572" s="1" t="n">
        <v>45786</v>
      </c>
      <c r="C572" s="1" t="n">
        <v>46200</v>
      </c>
      <c r="D572" t="inlineStr">
        <is>
          <t>NORRBOTTENS LÄN</t>
        </is>
      </c>
      <c r="E572" t="inlineStr">
        <is>
          <t>BODEN</t>
        </is>
      </c>
      <c r="F572" t="inlineStr">
        <is>
          <t>Kommuner</t>
        </is>
      </c>
      <c r="G572" t="n">
        <v>16.3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51061-2025</t>
        </is>
      </c>
      <c r="B573" s="1" t="n">
        <v>45947</v>
      </c>
      <c r="C573" s="1" t="n">
        <v>46200</v>
      </c>
      <c r="D573" t="inlineStr">
        <is>
          <t>NORRBOTTENS LÄN</t>
        </is>
      </c>
      <c r="E573" t="inlineStr">
        <is>
          <t>BODEN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50991-2025</t>
        </is>
      </c>
      <c r="B574" s="1" t="n">
        <v>45947</v>
      </c>
      <c r="C574" s="1" t="n">
        <v>46200</v>
      </c>
      <c r="D574" t="inlineStr">
        <is>
          <t>NORRBOTTENS LÄN</t>
        </is>
      </c>
      <c r="E574" t="inlineStr">
        <is>
          <t>BODEN</t>
        </is>
      </c>
      <c r="F574" t="inlineStr">
        <is>
          <t>SCA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41418-2025</t>
        </is>
      </c>
      <c r="B575" s="1" t="n">
        <v>45901</v>
      </c>
      <c r="C575" s="1" t="n">
        <v>46200</v>
      </c>
      <c r="D575" t="inlineStr">
        <is>
          <t>NORRBOTTENS LÄN</t>
        </is>
      </c>
      <c r="E575" t="inlineStr">
        <is>
          <t>BODEN</t>
        </is>
      </c>
      <c r="F575" t="inlineStr">
        <is>
          <t>Sveaskog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50434-2025</t>
        </is>
      </c>
      <c r="B576" s="1" t="n">
        <v>45944</v>
      </c>
      <c r="C576" s="1" t="n">
        <v>46200</v>
      </c>
      <c r="D576" t="inlineStr">
        <is>
          <t>NORRBOTTENS LÄN</t>
        </is>
      </c>
      <c r="E576" t="inlineStr">
        <is>
          <t>BODEN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51460-2025</t>
        </is>
      </c>
      <c r="B577" s="1" t="n">
        <v>45950</v>
      </c>
      <c r="C577" s="1" t="n">
        <v>46200</v>
      </c>
      <c r="D577" t="inlineStr">
        <is>
          <t>NORRBOTTENS LÄN</t>
        </is>
      </c>
      <c r="E577" t="inlineStr">
        <is>
          <t>BODEN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41601-2025</t>
        </is>
      </c>
      <c r="B578" s="1" t="n">
        <v>45901</v>
      </c>
      <c r="C578" s="1" t="n">
        <v>46200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59331-2021</t>
        </is>
      </c>
      <c r="B579" s="1" t="n">
        <v>44490</v>
      </c>
      <c r="C579" s="1" t="n">
        <v>46200</v>
      </c>
      <c r="D579" t="inlineStr">
        <is>
          <t>NORRBOTTENS LÄN</t>
        </is>
      </c>
      <c r="E579" t="inlineStr">
        <is>
          <t>BODEN</t>
        </is>
      </c>
      <c r="F579" t="inlineStr">
        <is>
          <t>SCA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52169-2025</t>
        </is>
      </c>
      <c r="B580" s="1" t="n">
        <v>45953</v>
      </c>
      <c r="C580" s="1" t="n">
        <v>46200</v>
      </c>
      <c r="D580" t="inlineStr">
        <is>
          <t>NORRBOTTENS LÄN</t>
        </is>
      </c>
      <c r="E580" t="inlineStr">
        <is>
          <t>BODEN</t>
        </is>
      </c>
      <c r="F580" t="inlineStr">
        <is>
          <t>SCA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41691-2025</t>
        </is>
      </c>
      <c r="B581" s="1" t="n">
        <v>45902</v>
      </c>
      <c r="C581" s="1" t="n">
        <v>46200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41943-2025</t>
        </is>
      </c>
      <c r="B582" s="1" t="n">
        <v>45903</v>
      </c>
      <c r="C582" s="1" t="n">
        <v>46200</v>
      </c>
      <c r="D582" t="inlineStr">
        <is>
          <t>NORRBOTTENS LÄN</t>
        </is>
      </c>
      <c r="E582" t="inlineStr">
        <is>
          <t>BODEN</t>
        </is>
      </c>
      <c r="F582" t="inlineStr">
        <is>
          <t>SCA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60337-2024</t>
        </is>
      </c>
      <c r="B583" s="1" t="n">
        <v>45643</v>
      </c>
      <c r="C583" s="1" t="n">
        <v>46200</v>
      </c>
      <c r="D583" t="inlineStr">
        <is>
          <t>NORRBOTTENS LÄN</t>
        </is>
      </c>
      <c r="E583" t="inlineStr">
        <is>
          <t>BODEN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52284-2025</t>
        </is>
      </c>
      <c r="B584" s="1" t="n">
        <v>45953</v>
      </c>
      <c r="C584" s="1" t="n">
        <v>46200</v>
      </c>
      <c r="D584" t="inlineStr">
        <is>
          <t>NORRBOTTENS LÄN</t>
        </is>
      </c>
      <c r="E584" t="inlineStr">
        <is>
          <t>BODEN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52166-2025</t>
        </is>
      </c>
      <c r="B585" s="1" t="n">
        <v>45953</v>
      </c>
      <c r="C585" s="1" t="n">
        <v>46200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52763-2025</t>
        </is>
      </c>
      <c r="B586" s="1" t="n">
        <v>45957</v>
      </c>
      <c r="C586" s="1" t="n">
        <v>46200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42436-2025</t>
        </is>
      </c>
      <c r="B587" s="1" t="n">
        <v>45905</v>
      </c>
      <c r="C587" s="1" t="n">
        <v>46200</v>
      </c>
      <c r="D587" t="inlineStr">
        <is>
          <t>NORRBOTTENS LÄN</t>
        </is>
      </c>
      <c r="E587" t="inlineStr">
        <is>
          <t>BODEN</t>
        </is>
      </c>
      <c r="F587" t="inlineStr">
        <is>
          <t>SCA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42654-2025</t>
        </is>
      </c>
      <c r="B588" s="1" t="n">
        <v>45906</v>
      </c>
      <c r="C588" s="1" t="n">
        <v>46200</v>
      </c>
      <c r="D588" t="inlineStr">
        <is>
          <t>NORRBOTTENS LÄN</t>
        </is>
      </c>
      <c r="E588" t="inlineStr">
        <is>
          <t>BODEN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51525-2025</t>
        </is>
      </c>
      <c r="B589" s="1" t="n">
        <v>45950</v>
      </c>
      <c r="C589" s="1" t="n">
        <v>46200</v>
      </c>
      <c r="D589" t="inlineStr">
        <is>
          <t>NORRBOTTENS LÄN</t>
        </is>
      </c>
      <c r="E589" t="inlineStr">
        <is>
          <t>BODEN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52645-2025</t>
        </is>
      </c>
      <c r="B590" s="1" t="n">
        <v>45955</v>
      </c>
      <c r="C590" s="1" t="n">
        <v>46200</v>
      </c>
      <c r="D590" t="inlineStr">
        <is>
          <t>NORRBOTTENS LÄN</t>
        </is>
      </c>
      <c r="E590" t="inlineStr">
        <is>
          <t>BODEN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52646-2025</t>
        </is>
      </c>
      <c r="B591" s="1" t="n">
        <v>45955</v>
      </c>
      <c r="C591" s="1" t="n">
        <v>46200</v>
      </c>
      <c r="D591" t="inlineStr">
        <is>
          <t>NORRBOTTENS LÄN</t>
        </is>
      </c>
      <c r="E591" t="inlineStr">
        <is>
          <t>BODEN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45448-2023</t>
        </is>
      </c>
      <c r="B592" s="1" t="n">
        <v>45194</v>
      </c>
      <c r="C592" s="1" t="n">
        <v>46200</v>
      </c>
      <c r="D592" t="inlineStr">
        <is>
          <t>NORRBOTTENS LÄN</t>
        </is>
      </c>
      <c r="E592" t="inlineStr">
        <is>
          <t>BODEN</t>
        </is>
      </c>
      <c r="F592" t="inlineStr">
        <is>
          <t>Sveaskog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42656-2025</t>
        </is>
      </c>
      <c r="B593" s="1" t="n">
        <v>45907</v>
      </c>
      <c r="C593" s="1" t="n">
        <v>46200</v>
      </c>
      <c r="D593" t="inlineStr">
        <is>
          <t>NORRBOTTENS LÄN</t>
        </is>
      </c>
      <c r="E593" t="inlineStr">
        <is>
          <t>BODEN</t>
        </is>
      </c>
      <c r="F593" t="inlineStr">
        <is>
          <t>SCA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61103-2022</t>
        </is>
      </c>
      <c r="B594" s="1" t="n">
        <v>44908</v>
      </c>
      <c r="C594" s="1" t="n">
        <v>46200</v>
      </c>
      <c r="D594" t="inlineStr">
        <is>
          <t>NORRBOTTENS LÄN</t>
        </is>
      </c>
      <c r="E594" t="inlineStr">
        <is>
          <t>BODEN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43402-2025</t>
        </is>
      </c>
      <c r="B595" s="1" t="n">
        <v>45911</v>
      </c>
      <c r="C595" s="1" t="n">
        <v>46200</v>
      </c>
      <c r="D595" t="inlineStr">
        <is>
          <t>NORRBOTTENS LÄN</t>
        </is>
      </c>
      <c r="E595" t="inlineStr">
        <is>
          <t>BODEN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9319-2024</t>
        </is>
      </c>
      <c r="B596" s="1" t="n">
        <v>45358</v>
      </c>
      <c r="C596" s="1" t="n">
        <v>46200</v>
      </c>
      <c r="D596" t="inlineStr">
        <is>
          <t>NORRBOTTENS LÄN</t>
        </is>
      </c>
      <c r="E596" t="inlineStr">
        <is>
          <t>BODEN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23321-2025</t>
        </is>
      </c>
      <c r="B597" s="1" t="n">
        <v>45791</v>
      </c>
      <c r="C597" s="1" t="n">
        <v>46200</v>
      </c>
      <c r="D597" t="inlineStr">
        <is>
          <t>NORRBOTTENS LÄN</t>
        </is>
      </c>
      <c r="E597" t="inlineStr">
        <is>
          <t>BODEN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43299-2025</t>
        </is>
      </c>
      <c r="B598" s="1" t="n">
        <v>45910</v>
      </c>
      <c r="C598" s="1" t="n">
        <v>46200</v>
      </c>
      <c r="D598" t="inlineStr">
        <is>
          <t>NORRBOTTENS LÄN</t>
        </is>
      </c>
      <c r="E598" t="inlineStr">
        <is>
          <t>BODEN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12558-2024</t>
        </is>
      </c>
      <c r="B599" s="1" t="n">
        <v>45379</v>
      </c>
      <c r="C599" s="1" t="n">
        <v>46200</v>
      </c>
      <c r="D599" t="inlineStr">
        <is>
          <t>NORRBOTTENS LÄN</t>
        </is>
      </c>
      <c r="E599" t="inlineStr">
        <is>
          <t>BODEN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43205-2025</t>
        </is>
      </c>
      <c r="B600" s="1" t="n">
        <v>45910</v>
      </c>
      <c r="C600" s="1" t="n">
        <v>46200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53623-2025</t>
        </is>
      </c>
      <c r="B601" s="1" t="n">
        <v>45960</v>
      </c>
      <c r="C601" s="1" t="n">
        <v>46200</v>
      </c>
      <c r="D601" t="inlineStr">
        <is>
          <t>NORRBOTTENS LÄN</t>
        </is>
      </c>
      <c r="E601" t="inlineStr">
        <is>
          <t>BODEN</t>
        </is>
      </c>
      <c r="F601" t="inlineStr">
        <is>
          <t>SCA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3459-2025</t>
        </is>
      </c>
      <c r="B602" s="1" t="n">
        <v>45680</v>
      </c>
      <c r="C602" s="1" t="n">
        <v>46200</v>
      </c>
      <c r="D602" t="inlineStr">
        <is>
          <t>NORRBOTTENS LÄN</t>
        </is>
      </c>
      <c r="E602" t="inlineStr">
        <is>
          <t>BODEN</t>
        </is>
      </c>
      <c r="F602" t="inlineStr">
        <is>
          <t>Naturvårdsverket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43838-2025</t>
        </is>
      </c>
      <c r="B603" s="1" t="n">
        <v>45912</v>
      </c>
      <c r="C603" s="1" t="n">
        <v>46200</v>
      </c>
      <c r="D603" t="inlineStr">
        <is>
          <t>NORRBOTTENS LÄN</t>
        </is>
      </c>
      <c r="E603" t="inlineStr">
        <is>
          <t>BODEN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43973-2025</t>
        </is>
      </c>
      <c r="B604" s="1" t="n">
        <v>45915</v>
      </c>
      <c r="C604" s="1" t="n">
        <v>46200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7.9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43993-2025</t>
        </is>
      </c>
      <c r="B605" s="1" t="n">
        <v>45915</v>
      </c>
      <c r="C605" s="1" t="n">
        <v>46200</v>
      </c>
      <c r="D605" t="inlineStr">
        <is>
          <t>NORRBOTTENS LÄN</t>
        </is>
      </c>
      <c r="E605" t="inlineStr">
        <is>
          <t>BODEN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43648-2023</t>
        </is>
      </c>
      <c r="B606" s="1" t="n">
        <v>45187</v>
      </c>
      <c r="C606" s="1" t="n">
        <v>46200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53893-2025</t>
        </is>
      </c>
      <c r="B607" s="1" t="n">
        <v>45961</v>
      </c>
      <c r="C607" s="1" t="n">
        <v>46200</v>
      </c>
      <c r="D607" t="inlineStr">
        <is>
          <t>NORRBOTTENS LÄN</t>
        </is>
      </c>
      <c r="E607" t="inlineStr">
        <is>
          <t>BODEN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23761-2025</t>
        </is>
      </c>
      <c r="B608" s="1" t="n">
        <v>45793</v>
      </c>
      <c r="C608" s="1" t="n">
        <v>46200</v>
      </c>
      <c r="D608" t="inlineStr">
        <is>
          <t>NORRBOTTENS LÄN</t>
        </is>
      </c>
      <c r="E608" t="inlineStr">
        <is>
          <t>BODEN</t>
        </is>
      </c>
      <c r="F608" t="inlineStr">
        <is>
          <t>SCA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43711-2025</t>
        </is>
      </c>
      <c r="B609" s="1" t="n">
        <v>45912</v>
      </c>
      <c r="C609" s="1" t="n">
        <v>46200</v>
      </c>
      <c r="D609" t="inlineStr">
        <is>
          <t>NORRBOTTENS LÄN</t>
        </is>
      </c>
      <c r="E609" t="inlineStr">
        <is>
          <t>BODEN</t>
        </is>
      </c>
      <c r="G609" t="n">
        <v>10.1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43710-2025</t>
        </is>
      </c>
      <c r="B610" s="1" t="n">
        <v>45912</v>
      </c>
      <c r="C610" s="1" t="n">
        <v>46200</v>
      </c>
      <c r="D610" t="inlineStr">
        <is>
          <t>NORRBOTTENS LÄN</t>
        </is>
      </c>
      <c r="E610" t="inlineStr">
        <is>
          <t>BODEN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44249-2025</t>
        </is>
      </c>
      <c r="B611" s="1" t="n">
        <v>45915</v>
      </c>
      <c r="C611" s="1" t="n">
        <v>46200</v>
      </c>
      <c r="D611" t="inlineStr">
        <is>
          <t>NORRBOTTENS LÄN</t>
        </is>
      </c>
      <c r="E611" t="inlineStr">
        <is>
          <t>BODEN</t>
        </is>
      </c>
      <c r="F611" t="inlineStr">
        <is>
          <t>Sveaskog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23763-2025</t>
        </is>
      </c>
      <c r="B612" s="1" t="n">
        <v>45793</v>
      </c>
      <c r="C612" s="1" t="n">
        <v>46200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55540-2022</t>
        </is>
      </c>
      <c r="B613" s="1" t="n">
        <v>44887</v>
      </c>
      <c r="C613" s="1" t="n">
        <v>46200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39463-2023</t>
        </is>
      </c>
      <c r="B614" s="1" t="n">
        <v>45166</v>
      </c>
      <c r="C614" s="1" t="n">
        <v>46200</v>
      </c>
      <c r="D614" t="inlineStr">
        <is>
          <t>NORRBOTTENS LÄN</t>
        </is>
      </c>
      <c r="E614" t="inlineStr">
        <is>
          <t>BODEN</t>
        </is>
      </c>
      <c r="F614" t="inlineStr">
        <is>
          <t>Sveaskog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54416-2025</t>
        </is>
      </c>
      <c r="B615" s="1" t="n">
        <v>45965</v>
      </c>
      <c r="C615" s="1" t="n">
        <v>46200</v>
      </c>
      <c r="D615" t="inlineStr">
        <is>
          <t>NORRBOTTENS LÄN</t>
        </is>
      </c>
      <c r="E615" t="inlineStr">
        <is>
          <t>BODEN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54417-2025</t>
        </is>
      </c>
      <c r="B616" s="1" t="n">
        <v>45965</v>
      </c>
      <c r="C616" s="1" t="n">
        <v>46200</v>
      </c>
      <c r="D616" t="inlineStr">
        <is>
          <t>NORRBOTTENS LÄN</t>
        </is>
      </c>
      <c r="E616" t="inlineStr">
        <is>
          <t>BODEN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23724-2025</t>
        </is>
      </c>
      <c r="B617" s="1" t="n">
        <v>45793</v>
      </c>
      <c r="C617" s="1" t="n">
        <v>46200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54578-2025</t>
        </is>
      </c>
      <c r="B618" s="1" t="n">
        <v>45965</v>
      </c>
      <c r="C618" s="1" t="n">
        <v>46200</v>
      </c>
      <c r="D618" t="inlineStr">
        <is>
          <t>NORRBOTTENS LÄN</t>
        </is>
      </c>
      <c r="E618" t="inlineStr">
        <is>
          <t>BODEN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54523-2025</t>
        </is>
      </c>
      <c r="B619" s="1" t="n">
        <v>45965</v>
      </c>
      <c r="C619" s="1" t="n">
        <v>46200</v>
      </c>
      <c r="D619" t="inlineStr">
        <is>
          <t>NORRBOTTENS LÄN</t>
        </is>
      </c>
      <c r="E619" t="inlineStr">
        <is>
          <t>BODEN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61921-2024</t>
        </is>
      </c>
      <c r="B620" s="1" t="n">
        <v>45653</v>
      </c>
      <c r="C620" s="1" t="n">
        <v>46200</v>
      </c>
      <c r="D620" t="inlineStr">
        <is>
          <t>NORRBOTTENS LÄN</t>
        </is>
      </c>
      <c r="E620" t="inlineStr">
        <is>
          <t>BODEN</t>
        </is>
      </c>
      <c r="G620" t="n">
        <v>47.3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41212-2023</t>
        </is>
      </c>
      <c r="B621" s="1" t="n">
        <v>45174</v>
      </c>
      <c r="C621" s="1" t="n">
        <v>46200</v>
      </c>
      <c r="D621" t="inlineStr">
        <is>
          <t>NORRBOTTENS LÄN</t>
        </is>
      </c>
      <c r="E621" t="inlineStr">
        <is>
          <t>BODEN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45209-2025</t>
        </is>
      </c>
      <c r="B622" s="1" t="n">
        <v>45919</v>
      </c>
      <c r="C622" s="1" t="n">
        <v>46200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45211-2025</t>
        </is>
      </c>
      <c r="B623" s="1" t="n">
        <v>45919</v>
      </c>
      <c r="C623" s="1" t="n">
        <v>46200</v>
      </c>
      <c r="D623" t="inlineStr">
        <is>
          <t>NORRBOTTENS LÄN</t>
        </is>
      </c>
      <c r="E623" t="inlineStr">
        <is>
          <t>BODEN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54172-2025</t>
        </is>
      </c>
      <c r="B624" s="1" t="n">
        <v>45964</v>
      </c>
      <c r="C624" s="1" t="n">
        <v>46200</v>
      </c>
      <c r="D624" t="inlineStr">
        <is>
          <t>NORRBOTTENS LÄN</t>
        </is>
      </c>
      <c r="E624" t="inlineStr">
        <is>
          <t>BODEN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48420-2024</t>
        </is>
      </c>
      <c r="B625" s="1" t="n">
        <v>45590</v>
      </c>
      <c r="C625" s="1" t="n">
        <v>46200</v>
      </c>
      <c r="D625" t="inlineStr">
        <is>
          <t>NORRBOTTENS LÄN</t>
        </is>
      </c>
      <c r="E625" t="inlineStr">
        <is>
          <t>BODEN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48427-2024</t>
        </is>
      </c>
      <c r="B626" s="1" t="n">
        <v>45590</v>
      </c>
      <c r="C626" s="1" t="n">
        <v>46200</v>
      </c>
      <c r="D626" t="inlineStr">
        <is>
          <t>NORRBOTTENS LÄN</t>
        </is>
      </c>
      <c r="E626" t="inlineStr">
        <is>
          <t>BODEN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54834-2025</t>
        </is>
      </c>
      <c r="B627" s="1" t="n">
        <v>45966</v>
      </c>
      <c r="C627" s="1" t="n">
        <v>46200</v>
      </c>
      <c r="D627" t="inlineStr">
        <is>
          <t>NORRBOTTENS LÄN</t>
        </is>
      </c>
      <c r="E627" t="inlineStr">
        <is>
          <t>BODEN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54845-2025</t>
        </is>
      </c>
      <c r="B628" s="1" t="n">
        <v>45966</v>
      </c>
      <c r="C628" s="1" t="n">
        <v>46200</v>
      </c>
      <c r="D628" t="inlineStr">
        <is>
          <t>NORRBOTTENS LÄN</t>
        </is>
      </c>
      <c r="E628" t="inlineStr">
        <is>
          <t>BODEN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4055-2024</t>
        </is>
      </c>
      <c r="B629" s="1" t="n">
        <v>45323</v>
      </c>
      <c r="C629" s="1" t="n">
        <v>46200</v>
      </c>
      <c r="D629" t="inlineStr">
        <is>
          <t>NORRBOTTENS LÄN</t>
        </is>
      </c>
      <c r="E629" t="inlineStr">
        <is>
          <t>BODEN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45544-2025</t>
        </is>
      </c>
      <c r="B630" s="1" t="n">
        <v>45922</v>
      </c>
      <c r="C630" s="1" t="n">
        <v>46200</v>
      </c>
      <c r="D630" t="inlineStr">
        <is>
          <t>NORRBOTTENS LÄN</t>
        </is>
      </c>
      <c r="E630" t="inlineStr">
        <is>
          <t>BODEN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54833-2025</t>
        </is>
      </c>
      <c r="B631" s="1" t="n">
        <v>45966</v>
      </c>
      <c r="C631" s="1" t="n">
        <v>46200</v>
      </c>
      <c r="D631" t="inlineStr">
        <is>
          <t>NORRBOTTENS LÄN</t>
        </is>
      </c>
      <c r="E631" t="inlineStr">
        <is>
          <t>BODEN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45478-2025</t>
        </is>
      </c>
      <c r="B632" s="1" t="n">
        <v>45922</v>
      </c>
      <c r="C632" s="1" t="n">
        <v>46200</v>
      </c>
      <c r="D632" t="inlineStr">
        <is>
          <t>NORRBOTTENS LÄN</t>
        </is>
      </c>
      <c r="E632" t="inlineStr">
        <is>
          <t>BODEN</t>
        </is>
      </c>
      <c r="F632" t="inlineStr">
        <is>
          <t>Sveaskog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45616-2025</t>
        </is>
      </c>
      <c r="B633" s="1" t="n">
        <v>45922</v>
      </c>
      <c r="C633" s="1" t="n">
        <v>46200</v>
      </c>
      <c r="D633" t="inlineStr">
        <is>
          <t>NORRBOTTENS LÄN</t>
        </is>
      </c>
      <c r="E633" t="inlineStr">
        <is>
          <t>BODEN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45617-2025</t>
        </is>
      </c>
      <c r="B634" s="1" t="n">
        <v>45922</v>
      </c>
      <c r="C634" s="1" t="n">
        <v>46200</v>
      </c>
      <c r="D634" t="inlineStr">
        <is>
          <t>NORRBOTTENS LÄN</t>
        </is>
      </c>
      <c r="E634" t="inlineStr">
        <is>
          <t>BODEN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877-2023</t>
        </is>
      </c>
      <c r="B635" s="1" t="n">
        <v>44931</v>
      </c>
      <c r="C635" s="1" t="n">
        <v>46200</v>
      </c>
      <c r="D635" t="inlineStr">
        <is>
          <t>NORRBOTTENS LÄN</t>
        </is>
      </c>
      <c r="E635" t="inlineStr">
        <is>
          <t>BODEN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46454-2025</t>
        </is>
      </c>
      <c r="B636" s="1" t="n">
        <v>45925</v>
      </c>
      <c r="C636" s="1" t="n">
        <v>46200</v>
      </c>
      <c r="D636" t="inlineStr">
        <is>
          <t>NORRBOTTENS LÄN</t>
        </is>
      </c>
      <c r="E636" t="inlineStr">
        <is>
          <t>BODEN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46455-2025</t>
        </is>
      </c>
      <c r="B637" s="1" t="n">
        <v>45925</v>
      </c>
      <c r="C637" s="1" t="n">
        <v>46200</v>
      </c>
      <c r="D637" t="inlineStr">
        <is>
          <t>NORRBOTTENS LÄN</t>
        </is>
      </c>
      <c r="E637" t="inlineStr">
        <is>
          <t>BODEN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55562-2025</t>
        </is>
      </c>
      <c r="B638" s="1" t="n">
        <v>45971</v>
      </c>
      <c r="C638" s="1" t="n">
        <v>46200</v>
      </c>
      <c r="D638" t="inlineStr">
        <is>
          <t>NORRBOTTENS LÄN</t>
        </is>
      </c>
      <c r="E638" t="inlineStr">
        <is>
          <t>BODEN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46053-2025</t>
        </is>
      </c>
      <c r="B639" s="1" t="n">
        <v>45924</v>
      </c>
      <c r="C639" s="1" t="n">
        <v>46200</v>
      </c>
      <c r="D639" t="inlineStr">
        <is>
          <t>NORRBOTTENS LÄN</t>
        </is>
      </c>
      <c r="E639" t="inlineStr">
        <is>
          <t>BODEN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46052-2025</t>
        </is>
      </c>
      <c r="B640" s="1" t="n">
        <v>45924</v>
      </c>
      <c r="C640" s="1" t="n">
        <v>46200</v>
      </c>
      <c r="D640" t="inlineStr">
        <is>
          <t>NORRBOTTENS LÄN</t>
        </is>
      </c>
      <c r="E640" t="inlineStr">
        <is>
          <t>BODEN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45969-2025</t>
        </is>
      </c>
      <c r="B641" s="1" t="n">
        <v>45924</v>
      </c>
      <c r="C641" s="1" t="n">
        <v>46200</v>
      </c>
      <c r="D641" t="inlineStr">
        <is>
          <t>NORRBOTTENS LÄN</t>
        </is>
      </c>
      <c r="E641" t="inlineStr">
        <is>
          <t>BODEN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55676-2025</t>
        </is>
      </c>
      <c r="B642" s="1" t="n">
        <v>45972</v>
      </c>
      <c r="C642" s="1" t="n">
        <v>46200</v>
      </c>
      <c r="D642" t="inlineStr">
        <is>
          <t>NORRBOTTENS LÄN</t>
        </is>
      </c>
      <c r="E642" t="inlineStr">
        <is>
          <t>BODEN</t>
        </is>
      </c>
      <c r="G642" t="n">
        <v>11.9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46917-2025</t>
        </is>
      </c>
      <c r="B643" s="1" t="n">
        <v>45929</v>
      </c>
      <c r="C643" s="1" t="n">
        <v>46200</v>
      </c>
      <c r="D643" t="inlineStr">
        <is>
          <t>NORRBOTTENS LÄN</t>
        </is>
      </c>
      <c r="E643" t="inlineStr">
        <is>
          <t>BODEN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46700-2025</t>
        </is>
      </c>
      <c r="B644" s="1" t="n">
        <v>45926</v>
      </c>
      <c r="C644" s="1" t="n">
        <v>46200</v>
      </c>
      <c r="D644" t="inlineStr">
        <is>
          <t>NORRBOTTENS LÄN</t>
        </is>
      </c>
      <c r="E644" t="inlineStr">
        <is>
          <t>BODEN</t>
        </is>
      </c>
      <c r="F644" t="inlineStr">
        <is>
          <t>Övriga Aktiebolag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46770-2025</t>
        </is>
      </c>
      <c r="B645" s="1" t="n">
        <v>45926</v>
      </c>
      <c r="C645" s="1" t="n">
        <v>46200</v>
      </c>
      <c r="D645" t="inlineStr">
        <is>
          <t>NORRBOTTENS LÄN</t>
        </is>
      </c>
      <c r="E645" t="inlineStr">
        <is>
          <t>BODEN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46585-2025</t>
        </is>
      </c>
      <c r="B646" s="1" t="n">
        <v>45926</v>
      </c>
      <c r="C646" s="1" t="n">
        <v>46200</v>
      </c>
      <c r="D646" t="inlineStr">
        <is>
          <t>NORRBOTTENS LÄN</t>
        </is>
      </c>
      <c r="E646" t="inlineStr">
        <is>
          <t>BODEN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56439-2025</t>
        </is>
      </c>
      <c r="B647" s="1" t="n">
        <v>45975</v>
      </c>
      <c r="C647" s="1" t="n">
        <v>46200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56560-2025</t>
        </is>
      </c>
      <c r="B648" s="1" t="n">
        <v>45975</v>
      </c>
      <c r="C648" s="1" t="n">
        <v>46200</v>
      </c>
      <c r="D648" t="inlineStr">
        <is>
          <t>NORRBOTTENS LÄN</t>
        </is>
      </c>
      <c r="E648" t="inlineStr">
        <is>
          <t>BODEN</t>
        </is>
      </c>
      <c r="F648" t="inlineStr">
        <is>
          <t>Naturvårdsverket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56440-2025</t>
        </is>
      </c>
      <c r="B649" s="1" t="n">
        <v>45975</v>
      </c>
      <c r="C649" s="1" t="n">
        <v>46200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56867-2025</t>
        </is>
      </c>
      <c r="B650" s="1" t="n">
        <v>45978</v>
      </c>
      <c r="C650" s="1" t="n">
        <v>46200</v>
      </c>
      <c r="D650" t="inlineStr">
        <is>
          <t>NORRBOTTENS LÄN</t>
        </is>
      </c>
      <c r="E650" t="inlineStr">
        <is>
          <t>BODEN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24358-2025</t>
        </is>
      </c>
      <c r="B651" s="1" t="n">
        <v>45797</v>
      </c>
      <c r="C651" s="1" t="n">
        <v>46200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47595-2025</t>
        </is>
      </c>
      <c r="B652" s="1" t="n">
        <v>45931</v>
      </c>
      <c r="C652" s="1" t="n">
        <v>46200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Aktiebolag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10727-2025</t>
        </is>
      </c>
      <c r="B653" s="1" t="n">
        <v>45722</v>
      </c>
      <c r="C653" s="1" t="n">
        <v>46200</v>
      </c>
      <c r="D653" t="inlineStr">
        <is>
          <t>NORRBOTTENS LÄN</t>
        </is>
      </c>
      <c r="E653" t="inlineStr">
        <is>
          <t>BODEN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47204-2025</t>
        </is>
      </c>
      <c r="B654" s="1" t="n">
        <v>45930</v>
      </c>
      <c r="C654" s="1" t="n">
        <v>46200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56947-2025</t>
        </is>
      </c>
      <c r="B655" s="1" t="n">
        <v>45978</v>
      </c>
      <c r="C655" s="1" t="n">
        <v>46200</v>
      </c>
      <c r="D655" t="inlineStr">
        <is>
          <t>NORRBOTTENS LÄN</t>
        </is>
      </c>
      <c r="E655" t="inlineStr">
        <is>
          <t>BODEN</t>
        </is>
      </c>
      <c r="F655" t="inlineStr">
        <is>
          <t>Naturvårdsverket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24733-2025</t>
        </is>
      </c>
      <c r="B656" s="1" t="n">
        <v>45799</v>
      </c>
      <c r="C656" s="1" t="n">
        <v>46200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47483-2025</t>
        </is>
      </c>
      <c r="B657" s="1" t="n">
        <v>45930</v>
      </c>
      <c r="C657" s="1" t="n">
        <v>46200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57777-2025</t>
        </is>
      </c>
      <c r="B658" s="1" t="n">
        <v>45981</v>
      </c>
      <c r="C658" s="1" t="n">
        <v>46200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57778-2025</t>
        </is>
      </c>
      <c r="B659" s="1" t="n">
        <v>45981</v>
      </c>
      <c r="C659" s="1" t="n">
        <v>46200</v>
      </c>
      <c r="D659" t="inlineStr">
        <is>
          <t>NORRBOTTENS LÄN</t>
        </is>
      </c>
      <c r="E659" t="inlineStr">
        <is>
          <t>BODEN</t>
        </is>
      </c>
      <c r="F659" t="inlineStr">
        <is>
          <t>Sveaskog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58103-2025</t>
        </is>
      </c>
      <c r="B660" s="1" t="n">
        <v>45981</v>
      </c>
      <c r="C660" s="1" t="n">
        <v>46200</v>
      </c>
      <c r="D660" t="inlineStr">
        <is>
          <t>NORRBOTTENS LÄN</t>
        </is>
      </c>
      <c r="E660" t="inlineStr">
        <is>
          <t>BODEN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24545-2025</t>
        </is>
      </c>
      <c r="B661" s="1" t="n">
        <v>45798</v>
      </c>
      <c r="C661" s="1" t="n">
        <v>46200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24538-2025</t>
        </is>
      </c>
      <c r="B662" s="1" t="n">
        <v>45798</v>
      </c>
      <c r="C662" s="1" t="n">
        <v>46200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15.8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58203-2025</t>
        </is>
      </c>
      <c r="B663" s="1" t="n">
        <v>45984</v>
      </c>
      <c r="C663" s="1" t="n">
        <v>46200</v>
      </c>
      <c r="D663" t="inlineStr">
        <is>
          <t>NORRBOTTENS LÄN</t>
        </is>
      </c>
      <c r="E663" t="inlineStr">
        <is>
          <t>BODEN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58490-2025</t>
        </is>
      </c>
      <c r="B664" s="1" t="n">
        <v>45985</v>
      </c>
      <c r="C664" s="1" t="n">
        <v>46200</v>
      </c>
      <c r="D664" t="inlineStr">
        <is>
          <t>NORRBOTTENS LÄN</t>
        </is>
      </c>
      <c r="E664" t="inlineStr">
        <is>
          <t>BODEN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49806-2022</t>
        </is>
      </c>
      <c r="B665" s="1" t="n">
        <v>44862</v>
      </c>
      <c r="C665" s="1" t="n">
        <v>46200</v>
      </c>
      <c r="D665" t="inlineStr">
        <is>
          <t>NORRBOTTENS LÄN</t>
        </is>
      </c>
      <c r="E665" t="inlineStr">
        <is>
          <t>BODEN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24699-2025</t>
        </is>
      </c>
      <c r="B666" s="1" t="n">
        <v>45798</v>
      </c>
      <c r="C666" s="1" t="n">
        <v>46200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11.8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58294-2025</t>
        </is>
      </c>
      <c r="B667" s="1" t="n">
        <v>45985</v>
      </c>
      <c r="C667" s="1" t="n">
        <v>46200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58672-2025</t>
        </is>
      </c>
      <c r="B668" s="1" t="n">
        <v>45986</v>
      </c>
      <c r="C668" s="1" t="n">
        <v>46200</v>
      </c>
      <c r="D668" t="inlineStr">
        <is>
          <t>NORRBOTTENS LÄN</t>
        </is>
      </c>
      <c r="E668" t="inlineStr">
        <is>
          <t>BODEN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58662-2025</t>
        </is>
      </c>
      <c r="B669" s="1" t="n">
        <v>45986</v>
      </c>
      <c r="C669" s="1" t="n">
        <v>46200</v>
      </c>
      <c r="D669" t="inlineStr">
        <is>
          <t>NORRBOTTENS LÄN</t>
        </is>
      </c>
      <c r="E669" t="inlineStr">
        <is>
          <t>BODEN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59263-2025</t>
        </is>
      </c>
      <c r="B670" s="1" t="n">
        <v>45988</v>
      </c>
      <c r="C670" s="1" t="n">
        <v>46200</v>
      </c>
      <c r="D670" t="inlineStr">
        <is>
          <t>NORRBOTTENS LÄN</t>
        </is>
      </c>
      <c r="E670" t="inlineStr">
        <is>
          <t>BODEN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59264-2025</t>
        </is>
      </c>
      <c r="B671" s="1" t="n">
        <v>45988</v>
      </c>
      <c r="C671" s="1" t="n">
        <v>46200</v>
      </c>
      <c r="D671" t="inlineStr">
        <is>
          <t>NORRBOTTENS LÄN</t>
        </is>
      </c>
      <c r="E671" t="inlineStr">
        <is>
          <t>BODEN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59032-2025</t>
        </is>
      </c>
      <c r="B672" s="1" t="n">
        <v>45988</v>
      </c>
      <c r="C672" s="1" t="n">
        <v>46200</v>
      </c>
      <c r="D672" t="inlineStr">
        <is>
          <t>NORRBOTTENS LÄN</t>
        </is>
      </c>
      <c r="E672" t="inlineStr">
        <is>
          <t>BODEN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59031-2025</t>
        </is>
      </c>
      <c r="B673" s="1" t="n">
        <v>45988</v>
      </c>
      <c r="C673" s="1" t="n">
        <v>46200</v>
      </c>
      <c r="D673" t="inlineStr">
        <is>
          <t>NORRBOTTENS LÄN</t>
        </is>
      </c>
      <c r="E673" t="inlineStr">
        <is>
          <t>BODEN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25983-2025</t>
        </is>
      </c>
      <c r="B674" s="1" t="n">
        <v>45803</v>
      </c>
      <c r="C674" s="1" t="n">
        <v>46200</v>
      </c>
      <c r="D674" t="inlineStr">
        <is>
          <t>NORRBOTTENS LÄN</t>
        </is>
      </c>
      <c r="E674" t="inlineStr">
        <is>
          <t>BODEN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60429-2025</t>
        </is>
      </c>
      <c r="B675" s="1" t="n">
        <v>45995</v>
      </c>
      <c r="C675" s="1" t="n">
        <v>46200</v>
      </c>
      <c r="D675" t="inlineStr">
        <is>
          <t>NORRBOTTENS LÄN</t>
        </is>
      </c>
      <c r="E675" t="inlineStr">
        <is>
          <t>BODEN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60397-2025</t>
        </is>
      </c>
      <c r="B676" s="1" t="n">
        <v>45995</v>
      </c>
      <c r="C676" s="1" t="n">
        <v>46200</v>
      </c>
      <c r="D676" t="inlineStr">
        <is>
          <t>NORRBOTTENS LÄN</t>
        </is>
      </c>
      <c r="E676" t="inlineStr">
        <is>
          <t>BODEN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60233-2025</t>
        </is>
      </c>
      <c r="B677" s="1" t="n">
        <v>45994</v>
      </c>
      <c r="C677" s="1" t="n">
        <v>46200</v>
      </c>
      <c r="D677" t="inlineStr">
        <is>
          <t>NORRBOTTENS LÄN</t>
        </is>
      </c>
      <c r="E677" t="inlineStr">
        <is>
          <t>BODEN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60235-2025</t>
        </is>
      </c>
      <c r="B678" s="1" t="n">
        <v>45994</v>
      </c>
      <c r="C678" s="1" t="n">
        <v>46200</v>
      </c>
      <c r="D678" t="inlineStr">
        <is>
          <t>NORRBOTTENS LÄN</t>
        </is>
      </c>
      <c r="E678" t="inlineStr">
        <is>
          <t>BODEN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60428-2025</t>
        </is>
      </c>
      <c r="B679" s="1" t="n">
        <v>45995</v>
      </c>
      <c r="C679" s="1" t="n">
        <v>46200</v>
      </c>
      <c r="D679" t="inlineStr">
        <is>
          <t>NORRBOTTENS LÄN</t>
        </is>
      </c>
      <c r="E679" t="inlineStr">
        <is>
          <t>BODEN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60184-2025</t>
        </is>
      </c>
      <c r="B680" s="1" t="n">
        <v>45994</v>
      </c>
      <c r="C680" s="1" t="n">
        <v>46200</v>
      </c>
      <c r="D680" t="inlineStr">
        <is>
          <t>NORRBOTTENS LÄN</t>
        </is>
      </c>
      <c r="E680" t="inlineStr">
        <is>
          <t>BODEN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60186-2025</t>
        </is>
      </c>
      <c r="B681" s="1" t="n">
        <v>45994</v>
      </c>
      <c r="C681" s="1" t="n">
        <v>46200</v>
      </c>
      <c r="D681" t="inlineStr">
        <is>
          <t>NORRBOTTENS LÄN</t>
        </is>
      </c>
      <c r="E681" t="inlineStr">
        <is>
          <t>BODEN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60395-2025</t>
        </is>
      </c>
      <c r="B682" s="1" t="n">
        <v>45995</v>
      </c>
      <c r="C682" s="1" t="n">
        <v>46200</v>
      </c>
      <c r="D682" t="inlineStr">
        <is>
          <t>NORRBOTTENS LÄN</t>
        </is>
      </c>
      <c r="E682" t="inlineStr">
        <is>
          <t>BODEN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60423-2025</t>
        </is>
      </c>
      <c r="B683" s="1" t="n">
        <v>45995</v>
      </c>
      <c r="C683" s="1" t="n">
        <v>46200</v>
      </c>
      <c r="D683" t="inlineStr">
        <is>
          <t>NORRBOTTENS LÄN</t>
        </is>
      </c>
      <c r="E683" t="inlineStr">
        <is>
          <t>BODEN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60424-2025</t>
        </is>
      </c>
      <c r="B684" s="1" t="n">
        <v>45995</v>
      </c>
      <c r="C684" s="1" t="n">
        <v>46200</v>
      </c>
      <c r="D684" t="inlineStr">
        <is>
          <t>NORRBOTTENS LÄN</t>
        </is>
      </c>
      <c r="E684" t="inlineStr">
        <is>
          <t>BODEN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60238-2025</t>
        </is>
      </c>
      <c r="B685" s="1" t="n">
        <v>45994</v>
      </c>
      <c r="C685" s="1" t="n">
        <v>46200</v>
      </c>
      <c r="D685" t="inlineStr">
        <is>
          <t>NORRBOTTENS LÄN</t>
        </is>
      </c>
      <c r="E685" t="inlineStr">
        <is>
          <t>BODEN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60225-2025</t>
        </is>
      </c>
      <c r="B686" s="1" t="n">
        <v>45994</v>
      </c>
      <c r="C686" s="1" t="n">
        <v>46200</v>
      </c>
      <c r="D686" t="inlineStr">
        <is>
          <t>NORRBOTTENS LÄN</t>
        </is>
      </c>
      <c r="E686" t="inlineStr">
        <is>
          <t>BODEN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60236-2025</t>
        </is>
      </c>
      <c r="B687" s="1" t="n">
        <v>45994</v>
      </c>
      <c r="C687" s="1" t="n">
        <v>46200</v>
      </c>
      <c r="D687" t="inlineStr">
        <is>
          <t>NORRBOTTENS LÄN</t>
        </is>
      </c>
      <c r="E687" t="inlineStr">
        <is>
          <t>BODEN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60613-2025</t>
        </is>
      </c>
      <c r="B688" s="1" t="n">
        <v>45996</v>
      </c>
      <c r="C688" s="1" t="n">
        <v>46200</v>
      </c>
      <c r="D688" t="inlineStr">
        <is>
          <t>NORRBOTTENS LÄN</t>
        </is>
      </c>
      <c r="E688" t="inlineStr">
        <is>
          <t>BODEN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52247-2024</t>
        </is>
      </c>
      <c r="B689" s="1" t="n">
        <v>45608</v>
      </c>
      <c r="C689" s="1" t="n">
        <v>46200</v>
      </c>
      <c r="D689" t="inlineStr">
        <is>
          <t>NORRBOTTENS LÄN</t>
        </is>
      </c>
      <c r="E689" t="inlineStr">
        <is>
          <t>BODEN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52248-2024</t>
        </is>
      </c>
      <c r="B690" s="1" t="n">
        <v>45608</v>
      </c>
      <c r="C690" s="1" t="n">
        <v>46200</v>
      </c>
      <c r="D690" t="inlineStr">
        <is>
          <t>NORRBOTTENS LÄN</t>
        </is>
      </c>
      <c r="E690" t="inlineStr">
        <is>
          <t>BODEN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48431-2024</t>
        </is>
      </c>
      <c r="B691" s="1" t="n">
        <v>45590</v>
      </c>
      <c r="C691" s="1" t="n">
        <v>46200</v>
      </c>
      <c r="D691" t="inlineStr">
        <is>
          <t>NORRBOTTENS LÄN</t>
        </is>
      </c>
      <c r="E691" t="inlineStr">
        <is>
          <t>BODEN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61145-2025</t>
        </is>
      </c>
      <c r="B692" s="1" t="n">
        <v>45999</v>
      </c>
      <c r="C692" s="1" t="n">
        <v>46200</v>
      </c>
      <c r="D692" t="inlineStr">
        <is>
          <t>NORRBOTTENS LÄN</t>
        </is>
      </c>
      <c r="E692" t="inlineStr">
        <is>
          <t>BODEN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61034-2025</t>
        </is>
      </c>
      <c r="B693" s="1" t="n">
        <v>45999</v>
      </c>
      <c r="C693" s="1" t="n">
        <v>46200</v>
      </c>
      <c r="D693" t="inlineStr">
        <is>
          <t>NORRBOTTENS LÄN</t>
        </is>
      </c>
      <c r="E693" t="inlineStr">
        <is>
          <t>BODEN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42652-2025</t>
        </is>
      </c>
      <c r="B694" s="1" t="n">
        <v>45906</v>
      </c>
      <c r="C694" s="1" t="n">
        <v>46200</v>
      </c>
      <c r="D694" t="inlineStr">
        <is>
          <t>NORRBOTTENS LÄN</t>
        </is>
      </c>
      <c r="E694" t="inlineStr">
        <is>
          <t>BODEN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61227-2025</t>
        </is>
      </c>
      <c r="B695" s="1" t="n">
        <v>46000</v>
      </c>
      <c r="C695" s="1" t="n">
        <v>46200</v>
      </c>
      <c r="D695" t="inlineStr">
        <is>
          <t>NORRBOTTENS LÄN</t>
        </is>
      </c>
      <c r="E695" t="inlineStr">
        <is>
          <t>BODEN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61384-2025</t>
        </is>
      </c>
      <c r="B696" s="1" t="n">
        <v>46001</v>
      </c>
      <c r="C696" s="1" t="n">
        <v>46200</v>
      </c>
      <c r="D696" t="inlineStr">
        <is>
          <t>NORRBOTTENS LÄN</t>
        </is>
      </c>
      <c r="E696" t="inlineStr">
        <is>
          <t>BODEN</t>
        </is>
      </c>
      <c r="G696" t="n">
        <v>17.1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61560-2025</t>
        </is>
      </c>
      <c r="B697" s="1" t="n">
        <v>46001</v>
      </c>
      <c r="C697" s="1" t="n">
        <v>46200</v>
      </c>
      <c r="D697" t="inlineStr">
        <is>
          <t>NORRBOTTENS LÄN</t>
        </is>
      </c>
      <c r="E697" t="inlineStr">
        <is>
          <t>BODEN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61932-2025</t>
        </is>
      </c>
      <c r="B698" s="1" t="n">
        <v>46003</v>
      </c>
      <c r="C698" s="1" t="n">
        <v>46200</v>
      </c>
      <c r="D698" t="inlineStr">
        <is>
          <t>NORRBOTTENS LÄN</t>
        </is>
      </c>
      <c r="E698" t="inlineStr">
        <is>
          <t>BODEN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61959-2025</t>
        </is>
      </c>
      <c r="B699" s="1" t="n">
        <v>46003</v>
      </c>
      <c r="C699" s="1" t="n">
        <v>46200</v>
      </c>
      <c r="D699" t="inlineStr">
        <is>
          <t>NORRBOTTENS LÄN</t>
        </is>
      </c>
      <c r="E699" t="inlineStr">
        <is>
          <t>BODEN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61949-2025</t>
        </is>
      </c>
      <c r="B700" s="1" t="n">
        <v>46003</v>
      </c>
      <c r="C700" s="1" t="n">
        <v>46200</v>
      </c>
      <c r="D700" t="inlineStr">
        <is>
          <t>NORRBOTTENS LÄN</t>
        </is>
      </c>
      <c r="E700" t="inlineStr">
        <is>
          <t>BODEN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62019-2025</t>
        </is>
      </c>
      <c r="B701" s="1" t="n">
        <v>46003</v>
      </c>
      <c r="C701" s="1" t="n">
        <v>46200</v>
      </c>
      <c r="D701" t="inlineStr">
        <is>
          <t>NORRBOTTENS LÄN</t>
        </is>
      </c>
      <c r="E701" t="inlineStr">
        <is>
          <t>BODEN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61559-2025</t>
        </is>
      </c>
      <c r="B702" s="1" t="n">
        <v>46001</v>
      </c>
      <c r="C702" s="1" t="n">
        <v>46200</v>
      </c>
      <c r="D702" t="inlineStr">
        <is>
          <t>NORRBOTTENS LÄN</t>
        </is>
      </c>
      <c r="E702" t="inlineStr">
        <is>
          <t>BODEN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63329-2025</t>
        </is>
      </c>
      <c r="B703" s="1" t="n">
        <v>46009</v>
      </c>
      <c r="C703" s="1" t="n">
        <v>46200</v>
      </c>
      <c r="D703" t="inlineStr">
        <is>
          <t>NORRBOTTENS LÄN</t>
        </is>
      </c>
      <c r="E703" t="inlineStr">
        <is>
          <t>BODEN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63333-2025</t>
        </is>
      </c>
      <c r="B704" s="1" t="n">
        <v>46009</v>
      </c>
      <c r="C704" s="1" t="n">
        <v>46200</v>
      </c>
      <c r="D704" t="inlineStr">
        <is>
          <t>NORRBOTTENS LÄN</t>
        </is>
      </c>
      <c r="E704" t="inlineStr">
        <is>
          <t>BODEN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62687-2025</t>
        </is>
      </c>
      <c r="B705" s="1" t="n">
        <v>46008</v>
      </c>
      <c r="C705" s="1" t="n">
        <v>46200</v>
      </c>
      <c r="D705" t="inlineStr">
        <is>
          <t>NORRBOTTENS LÄN</t>
        </is>
      </c>
      <c r="E705" t="inlineStr">
        <is>
          <t>BODEN</t>
        </is>
      </c>
      <c r="G705" t="n">
        <v>10.1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60237-2025</t>
        </is>
      </c>
      <c r="B706" s="1" t="n">
        <v>45994</v>
      </c>
      <c r="C706" s="1" t="n">
        <v>46200</v>
      </c>
      <c r="D706" t="inlineStr">
        <is>
          <t>NORRBOTTENS LÄN</t>
        </is>
      </c>
      <c r="E706" t="inlineStr">
        <is>
          <t>BODEN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62994-2025</t>
        </is>
      </c>
      <c r="B707" s="1" t="n">
        <v>46009</v>
      </c>
      <c r="C707" s="1" t="n">
        <v>46200</v>
      </c>
      <c r="D707" t="inlineStr">
        <is>
          <t>NORRBOTTENS LÄN</t>
        </is>
      </c>
      <c r="E707" t="inlineStr">
        <is>
          <t>BODEN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62673-2025</t>
        </is>
      </c>
      <c r="B708" s="1" t="n">
        <v>46008</v>
      </c>
      <c r="C708" s="1" t="n">
        <v>46200</v>
      </c>
      <c r="D708" t="inlineStr">
        <is>
          <t>NORRBOTTENS LÄN</t>
        </is>
      </c>
      <c r="E708" t="inlineStr">
        <is>
          <t>BODEN</t>
        </is>
      </c>
      <c r="G708" t="n">
        <v>18.6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62992-2025</t>
        </is>
      </c>
      <c r="B709" s="1" t="n">
        <v>46009</v>
      </c>
      <c r="C709" s="1" t="n">
        <v>46200</v>
      </c>
      <c r="D709" t="inlineStr">
        <is>
          <t>NORRBOTTENS LÄN</t>
        </is>
      </c>
      <c r="E709" t="inlineStr">
        <is>
          <t>BODEN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41470-2025</t>
        </is>
      </c>
      <c r="B710" s="1" t="n">
        <v>45896</v>
      </c>
      <c r="C710" s="1" t="n">
        <v>46200</v>
      </c>
      <c r="D710" t="inlineStr">
        <is>
          <t>NORRBOTTENS LÄN</t>
        </is>
      </c>
      <c r="E710" t="inlineStr">
        <is>
          <t>BODEN</t>
        </is>
      </c>
      <c r="F710" t="inlineStr">
        <is>
          <t>Övriga statliga verk och myndigheter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42173-2025</t>
        </is>
      </c>
      <c r="B711" s="1" t="n">
        <v>45902</v>
      </c>
      <c r="C711" s="1" t="n">
        <v>46200</v>
      </c>
      <c r="D711" t="inlineStr">
        <is>
          <t>NORRBOTTENS LÄN</t>
        </is>
      </c>
      <c r="E711" t="inlineStr">
        <is>
          <t>BODEN</t>
        </is>
      </c>
      <c r="F711" t="inlineStr">
        <is>
          <t>Övriga statliga verk och myndigheter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42171-2025</t>
        </is>
      </c>
      <c r="B712" s="1" t="n">
        <v>45902</v>
      </c>
      <c r="C712" s="1" t="n">
        <v>46200</v>
      </c>
      <c r="D712" t="inlineStr">
        <is>
          <t>NORRBOTTENS LÄN</t>
        </is>
      </c>
      <c r="E712" t="inlineStr">
        <is>
          <t>BODEN</t>
        </is>
      </c>
      <c r="F712" t="inlineStr">
        <is>
          <t>Övriga statliga verk och myndigheter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63399-2025</t>
        </is>
      </c>
      <c r="B713" s="1" t="n">
        <v>46012</v>
      </c>
      <c r="C713" s="1" t="n">
        <v>46200</v>
      </c>
      <c r="D713" t="inlineStr">
        <is>
          <t>NORRBOTTENS LÄN</t>
        </is>
      </c>
      <c r="E713" t="inlineStr">
        <is>
          <t>BODEN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63400-2025</t>
        </is>
      </c>
      <c r="B714" s="1" t="n">
        <v>46012</v>
      </c>
      <c r="C714" s="1" t="n">
        <v>46200</v>
      </c>
      <c r="D714" t="inlineStr">
        <is>
          <t>NORRBOTTENS LÄN</t>
        </is>
      </c>
      <c r="E714" t="inlineStr">
        <is>
          <t>BODEN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63398-2025</t>
        </is>
      </c>
      <c r="B715" s="1" t="n">
        <v>46012</v>
      </c>
      <c r="C715" s="1" t="n">
        <v>46200</v>
      </c>
      <c r="D715" t="inlineStr">
        <is>
          <t>NORRBOTTENS LÄN</t>
        </is>
      </c>
      <c r="E715" t="inlineStr">
        <is>
          <t>BODEN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63891-2025</t>
        </is>
      </c>
      <c r="B716" s="1" t="n">
        <v>46020</v>
      </c>
      <c r="C716" s="1" t="n">
        <v>46200</v>
      </c>
      <c r="D716" t="inlineStr">
        <is>
          <t>NORRBOTTENS LÄN</t>
        </is>
      </c>
      <c r="E716" t="inlineStr">
        <is>
          <t>BODEN</t>
        </is>
      </c>
      <c r="G716" t="n">
        <v>12.5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8701-2026</t>
        </is>
      </c>
      <c r="B717" s="1" t="n">
        <v>46066</v>
      </c>
      <c r="C717" s="1" t="n">
        <v>46200</v>
      </c>
      <c r="D717" t="inlineStr">
        <is>
          <t>NORRBOTTENS LÄN</t>
        </is>
      </c>
      <c r="E717" t="inlineStr">
        <is>
          <t>BODEN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8752-2026</t>
        </is>
      </c>
      <c r="B718" s="1" t="n">
        <v>46066</v>
      </c>
      <c r="C718" s="1" t="n">
        <v>46200</v>
      </c>
      <c r="D718" t="inlineStr">
        <is>
          <t>NORRBOTTENS LÄN</t>
        </is>
      </c>
      <c r="E718" t="inlineStr">
        <is>
          <t>BODEN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664-2026</t>
        </is>
      </c>
      <c r="B719" s="1" t="n">
        <v>46029</v>
      </c>
      <c r="C719" s="1" t="n">
        <v>46200</v>
      </c>
      <c r="D719" t="inlineStr">
        <is>
          <t>NORRBOTTENS LÄN</t>
        </is>
      </c>
      <c r="E719" t="inlineStr">
        <is>
          <t>BODEN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928-2026</t>
        </is>
      </c>
      <c r="B720" s="1" t="n">
        <v>46030</v>
      </c>
      <c r="C720" s="1" t="n">
        <v>46200</v>
      </c>
      <c r="D720" t="inlineStr">
        <is>
          <t>NORRBOTTENS LÄN</t>
        </is>
      </c>
      <c r="E720" t="inlineStr">
        <is>
          <t>BODEN</t>
        </is>
      </c>
      <c r="F720" t="inlineStr">
        <is>
          <t>SCA</t>
        </is>
      </c>
      <c r="G720" t="n">
        <v>31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977-2026</t>
        </is>
      </c>
      <c r="B721" s="1" t="n">
        <v>46030</v>
      </c>
      <c r="C721" s="1" t="n">
        <v>46200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901-2026</t>
        </is>
      </c>
      <c r="B722" s="1" t="n">
        <v>46030</v>
      </c>
      <c r="C722" s="1" t="n">
        <v>46200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63841-2025</t>
        </is>
      </c>
      <c r="B723" s="1" t="n">
        <v>46020</v>
      </c>
      <c r="C723" s="1" t="n">
        <v>46200</v>
      </c>
      <c r="D723" t="inlineStr">
        <is>
          <t>NORRBOTTENS LÄN</t>
        </is>
      </c>
      <c r="E723" t="inlineStr">
        <is>
          <t>BODEN</t>
        </is>
      </c>
      <c r="G723" t="n">
        <v>10.9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2771-2026</t>
        </is>
      </c>
      <c r="B724" s="1" t="n">
        <v>46036</v>
      </c>
      <c r="C724" s="1" t="n">
        <v>46200</v>
      </c>
      <c r="D724" t="inlineStr">
        <is>
          <t>NORRBOTTENS LÄN</t>
        </is>
      </c>
      <c r="E724" t="inlineStr">
        <is>
          <t>BODEN</t>
        </is>
      </c>
      <c r="F724" t="inlineStr">
        <is>
          <t>Kommuner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2590-2026</t>
        </is>
      </c>
      <c r="B725" s="1" t="n">
        <v>46037</v>
      </c>
      <c r="C725" s="1" t="n">
        <v>46200</v>
      </c>
      <c r="D725" t="inlineStr">
        <is>
          <t>NORRBOTTENS LÄN</t>
        </is>
      </c>
      <c r="E725" t="inlineStr">
        <is>
          <t>BODEN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3493-2026</t>
        </is>
      </c>
      <c r="B726" s="1" t="n">
        <v>46042</v>
      </c>
      <c r="C726" s="1" t="n">
        <v>46200</v>
      </c>
      <c r="D726" t="inlineStr">
        <is>
          <t>NORRBOTTENS LÄN</t>
        </is>
      </c>
      <c r="E726" t="inlineStr">
        <is>
          <t>BODEN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3457-2026</t>
        </is>
      </c>
      <c r="B727" s="1" t="n">
        <v>46042</v>
      </c>
      <c r="C727" s="1" t="n">
        <v>46200</v>
      </c>
      <c r="D727" t="inlineStr">
        <is>
          <t>NORRBOTTENS LÄN</t>
        </is>
      </c>
      <c r="E727" t="inlineStr">
        <is>
          <t>BODEN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4897-2026</t>
        </is>
      </c>
      <c r="B728" s="1" t="n">
        <v>46048</v>
      </c>
      <c r="C728" s="1" t="n">
        <v>46200</v>
      </c>
      <c r="D728" t="inlineStr">
        <is>
          <t>NORRBOTTENS LÄN</t>
        </is>
      </c>
      <c r="E728" t="inlineStr">
        <is>
          <t>BODEN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5457-2026</t>
        </is>
      </c>
      <c r="B729" s="1" t="n">
        <v>46050</v>
      </c>
      <c r="C729" s="1" t="n">
        <v>46200</v>
      </c>
      <c r="D729" t="inlineStr">
        <is>
          <t>NORRBOTTENS LÄN</t>
        </is>
      </c>
      <c r="E729" t="inlineStr">
        <is>
          <t>BODEN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6085-2026</t>
        </is>
      </c>
      <c r="B730" s="1" t="n">
        <v>46052</v>
      </c>
      <c r="C730" s="1" t="n">
        <v>46200</v>
      </c>
      <c r="D730" t="inlineStr">
        <is>
          <t>NORRBOTTENS LÄN</t>
        </is>
      </c>
      <c r="E730" t="inlineStr">
        <is>
          <t>BODEN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6516-2026</t>
        </is>
      </c>
      <c r="B731" s="1" t="n">
        <v>46056</v>
      </c>
      <c r="C731" s="1" t="n">
        <v>46200</v>
      </c>
      <c r="D731" t="inlineStr">
        <is>
          <t>NORRBOTTENS LÄN</t>
        </is>
      </c>
      <c r="E731" t="inlineStr">
        <is>
          <t>BODEN</t>
        </is>
      </c>
      <c r="G731" t="n">
        <v>9.800000000000001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6708-2026</t>
        </is>
      </c>
      <c r="B732" s="1" t="n">
        <v>46056</v>
      </c>
      <c r="C732" s="1" t="n">
        <v>46200</v>
      </c>
      <c r="D732" t="inlineStr">
        <is>
          <t>NORRBOTTENS LÄN</t>
        </is>
      </c>
      <c r="E732" t="inlineStr">
        <is>
          <t>BODEN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7004-2026</t>
        </is>
      </c>
      <c r="B733" s="1" t="n">
        <v>46057</v>
      </c>
      <c r="C733" s="1" t="n">
        <v>46200</v>
      </c>
      <c r="D733" t="inlineStr">
        <is>
          <t>NORRBOTTENS LÄN</t>
        </is>
      </c>
      <c r="E733" t="inlineStr">
        <is>
          <t>BODEN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7370-2026</t>
        </is>
      </c>
      <c r="B734" s="1" t="n">
        <v>46059</v>
      </c>
      <c r="C734" s="1" t="n">
        <v>46200</v>
      </c>
      <c r="D734" t="inlineStr">
        <is>
          <t>NORRBOTTENS LÄN</t>
        </is>
      </c>
      <c r="E734" t="inlineStr">
        <is>
          <t>BODEN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564-2026</t>
        </is>
      </c>
      <c r="B735" s="1" t="n">
        <v>46029</v>
      </c>
      <c r="C735" s="1" t="n">
        <v>46200</v>
      </c>
      <c r="D735" t="inlineStr">
        <is>
          <t>NORRBOTTENS LÄN</t>
        </is>
      </c>
      <c r="E735" t="inlineStr">
        <is>
          <t>BODEN</t>
        </is>
      </c>
      <c r="F735" t="inlineStr">
        <is>
          <t>Naturvårdsverket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7185-2026</t>
        </is>
      </c>
      <c r="B736" s="1" t="n">
        <v>46058</v>
      </c>
      <c r="C736" s="1" t="n">
        <v>46200</v>
      </c>
      <c r="D736" t="inlineStr">
        <is>
          <t>NORRBOTTENS LÄN</t>
        </is>
      </c>
      <c r="E736" t="inlineStr">
        <is>
          <t>BODEN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38511-2025</t>
        </is>
      </c>
      <c r="B737" s="1" t="n">
        <v>45884</v>
      </c>
      <c r="C737" s="1" t="n">
        <v>46200</v>
      </c>
      <c r="D737" t="inlineStr">
        <is>
          <t>NORRBOTTENS LÄN</t>
        </is>
      </c>
      <c r="E737" t="inlineStr">
        <is>
          <t>BODEN</t>
        </is>
      </c>
      <c r="F737" t="inlineStr">
        <is>
          <t>Sveaskog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7669-2026</t>
        </is>
      </c>
      <c r="B738" s="1" t="n">
        <v>46062</v>
      </c>
      <c r="C738" s="1" t="n">
        <v>46200</v>
      </c>
      <c r="D738" t="inlineStr">
        <is>
          <t>NORRBOTTENS LÄN</t>
        </is>
      </c>
      <c r="E738" t="inlineStr">
        <is>
          <t>BODEN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8056-2026</t>
        </is>
      </c>
      <c r="B739" s="1" t="n">
        <v>46063</v>
      </c>
      <c r="C739" s="1" t="n">
        <v>46200</v>
      </c>
      <c r="D739" t="inlineStr">
        <is>
          <t>NORRBOTTENS LÄN</t>
        </is>
      </c>
      <c r="E739" t="inlineStr">
        <is>
          <t>BODEN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7923-2026</t>
        </is>
      </c>
      <c r="B740" s="1" t="n">
        <v>46063</v>
      </c>
      <c r="C740" s="1" t="n">
        <v>46200</v>
      </c>
      <c r="D740" t="inlineStr">
        <is>
          <t>NORRBOTTENS LÄN</t>
        </is>
      </c>
      <c r="E740" t="inlineStr">
        <is>
          <t>BODEN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8433-2026</t>
        </is>
      </c>
      <c r="B741" s="1" t="n">
        <v>46065</v>
      </c>
      <c r="C741" s="1" t="n">
        <v>46200</v>
      </c>
      <c r="D741" t="inlineStr">
        <is>
          <t>NORRBOTTENS LÄN</t>
        </is>
      </c>
      <c r="E741" t="inlineStr">
        <is>
          <t>BODEN</t>
        </is>
      </c>
      <c r="F741" t="inlineStr">
        <is>
          <t>SCA</t>
        </is>
      </c>
      <c r="G741" t="n">
        <v>9.699999999999999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10694-2026</t>
        </is>
      </c>
      <c r="B742" s="1" t="n">
        <v>46078</v>
      </c>
      <c r="C742" s="1" t="n">
        <v>46200</v>
      </c>
      <c r="D742" t="inlineStr">
        <is>
          <t>NORRBOTTENS LÄN</t>
        </is>
      </c>
      <c r="E742" t="inlineStr">
        <is>
          <t>BODEN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10251-2026</t>
        </is>
      </c>
      <c r="B743" s="1" t="n">
        <v>46076</v>
      </c>
      <c r="C743" s="1" t="n">
        <v>46200</v>
      </c>
      <c r="D743" t="inlineStr">
        <is>
          <t>NORRBOTTENS LÄN</t>
        </is>
      </c>
      <c r="E743" t="inlineStr">
        <is>
          <t>BODEN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10231-2026</t>
        </is>
      </c>
      <c r="B744" s="1" t="n">
        <v>46076</v>
      </c>
      <c r="C744" s="1" t="n">
        <v>46200</v>
      </c>
      <c r="D744" t="inlineStr">
        <is>
          <t>NORRBOTTENS LÄN</t>
        </is>
      </c>
      <c r="E744" t="inlineStr">
        <is>
          <t>BODEN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10234-2026</t>
        </is>
      </c>
      <c r="B745" s="1" t="n">
        <v>46076</v>
      </c>
      <c r="C745" s="1" t="n">
        <v>46200</v>
      </c>
      <c r="D745" t="inlineStr">
        <is>
          <t>NORRBOTTENS LÄN</t>
        </is>
      </c>
      <c r="E745" t="inlineStr">
        <is>
          <t>BODEN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11629-2026</t>
        </is>
      </c>
      <c r="B746" s="1" t="n">
        <v>46084</v>
      </c>
      <c r="C746" s="1" t="n">
        <v>46200</v>
      </c>
      <c r="D746" t="inlineStr">
        <is>
          <t>NORRBOTTENS LÄN</t>
        </is>
      </c>
      <c r="E746" t="inlineStr">
        <is>
          <t>BODEN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11632-2026</t>
        </is>
      </c>
      <c r="B747" s="1" t="n">
        <v>46084</v>
      </c>
      <c r="C747" s="1" t="n">
        <v>46200</v>
      </c>
      <c r="D747" t="inlineStr">
        <is>
          <t>NORRBOTTENS LÄN</t>
        </is>
      </c>
      <c r="E747" t="inlineStr">
        <is>
          <t>BODEN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11633-2026</t>
        </is>
      </c>
      <c r="B748" s="1" t="n">
        <v>46084</v>
      </c>
      <c r="C748" s="1" t="n">
        <v>46200</v>
      </c>
      <c r="D748" t="inlineStr">
        <is>
          <t>NORRBOTTENS LÄN</t>
        </is>
      </c>
      <c r="E748" t="inlineStr">
        <is>
          <t>BODEN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11569-2026</t>
        </is>
      </c>
      <c r="B749" s="1" t="n">
        <v>46084</v>
      </c>
      <c r="C749" s="1" t="n">
        <v>46200</v>
      </c>
      <c r="D749" t="inlineStr">
        <is>
          <t>NORRBOTTENS LÄN</t>
        </is>
      </c>
      <c r="E749" t="inlineStr">
        <is>
          <t>BODEN</t>
        </is>
      </c>
      <c r="G749" t="n">
        <v>9.199999999999999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11636-2026</t>
        </is>
      </c>
      <c r="B750" s="1" t="n">
        <v>46084</v>
      </c>
      <c r="C750" s="1" t="n">
        <v>46200</v>
      </c>
      <c r="D750" t="inlineStr">
        <is>
          <t>NORRBOTTENS LÄN</t>
        </is>
      </c>
      <c r="E750" t="inlineStr">
        <is>
          <t>BODEN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11631-2026</t>
        </is>
      </c>
      <c r="B751" s="1" t="n">
        <v>46084</v>
      </c>
      <c r="C751" s="1" t="n">
        <v>46200</v>
      </c>
      <c r="D751" t="inlineStr">
        <is>
          <t>NORRBOTTENS LÄN</t>
        </is>
      </c>
      <c r="E751" t="inlineStr">
        <is>
          <t>BODEN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12183-2026</t>
        </is>
      </c>
      <c r="B752" s="1" t="n">
        <v>46086</v>
      </c>
      <c r="C752" s="1" t="n">
        <v>46200</v>
      </c>
      <c r="D752" t="inlineStr">
        <is>
          <t>NORRBOTTENS LÄN</t>
        </is>
      </c>
      <c r="E752" t="inlineStr">
        <is>
          <t>BODEN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12338-2026</t>
        </is>
      </c>
      <c r="B753" s="1" t="n">
        <v>46087</v>
      </c>
      <c r="C753" s="1" t="n">
        <v>46200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12875-2026</t>
        </is>
      </c>
      <c r="B754" s="1" t="n">
        <v>46092</v>
      </c>
      <c r="C754" s="1" t="n">
        <v>46200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13717-2026</t>
        </is>
      </c>
      <c r="B755" s="1" t="n">
        <v>46097</v>
      </c>
      <c r="C755" s="1" t="n">
        <v>46200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45376-2025</t>
        </is>
      </c>
      <c r="B756" s="1" t="n">
        <v>45922</v>
      </c>
      <c r="C756" s="1" t="n">
        <v>46200</v>
      </c>
      <c r="D756" t="inlineStr">
        <is>
          <t>NORRBOTTENS LÄN</t>
        </is>
      </c>
      <c r="E756" t="inlineStr">
        <is>
          <t>BODEN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14325-2026</t>
        </is>
      </c>
      <c r="B757" s="1" t="n">
        <v>46100</v>
      </c>
      <c r="C757" s="1" t="n">
        <v>46200</v>
      </c>
      <c r="D757" t="inlineStr">
        <is>
          <t>NORRBOTTENS LÄN</t>
        </is>
      </c>
      <c r="E757" t="inlineStr">
        <is>
          <t>BODEN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18002-2025</t>
        </is>
      </c>
      <c r="B758" s="1" t="n">
        <v>45761</v>
      </c>
      <c r="C758" s="1" t="n">
        <v>46200</v>
      </c>
      <c r="D758" t="inlineStr">
        <is>
          <t>NORRBOTTENS LÄN</t>
        </is>
      </c>
      <c r="E758" t="inlineStr">
        <is>
          <t>BODEN</t>
        </is>
      </c>
      <c r="F758" t="inlineStr">
        <is>
          <t>Övriga statliga verk och myndigheter</t>
        </is>
      </c>
      <c r="G758" t="n">
        <v>11.5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14245-2026</t>
        </is>
      </c>
      <c r="B759" s="1" t="n">
        <v>46099</v>
      </c>
      <c r="C759" s="1" t="n">
        <v>46200</v>
      </c>
      <c r="D759" t="inlineStr">
        <is>
          <t>NORRBOTTENS LÄN</t>
        </is>
      </c>
      <c r="E759" t="inlineStr">
        <is>
          <t>BODEN</t>
        </is>
      </c>
      <c r="F759" t="inlineStr">
        <is>
          <t>Sveaskog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15035-2026</t>
        </is>
      </c>
      <c r="B760" s="1" t="n">
        <v>46104</v>
      </c>
      <c r="C760" s="1" t="n">
        <v>46200</v>
      </c>
      <c r="D760" t="inlineStr">
        <is>
          <t>NORRBOTTENS LÄN</t>
        </is>
      </c>
      <c r="E760" t="inlineStr">
        <is>
          <t>BODEN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14984-2026</t>
        </is>
      </c>
      <c r="B761" s="1" t="n">
        <v>46104</v>
      </c>
      <c r="C761" s="1" t="n">
        <v>46200</v>
      </c>
      <c r="D761" t="inlineStr">
        <is>
          <t>NORRBOTTENS LÄN</t>
        </is>
      </c>
      <c r="E761" t="inlineStr">
        <is>
          <t>BODEN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15342-2026</t>
        </is>
      </c>
      <c r="B762" s="1" t="n">
        <v>46105</v>
      </c>
      <c r="C762" s="1" t="n">
        <v>46200</v>
      </c>
      <c r="D762" t="inlineStr">
        <is>
          <t>NORRBOTTENS LÄN</t>
        </is>
      </c>
      <c r="E762" t="inlineStr">
        <is>
          <t>BODEN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16373-2026</t>
        </is>
      </c>
      <c r="B763" s="1" t="n">
        <v>46111</v>
      </c>
      <c r="C763" s="1" t="n">
        <v>46200</v>
      </c>
      <c r="D763" t="inlineStr">
        <is>
          <t>NORRBOTTENS LÄN</t>
        </is>
      </c>
      <c r="E763" t="inlineStr">
        <is>
          <t>BODEN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15667-2026</t>
        </is>
      </c>
      <c r="B764" s="1" t="n">
        <v>46106</v>
      </c>
      <c r="C764" s="1" t="n">
        <v>46200</v>
      </c>
      <c r="D764" t="inlineStr">
        <is>
          <t>NORRBOTTENS LÄN</t>
        </is>
      </c>
      <c r="E764" t="inlineStr">
        <is>
          <t>BODEN</t>
        </is>
      </c>
      <c r="G764" t="n">
        <v>25.9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16334-2026</t>
        </is>
      </c>
      <c r="B765" s="1" t="n">
        <v>46111</v>
      </c>
      <c r="C765" s="1" t="n">
        <v>46200</v>
      </c>
      <c r="D765" t="inlineStr">
        <is>
          <t>NORRBOTTENS LÄN</t>
        </is>
      </c>
      <c r="E765" t="inlineStr">
        <is>
          <t>BODEN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16336-2026</t>
        </is>
      </c>
      <c r="B766" s="1" t="n">
        <v>46111</v>
      </c>
      <c r="C766" s="1" t="n">
        <v>46200</v>
      </c>
      <c r="D766" t="inlineStr">
        <is>
          <t>NORRBOTTENS LÄN</t>
        </is>
      </c>
      <c r="E766" t="inlineStr">
        <is>
          <t>BODEN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57575-2025</t>
        </is>
      </c>
      <c r="B767" s="1" t="n">
        <v>45980</v>
      </c>
      <c r="C767" s="1" t="n">
        <v>46200</v>
      </c>
      <c r="D767" t="inlineStr">
        <is>
          <t>NORRBOTTENS LÄN</t>
        </is>
      </c>
      <c r="E767" t="inlineStr">
        <is>
          <t>BODEN</t>
        </is>
      </c>
      <c r="G767" t="n">
        <v>19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23788-2026</t>
        </is>
      </c>
      <c r="B768" s="1" t="n">
        <v>46164</v>
      </c>
      <c r="C768" s="1" t="n">
        <v>46200</v>
      </c>
      <c r="D768" t="inlineStr">
        <is>
          <t>NORRBOTTENS LÄN</t>
        </is>
      </c>
      <c r="E768" t="inlineStr">
        <is>
          <t>BODEN</t>
        </is>
      </c>
      <c r="F768" t="inlineStr">
        <is>
          <t>Sveaskog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23790-2026</t>
        </is>
      </c>
      <c r="B769" s="1" t="n">
        <v>46164</v>
      </c>
      <c r="C769" s="1" t="n">
        <v>46200</v>
      </c>
      <c r="D769" t="inlineStr">
        <is>
          <t>NORRBOTTENS LÄN</t>
        </is>
      </c>
      <c r="E769" t="inlineStr">
        <is>
          <t>BODEN</t>
        </is>
      </c>
      <c r="F769" t="inlineStr">
        <is>
          <t>Sveaskog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23792-2026</t>
        </is>
      </c>
      <c r="B770" s="1" t="n">
        <v>46164</v>
      </c>
      <c r="C770" s="1" t="n">
        <v>46200</v>
      </c>
      <c r="D770" t="inlineStr">
        <is>
          <t>NORRBOTTENS LÄN</t>
        </is>
      </c>
      <c r="E770" t="inlineStr">
        <is>
          <t>BODEN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17909-2026</t>
        </is>
      </c>
      <c r="B771" s="1" t="n">
        <v>46122</v>
      </c>
      <c r="C771" s="1" t="n">
        <v>46200</v>
      </c>
      <c r="D771" t="inlineStr">
        <is>
          <t>NORRBOTTENS LÄN</t>
        </is>
      </c>
      <c r="E771" t="inlineStr">
        <is>
          <t>BODEN</t>
        </is>
      </c>
      <c r="F771" t="inlineStr">
        <is>
          <t>SCA</t>
        </is>
      </c>
      <c r="G771" t="n">
        <v>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23789-2026</t>
        </is>
      </c>
      <c r="B772" s="1" t="n">
        <v>46164</v>
      </c>
      <c r="C772" s="1" t="n">
        <v>46200</v>
      </c>
      <c r="D772" t="inlineStr">
        <is>
          <t>NORRBOTTENS LÄN</t>
        </is>
      </c>
      <c r="E772" t="inlineStr">
        <is>
          <t>BODEN</t>
        </is>
      </c>
      <c r="F772" t="inlineStr">
        <is>
          <t>Sveaskog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17810-2026</t>
        </is>
      </c>
      <c r="B773" s="1" t="n">
        <v>46122</v>
      </c>
      <c r="C773" s="1" t="n">
        <v>46200</v>
      </c>
      <c r="D773" t="inlineStr">
        <is>
          <t>NORRBOTTENS LÄN</t>
        </is>
      </c>
      <c r="E773" t="inlineStr">
        <is>
          <t>BODEN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24234-2026</t>
        </is>
      </c>
      <c r="B774" s="1" t="n">
        <v>46168</v>
      </c>
      <c r="C774" s="1" t="n">
        <v>46200</v>
      </c>
      <c r="D774" t="inlineStr">
        <is>
          <t>NORRBOTTENS LÄN</t>
        </is>
      </c>
      <c r="E774" t="inlineStr">
        <is>
          <t>BODEN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18221-2026</t>
        </is>
      </c>
      <c r="B775" s="1" t="n">
        <v>46126</v>
      </c>
      <c r="C775" s="1" t="n">
        <v>46200</v>
      </c>
      <c r="D775" t="inlineStr">
        <is>
          <t>NORRBOTTENS LÄN</t>
        </is>
      </c>
      <c r="E775" t="inlineStr">
        <is>
          <t>BODEN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24225-2026</t>
        </is>
      </c>
      <c r="B776" s="1" t="n">
        <v>46168</v>
      </c>
      <c r="C776" s="1" t="n">
        <v>46200</v>
      </c>
      <c r="D776" t="inlineStr">
        <is>
          <t>NORRBOTTENS LÄN</t>
        </is>
      </c>
      <c r="E776" t="inlineStr">
        <is>
          <t>BODEN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18401-2026</t>
        </is>
      </c>
      <c r="B777" s="1" t="n">
        <v>46126</v>
      </c>
      <c r="C777" s="1" t="n">
        <v>46200</v>
      </c>
      <c r="D777" t="inlineStr">
        <is>
          <t>NORRBOTTENS LÄN</t>
        </is>
      </c>
      <c r="E777" t="inlineStr">
        <is>
          <t>BODEN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24235-2026</t>
        </is>
      </c>
      <c r="B778" s="1" t="n">
        <v>46168</v>
      </c>
      <c r="C778" s="1" t="n">
        <v>46200</v>
      </c>
      <c r="D778" t="inlineStr">
        <is>
          <t>NORRBOTTENS LÄN</t>
        </is>
      </c>
      <c r="E778" t="inlineStr">
        <is>
          <t>BODEN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24221-2026</t>
        </is>
      </c>
      <c r="B779" s="1" t="n">
        <v>46168</v>
      </c>
      <c r="C779" s="1" t="n">
        <v>46200</v>
      </c>
      <c r="D779" t="inlineStr">
        <is>
          <t>NORRBOTTENS LÄN</t>
        </is>
      </c>
      <c r="E779" t="inlineStr">
        <is>
          <t>BODEN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24227-2026</t>
        </is>
      </c>
      <c r="B780" s="1" t="n">
        <v>46168</v>
      </c>
      <c r="C780" s="1" t="n">
        <v>46200</v>
      </c>
      <c r="D780" t="inlineStr">
        <is>
          <t>NORRBOTTENS LÄN</t>
        </is>
      </c>
      <c r="E780" t="inlineStr">
        <is>
          <t>BODEN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24431-2026</t>
        </is>
      </c>
      <c r="B781" s="1" t="n">
        <v>46168</v>
      </c>
      <c r="C781" s="1" t="n">
        <v>46200</v>
      </c>
      <c r="D781" t="inlineStr">
        <is>
          <t>NORRBOTTENS LÄN</t>
        </is>
      </c>
      <c r="E781" t="inlineStr">
        <is>
          <t>BODEN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24427-2026</t>
        </is>
      </c>
      <c r="B782" s="1" t="n">
        <v>46168</v>
      </c>
      <c r="C782" s="1" t="n">
        <v>46200</v>
      </c>
      <c r="D782" t="inlineStr">
        <is>
          <t>NORRBOTTENS LÄN</t>
        </is>
      </c>
      <c r="E782" t="inlineStr">
        <is>
          <t>BODEN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18448-2026</t>
        </is>
      </c>
      <c r="B783" s="1" t="n">
        <v>46127</v>
      </c>
      <c r="C783" s="1" t="n">
        <v>46200</v>
      </c>
      <c r="D783" t="inlineStr">
        <is>
          <t>NORRBOTTENS LÄN</t>
        </is>
      </c>
      <c r="E783" t="inlineStr">
        <is>
          <t>BODEN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24717-2026</t>
        </is>
      </c>
      <c r="B784" s="1" t="n">
        <v>46171</v>
      </c>
      <c r="C784" s="1" t="n">
        <v>46200</v>
      </c>
      <c r="D784" t="inlineStr">
        <is>
          <t>NORRBOTTENS LÄN</t>
        </is>
      </c>
      <c r="E784" t="inlineStr">
        <is>
          <t>BODEN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24428-2026</t>
        </is>
      </c>
      <c r="B785" s="1" t="n">
        <v>46168</v>
      </c>
      <c r="C785" s="1" t="n">
        <v>46200</v>
      </c>
      <c r="D785" t="inlineStr">
        <is>
          <t>NORRBOTTENS LÄN</t>
        </is>
      </c>
      <c r="E785" t="inlineStr">
        <is>
          <t>BODEN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24430-2026</t>
        </is>
      </c>
      <c r="B786" s="1" t="n">
        <v>46168</v>
      </c>
      <c r="C786" s="1" t="n">
        <v>46200</v>
      </c>
      <c r="D786" t="inlineStr">
        <is>
          <t>NORRBOTTENS LÄN</t>
        </is>
      </c>
      <c r="E786" t="inlineStr">
        <is>
          <t>BODEN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24805-2026</t>
        </is>
      </c>
      <c r="B787" s="1" t="n">
        <v>46172</v>
      </c>
      <c r="C787" s="1" t="n">
        <v>46200</v>
      </c>
      <c r="D787" t="inlineStr">
        <is>
          <t>NORRBOTTENS LÄN</t>
        </is>
      </c>
      <c r="E787" t="inlineStr">
        <is>
          <t>BODEN</t>
        </is>
      </c>
      <c r="F787" t="inlineStr">
        <is>
          <t>SCA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25042-2026</t>
        </is>
      </c>
      <c r="B788" s="1" t="n">
        <v>46174</v>
      </c>
      <c r="C788" s="1" t="n">
        <v>46200</v>
      </c>
      <c r="D788" t="inlineStr">
        <is>
          <t>NORRBOTTENS LÄN</t>
        </is>
      </c>
      <c r="E788" t="inlineStr">
        <is>
          <t>BODEN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19050-2026</t>
        </is>
      </c>
      <c r="B789" s="1" t="n">
        <v>46132</v>
      </c>
      <c r="C789" s="1" t="n">
        <v>46200</v>
      </c>
      <c r="D789" t="inlineStr">
        <is>
          <t>NORRBOTTENS LÄN</t>
        </is>
      </c>
      <c r="E789" t="inlineStr">
        <is>
          <t>BODEN</t>
        </is>
      </c>
      <c r="F789" t="inlineStr">
        <is>
          <t>SCA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19091-2026</t>
        </is>
      </c>
      <c r="B790" s="1" t="n">
        <v>46132</v>
      </c>
      <c r="C790" s="1" t="n">
        <v>46200</v>
      </c>
      <c r="D790" t="inlineStr">
        <is>
          <t>NORRBOTTENS LÄN</t>
        </is>
      </c>
      <c r="E790" t="inlineStr">
        <is>
          <t>BODEN</t>
        </is>
      </c>
      <c r="G790" t="n">
        <v>11.7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19200-2026</t>
        </is>
      </c>
      <c r="B791" s="1" t="n">
        <v>46132</v>
      </c>
      <c r="C791" s="1" t="n">
        <v>46200</v>
      </c>
      <c r="D791" t="inlineStr">
        <is>
          <t>NORRBOTTENS LÄN</t>
        </is>
      </c>
      <c r="E791" t="inlineStr">
        <is>
          <t>BODEN</t>
        </is>
      </c>
      <c r="F791" t="inlineStr">
        <is>
          <t>SCA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19049-2026</t>
        </is>
      </c>
      <c r="B792" s="1" t="n">
        <v>46132</v>
      </c>
      <c r="C792" s="1" t="n">
        <v>46200</v>
      </c>
      <c r="D792" t="inlineStr">
        <is>
          <t>NORRBOTTENS LÄN</t>
        </is>
      </c>
      <c r="E792" t="inlineStr">
        <is>
          <t>BODEN</t>
        </is>
      </c>
      <c r="F792" t="inlineStr">
        <is>
          <t>SCA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25240-2026</t>
        </is>
      </c>
      <c r="B793" s="1" t="n">
        <v>46175</v>
      </c>
      <c r="C793" s="1" t="n">
        <v>46200</v>
      </c>
      <c r="D793" t="inlineStr">
        <is>
          <t>NORRBOTTENS LÄN</t>
        </is>
      </c>
      <c r="E793" t="inlineStr">
        <is>
          <t>BODEN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62589-2025</t>
        </is>
      </c>
      <c r="B794" s="1" t="n">
        <v>46007</v>
      </c>
      <c r="C794" s="1" t="n">
        <v>46200</v>
      </c>
      <c r="D794" t="inlineStr">
        <is>
          <t>NORRBOTTENS LÄN</t>
        </is>
      </c>
      <c r="E794" t="inlineStr">
        <is>
          <t>BODEN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25536-2026</t>
        </is>
      </c>
      <c r="B795" s="1" t="n">
        <v>46177</v>
      </c>
      <c r="C795" s="1" t="n">
        <v>46200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19887-2026</t>
        </is>
      </c>
      <c r="B796" s="1" t="n">
        <v>46135</v>
      </c>
      <c r="C796" s="1" t="n">
        <v>46200</v>
      </c>
      <c r="D796" t="inlineStr">
        <is>
          <t>NORRBOTTENS LÄN</t>
        </is>
      </c>
      <c r="E796" t="inlineStr">
        <is>
          <t>BODEN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25571-2026</t>
        </is>
      </c>
      <c r="B797" s="1" t="n">
        <v>46177</v>
      </c>
      <c r="C797" s="1" t="n">
        <v>46200</v>
      </c>
      <c r="D797" t="inlineStr">
        <is>
          <t>NORRBOTTENS LÄN</t>
        </is>
      </c>
      <c r="E797" t="inlineStr">
        <is>
          <t>BODEN</t>
        </is>
      </c>
      <c r="F797" t="inlineStr">
        <is>
          <t>SCA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20069-2026</t>
        </is>
      </c>
      <c r="B798" s="1" t="n">
        <v>46136</v>
      </c>
      <c r="C798" s="1" t="n">
        <v>46200</v>
      </c>
      <c r="D798" t="inlineStr">
        <is>
          <t>NORRBOTTENS LÄN</t>
        </is>
      </c>
      <c r="E798" t="inlineStr">
        <is>
          <t>BODEN</t>
        </is>
      </c>
      <c r="F798" t="inlineStr">
        <is>
          <t>SCA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10254-2026</t>
        </is>
      </c>
      <c r="B799" s="1" t="n">
        <v>46076</v>
      </c>
      <c r="C799" s="1" t="n">
        <v>46200</v>
      </c>
      <c r="D799" t="inlineStr">
        <is>
          <t>NORRBOTTENS LÄN</t>
        </is>
      </c>
      <c r="E799" t="inlineStr">
        <is>
          <t>BODEN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62017-2025</t>
        </is>
      </c>
      <c r="B800" s="1" t="n">
        <v>46003</v>
      </c>
      <c r="C800" s="1" t="n">
        <v>46200</v>
      </c>
      <c r="D800" t="inlineStr">
        <is>
          <t>NORRBOTTENS LÄN</t>
        </is>
      </c>
      <c r="E800" t="inlineStr">
        <is>
          <t>BODEN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57600-2021</t>
        </is>
      </c>
      <c r="B801" s="1" t="n">
        <v>44484</v>
      </c>
      <c r="C801" s="1" t="n">
        <v>46200</v>
      </c>
      <c r="D801" t="inlineStr">
        <is>
          <t>NORRBOTTENS LÄN</t>
        </is>
      </c>
      <c r="E801" t="inlineStr">
        <is>
          <t>BODEN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26056-2026</t>
        </is>
      </c>
      <c r="B802" s="1" t="n">
        <v>46181</v>
      </c>
      <c r="C802" s="1" t="n">
        <v>46200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672-2026</t>
        </is>
      </c>
      <c r="B803" s="1" t="n">
        <v>46029</v>
      </c>
      <c r="C803" s="1" t="n">
        <v>46200</v>
      </c>
      <c r="D803" t="inlineStr">
        <is>
          <t>NORRBOTTENS LÄN</t>
        </is>
      </c>
      <c r="E803" t="inlineStr">
        <is>
          <t>BODEN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60776-2025</t>
        </is>
      </c>
      <c r="B804" s="1" t="n">
        <v>45999</v>
      </c>
      <c r="C804" s="1" t="n">
        <v>46200</v>
      </c>
      <c r="D804" t="inlineStr">
        <is>
          <t>NORRBOTTENS LÄN</t>
        </is>
      </c>
      <c r="E804" t="inlineStr">
        <is>
          <t>BODEN</t>
        </is>
      </c>
      <c r="G804" t="n">
        <v>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61988-2025</t>
        </is>
      </c>
      <c r="B805" s="1" t="n">
        <v>46003</v>
      </c>
      <c r="C805" s="1" t="n">
        <v>46200</v>
      </c>
      <c r="D805" t="inlineStr">
        <is>
          <t>NORRBOTTENS LÄN</t>
        </is>
      </c>
      <c r="E805" t="inlineStr">
        <is>
          <t>BODEN</t>
        </is>
      </c>
      <c r="F805" t="inlineStr">
        <is>
          <t>SCA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36463-2021</t>
        </is>
      </c>
      <c r="B806" s="1" t="n">
        <v>44391</v>
      </c>
      <c r="C806" s="1" t="n">
        <v>46200</v>
      </c>
      <c r="D806" t="inlineStr">
        <is>
          <t>NORRBOTTENS LÄN</t>
        </is>
      </c>
      <c r="E806" t="inlineStr">
        <is>
          <t>BODEN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16700-2024</t>
        </is>
      </c>
      <c r="B807" s="1" t="n">
        <v>45408</v>
      </c>
      <c r="C807" s="1" t="n">
        <v>46200</v>
      </c>
      <c r="D807" t="inlineStr">
        <is>
          <t>NORRBOTTENS LÄN</t>
        </is>
      </c>
      <c r="E807" t="inlineStr">
        <is>
          <t>BODEN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26122-2026</t>
        </is>
      </c>
      <c r="B808" s="1" t="n">
        <v>46181</v>
      </c>
      <c r="C808" s="1" t="n">
        <v>46200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25817-2026</t>
        </is>
      </c>
      <c r="B809" s="1" t="n">
        <v>46178</v>
      </c>
      <c r="C809" s="1" t="n">
        <v>46200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7.5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50561-2025</t>
        </is>
      </c>
      <c r="B810" s="1" t="n">
        <v>45944</v>
      </c>
      <c r="C810" s="1" t="n">
        <v>46200</v>
      </c>
      <c r="D810" t="inlineStr">
        <is>
          <t>NORRBOTTENS LÄN</t>
        </is>
      </c>
      <c r="E810" t="inlineStr">
        <is>
          <t>BODEN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28139-2025</t>
        </is>
      </c>
      <c r="B811" s="1" t="n">
        <v>45818</v>
      </c>
      <c r="C811" s="1" t="n">
        <v>46200</v>
      </c>
      <c r="D811" t="inlineStr">
        <is>
          <t>NORRBOTTENS LÄN</t>
        </is>
      </c>
      <c r="E811" t="inlineStr">
        <is>
          <t>BODEN</t>
        </is>
      </c>
      <c r="F811" t="inlineStr">
        <is>
          <t>SCA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35755-2025</t>
        </is>
      </c>
      <c r="B812" s="1" t="n">
        <v>45860</v>
      </c>
      <c r="C812" s="1" t="n">
        <v>46200</v>
      </c>
      <c r="D812" t="inlineStr">
        <is>
          <t>NORRBOTTENS LÄN</t>
        </is>
      </c>
      <c r="E812" t="inlineStr">
        <is>
          <t>BODEN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48459-2025</t>
        </is>
      </c>
      <c r="B813" s="1" t="n">
        <v>45935</v>
      </c>
      <c r="C813" s="1" t="n">
        <v>46200</v>
      </c>
      <c r="D813" t="inlineStr">
        <is>
          <t>NORRBOTTENS LÄN</t>
        </is>
      </c>
      <c r="E813" t="inlineStr">
        <is>
          <t>BODEN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32775-2025</t>
        </is>
      </c>
      <c r="B814" s="1" t="n">
        <v>45839</v>
      </c>
      <c r="C814" s="1" t="n">
        <v>46200</v>
      </c>
      <c r="D814" t="inlineStr">
        <is>
          <t>NORRBOTTENS LÄN</t>
        </is>
      </c>
      <c r="E814" t="inlineStr">
        <is>
          <t>BODEN</t>
        </is>
      </c>
      <c r="G814" t="n">
        <v>13.6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26494-2026</t>
        </is>
      </c>
      <c r="B815" s="1" t="n">
        <v>46183</v>
      </c>
      <c r="C815" s="1" t="n">
        <v>46200</v>
      </c>
      <c r="D815" t="inlineStr">
        <is>
          <t>NORRBOTTENS LÄN</t>
        </is>
      </c>
      <c r="E815" t="inlineStr">
        <is>
          <t>BODEN</t>
        </is>
      </c>
      <c r="F815" t="inlineStr">
        <is>
          <t>SCA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26375-2026</t>
        </is>
      </c>
      <c r="B816" s="1" t="n">
        <v>46183</v>
      </c>
      <c r="C816" s="1" t="n">
        <v>46200</v>
      </c>
      <c r="D816" t="inlineStr">
        <is>
          <t>NORRBOTTENS LÄN</t>
        </is>
      </c>
      <c r="E816" t="inlineStr">
        <is>
          <t>BODEN</t>
        </is>
      </c>
      <c r="G816" t="n">
        <v>18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24498-2026</t>
        </is>
      </c>
      <c r="B817" s="1" t="n">
        <v>46170</v>
      </c>
      <c r="C817" s="1" t="n">
        <v>46200</v>
      </c>
      <c r="D817" t="inlineStr">
        <is>
          <t>NORRBOTTENS LÄN</t>
        </is>
      </c>
      <c r="E817" t="inlineStr">
        <is>
          <t>BODEN</t>
        </is>
      </c>
      <c r="F817" t="inlineStr">
        <is>
          <t>SCA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41649-2025</t>
        </is>
      </c>
      <c r="B818" s="1" t="n">
        <v>45902</v>
      </c>
      <c r="C818" s="1" t="n">
        <v>46200</v>
      </c>
      <c r="D818" t="inlineStr">
        <is>
          <t>NORRBOTTENS LÄN</t>
        </is>
      </c>
      <c r="E818" t="inlineStr">
        <is>
          <t>BODEN</t>
        </is>
      </c>
      <c r="F818" t="inlineStr">
        <is>
          <t>Sveaskog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736-2026</t>
        </is>
      </c>
      <c r="B819" s="1" t="n">
        <v>46029</v>
      </c>
      <c r="C819" s="1" t="n">
        <v>46200</v>
      </c>
      <c r="D819" t="inlineStr">
        <is>
          <t>NORRBOTTENS LÄN</t>
        </is>
      </c>
      <c r="E819" t="inlineStr">
        <is>
          <t>BODEN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47024-2024</t>
        </is>
      </c>
      <c r="B820" s="1" t="n">
        <v>45586</v>
      </c>
      <c r="C820" s="1" t="n">
        <v>46200</v>
      </c>
      <c r="D820" t="inlineStr">
        <is>
          <t>NORRBOTTENS LÄN</t>
        </is>
      </c>
      <c r="E820" t="inlineStr">
        <is>
          <t>BODEN</t>
        </is>
      </c>
      <c r="F820" t="inlineStr">
        <is>
          <t>Sveaskog</t>
        </is>
      </c>
      <c r="G820" t="n">
        <v>12.8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23323-2025</t>
        </is>
      </c>
      <c r="B821" s="1" t="n">
        <v>45791</v>
      </c>
      <c r="C821" s="1" t="n">
        <v>46200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21.8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26182-2026</t>
        </is>
      </c>
      <c r="B822" s="1" t="n">
        <v>46182</v>
      </c>
      <c r="C822" s="1" t="n">
        <v>46200</v>
      </c>
      <c r="D822" t="inlineStr">
        <is>
          <t>NORRBOTTENS LÄN</t>
        </is>
      </c>
      <c r="E822" t="inlineStr">
        <is>
          <t>BODEN</t>
        </is>
      </c>
      <c r="F822" t="inlineStr">
        <is>
          <t>SCA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26448-2026</t>
        </is>
      </c>
      <c r="B823" s="1" t="n">
        <v>46183</v>
      </c>
      <c r="C823" s="1" t="n">
        <v>46200</v>
      </c>
      <c r="D823" t="inlineStr">
        <is>
          <t>NORRBOTTENS LÄN</t>
        </is>
      </c>
      <c r="E823" t="inlineStr">
        <is>
          <t>BODEN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11634-2026</t>
        </is>
      </c>
      <c r="B824" s="1" t="n">
        <v>46084</v>
      </c>
      <c r="C824" s="1" t="n">
        <v>46200</v>
      </c>
      <c r="D824" t="inlineStr">
        <is>
          <t>NORRBOTTENS LÄN</t>
        </is>
      </c>
      <c r="E824" t="inlineStr">
        <is>
          <t>BODEN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10240-2026</t>
        </is>
      </c>
      <c r="B825" s="1" t="n">
        <v>46076</v>
      </c>
      <c r="C825" s="1" t="n">
        <v>46200</v>
      </c>
      <c r="D825" t="inlineStr">
        <is>
          <t>NORRBOTTENS LÄN</t>
        </is>
      </c>
      <c r="E825" t="inlineStr">
        <is>
          <t>BODEN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31195-2025</t>
        </is>
      </c>
      <c r="B826" s="1" t="n">
        <v>45832</v>
      </c>
      <c r="C826" s="1" t="n">
        <v>46200</v>
      </c>
      <c r="D826" t="inlineStr">
        <is>
          <t>NORRBOTTENS LÄN</t>
        </is>
      </c>
      <c r="E826" t="inlineStr">
        <is>
          <t>BODEN</t>
        </is>
      </c>
      <c r="G826" t="n">
        <v>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26386-2026</t>
        </is>
      </c>
      <c r="B827" s="1" t="n">
        <v>46183</v>
      </c>
      <c r="C827" s="1" t="n">
        <v>46200</v>
      </c>
      <c r="D827" t="inlineStr">
        <is>
          <t>NORRBOTTENS LÄN</t>
        </is>
      </c>
      <c r="E827" t="inlineStr">
        <is>
          <t>BODEN</t>
        </is>
      </c>
      <c r="F827" t="inlineStr">
        <is>
          <t>SCA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28248-2025</t>
        </is>
      </c>
      <c r="B828" s="1" t="n">
        <v>45818</v>
      </c>
      <c r="C828" s="1" t="n">
        <v>46200</v>
      </c>
      <c r="D828" t="inlineStr">
        <is>
          <t>NORRBOTTENS LÄN</t>
        </is>
      </c>
      <c r="E828" t="inlineStr">
        <is>
          <t>BODEN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61214-2024</t>
        </is>
      </c>
      <c r="B829" s="1" t="n">
        <v>45645</v>
      </c>
      <c r="C829" s="1" t="n">
        <v>46200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26714-2026</t>
        </is>
      </c>
      <c r="B830" s="1" t="n">
        <v>46184</v>
      </c>
      <c r="C830" s="1" t="n">
        <v>46200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26776-2026</t>
        </is>
      </c>
      <c r="B831" s="1" t="n">
        <v>46184</v>
      </c>
      <c r="C831" s="1" t="n">
        <v>46200</v>
      </c>
      <c r="D831" t="inlineStr">
        <is>
          <t>NORRBOTTENS LÄN</t>
        </is>
      </c>
      <c r="E831" t="inlineStr">
        <is>
          <t>BODEN</t>
        </is>
      </c>
      <c r="F831" t="inlineStr">
        <is>
          <t>Sveaskog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  <c r="U831">
        <f>HYPERLINK("https://klasma.github.io/Logging_2582/knärot/A 26776-2026 karta knärot.png", "A 26776-2026")</f>
        <v/>
      </c>
      <c r="V831">
        <f>HYPERLINK("https://klasma.github.io/Logging_2582/klagomål/A 26776-2026 FSC-klagomål.docx", "A 26776-2026")</f>
        <v/>
      </c>
      <c r="W831">
        <f>HYPERLINK("https://klasma.github.io/Logging_2582/klagomålsmail/A 26776-2026 FSC-klagomål mail.docx", "A 26776-2026")</f>
        <v/>
      </c>
      <c r="X831">
        <f>HYPERLINK("https://klasma.github.io/Logging_2582/tillsyn/A 26776-2026 tillsynsbegäran.docx", "A 26776-2026")</f>
        <v/>
      </c>
      <c r="Y831">
        <f>HYPERLINK("https://klasma.github.io/Logging_2582/tillsynsmail/A 26776-2026 tillsynsbegäran mail.docx", "A 26776-2026")</f>
        <v/>
      </c>
    </row>
    <row r="832" ht="15" customHeight="1">
      <c r="A832" t="inlineStr">
        <is>
          <t>A 26662-2026</t>
        </is>
      </c>
      <c r="B832" s="1" t="n">
        <v>46184</v>
      </c>
      <c r="C832" s="1" t="n">
        <v>46200</v>
      </c>
      <c r="D832" t="inlineStr">
        <is>
          <t>NORRBOTTENS LÄN</t>
        </is>
      </c>
      <c r="E832" t="inlineStr">
        <is>
          <t>BODEN</t>
        </is>
      </c>
      <c r="F832" t="inlineStr">
        <is>
          <t>Sveaskog</t>
        </is>
      </c>
      <c r="G832" t="n">
        <v>42.2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26996-2026</t>
        </is>
      </c>
      <c r="B833" s="1" t="n">
        <v>46185</v>
      </c>
      <c r="C833" s="1" t="n">
        <v>46200</v>
      </c>
      <c r="D833" t="inlineStr">
        <is>
          <t>NORRBOTTENS LÄN</t>
        </is>
      </c>
      <c r="E833" t="inlineStr">
        <is>
          <t>BODEN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21011-2026</t>
        </is>
      </c>
      <c r="B834" s="1" t="n">
        <v>46142</v>
      </c>
      <c r="C834" s="1" t="n">
        <v>46200</v>
      </c>
      <c r="D834" t="inlineStr">
        <is>
          <t>NORRBOTTENS LÄN</t>
        </is>
      </c>
      <c r="E834" t="inlineStr">
        <is>
          <t>BODEN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21279-2026</t>
        </is>
      </c>
      <c r="B835" s="1" t="n">
        <v>46147</v>
      </c>
      <c r="C835" s="1" t="n">
        <v>46200</v>
      </c>
      <c r="D835" t="inlineStr">
        <is>
          <t>NORRBOTTENS LÄN</t>
        </is>
      </c>
      <c r="E835" t="inlineStr">
        <is>
          <t>BODEN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40115-2025</t>
        </is>
      </c>
      <c r="B836" s="1" t="n">
        <v>45893</v>
      </c>
      <c r="C836" s="1" t="n">
        <v>46200</v>
      </c>
      <c r="D836" t="inlineStr">
        <is>
          <t>NORRBOTTENS LÄN</t>
        </is>
      </c>
      <c r="E836" t="inlineStr">
        <is>
          <t>BODEN</t>
        </is>
      </c>
      <c r="F836" t="inlineStr">
        <is>
          <t>Övriga statliga verk och myndigheter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40157-2025</t>
        </is>
      </c>
      <c r="B837" s="1" t="n">
        <v>45894</v>
      </c>
      <c r="C837" s="1" t="n">
        <v>46200</v>
      </c>
      <c r="D837" t="inlineStr">
        <is>
          <t>NORRBOTTENS LÄN</t>
        </is>
      </c>
      <c r="E837" t="inlineStr">
        <is>
          <t>BODEN</t>
        </is>
      </c>
      <c r="F837" t="inlineStr">
        <is>
          <t>Övriga statliga verk och myndigheter</t>
        </is>
      </c>
      <c r="G837" t="n">
        <v>17.6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33511-2025</t>
        </is>
      </c>
      <c r="B838" s="1" t="n">
        <v>45841</v>
      </c>
      <c r="C838" s="1" t="n">
        <v>46200</v>
      </c>
      <c r="D838" t="inlineStr">
        <is>
          <t>NORRBOTTENS LÄN</t>
        </is>
      </c>
      <c r="E838" t="inlineStr">
        <is>
          <t>BODEN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21478-2026</t>
        </is>
      </c>
      <c r="B839" s="1" t="n">
        <v>46148</v>
      </c>
      <c r="C839" s="1" t="n">
        <v>46200</v>
      </c>
      <c r="D839" t="inlineStr">
        <is>
          <t>NORRBOTTENS LÄN</t>
        </is>
      </c>
      <c r="E839" t="inlineStr">
        <is>
          <t>BODEN</t>
        </is>
      </c>
      <c r="F839" t="inlineStr">
        <is>
          <t>Sveaskog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27736-2026</t>
        </is>
      </c>
      <c r="B840" s="1" t="n">
        <v>46191</v>
      </c>
      <c r="C840" s="1" t="n">
        <v>46200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27698-2026</t>
        </is>
      </c>
      <c r="B841" s="1" t="n">
        <v>46190</v>
      </c>
      <c r="C841" s="1" t="n">
        <v>46200</v>
      </c>
      <c r="D841" t="inlineStr">
        <is>
          <t>NORRBOTTENS LÄN</t>
        </is>
      </c>
      <c r="E841" t="inlineStr">
        <is>
          <t>BODEN</t>
        </is>
      </c>
      <c r="G841" t="n">
        <v>22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21688-2026</t>
        </is>
      </c>
      <c r="B842" s="1" t="n">
        <v>46149</v>
      </c>
      <c r="C842" s="1" t="n">
        <v>46200</v>
      </c>
      <c r="D842" t="inlineStr">
        <is>
          <t>NORRBOTTENS LÄN</t>
        </is>
      </c>
      <c r="E842" t="inlineStr">
        <is>
          <t>BODEN</t>
        </is>
      </c>
      <c r="G842" t="n">
        <v>11.6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21610-2026</t>
        </is>
      </c>
      <c r="B843" s="1" t="n">
        <v>46149</v>
      </c>
      <c r="C843" s="1" t="n">
        <v>46200</v>
      </c>
      <c r="D843" t="inlineStr">
        <is>
          <t>NORRBOTTENS LÄN</t>
        </is>
      </c>
      <c r="E843" t="inlineStr">
        <is>
          <t>BODEN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21703-2026</t>
        </is>
      </c>
      <c r="B844" s="1" t="n">
        <v>46149</v>
      </c>
      <c r="C844" s="1" t="n">
        <v>46200</v>
      </c>
      <c r="D844" t="inlineStr">
        <is>
          <t>NORRBOTTENS LÄN</t>
        </is>
      </c>
      <c r="E844" t="inlineStr">
        <is>
          <t>BODEN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27749-2026</t>
        </is>
      </c>
      <c r="B845" s="1" t="n">
        <v>46191</v>
      </c>
      <c r="C845" s="1" t="n">
        <v>46200</v>
      </c>
      <c r="D845" t="inlineStr">
        <is>
          <t>NORRBOTTENS LÄN</t>
        </is>
      </c>
      <c r="E845" t="inlineStr">
        <is>
          <t>BODEN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22264-2026</t>
        </is>
      </c>
      <c r="B846" s="1" t="n">
        <v>46150</v>
      </c>
      <c r="C846" s="1" t="n">
        <v>46200</v>
      </c>
      <c r="D846" t="inlineStr">
        <is>
          <t>NORRBOTTENS LÄN</t>
        </is>
      </c>
      <c r="E846" t="inlineStr">
        <is>
          <t>BODEN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22259-2026</t>
        </is>
      </c>
      <c r="B847" s="1" t="n">
        <v>46150</v>
      </c>
      <c r="C847" s="1" t="n">
        <v>46200</v>
      </c>
      <c r="D847" t="inlineStr">
        <is>
          <t>NORRBOTTENS LÄN</t>
        </is>
      </c>
      <c r="E847" t="inlineStr">
        <is>
          <t>BODEN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21784-2026</t>
        </is>
      </c>
      <c r="B848" s="1" t="n">
        <v>46150</v>
      </c>
      <c r="C848" s="1" t="n">
        <v>46200</v>
      </c>
      <c r="D848" t="inlineStr">
        <is>
          <t>NORRBOTTENS LÄN</t>
        </is>
      </c>
      <c r="E848" t="inlineStr">
        <is>
          <t>BODEN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16699-2024</t>
        </is>
      </c>
      <c r="B849" s="1" t="n">
        <v>45408</v>
      </c>
      <c r="C849" s="1" t="n">
        <v>46200</v>
      </c>
      <c r="D849" t="inlineStr">
        <is>
          <t>NORRBOTTENS LÄN</t>
        </is>
      </c>
      <c r="E849" t="inlineStr">
        <is>
          <t>BODEN</t>
        </is>
      </c>
      <c r="G849" t="n">
        <v>14.9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22373-2026</t>
        </is>
      </c>
      <c r="B850" s="1" t="n">
        <v>46154</v>
      </c>
      <c r="C850" s="1" t="n">
        <v>46200</v>
      </c>
      <c r="D850" t="inlineStr">
        <is>
          <t>NORRBOTTENS LÄN</t>
        </is>
      </c>
      <c r="E850" t="inlineStr">
        <is>
          <t>BODEN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61587-2024</t>
        </is>
      </c>
      <c r="B851" s="1" t="n">
        <v>45646</v>
      </c>
      <c r="C851" s="1" t="n">
        <v>46200</v>
      </c>
      <c r="D851" t="inlineStr">
        <is>
          <t>NORRBOTTENS LÄN</t>
        </is>
      </c>
      <c r="E851" t="inlineStr">
        <is>
          <t>BODEN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22560-2026</t>
        </is>
      </c>
      <c r="B852" s="1" t="n">
        <v>46155</v>
      </c>
      <c r="C852" s="1" t="n">
        <v>46200</v>
      </c>
      <c r="D852" t="inlineStr">
        <is>
          <t>NORRBOTTENS LÄN</t>
        </is>
      </c>
      <c r="E852" t="inlineStr">
        <is>
          <t>BODEN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60085-2024</t>
        </is>
      </c>
      <c r="B853" s="1" t="n">
        <v>45639</v>
      </c>
      <c r="C853" s="1" t="n">
        <v>46200</v>
      </c>
      <c r="D853" t="inlineStr">
        <is>
          <t>NORRBOTTENS LÄN</t>
        </is>
      </c>
      <c r="E853" t="inlineStr">
        <is>
          <t>BODEN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22239-2026</t>
        </is>
      </c>
      <c r="B854" s="1" t="n">
        <v>46154</v>
      </c>
      <c r="C854" s="1" t="n">
        <v>46200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28496-2026</t>
        </is>
      </c>
      <c r="B855" s="1" t="n">
        <v>46197</v>
      </c>
      <c r="C855" s="1" t="n">
        <v>46200</v>
      </c>
      <c r="D855" t="inlineStr">
        <is>
          <t>NORRBOTTENS LÄN</t>
        </is>
      </c>
      <c r="E855" t="inlineStr">
        <is>
          <t>BODEN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28509-2026</t>
        </is>
      </c>
      <c r="B856" s="1" t="n">
        <v>46197</v>
      </c>
      <c r="C856" s="1" t="n">
        <v>46200</v>
      </c>
      <c r="D856" t="inlineStr">
        <is>
          <t>NORRBOTTENS LÄN</t>
        </is>
      </c>
      <c r="E856" t="inlineStr">
        <is>
          <t>BODEN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59035-2025</t>
        </is>
      </c>
      <c r="B857" s="1" t="n">
        <v>45988</v>
      </c>
      <c r="C857" s="1" t="n">
        <v>46200</v>
      </c>
      <c r="D857" t="inlineStr">
        <is>
          <t>NORRBOTTENS LÄN</t>
        </is>
      </c>
      <c r="E857" t="inlineStr">
        <is>
          <t>BODEN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28566-2026</t>
        </is>
      </c>
      <c r="B858" s="1" t="n">
        <v>46197</v>
      </c>
      <c r="C858" s="1" t="n">
        <v>46200</v>
      </c>
      <c r="D858" t="inlineStr">
        <is>
          <t>NORRBOTTENS LÄN</t>
        </is>
      </c>
      <c r="E858" t="inlineStr">
        <is>
          <t>BODEN</t>
        </is>
      </c>
      <c r="F858" t="inlineStr">
        <is>
          <t>Sveaskog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54268-2025</t>
        </is>
      </c>
      <c r="B859" s="1" t="n">
        <v>45964</v>
      </c>
      <c r="C859" s="1" t="n">
        <v>46200</v>
      </c>
      <c r="D859" t="inlineStr">
        <is>
          <t>NORRBOTTENS LÄN</t>
        </is>
      </c>
      <c r="E859" t="inlineStr">
        <is>
          <t>BODEN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19068-2024</t>
        </is>
      </c>
      <c r="B860" s="1" t="n">
        <v>45427</v>
      </c>
      <c r="C860" s="1" t="n">
        <v>46200</v>
      </c>
      <c r="D860" t="inlineStr">
        <is>
          <t>NORRBOTTENS LÄN</t>
        </is>
      </c>
      <c r="E860" t="inlineStr">
        <is>
          <t>BODEN</t>
        </is>
      </c>
      <c r="G860" t="n">
        <v>22.1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28512-2026</t>
        </is>
      </c>
      <c r="B861" s="1" t="n">
        <v>46197</v>
      </c>
      <c r="C861" s="1" t="n">
        <v>46200</v>
      </c>
      <c r="D861" t="inlineStr">
        <is>
          <t>NORRBOTTENS LÄN</t>
        </is>
      </c>
      <c r="E861" t="inlineStr">
        <is>
          <t>BODEN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21329-2024</t>
        </is>
      </c>
      <c r="B862" s="1" t="n">
        <v>45440</v>
      </c>
      <c r="C862" s="1" t="n">
        <v>46200</v>
      </c>
      <c r="D862" t="inlineStr">
        <is>
          <t>NORRBOTTENS LÄN</t>
        </is>
      </c>
      <c r="E862" t="inlineStr">
        <is>
          <t>BODEN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625-2026</t>
        </is>
      </c>
      <c r="B863" s="1" t="n">
        <v>46029</v>
      </c>
      <c r="C863" s="1" t="n">
        <v>46200</v>
      </c>
      <c r="D863" t="inlineStr">
        <is>
          <t>NORRBOTTENS LÄN</t>
        </is>
      </c>
      <c r="E863" t="inlineStr">
        <is>
          <t>BODEN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28490-2026</t>
        </is>
      </c>
      <c r="B864" s="1" t="n">
        <v>46197</v>
      </c>
      <c r="C864" s="1" t="n">
        <v>46200</v>
      </c>
      <c r="D864" t="inlineStr">
        <is>
          <t>NORRBOTTENS LÄN</t>
        </is>
      </c>
      <c r="E864" t="inlineStr">
        <is>
          <t>BODEN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28241-2026</t>
        </is>
      </c>
      <c r="B865" s="1" t="n">
        <v>46196</v>
      </c>
      <c r="C865" s="1" t="n">
        <v>46200</v>
      </c>
      <c r="D865" t="inlineStr">
        <is>
          <t>NORRBOTTENS LÄN</t>
        </is>
      </c>
      <c r="E865" t="inlineStr">
        <is>
          <t>BODEN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28615-2026</t>
        </is>
      </c>
      <c r="B866" s="1" t="n">
        <v>46197</v>
      </c>
      <c r="C866" s="1" t="n">
        <v>46200</v>
      </c>
      <c r="D866" t="inlineStr">
        <is>
          <t>NORRBOTTENS LÄN</t>
        </is>
      </c>
      <c r="E866" t="inlineStr">
        <is>
          <t>BODEN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2026-06-27T00:51:29Z</dcterms:created>
  <dcterms:modified xmlns:dcterms="http://purl.org/dc/terms/" xmlns:xsi="http://www.w3.org/2001/XMLSchema-instance" xsi:type="dcterms:W3CDTF">2026-06-27T00:51:29Z</dcterms:modified>
</cp:coreProperties>
</file>