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36599-2023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45152</v>
      </c>
      <c r="E2" s="1" t="n">
        <v>46323</v>
      </c>
      <c r="F2" t="inlineStr">
        <is>
          <t>NORRBOTTENS LÄN</t>
        </is>
      </c>
      <c r="G2" t="inlineStr">
        <is>
          <t>BODEN</t>
        </is>
      </c>
      <c r="I2" t="n">
        <v>9.699999999999999</v>
      </c>
      <c r="J2" t="n">
        <v>3</v>
      </c>
      <c r="K2" t="n">
        <v>5</v>
      </c>
      <c r="L2" t="n">
        <v>15</v>
      </c>
      <c r="M2" t="n">
        <v>2</v>
      </c>
      <c r="N2" t="n">
        <v>0</v>
      </c>
      <c r="O2" t="n">
        <v>0</v>
      </c>
      <c r="P2" t="n">
        <v>0</v>
      </c>
      <c r="Q2" t="n">
        <v>17</v>
      </c>
      <c r="R2" t="n">
        <v>2</v>
      </c>
      <c r="S2" t="n">
        <v>23</v>
      </c>
      <c r="T2" t="n">
        <v>48</v>
      </c>
      <c r="U2" t="n">
        <v>48</v>
      </c>
      <c r="V2" s="2" t="inlineStr">
        <is>
          <t>Garnlav
Knärot
Blanksvart spiklav
Blå taggsvamp
Blågrå svartspik
Dropptaggsvamp
Dvärgbägarlav
Gammelgransskål
Kolflarnlav
Kortskaftad ärgspik
Mörk kolflarnlav
Nordtagging
Talltagel
Ullticka
Vedflamlav
Vedskivlav
Vitgrynig nållav
Grönpyrola
Luddlav
Spindelblomster
Stuplav
Vedticka
Fläcknycklar</t>
        </is>
      </c>
      <c r="W2">
        <f>HYPERLINK("https://klasma.github.io/Logging_2582/artfynd/A 36599-2023 artfynd.xlsx", "A 36599-2023")</f>
        <v/>
      </c>
      <c r="X2">
        <f>HYPERLINK("https://klasma.github.io/Logging_2582/kartor/A 36599-2023 karta.png", "A 36599-2023")</f>
        <v/>
      </c>
      <c r="Y2">
        <f>HYPERLINK("https://klasma.github.io/Logging_2582/kartor_geotiff/A 36599-2023 georefererad karta.tif", "A 36599-2023")</f>
        <v/>
      </c>
      <c r="Z2">
        <f>HYPERLINK("https://klasma.github.io/Logging_2582/knärot/A 36599-2023 karta knärot.png", "A 36599-2023")</f>
        <v/>
      </c>
      <c r="AA2">
        <f>HYPERLINK("https://klasma.github.io/Logging_2582/klagomål/A 36599-2023 FSC-klagomål.docx", "A 36599-2023")</f>
        <v/>
      </c>
      <c r="AB2">
        <f>HYPERLINK("https://klasma.github.io/Logging_2582/klagomålsmail/A 36599-2023 FSC-klagomål mail.docx", "A 36599-2023")</f>
        <v/>
      </c>
      <c r="AC2">
        <f>HYPERLINK("https://klasma.github.io/Logging_2582/tillsyn/A 36599-2023 tillsynsbegäran.docx", "A 36599-2023")</f>
        <v/>
      </c>
      <c r="AD2">
        <f>HYPERLINK("https://klasma.github.io/Logging_2582/tillsynsmail/A 36599-2023 tillsynsbegäran mail.docx", "A 36599-2023")</f>
        <v/>
      </c>
    </row>
    <row r="3" ht="15" customHeight="1">
      <c r="A3" t="inlineStr">
        <is>
          <t>A 31635-2024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45506</v>
      </c>
      <c r="E3" s="1" t="n">
        <v>46323</v>
      </c>
      <c r="F3" t="inlineStr">
        <is>
          <t>NORRBOTTENS LÄN</t>
        </is>
      </c>
      <c r="G3" t="inlineStr">
        <is>
          <t>BODEN</t>
        </is>
      </c>
      <c r="I3" t="n">
        <v>15.9</v>
      </c>
      <c r="J3" t="n">
        <v>8</v>
      </c>
      <c r="K3" t="n">
        <v>4</v>
      </c>
      <c r="L3" t="n">
        <v>10</v>
      </c>
      <c r="M3" t="n">
        <v>2</v>
      </c>
      <c r="N3" t="n">
        <v>0</v>
      </c>
      <c r="O3" t="n">
        <v>0</v>
      </c>
      <c r="P3" t="n">
        <v>0</v>
      </c>
      <c r="Q3" t="n">
        <v>12</v>
      </c>
      <c r="R3" t="n">
        <v>2</v>
      </c>
      <c r="S3" t="n">
        <v>21</v>
      </c>
      <c r="T3" t="n">
        <v>95</v>
      </c>
      <c r="U3" t="n">
        <v>95</v>
      </c>
      <c r="V3" s="2" t="inlineStr">
        <is>
          <t>Garnlav
Knärot
Blanksvart spiklav
Dropptaggsvamp
Gammelgransskål
Knottrig blåslav
Luddfingersvamp
Skarp dropptaggsvamp
Skrovellav
Tallriska
Talltita
Vedflamlav
Bollvitmossa
Källpraktmossa
Spindelblomster
Strutbräken
Spillkråka
Vanlig groda
Vanlig padda
Fläcknycklar
Nattviol</t>
        </is>
      </c>
      <c r="W3">
        <f>HYPERLINK("https://klasma.github.io/Logging_2582/artfynd/A 31635-2024 artfynd.xlsx", "A 31635-2024")</f>
        <v/>
      </c>
      <c r="X3">
        <f>HYPERLINK("https://klasma.github.io/Logging_2582/kartor/A 31635-2024 karta.png", "A 31635-2024")</f>
        <v/>
      </c>
      <c r="Y3">
        <f>HYPERLINK("https://klasma.github.io/Logging_2582/kartor_geotiff/A 31635-2024 georefererad karta.tif", "A 31635-2024")</f>
        <v/>
      </c>
      <c r="Z3">
        <f>HYPERLINK("https://klasma.github.io/Logging_2582/knärot/A 31635-2024 karta knärot.png", "A 31635-2024")</f>
        <v/>
      </c>
      <c r="AA3">
        <f>HYPERLINK("https://klasma.github.io/Logging_2582/klagomål/A 31635-2024 FSC-klagomål.docx", "A 31635-2024")</f>
        <v/>
      </c>
      <c r="AB3">
        <f>HYPERLINK("https://klasma.github.io/Logging_2582/klagomålsmail/A 31635-2024 FSC-klagomål mail.docx", "A 31635-2024")</f>
        <v/>
      </c>
      <c r="AC3">
        <f>HYPERLINK("https://klasma.github.io/Logging_2582/tillsyn/A 31635-2024 tillsynsbegäran.docx", "A 31635-2024")</f>
        <v/>
      </c>
      <c r="AD3">
        <f>HYPERLINK("https://klasma.github.io/Logging_2582/tillsynsmail/A 31635-2024 tillsynsbegäran mail.docx", "A 31635-2024")</f>
        <v/>
      </c>
      <c r="AE3">
        <f>HYPERLINK("https://klasma.github.io/Logging_2582/fåglar/A 31635-2024 prioriterade fågelarter.docx", "A 31635-2024")</f>
        <v/>
      </c>
    </row>
    <row r="4" ht="15" customHeight="1">
      <c r="A4" t="inlineStr">
        <is>
          <t>A 43582-2026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46315</v>
      </c>
      <c r="E4" s="1" t="n">
        <v>46323</v>
      </c>
      <c r="F4" t="inlineStr">
        <is>
          <t>NORRBOTTENS LÄN</t>
        </is>
      </c>
      <c r="G4" t="inlineStr">
        <is>
          <t>BODEN</t>
        </is>
      </c>
      <c r="I4" t="n">
        <v>16.3</v>
      </c>
      <c r="J4" t="n">
        <v>8</v>
      </c>
      <c r="K4" t="n">
        <v>4</v>
      </c>
      <c r="L4" t="n">
        <v>10</v>
      </c>
      <c r="M4" t="n">
        <v>2</v>
      </c>
      <c r="N4" t="n">
        <v>0</v>
      </c>
      <c r="O4" t="n">
        <v>0</v>
      </c>
      <c r="P4" t="n">
        <v>0</v>
      </c>
      <c r="Q4" t="n">
        <v>12</v>
      </c>
      <c r="R4" t="n">
        <v>2</v>
      </c>
      <c r="S4" t="n">
        <v>21</v>
      </c>
      <c r="T4" t="n">
        <v>95</v>
      </c>
      <c r="U4" t="n">
        <v>0</v>
      </c>
      <c r="V4" s="2" t="inlineStr">
        <is>
          <t>Garnlav
Knärot
Blanksvart spiklav
Dropptaggsvamp
Gammelgransskål
Knottrig blåslav
Luddfingersvamp
Skarp dropptaggsvamp
Skrovellav
Tallriska
Talltita
Vedflamlav
Bollvitmossa
Källpraktmossa
Spindelblomster
Strutbräken
Spillkråka
Vanlig groda
Vanlig padda
Fläcknycklar
Nattviol</t>
        </is>
      </c>
      <c r="W4">
        <f>HYPERLINK("https://klasma.github.io/Logging_2582/artfynd/A 43582-2026 artfynd.xlsx", "A 43582-2026")</f>
        <v/>
      </c>
      <c r="X4">
        <f>HYPERLINK("https://klasma.github.io/Logging_2582/kartor/A 43582-2026 karta.png", "A 43582-2026")</f>
        <v/>
      </c>
      <c r="Y4">
        <f>HYPERLINK("https://klasma.github.io/Logging_2582/kartor_geotiff/A 43582-2026 georefererad karta.tif", "A 43582-2026")</f>
        <v/>
      </c>
      <c r="Z4">
        <f>HYPERLINK("https://klasma.github.io/Logging_2582/knärot/A 43582-2026 karta knärot.png", "A 43582-2026")</f>
        <v/>
      </c>
      <c r="AA4">
        <f>HYPERLINK("https://klasma.github.io/Logging_2582/klagomål/A 43582-2026 FSC-klagomål.docx", "A 43582-2026")</f>
        <v/>
      </c>
      <c r="AB4">
        <f>HYPERLINK("https://klasma.github.io/Logging_2582/klagomålsmail/A 43582-2026 FSC-klagomål mail.docx", "A 43582-2026")</f>
        <v/>
      </c>
      <c r="AC4">
        <f>HYPERLINK("https://klasma.github.io/Logging_2582/tillsyn/A 43582-2026 tillsynsbegäran.docx", "A 43582-2026")</f>
        <v/>
      </c>
      <c r="AD4">
        <f>HYPERLINK("https://klasma.github.io/Logging_2582/tillsynsmail/A 43582-2026 tillsynsbegäran mail.docx", "A 43582-2026")</f>
        <v/>
      </c>
      <c r="AE4">
        <f>HYPERLINK("https://klasma.github.io/Logging_2582/fåglar/A 43582-2026 prioriterade fågelarter.docx", "A 43582-2026")</f>
        <v/>
      </c>
    </row>
    <row r="5" ht="15" customHeight="1">
      <c r="A5" t="inlineStr">
        <is>
          <t>A 36618-2023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45152</v>
      </c>
      <c r="E5" s="1" t="n">
        <v>46323</v>
      </c>
      <c r="F5" t="inlineStr">
        <is>
          <t>NORRBOTTENS LÄN</t>
        </is>
      </c>
      <c r="G5" t="inlineStr">
        <is>
          <t>BODEN</t>
        </is>
      </c>
      <c r="I5" t="n">
        <v>7.1</v>
      </c>
      <c r="J5" t="n">
        <v>1</v>
      </c>
      <c r="K5" t="n">
        <v>3</v>
      </c>
      <c r="L5" t="n">
        <v>11</v>
      </c>
      <c r="M5" t="n">
        <v>5</v>
      </c>
      <c r="N5" t="n">
        <v>0</v>
      </c>
      <c r="O5" t="n">
        <v>0</v>
      </c>
      <c r="P5" t="n">
        <v>0</v>
      </c>
      <c r="Q5" t="n">
        <v>16</v>
      </c>
      <c r="R5" t="n">
        <v>5</v>
      </c>
      <c r="S5" t="n">
        <v>19</v>
      </c>
      <c r="T5" t="n">
        <v>27</v>
      </c>
      <c r="U5" t="n">
        <v>27</v>
      </c>
      <c r="V5" s="2" t="inlineStr">
        <is>
          <t>Garnlav
Grenlav
Gräddporing
Knärot
Liten aspgelélav
Blanksvart spiklav
Blå taggsvamp
Blågrå svartspik
Dropptaggsvamp
Dvärgbägarlav
Kolflarnlav
Lunglav
Mörk kolflarnlav
Nordtagging
Ullticka
Vedskivlav
Grönpyrola
Luddlav
Vedticka</t>
        </is>
      </c>
      <c r="W5">
        <f>HYPERLINK("https://klasma.github.io/Logging_2582/artfynd/A 36618-2023 artfynd.xlsx", "A 36618-2023")</f>
        <v/>
      </c>
      <c r="X5">
        <f>HYPERLINK("https://klasma.github.io/Logging_2582/kartor/A 36618-2023 karta.png", "A 36618-2023")</f>
        <v/>
      </c>
      <c r="Y5">
        <f>HYPERLINK("https://klasma.github.io/Logging_2582/kartor_geotiff/A 36618-2023 georefererad karta.tif", "A 36618-2023")</f>
        <v/>
      </c>
      <c r="Z5">
        <f>HYPERLINK("https://klasma.github.io/Logging_2582/knärot/A 36618-2023 karta knärot.png", "A 36618-2023")</f>
        <v/>
      </c>
      <c r="AA5">
        <f>HYPERLINK("https://klasma.github.io/Logging_2582/klagomål/A 36618-2023 FSC-klagomål.docx", "A 36618-2023")</f>
        <v/>
      </c>
      <c r="AB5">
        <f>HYPERLINK("https://klasma.github.io/Logging_2582/klagomålsmail/A 36618-2023 FSC-klagomål mail.docx", "A 36618-2023")</f>
        <v/>
      </c>
      <c r="AC5">
        <f>HYPERLINK("https://klasma.github.io/Logging_2582/tillsyn/A 36618-2023 tillsynsbegäran.docx", "A 36618-2023")</f>
        <v/>
      </c>
      <c r="AD5">
        <f>HYPERLINK("https://klasma.github.io/Logging_2582/tillsynsmail/A 36618-2023 tillsynsbegäran mail.docx", "A 36618-2023")</f>
        <v/>
      </c>
    </row>
    <row r="6" ht="15" customHeight="1">
      <c r="A6" t="inlineStr">
        <is>
          <t>A 22127-2023</t>
        </is>
      </c>
      <c r="B6" t="inlineStr">
        <is>
          <t>avverkningsanmälan</t>
        </is>
      </c>
      <c r="C6" t="inlineStr">
        <is>
          <t>Avverkning för annat ändamål</t>
        </is>
      </c>
      <c r="D6" s="1" t="n">
        <v>45068</v>
      </c>
      <c r="E6" s="1" t="n">
        <v>46323</v>
      </c>
      <c r="F6" t="inlineStr">
        <is>
          <t>NORRBOTTENS LÄN</t>
        </is>
      </c>
      <c r="G6" t="inlineStr">
        <is>
          <t>BODEN</t>
        </is>
      </c>
      <c r="I6" t="n">
        <v>4.1</v>
      </c>
      <c r="J6" t="n">
        <v>2</v>
      </c>
      <c r="K6" t="n">
        <v>3</v>
      </c>
      <c r="L6" t="n">
        <v>8</v>
      </c>
      <c r="M6" t="n">
        <v>5</v>
      </c>
      <c r="N6" t="n">
        <v>0</v>
      </c>
      <c r="O6" t="n">
        <v>0</v>
      </c>
      <c r="P6" t="n">
        <v>0</v>
      </c>
      <c r="Q6" t="n">
        <v>13</v>
      </c>
      <c r="R6" t="n">
        <v>5</v>
      </c>
      <c r="S6" t="n">
        <v>16</v>
      </c>
      <c r="T6" t="n">
        <v>22</v>
      </c>
      <c r="U6" t="n">
        <v>22</v>
      </c>
      <c r="V6" s="2" t="inlineStr">
        <is>
          <t>Asptagging
Fläckporing
Gräddporing
Knärot
Liten aspgelélav
Kolflarnlav
Lunglav
Nordtagging
Rynkskinn
Tallticka
Ullticka
Vedtrappmossa
Vitgrynig nållav
Rävticka
Skinnlav
Spindelblomster</t>
        </is>
      </c>
      <c r="W6">
        <f>HYPERLINK("https://klasma.github.io/Logging_2582/artfynd/A 22127-2023 artfynd.xlsx", "A 22127-2023")</f>
        <v/>
      </c>
      <c r="X6">
        <f>HYPERLINK("https://klasma.github.io/Logging_2582/kartor/A 22127-2023 karta.png", "A 22127-2023")</f>
        <v/>
      </c>
      <c r="Y6">
        <f>HYPERLINK("https://klasma.github.io/Logging_2582/kartor_geotiff/A 22127-2023 georefererad karta.tif", "A 22127-2023")</f>
        <v/>
      </c>
      <c r="Z6">
        <f>HYPERLINK("https://klasma.github.io/Logging_2582/knärot/A 22127-2023 karta knärot.png", "A 22127-2023")</f>
        <v/>
      </c>
      <c r="AA6">
        <f>HYPERLINK("https://klasma.github.io/Logging_2582/klagomål/A 22127-2023 FSC-klagomål.docx", "A 22127-2023")</f>
        <v/>
      </c>
      <c r="AB6">
        <f>HYPERLINK("https://klasma.github.io/Logging_2582/klagomålsmail/A 22127-2023 FSC-klagomål mail.docx", "A 22127-2023")</f>
        <v/>
      </c>
      <c r="AC6">
        <f>HYPERLINK("https://klasma.github.io/Logging_2582/tillsyn/A 22127-2023 tillsynsbegäran.docx", "A 22127-2023")</f>
        <v/>
      </c>
      <c r="AD6">
        <f>HYPERLINK("https://klasma.github.io/Logging_2582/tillsynsmail/A 22127-2023 tillsynsbegäran mail.docx", "A 22127-2023")</f>
        <v/>
      </c>
    </row>
    <row r="7" ht="15" customHeight="1">
      <c r="A7" t="inlineStr">
        <is>
          <t>S 1836-2023</t>
        </is>
      </c>
      <c r="B7" t="inlineStr">
        <is>
          <t>samrådsanmälan</t>
        </is>
      </c>
      <c r="C7" t="inlineStr">
        <is>
          <t>Annan skogsbruksåtgärd</t>
        </is>
      </c>
      <c r="D7" s="1" t="n">
        <v>45075</v>
      </c>
      <c r="E7" s="1" t="n">
        <v>46323</v>
      </c>
      <c r="F7" t="inlineStr">
        <is>
          <t>NORRBOTTENS LÄN</t>
        </is>
      </c>
      <c r="G7" t="inlineStr">
        <is>
          <t>BODEN</t>
        </is>
      </c>
      <c r="I7" t="n">
        <v>4.1</v>
      </c>
      <c r="J7" t="n">
        <v>2</v>
      </c>
      <c r="K7" t="n">
        <v>3</v>
      </c>
      <c r="L7" t="n">
        <v>8</v>
      </c>
      <c r="M7" t="n">
        <v>5</v>
      </c>
      <c r="N7" t="n">
        <v>0</v>
      </c>
      <c r="O7" t="n">
        <v>0</v>
      </c>
      <c r="P7" t="n">
        <v>0</v>
      </c>
      <c r="Q7" t="n">
        <v>13</v>
      </c>
      <c r="R7" t="n">
        <v>5</v>
      </c>
      <c r="S7" t="n">
        <v>16</v>
      </c>
      <c r="T7" t="n">
        <v>22</v>
      </c>
      <c r="U7" t="n">
        <v>22</v>
      </c>
      <c r="V7" s="2" t="inlineStr">
        <is>
          <t>Asptagging
Fläckporing
Gräddporing
Knärot
Liten aspgelélav
Kolflarnlav
Lunglav
Nordtagging
Rynkskinn
Tallticka
Ullticka
Vedtrappmossa
Vitgrynig nållav
Rävticka
Skinnlav
Spindelblomster</t>
        </is>
      </c>
      <c r="W7">
        <f>HYPERLINK("https://klasma.github.io/Logging_2582/artfynd/S 1836-2023 artfynd.xlsx", "S 1836-2023")</f>
        <v/>
      </c>
      <c r="X7">
        <f>HYPERLINK("https://klasma.github.io/Logging_2582/kartor/S 1836-2023 karta.png", "S 1836-2023")</f>
        <v/>
      </c>
      <c r="Y7">
        <f>HYPERLINK("https://klasma.github.io/Logging_2582/kartor_geotiff/S 1836-2023 georefererad karta.tif", "S 1836-2023")</f>
        <v/>
      </c>
      <c r="Z7">
        <f>HYPERLINK("https://klasma.github.io/Logging_2582/knärot/S 1836-2023 karta knärot.png", "S 1836-2023")</f>
        <v/>
      </c>
      <c r="AA7">
        <f>HYPERLINK("https://klasma.github.io/Logging_2582/klagomål/S 1836-2023 FSC-klagomål.docx", "S 1836-2023")</f>
        <v/>
      </c>
      <c r="AB7">
        <f>HYPERLINK("https://klasma.github.io/Logging_2582/klagomålsmail/S 1836-2023 FSC-klagomål mail.docx", "S 1836-2023")</f>
        <v/>
      </c>
      <c r="AC7">
        <f>HYPERLINK("https://klasma.github.io/Logging_2582/tillsyn/S 1836-2023 tillsynsbegäran.docx", "S 1836-2023")</f>
        <v/>
      </c>
      <c r="AD7">
        <f>HYPERLINK("https://klasma.github.io/Logging_2582/tillsynsmail/S 1836-2023 tillsynsbegäran mail.docx", "S 1836-2023")</f>
        <v/>
      </c>
    </row>
    <row r="8" ht="15" customHeight="1">
      <c r="A8" t="inlineStr">
        <is>
          <t>A 44725-2026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46322</v>
      </c>
      <c r="E8" s="1" t="n">
        <v>46323</v>
      </c>
      <c r="F8" t="inlineStr">
        <is>
          <t>NORRBOTTENS LÄN</t>
        </is>
      </c>
      <c r="G8" t="inlineStr">
        <is>
          <t>BODEN</t>
        </is>
      </c>
      <c r="I8" t="n">
        <v>32.8</v>
      </c>
      <c r="J8" t="n">
        <v>3</v>
      </c>
      <c r="K8" t="n">
        <v>2</v>
      </c>
      <c r="L8" t="n">
        <v>6</v>
      </c>
      <c r="M8" t="n">
        <v>3</v>
      </c>
      <c r="N8" t="n">
        <v>0</v>
      </c>
      <c r="O8" t="n">
        <v>0</v>
      </c>
      <c r="P8" t="n">
        <v>0</v>
      </c>
      <c r="Q8" t="n">
        <v>9</v>
      </c>
      <c r="R8" t="n">
        <v>3</v>
      </c>
      <c r="S8" t="n">
        <v>14</v>
      </c>
      <c r="T8" t="n">
        <v>21</v>
      </c>
      <c r="U8" t="n">
        <v>0</v>
      </c>
      <c r="V8" s="2" t="inlineStr">
        <is>
          <t>Garnlav
Knärot
Smalfotad taggsvamp
Lunglav
Sotvaxskivling
Stiftgelélav
Tallriska
Ullticka
Violettgrå tagellav
Svavelriska
Tibast
Kransmossa
Fläcknycklar
Revlummer</t>
        </is>
      </c>
      <c r="W8">
        <f>HYPERLINK("https://klasma.github.io/Logging_2582/artfynd/A 44725-2026 artfynd.xlsx", "A 44725-2026")</f>
        <v/>
      </c>
      <c r="X8">
        <f>HYPERLINK("https://klasma.github.io/Logging_2582/kartor/A 44725-2026 karta.png", "A 44725-2026")</f>
        <v/>
      </c>
      <c r="Y8">
        <f>HYPERLINK("https://klasma.github.io/Logging_2582/kartor_geotiff/A 44725-2026 georefererad karta.tif", "A 44725-2026")</f>
        <v/>
      </c>
      <c r="Z8">
        <f>HYPERLINK("https://klasma.github.io/Logging_2582/knärot/A 44725-2026 karta knärot.png", "A 44725-2026")</f>
        <v/>
      </c>
      <c r="AA8">
        <f>HYPERLINK("https://klasma.github.io/Logging_2582/klagomål/A 44725-2026 FSC-klagomål.docx", "A 44725-2026")</f>
        <v/>
      </c>
      <c r="AB8">
        <f>HYPERLINK("https://klasma.github.io/Logging_2582/klagomålsmail/A 44725-2026 FSC-klagomål mail.docx", "A 44725-2026")</f>
        <v/>
      </c>
      <c r="AC8">
        <f>HYPERLINK("https://klasma.github.io/Logging_2582/tillsyn/A 44725-2026 tillsynsbegäran.docx", "A 44725-2026")</f>
        <v/>
      </c>
      <c r="AD8">
        <f>HYPERLINK("https://klasma.github.io/Logging_2582/tillsynsmail/A 44725-2026 tillsynsbegäran mail.docx", "A 44725-2026")</f>
        <v/>
      </c>
    </row>
    <row r="9" ht="15" customHeight="1">
      <c r="A9" t="inlineStr">
        <is>
          <t>A 47547-2022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44853</v>
      </c>
      <c r="E9" s="1" t="n">
        <v>46323</v>
      </c>
      <c r="F9" t="inlineStr">
        <is>
          <t>NORRBOTTENS LÄN</t>
        </is>
      </c>
      <c r="G9" t="inlineStr">
        <is>
          <t>BODEN</t>
        </is>
      </c>
      <c r="I9" t="n">
        <v>14.6</v>
      </c>
      <c r="J9" t="n">
        <v>4</v>
      </c>
      <c r="K9" t="n">
        <v>3</v>
      </c>
      <c r="L9" t="n">
        <v>7</v>
      </c>
      <c r="M9" t="n">
        <v>1</v>
      </c>
      <c r="N9" t="n">
        <v>0</v>
      </c>
      <c r="O9" t="n">
        <v>0</v>
      </c>
      <c r="P9" t="n">
        <v>0</v>
      </c>
      <c r="Q9" t="n">
        <v>8</v>
      </c>
      <c r="R9" t="n">
        <v>1</v>
      </c>
      <c r="S9" t="n">
        <v>13</v>
      </c>
      <c r="T9" t="n">
        <v>26</v>
      </c>
      <c r="U9" t="n">
        <v>26</v>
      </c>
      <c r="V9" s="2" t="inlineStr">
        <is>
          <t>Garnlav
Blå taggsvamp
Gammelgransskål
Kolflarnlav
Lunglav
Talltita
Tretåig hackspett
Vedskivlav
Bårdlav
Luddlav
Stuplav
Spillkråka
Revlummer</t>
        </is>
      </c>
      <c r="W9">
        <f>HYPERLINK("https://klasma.github.io/Logging_2582/artfynd/A 47547-2022 artfynd.xlsx", "A 47547-2022")</f>
        <v/>
      </c>
      <c r="X9">
        <f>HYPERLINK("https://klasma.github.io/Logging_2582/kartor/A 47547-2022 karta.png", "A 47547-2022")</f>
        <v/>
      </c>
      <c r="Y9">
        <f>HYPERLINK("https://klasma.github.io/Logging_2582/kartor_geotiff/A 47547-2022 georefererad karta.tif", "A 47547-2022")</f>
        <v/>
      </c>
      <c r="AA9">
        <f>HYPERLINK("https://klasma.github.io/Logging_2582/klagomål/A 47547-2022 FSC-klagomål.docx", "A 47547-2022")</f>
        <v/>
      </c>
      <c r="AB9">
        <f>HYPERLINK("https://klasma.github.io/Logging_2582/klagomålsmail/A 47547-2022 FSC-klagomål mail.docx", "A 47547-2022")</f>
        <v/>
      </c>
      <c r="AC9">
        <f>HYPERLINK("https://klasma.github.io/Logging_2582/tillsyn/A 47547-2022 tillsynsbegäran.docx", "A 47547-2022")</f>
        <v/>
      </c>
      <c r="AD9">
        <f>HYPERLINK("https://klasma.github.io/Logging_2582/tillsynsmail/A 47547-2022 tillsynsbegäran mail.docx", "A 47547-2022")</f>
        <v/>
      </c>
      <c r="AE9">
        <f>HYPERLINK("https://klasma.github.io/Logging_2582/fåglar/A 47547-2022 prioriterade fågelarter.docx", "A 47547-2022")</f>
        <v/>
      </c>
    </row>
    <row r="10" ht="15" customHeight="1">
      <c r="A10" t="inlineStr">
        <is>
          <t>A 36610-2023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45152</v>
      </c>
      <c r="E10" s="1" t="n">
        <v>46323</v>
      </c>
      <c r="F10" t="inlineStr">
        <is>
          <t>NORRBOTTENS LÄN</t>
        </is>
      </c>
      <c r="G10" t="inlineStr">
        <is>
          <t>BODEN</t>
        </is>
      </c>
      <c r="I10" t="n">
        <v>5.9</v>
      </c>
      <c r="J10" t="n">
        <v>3</v>
      </c>
      <c r="K10" t="n">
        <v>0</v>
      </c>
      <c r="L10" t="n">
        <v>8</v>
      </c>
      <c r="M10" t="n">
        <v>3</v>
      </c>
      <c r="N10" t="n">
        <v>0</v>
      </c>
      <c r="O10" t="n">
        <v>0</v>
      </c>
      <c r="P10" t="n">
        <v>0</v>
      </c>
      <c r="Q10" t="n">
        <v>11</v>
      </c>
      <c r="R10" t="n">
        <v>3</v>
      </c>
      <c r="S10" t="n">
        <v>13</v>
      </c>
      <c r="T10" t="n">
        <v>14</v>
      </c>
      <c r="U10" t="n">
        <v>14</v>
      </c>
      <c r="V10" s="2" t="inlineStr">
        <is>
          <t>Garnlav
Gräddporing
Knärot
Blanksvart spiklav
Blågrå svartspik
Dropptaggsvamp
Dvärgbägarlav
Kortskaftad ärgspik
Nordtagging
Ullticka
Vedflamlav
Järpe
Fläcknycklar</t>
        </is>
      </c>
      <c r="W10">
        <f>HYPERLINK("https://klasma.github.io/Logging_2582/artfynd/A 36610-2023 artfynd.xlsx", "A 36610-2023")</f>
        <v/>
      </c>
      <c r="X10">
        <f>HYPERLINK("https://klasma.github.io/Logging_2582/kartor/A 36610-2023 karta.png", "A 36610-2023")</f>
        <v/>
      </c>
      <c r="Y10">
        <f>HYPERLINK("https://klasma.github.io/Logging_2582/kartor_geotiff/A 36610-2023 georefererad karta.tif", "A 36610-2023")</f>
        <v/>
      </c>
      <c r="Z10">
        <f>HYPERLINK("https://klasma.github.io/Logging_2582/knärot/A 36610-2023 karta knärot.png", "A 36610-2023")</f>
        <v/>
      </c>
      <c r="AA10">
        <f>HYPERLINK("https://klasma.github.io/Logging_2582/klagomål/A 36610-2023 FSC-klagomål.docx", "A 36610-2023")</f>
        <v/>
      </c>
      <c r="AB10">
        <f>HYPERLINK("https://klasma.github.io/Logging_2582/klagomålsmail/A 36610-2023 FSC-klagomål mail.docx", "A 36610-2023")</f>
        <v/>
      </c>
      <c r="AC10">
        <f>HYPERLINK("https://klasma.github.io/Logging_2582/tillsyn/A 36610-2023 tillsynsbegäran.docx", "A 36610-2023")</f>
        <v/>
      </c>
      <c r="AD10">
        <f>HYPERLINK("https://klasma.github.io/Logging_2582/tillsynsmail/A 36610-2023 tillsynsbegäran mail.docx", "A 36610-2023")</f>
        <v/>
      </c>
      <c r="AE10">
        <f>HYPERLINK("https://klasma.github.io/Logging_2582/fåglar/A 36610-2023 prioriterade fågelarter.docx", "A 36610-2023")</f>
        <v/>
      </c>
    </row>
    <row r="11" ht="15" customHeight="1">
      <c r="A11" t="inlineStr">
        <is>
          <t>A 33409-2026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46247</v>
      </c>
      <c r="E11" s="1" t="n">
        <v>46323</v>
      </c>
      <c r="F11" t="inlineStr">
        <is>
          <t>NORRBOTTENS LÄN</t>
        </is>
      </c>
      <c r="G11" t="inlineStr">
        <is>
          <t>BODEN</t>
        </is>
      </c>
      <c r="H11" t="inlineStr">
        <is>
          <t>Kyrkan</t>
        </is>
      </c>
      <c r="I11" t="n">
        <v>22.8</v>
      </c>
      <c r="J11" t="n">
        <v>6</v>
      </c>
      <c r="K11" t="n">
        <v>1</v>
      </c>
      <c r="L11" t="n">
        <v>8</v>
      </c>
      <c r="M11" t="n">
        <v>2</v>
      </c>
      <c r="N11" t="n">
        <v>0</v>
      </c>
      <c r="O11" t="n">
        <v>0</v>
      </c>
      <c r="P11" t="n">
        <v>0</v>
      </c>
      <c r="Q11" t="n">
        <v>10</v>
      </c>
      <c r="R11" t="n">
        <v>2</v>
      </c>
      <c r="S11" t="n">
        <v>13</v>
      </c>
      <c r="T11" t="n">
        <v>61</v>
      </c>
      <c r="U11" t="n">
        <v>4</v>
      </c>
      <c r="V11" s="2" t="inlineStr">
        <is>
          <t>Garnlav
Knärot
Blå taggsvamp
Dropptaggsvamp
Orange taggsvamp
Skarp dropptaggsvamp
Tallriska
Tallticka
Talltita
Tretåig hackspett
Spindelblomster
Spillkråka
Fläcknycklar</t>
        </is>
      </c>
      <c r="W11">
        <f>HYPERLINK("https://klasma.github.io/Logging_2582/artfynd/A 33409-2026 artfynd.xlsx", "A 33409-2026")</f>
        <v/>
      </c>
      <c r="X11">
        <f>HYPERLINK("https://klasma.github.io/Logging_2582/kartor/A 33409-2026 karta.png", "A 33409-2026")</f>
        <v/>
      </c>
      <c r="Y11">
        <f>HYPERLINK("https://klasma.github.io/Logging_2582/kartor_geotiff/A 33409-2026 georefererad karta.tif", "A 33409-2026")</f>
        <v/>
      </c>
      <c r="Z11">
        <f>HYPERLINK("https://klasma.github.io/Logging_2582/knärot/A 33409-2026 karta knärot.png", "A 33409-2026")</f>
        <v/>
      </c>
      <c r="AA11">
        <f>HYPERLINK("https://klasma.github.io/Logging_2582/klagomål/A 33409-2026 FSC-klagomål.docx", "A 33409-2026")</f>
        <v/>
      </c>
      <c r="AB11">
        <f>HYPERLINK("https://klasma.github.io/Logging_2582/klagomålsmail/A 33409-2026 FSC-klagomål mail.docx", "A 33409-2026")</f>
        <v/>
      </c>
      <c r="AC11">
        <f>HYPERLINK("https://klasma.github.io/Logging_2582/tillsyn/A 33409-2026 tillsynsbegäran.docx", "A 33409-2026")</f>
        <v/>
      </c>
      <c r="AD11">
        <f>HYPERLINK("https://klasma.github.io/Logging_2582/tillsynsmail/A 33409-2026 tillsynsbegäran mail.docx", "A 33409-2026")</f>
        <v/>
      </c>
      <c r="AE11">
        <f>HYPERLINK("https://klasma.github.io/Logging_2582/fåglar/A 33409-2026 prioriterade fågelarter.docx", "A 33409-2026")</f>
        <v/>
      </c>
    </row>
    <row r="12" ht="15" customHeight="1">
      <c r="A12" t="inlineStr">
        <is>
          <t>A 24233-2026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46168</v>
      </c>
      <c r="E12" s="1" t="n">
        <v>46323</v>
      </c>
      <c r="F12" t="inlineStr">
        <is>
          <t>NORRBOTTENS LÄN</t>
        </is>
      </c>
      <c r="G12" t="inlineStr">
        <is>
          <t>BODEN</t>
        </is>
      </c>
      <c r="I12" t="n">
        <v>2.7</v>
      </c>
      <c r="J12" t="n">
        <v>3</v>
      </c>
      <c r="K12" t="n">
        <v>2</v>
      </c>
      <c r="L12" t="n">
        <v>2</v>
      </c>
      <c r="M12" t="n">
        <v>1</v>
      </c>
      <c r="N12" t="n">
        <v>0</v>
      </c>
      <c r="O12" t="n">
        <v>0</v>
      </c>
      <c r="P12" t="n">
        <v>0</v>
      </c>
      <c r="Q12" t="n">
        <v>3</v>
      </c>
      <c r="R12" t="n">
        <v>1</v>
      </c>
      <c r="S12" t="n">
        <v>12</v>
      </c>
      <c r="T12" t="n">
        <v>18</v>
      </c>
      <c r="U12" t="n">
        <v>16</v>
      </c>
      <c r="V12" s="2" t="inlineStr">
        <is>
          <t>Garnlav
Talltita
Tretåig hackspett
Björksplintborre
Skinnlav
Brudborste
Hultbräken
Liljekonvalj
Linnea
Ormbär
Torta
Fläcknycklar</t>
        </is>
      </c>
      <c r="W12">
        <f>HYPERLINK("https://klasma.github.io/Logging_2582/artfynd/A 24233-2026 artfynd.xlsx", "A 24233-2026")</f>
        <v/>
      </c>
      <c r="X12">
        <f>HYPERLINK("https://klasma.github.io/Logging_2582/kartor/A 24233-2026 karta.png", "A 24233-2026")</f>
        <v/>
      </c>
      <c r="Y12">
        <f>HYPERLINK("https://klasma.github.io/Logging_2582/kartor_geotiff/A 24233-2026 georefererad karta.tif", "A 24233-2026")</f>
        <v/>
      </c>
      <c r="AA12">
        <f>HYPERLINK("https://klasma.github.io/Logging_2582/klagomål/A 24233-2026 FSC-klagomål.docx", "A 24233-2026")</f>
        <v/>
      </c>
      <c r="AB12">
        <f>HYPERLINK("https://klasma.github.io/Logging_2582/klagomålsmail/A 24233-2026 FSC-klagomål mail.docx", "A 24233-2026")</f>
        <v/>
      </c>
      <c r="AC12">
        <f>HYPERLINK("https://klasma.github.io/Logging_2582/tillsyn/A 24233-2026 tillsynsbegäran.docx", "A 24233-2026")</f>
        <v/>
      </c>
      <c r="AD12">
        <f>HYPERLINK("https://klasma.github.io/Logging_2582/tillsynsmail/A 24233-2026 tillsynsbegäran mail.docx", "A 24233-2026")</f>
        <v/>
      </c>
      <c r="AE12">
        <f>HYPERLINK("https://klasma.github.io/Logging_2582/fåglar/A 24233-2026 prioriterade fågelarter.docx", "A 24233-2026")</f>
        <v/>
      </c>
    </row>
    <row r="13" ht="15" customHeight="1">
      <c r="A13" t="inlineStr">
        <is>
          <t>A 29150-2023</t>
        </is>
      </c>
      <c r="B13" t="inlineStr">
        <is>
          <t>avverkningsanmälan</t>
        </is>
      </c>
      <c r="C13" t="inlineStr">
        <is>
          <t>Avverkning för att bevara och utveckla /försöksver</t>
        </is>
      </c>
      <c r="D13" s="1" t="n">
        <v>45105</v>
      </c>
      <c r="E13" s="1" t="n">
        <v>46323</v>
      </c>
      <c r="F13" t="inlineStr">
        <is>
          <t>NORRBOTTENS LÄN</t>
        </is>
      </c>
      <c r="G13" t="inlineStr">
        <is>
          <t>BODEN</t>
        </is>
      </c>
      <c r="H13" t="inlineStr">
        <is>
          <t>Sveaskog</t>
        </is>
      </c>
      <c r="I13" t="n">
        <v>2.9</v>
      </c>
      <c r="J13" t="n">
        <v>3</v>
      </c>
      <c r="K13" t="n">
        <v>0</v>
      </c>
      <c r="L13" t="n">
        <v>4</v>
      </c>
      <c r="M13" t="n">
        <v>3</v>
      </c>
      <c r="N13" t="n">
        <v>0</v>
      </c>
      <c r="O13" t="n">
        <v>0</v>
      </c>
      <c r="P13" t="n">
        <v>0</v>
      </c>
      <c r="Q13" t="n">
        <v>7</v>
      </c>
      <c r="R13" t="n">
        <v>3</v>
      </c>
      <c r="S13" t="n">
        <v>11</v>
      </c>
      <c r="T13" t="n">
        <v>18</v>
      </c>
      <c r="U13" t="n">
        <v>16</v>
      </c>
      <c r="V13" s="2" t="inlineStr">
        <is>
          <t>Knärot
Urskogsänger
Vit aspticka
Björkplattnos
Månlåsbräken
Talltita
Ullticka
Brudborste
Ekbräken
Linnea
Revlummer</t>
        </is>
      </c>
      <c r="W13">
        <f>HYPERLINK("https://klasma.github.io/Logging_2582/artfynd/A 29150-2023 artfynd.xlsx", "A 29150-2023")</f>
        <v/>
      </c>
      <c r="X13">
        <f>HYPERLINK("https://klasma.github.io/Logging_2582/kartor/A 29150-2023 karta.png", "A 29150-2023")</f>
        <v/>
      </c>
      <c r="Y13">
        <f>HYPERLINK("https://klasma.github.io/Logging_2582/kartor_geotiff/A 29150-2023 georefererad karta.tif", "A 29150-2023")</f>
        <v/>
      </c>
      <c r="Z13">
        <f>HYPERLINK("https://klasma.github.io/Logging_2582/knärot/A 29150-2023 karta knärot.png", "A 29150-2023")</f>
        <v/>
      </c>
      <c r="AA13">
        <f>HYPERLINK("https://klasma.github.io/Logging_2582/klagomål/A 29150-2023 FSC-klagomål.docx", "A 29150-2023")</f>
        <v/>
      </c>
      <c r="AB13">
        <f>HYPERLINK("https://klasma.github.io/Logging_2582/klagomålsmail/A 29150-2023 FSC-klagomål mail.docx", "A 29150-2023")</f>
        <v/>
      </c>
      <c r="AC13">
        <f>HYPERLINK("https://klasma.github.io/Logging_2582/tillsyn/A 29150-2023 tillsynsbegäran.docx", "A 29150-2023")</f>
        <v/>
      </c>
      <c r="AD13">
        <f>HYPERLINK("https://klasma.github.io/Logging_2582/tillsynsmail/A 29150-2023 tillsynsbegäran mail.docx", "A 29150-2023")</f>
        <v/>
      </c>
      <c r="AE13">
        <f>HYPERLINK("https://klasma.github.io/Logging_2582/fåglar/A 29150-2023 prioriterade fågelarter.docx", "A 29150-2023")</f>
        <v/>
      </c>
    </row>
    <row r="14" ht="15" customHeight="1">
      <c r="A14" t="inlineStr">
        <is>
          <t>A 6243-2023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44964</v>
      </c>
      <c r="E14" s="1" t="n">
        <v>46323</v>
      </c>
      <c r="F14" t="inlineStr">
        <is>
          <t>NORRBOTTENS LÄN</t>
        </is>
      </c>
      <c r="G14" t="inlineStr">
        <is>
          <t>BODEN</t>
        </is>
      </c>
      <c r="H14" t="inlineStr">
        <is>
          <t>SCA</t>
        </is>
      </c>
      <c r="I14" t="n">
        <v>3.2</v>
      </c>
      <c r="J14" t="n">
        <v>4</v>
      </c>
      <c r="K14" t="n">
        <v>6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1</v>
      </c>
      <c r="S14" t="n">
        <v>11</v>
      </c>
      <c r="T14" t="n">
        <v>44</v>
      </c>
      <c r="U14" t="n">
        <v>41</v>
      </c>
      <c r="V14" s="2" t="inlineStr">
        <is>
          <t>Garnlav
Lunglav
Bårdlav
Källpraktmossa
Luddlav
Skinnlav
Spindelblomster
Stuplav
Tjäder
Fläcknycklar
Revlummer</t>
        </is>
      </c>
      <c r="W14">
        <f>HYPERLINK("https://klasma.github.io/Logging_2582/artfynd/A 6243-2023 artfynd.xlsx", "A 6243-2023")</f>
        <v/>
      </c>
      <c r="X14">
        <f>HYPERLINK("https://klasma.github.io/Logging_2582/kartor/A 6243-2023 karta.png", "A 6243-2023")</f>
        <v/>
      </c>
      <c r="Y14">
        <f>HYPERLINK("https://klasma.github.io/Logging_2582/kartor_geotiff/A 6243-2023 georefererad karta.tif", "A 6243-2023")</f>
        <v/>
      </c>
      <c r="AA14">
        <f>HYPERLINK("https://klasma.github.io/Logging_2582/klagomål/A 6243-2023 FSC-klagomål.docx", "A 6243-2023")</f>
        <v/>
      </c>
      <c r="AB14">
        <f>HYPERLINK("https://klasma.github.io/Logging_2582/klagomålsmail/A 6243-2023 FSC-klagomål mail.docx", "A 6243-2023")</f>
        <v/>
      </c>
      <c r="AC14">
        <f>HYPERLINK("https://klasma.github.io/Logging_2582/tillsyn/A 6243-2023 tillsynsbegäran.docx", "A 6243-2023")</f>
        <v/>
      </c>
      <c r="AD14">
        <f>HYPERLINK("https://klasma.github.io/Logging_2582/tillsynsmail/A 6243-2023 tillsynsbegäran mail.docx", "A 6243-2023")</f>
        <v/>
      </c>
      <c r="AE14">
        <f>HYPERLINK("https://klasma.github.io/Logging_2582/fåglar/A 6243-2023 prioriterade fågelarter.docx", "A 6243-2023")</f>
        <v/>
      </c>
    </row>
    <row r="15" ht="15" customHeight="1">
      <c r="A15" t="inlineStr">
        <is>
          <t>A 43711-2025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45912</v>
      </c>
      <c r="E15" s="1" t="n">
        <v>46323</v>
      </c>
      <c r="F15" t="inlineStr">
        <is>
          <t>NORRBOTTENS LÄN</t>
        </is>
      </c>
      <c r="G15" t="inlineStr">
        <is>
          <t>BODEN</t>
        </is>
      </c>
      <c r="I15" t="n">
        <v>10.1</v>
      </c>
      <c r="J15" t="n">
        <v>4</v>
      </c>
      <c r="K15" t="n">
        <v>2</v>
      </c>
      <c r="L15" t="n">
        <v>5</v>
      </c>
      <c r="M15" t="n">
        <v>2</v>
      </c>
      <c r="N15" t="n">
        <v>0</v>
      </c>
      <c r="O15" t="n">
        <v>0</v>
      </c>
      <c r="P15" t="n">
        <v>0</v>
      </c>
      <c r="Q15" t="n">
        <v>7</v>
      </c>
      <c r="R15" t="n">
        <v>2</v>
      </c>
      <c r="S15" t="n">
        <v>10</v>
      </c>
      <c r="T15" t="n">
        <v>19</v>
      </c>
      <c r="U15" t="n">
        <v>19</v>
      </c>
      <c r="V15" s="2" t="inlineStr">
        <is>
          <t>Knärot
Skuggnål
Blanksvart spiklav
Lunglav
Talltagel
Talltita
Tretåig hackspett
Bollvitmossa
Skinnlav
Tjäder</t>
        </is>
      </c>
      <c r="W15">
        <f>HYPERLINK("https://klasma.github.io/Logging_2582/artfynd/A 43711-2025 artfynd.xlsx", "A 43711-2025")</f>
        <v/>
      </c>
      <c r="X15">
        <f>HYPERLINK("https://klasma.github.io/Logging_2582/kartor/A 43711-2025 karta.png", "A 43711-2025")</f>
        <v/>
      </c>
      <c r="Y15">
        <f>HYPERLINK("https://klasma.github.io/Logging_2582/kartor_geotiff/A 43711-2025 georefererad karta.tif", "A 43711-2025")</f>
        <v/>
      </c>
      <c r="Z15">
        <f>HYPERLINK("https://klasma.github.io/Logging_2582/knärot/A 43711-2025 karta knärot.png", "A 43711-2025")</f>
        <v/>
      </c>
      <c r="AA15">
        <f>HYPERLINK("https://klasma.github.io/Logging_2582/klagomål/A 43711-2025 FSC-klagomål.docx", "A 43711-2025")</f>
        <v/>
      </c>
      <c r="AB15">
        <f>HYPERLINK("https://klasma.github.io/Logging_2582/klagomålsmail/A 43711-2025 FSC-klagomål mail.docx", "A 43711-2025")</f>
        <v/>
      </c>
      <c r="AC15">
        <f>HYPERLINK("https://klasma.github.io/Logging_2582/tillsyn/A 43711-2025 tillsynsbegäran.docx", "A 43711-2025")</f>
        <v/>
      </c>
      <c r="AD15">
        <f>HYPERLINK("https://klasma.github.io/Logging_2582/tillsynsmail/A 43711-2025 tillsynsbegäran mail.docx", "A 43711-2025")</f>
        <v/>
      </c>
      <c r="AE15">
        <f>HYPERLINK("https://klasma.github.io/Logging_2582/fåglar/A 43711-2025 prioriterade fågelarter.docx", "A 43711-2025")</f>
        <v/>
      </c>
    </row>
    <row r="16" ht="15" customHeight="1">
      <c r="A16" t="inlineStr">
        <is>
          <t>A 55316-2023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45237</v>
      </c>
      <c r="E16" s="1" t="n">
        <v>46323</v>
      </c>
      <c r="F16" t="inlineStr">
        <is>
          <t>NORRBOTTENS LÄN</t>
        </is>
      </c>
      <c r="G16" t="inlineStr">
        <is>
          <t>BODEN</t>
        </is>
      </c>
      <c r="I16" t="n">
        <v>17.6</v>
      </c>
      <c r="J16" t="n">
        <v>6</v>
      </c>
      <c r="K16" t="n">
        <v>1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10</v>
      </c>
      <c r="T16" t="n">
        <v>10</v>
      </c>
      <c r="U16" t="n">
        <v>0</v>
      </c>
      <c r="V16" s="2" t="inlineStr">
        <is>
          <t>Gammelgransskål
Lunglav
Ullticka
Bollvitmossa
Gråspett
Videsparv
Buskskvätta
Kungsfågel
Svartvit flugsnappare
Revlummer</t>
        </is>
      </c>
      <c r="W16">
        <f>HYPERLINK("https://klasma.github.io/Logging_2582/artfynd/A 55316-2023 artfynd.xlsx", "A 55316-2023")</f>
        <v/>
      </c>
      <c r="X16">
        <f>HYPERLINK("https://klasma.github.io/Logging_2582/kartor/A 55316-2023 karta.png", "A 55316-2023")</f>
        <v/>
      </c>
      <c r="Y16">
        <f>HYPERLINK("https://klasma.github.io/Logging_2582/kartor_geotiff/A 55316-2023 georefererad karta.tif", "A 55316-2023")</f>
        <v/>
      </c>
      <c r="AA16">
        <f>HYPERLINK("https://klasma.github.io/Logging_2582/klagomål/A 55316-2023 FSC-klagomål.docx", "A 55316-2023")</f>
        <v/>
      </c>
      <c r="AB16">
        <f>HYPERLINK("https://klasma.github.io/Logging_2582/klagomålsmail/A 55316-2023 FSC-klagomål mail.docx", "A 55316-2023")</f>
        <v/>
      </c>
      <c r="AC16">
        <f>HYPERLINK("https://klasma.github.io/Logging_2582/tillsyn/A 55316-2023 tillsynsbegäran.docx", "A 55316-2023")</f>
        <v/>
      </c>
      <c r="AD16">
        <f>HYPERLINK("https://klasma.github.io/Logging_2582/tillsynsmail/A 55316-2023 tillsynsbegäran mail.docx", "A 55316-2023")</f>
        <v/>
      </c>
      <c r="AE16">
        <f>HYPERLINK("https://klasma.github.io/Logging_2582/fåglar/A 55316-2023 prioriterade fågelarter.docx", "A 55316-2023")</f>
        <v/>
      </c>
    </row>
    <row r="17" ht="15" customHeight="1">
      <c r="A17" t="inlineStr">
        <is>
          <t>A 49809-2023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45212</v>
      </c>
      <c r="E17" s="1" t="n">
        <v>46323</v>
      </c>
      <c r="F17" t="inlineStr">
        <is>
          <t>NORRBOTTENS LÄN</t>
        </is>
      </c>
      <c r="G17" t="inlineStr">
        <is>
          <t>BODEN</t>
        </is>
      </c>
      <c r="H17" t="inlineStr">
        <is>
          <t>Sveaskog</t>
        </is>
      </c>
      <c r="I17" t="n">
        <v>5.7</v>
      </c>
      <c r="J17" t="n">
        <v>3</v>
      </c>
      <c r="K17" t="n">
        <v>1</v>
      </c>
      <c r="L17" t="n">
        <v>6</v>
      </c>
      <c r="M17" t="n">
        <v>3</v>
      </c>
      <c r="N17" t="n">
        <v>0</v>
      </c>
      <c r="O17" t="n">
        <v>0</v>
      </c>
      <c r="P17" t="n">
        <v>0</v>
      </c>
      <c r="Q17" t="n">
        <v>9</v>
      </c>
      <c r="R17" t="n">
        <v>3</v>
      </c>
      <c r="S17" t="n">
        <v>10</v>
      </c>
      <c r="T17" t="n">
        <v>16</v>
      </c>
      <c r="U17" t="n">
        <v>1</v>
      </c>
      <c r="V17" s="2" t="inlineStr">
        <is>
          <t>Doftticka
Goliatmusseron
Knärot
Blå taggsvamp
Lunglav
Orange taggsvamp
Skarp dropptaggsvamp
Svartvit taggsvamp
Talltaggsvamp
Spindelblomster</t>
        </is>
      </c>
      <c r="W17">
        <f>HYPERLINK("https://klasma.github.io/Logging_2582/artfynd/A 49809-2023 artfynd.xlsx", "A 49809-2023")</f>
        <v/>
      </c>
      <c r="X17">
        <f>HYPERLINK("https://klasma.github.io/Logging_2582/kartor/A 49809-2023 karta.png", "A 49809-2023")</f>
        <v/>
      </c>
      <c r="Y17">
        <f>HYPERLINK("https://klasma.github.io/Logging_2582/kartor_geotiff/A 49809-2023 georefererad karta.tif", "A 49809-2023")</f>
        <v/>
      </c>
      <c r="Z17">
        <f>HYPERLINK("https://klasma.github.io/Logging_2582/knärot/A 49809-2023 karta knärot.png", "A 49809-2023")</f>
        <v/>
      </c>
      <c r="AA17">
        <f>HYPERLINK("https://klasma.github.io/Logging_2582/klagomål/A 49809-2023 FSC-klagomål.docx", "A 49809-2023")</f>
        <v/>
      </c>
      <c r="AB17">
        <f>HYPERLINK("https://klasma.github.io/Logging_2582/klagomålsmail/A 49809-2023 FSC-klagomål mail.docx", "A 49809-2023")</f>
        <v/>
      </c>
      <c r="AC17">
        <f>HYPERLINK("https://klasma.github.io/Logging_2582/tillsyn/A 49809-2023 tillsynsbegäran.docx", "A 49809-2023")</f>
        <v/>
      </c>
      <c r="AD17">
        <f>HYPERLINK("https://klasma.github.io/Logging_2582/tillsynsmail/A 49809-2023 tillsynsbegäran mail.docx", "A 49809-2023")</f>
        <v/>
      </c>
    </row>
    <row r="18" ht="15" customHeight="1">
      <c r="A18" t="inlineStr">
        <is>
          <t>A 23044-2025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45790</v>
      </c>
      <c r="E18" s="1" t="n">
        <v>46323</v>
      </c>
      <c r="F18" t="inlineStr">
        <is>
          <t>NORRBOTTENS LÄN</t>
        </is>
      </c>
      <c r="G18" t="inlineStr">
        <is>
          <t>BODEN</t>
        </is>
      </c>
      <c r="H18" t="inlineStr">
        <is>
          <t>SCA</t>
        </is>
      </c>
      <c r="I18" t="n">
        <v>6.1</v>
      </c>
      <c r="J18" t="n">
        <v>3</v>
      </c>
      <c r="K18" t="n">
        <v>2</v>
      </c>
      <c r="L18" t="n">
        <v>7</v>
      </c>
      <c r="M18" t="n">
        <v>0</v>
      </c>
      <c r="N18" t="n">
        <v>0</v>
      </c>
      <c r="O18" t="n">
        <v>0</v>
      </c>
      <c r="P18" t="n">
        <v>0</v>
      </c>
      <c r="Q18" t="n">
        <v>7</v>
      </c>
      <c r="R18" t="n">
        <v>0</v>
      </c>
      <c r="S18" t="n">
        <v>10</v>
      </c>
      <c r="T18" t="n">
        <v>21</v>
      </c>
      <c r="U18" t="n">
        <v>21</v>
      </c>
      <c r="V18" s="2" t="inlineStr">
        <is>
          <t>Blå taggsvamp
Dropptaggsvamp
Talltagel
Talltita
Vedflamlav
Vedskivlav
Violmussling
Bollvitmossa
Plattlummer
Tjäder</t>
        </is>
      </c>
      <c r="W18">
        <f>HYPERLINK("https://klasma.github.io/Logging_2582/artfynd/A 23044-2025 artfynd.xlsx", "A 23044-2025")</f>
        <v/>
      </c>
      <c r="X18">
        <f>HYPERLINK("https://klasma.github.io/Logging_2582/kartor/A 23044-2025 karta.png", "A 23044-2025")</f>
        <v/>
      </c>
      <c r="Y18">
        <f>HYPERLINK("https://klasma.github.io/Logging_2582/kartor_geotiff/A 23044-2025 georefererad karta.tif", "A 23044-2025")</f>
        <v/>
      </c>
      <c r="AA18">
        <f>HYPERLINK("https://klasma.github.io/Logging_2582/klagomål/A 23044-2025 FSC-klagomål.docx", "A 23044-2025")</f>
        <v/>
      </c>
      <c r="AB18">
        <f>HYPERLINK("https://klasma.github.io/Logging_2582/klagomålsmail/A 23044-2025 FSC-klagomål mail.docx", "A 23044-2025")</f>
        <v/>
      </c>
      <c r="AC18">
        <f>HYPERLINK("https://klasma.github.io/Logging_2582/tillsyn/A 23044-2025 tillsynsbegäran.docx", "A 23044-2025")</f>
        <v/>
      </c>
      <c r="AD18">
        <f>HYPERLINK("https://klasma.github.io/Logging_2582/tillsynsmail/A 23044-2025 tillsynsbegäran mail.docx", "A 23044-2025")</f>
        <v/>
      </c>
      <c r="AE18">
        <f>HYPERLINK("https://klasma.github.io/Logging_2582/fåglar/A 23044-2025 prioriterade fågelarter.docx", "A 23044-2025")</f>
        <v/>
      </c>
    </row>
    <row r="19" ht="15" customHeight="1">
      <c r="A19" t="inlineStr">
        <is>
          <t>S 1319-2026</t>
        </is>
      </c>
      <c r="B19" t="inlineStr">
        <is>
          <t>samrådsanmälan</t>
        </is>
      </c>
      <c r="C19" t="inlineStr">
        <is>
          <t>Skogsgödsling</t>
        </is>
      </c>
      <c r="D19" s="1" t="n">
        <v>46149</v>
      </c>
      <c r="E19" s="1" t="n">
        <v>46323</v>
      </c>
      <c r="F19" t="inlineStr">
        <is>
          <t>NORRBOTTENS LÄN</t>
        </is>
      </c>
      <c r="G19" t="inlineStr">
        <is>
          <t>BODEN</t>
        </is>
      </c>
      <c r="H19" t="inlineStr">
        <is>
          <t>Sveaskog</t>
        </is>
      </c>
      <c r="I19" t="n">
        <v>642.7</v>
      </c>
      <c r="J19" t="n">
        <v>7</v>
      </c>
      <c r="K19" t="n">
        <v>0</v>
      </c>
      <c r="L19" t="n">
        <v>3</v>
      </c>
      <c r="M19" t="n">
        <v>1</v>
      </c>
      <c r="N19" t="n">
        <v>0</v>
      </c>
      <c r="O19" t="n">
        <v>0</v>
      </c>
      <c r="P19" t="n">
        <v>0</v>
      </c>
      <c r="Q19" t="n">
        <v>4</v>
      </c>
      <c r="R19" t="n">
        <v>1</v>
      </c>
      <c r="S19" t="n">
        <v>10</v>
      </c>
      <c r="T19" t="n">
        <v>12</v>
      </c>
      <c r="U19" t="n">
        <v>1</v>
      </c>
      <c r="V19" s="2" t="inlineStr">
        <is>
          <t>Garnlav
Lunglav
Rödvingetrast
Talltita
Hässlebrodd
Tjäder
Buskskvätta
Grönsiska
Kungsfågel
Fläcknycklar</t>
        </is>
      </c>
      <c r="W19">
        <f>HYPERLINK("https://klasma.github.io/Logging_2582/artfynd/S 1319-2026 artfynd.xlsx", "S 1319-2026")</f>
        <v/>
      </c>
      <c r="X19">
        <f>HYPERLINK("https://klasma.github.io/Logging_2582/kartor/S 1319-2026 karta.png", "S 1319-2026")</f>
        <v/>
      </c>
      <c r="Y19">
        <f>HYPERLINK("https://klasma.github.io/Logging_2582/kartor_geotiff/S 1319-2026 georefererad karta.tif", "S 1319-2026")</f>
        <v/>
      </c>
      <c r="AA19">
        <f>HYPERLINK("https://klasma.github.io/Logging_2582/klagomål/S 1319-2026 FSC-klagomål.docx", "S 1319-2026")</f>
        <v/>
      </c>
      <c r="AB19">
        <f>HYPERLINK("https://klasma.github.io/Logging_2582/klagomålsmail/S 1319-2026 FSC-klagomål mail.docx", "S 1319-2026")</f>
        <v/>
      </c>
      <c r="AC19">
        <f>HYPERLINK("https://klasma.github.io/Logging_2582/tillsyn/S 1319-2026 tillsynsbegäran.docx", "S 1319-2026")</f>
        <v/>
      </c>
      <c r="AD19">
        <f>HYPERLINK("https://klasma.github.io/Logging_2582/tillsynsmail/S 1319-2026 tillsynsbegäran mail.docx", "S 1319-2026")</f>
        <v/>
      </c>
      <c r="AE19">
        <f>HYPERLINK("https://klasma.github.io/Logging_2582/fåglar/S 1319-2026 prioriterade fågelarter.docx", "S 1319-2026")</f>
        <v/>
      </c>
    </row>
    <row r="20" ht="15" customHeight="1">
      <c r="A20" t="inlineStr">
        <is>
          <t>A 56172-2022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44889</v>
      </c>
      <c r="E20" s="1" t="n">
        <v>46323</v>
      </c>
      <c r="F20" t="inlineStr">
        <is>
          <t>NORRBOTTENS LÄN</t>
        </is>
      </c>
      <c r="G20" t="inlineStr">
        <is>
          <t>BODEN</t>
        </is>
      </c>
      <c r="H20" t="inlineStr">
        <is>
          <t>SCA</t>
        </is>
      </c>
      <c r="I20" t="n">
        <v>4</v>
      </c>
      <c r="J20" t="n">
        <v>0</v>
      </c>
      <c r="K20" t="n">
        <v>5</v>
      </c>
      <c r="L20" t="n">
        <v>3</v>
      </c>
      <c r="M20" t="n">
        <v>1</v>
      </c>
      <c r="N20" t="n">
        <v>0</v>
      </c>
      <c r="O20" t="n">
        <v>0</v>
      </c>
      <c r="P20" t="n">
        <v>0</v>
      </c>
      <c r="Q20" t="n">
        <v>4</v>
      </c>
      <c r="R20" t="n">
        <v>1</v>
      </c>
      <c r="S20" t="n">
        <v>9</v>
      </c>
      <c r="T20" t="n">
        <v>25</v>
      </c>
      <c r="U20" t="n">
        <v>4</v>
      </c>
      <c r="V20" s="2" t="inlineStr">
        <is>
          <t>Garnlav
Lunglav
Stiftgelélav
Violettgrå tagellav
Bårdlav
Luddlav
Rävticka
Skinnlav
Stuplav</t>
        </is>
      </c>
      <c r="W20">
        <f>HYPERLINK("https://klasma.github.io/Logging_2582/artfynd/A 56172-2022 artfynd.xlsx", "A 56172-2022")</f>
        <v/>
      </c>
      <c r="X20">
        <f>HYPERLINK("https://klasma.github.io/Logging_2582/kartor/A 56172-2022 karta.png", "A 56172-2022")</f>
        <v/>
      </c>
      <c r="Y20">
        <f>HYPERLINK("https://klasma.github.io/Logging_2582/kartor_geotiff/A 56172-2022 georefererad karta.tif", "A 56172-2022")</f>
        <v/>
      </c>
      <c r="AA20">
        <f>HYPERLINK("https://klasma.github.io/Logging_2582/klagomål/A 56172-2022 FSC-klagomål.docx", "A 56172-2022")</f>
        <v/>
      </c>
      <c r="AB20">
        <f>HYPERLINK("https://klasma.github.io/Logging_2582/klagomålsmail/A 56172-2022 FSC-klagomål mail.docx", "A 56172-2022")</f>
        <v/>
      </c>
      <c r="AC20">
        <f>HYPERLINK("https://klasma.github.io/Logging_2582/tillsyn/A 56172-2022 tillsynsbegäran.docx", "A 56172-2022")</f>
        <v/>
      </c>
      <c r="AD20">
        <f>HYPERLINK("https://klasma.github.io/Logging_2582/tillsynsmail/A 56172-2022 tillsynsbegäran mail.docx", "A 56172-2022")</f>
        <v/>
      </c>
    </row>
    <row r="21" ht="15" customHeight="1">
      <c r="A21" t="inlineStr">
        <is>
          <t>A 3922-2025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45684</v>
      </c>
      <c r="E21" s="1" t="n">
        <v>46323</v>
      </c>
      <c r="F21" t="inlineStr">
        <is>
          <t>NORRBOTTENS LÄN</t>
        </is>
      </c>
      <c r="G21" t="inlineStr">
        <is>
          <t>BODEN</t>
        </is>
      </c>
      <c r="H21" t="inlineStr">
        <is>
          <t>SCA</t>
        </is>
      </c>
      <c r="I21" t="n">
        <v>1.9</v>
      </c>
      <c r="J21" t="n">
        <v>2</v>
      </c>
      <c r="K21" t="n">
        <v>0</v>
      </c>
      <c r="L21" t="n">
        <v>6</v>
      </c>
      <c r="M21" t="n">
        <v>1</v>
      </c>
      <c r="N21" t="n">
        <v>0</v>
      </c>
      <c r="O21" t="n">
        <v>0</v>
      </c>
      <c r="P21" t="n">
        <v>0</v>
      </c>
      <c r="Q21" t="n">
        <v>7</v>
      </c>
      <c r="R21" t="n">
        <v>1</v>
      </c>
      <c r="S21" t="n">
        <v>8</v>
      </c>
      <c r="T21" t="n">
        <v>10</v>
      </c>
      <c r="U21" t="n">
        <v>10</v>
      </c>
      <c r="V21" s="2" t="inlineStr">
        <is>
          <t>Garnlav
Dropptaggsvamp
Olisthaerus substriatus
Rosenticka
Talltita
Ullticka
Violmussling
Revlummer</t>
        </is>
      </c>
      <c r="W21">
        <f>HYPERLINK("https://klasma.github.io/Logging_2582/artfynd/A 3922-2025 artfynd.xlsx", "A 3922-2025")</f>
        <v/>
      </c>
      <c r="X21">
        <f>HYPERLINK("https://klasma.github.io/Logging_2582/kartor/A 3922-2025 karta.png", "A 3922-2025")</f>
        <v/>
      </c>
      <c r="Y21">
        <f>HYPERLINK("https://klasma.github.io/Logging_2582/kartor_geotiff/A 3922-2025 georefererad karta.tif", "A 3922-2025")</f>
        <v/>
      </c>
      <c r="AA21">
        <f>HYPERLINK("https://klasma.github.io/Logging_2582/klagomål/A 3922-2025 FSC-klagomål.docx", "A 3922-2025")</f>
        <v/>
      </c>
      <c r="AB21">
        <f>HYPERLINK("https://klasma.github.io/Logging_2582/klagomålsmail/A 3922-2025 FSC-klagomål mail.docx", "A 3922-2025")</f>
        <v/>
      </c>
      <c r="AC21">
        <f>HYPERLINK("https://klasma.github.io/Logging_2582/tillsyn/A 3922-2025 tillsynsbegäran.docx", "A 3922-2025")</f>
        <v/>
      </c>
      <c r="AD21">
        <f>HYPERLINK("https://klasma.github.io/Logging_2582/tillsynsmail/A 3922-2025 tillsynsbegäran mail.docx", "A 3922-2025")</f>
        <v/>
      </c>
      <c r="AE21">
        <f>HYPERLINK("https://klasma.github.io/Logging_2582/fåglar/A 3922-2025 prioriterade fågelarter.docx", "A 3922-2025")</f>
        <v/>
      </c>
    </row>
    <row r="22" ht="15" customHeight="1">
      <c r="A22" t="inlineStr">
        <is>
          <t>A 19812-2025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45771</v>
      </c>
      <c r="E22" s="1" t="n">
        <v>46323</v>
      </c>
      <c r="F22" t="inlineStr">
        <is>
          <t>NORRBOTTENS LÄN</t>
        </is>
      </c>
      <c r="G22" t="inlineStr">
        <is>
          <t>BODEN</t>
        </is>
      </c>
      <c r="H22" t="inlineStr">
        <is>
          <t>Sveaskog</t>
        </is>
      </c>
      <c r="I22" t="n">
        <v>18.4</v>
      </c>
      <c r="J22" t="n">
        <v>2</v>
      </c>
      <c r="K22" t="n">
        <v>3</v>
      </c>
      <c r="L22" t="n">
        <v>4</v>
      </c>
      <c r="M22" t="n">
        <v>1</v>
      </c>
      <c r="N22" t="n">
        <v>0</v>
      </c>
      <c r="O22" t="n">
        <v>0</v>
      </c>
      <c r="P22" t="n">
        <v>0</v>
      </c>
      <c r="Q22" t="n">
        <v>5</v>
      </c>
      <c r="R22" t="n">
        <v>1</v>
      </c>
      <c r="S22" t="n">
        <v>8</v>
      </c>
      <c r="T22" t="n">
        <v>55</v>
      </c>
      <c r="U22" t="n">
        <v>0</v>
      </c>
      <c r="V22" s="2" t="inlineStr">
        <is>
          <t>Knärot
Dropptaggsvamp
Höstlåsbräken
Orange taggsvamp
Tallticka
Grönpyrola
Skinnlav
Vedticka</t>
        </is>
      </c>
      <c r="W22">
        <f>HYPERLINK("https://klasma.github.io/Logging_2582/artfynd/A 19812-2025 artfynd.xlsx", "A 19812-2025")</f>
        <v/>
      </c>
      <c r="X22">
        <f>HYPERLINK("https://klasma.github.io/Logging_2582/kartor/A 19812-2025 karta.png", "A 19812-2025")</f>
        <v/>
      </c>
      <c r="Y22">
        <f>HYPERLINK("https://klasma.github.io/Logging_2582/kartor_geotiff/A 19812-2025 georefererad karta.tif", "A 19812-2025")</f>
        <v/>
      </c>
      <c r="Z22">
        <f>HYPERLINK("https://klasma.github.io/Logging_2582/knärot/A 19812-2025 karta knärot.png", "A 19812-2025")</f>
        <v/>
      </c>
      <c r="AA22">
        <f>HYPERLINK("https://klasma.github.io/Logging_2582/klagomål/A 19812-2025 FSC-klagomål.docx", "A 19812-2025")</f>
        <v/>
      </c>
      <c r="AB22">
        <f>HYPERLINK("https://klasma.github.io/Logging_2582/klagomålsmail/A 19812-2025 FSC-klagomål mail.docx", "A 19812-2025")</f>
        <v/>
      </c>
      <c r="AC22">
        <f>HYPERLINK("https://klasma.github.io/Logging_2582/tillsyn/A 19812-2025 tillsynsbegäran.docx", "A 19812-2025")</f>
        <v/>
      </c>
      <c r="AD22">
        <f>HYPERLINK("https://klasma.github.io/Logging_2582/tillsynsmail/A 19812-2025 tillsynsbegäran mail.docx", "A 19812-2025")</f>
        <v/>
      </c>
    </row>
    <row r="23" ht="15" customHeight="1">
      <c r="A23" t="inlineStr">
        <is>
          <t>A 49753-2022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44859</v>
      </c>
      <c r="E23" s="1" t="n">
        <v>46323</v>
      </c>
      <c r="F23" t="inlineStr">
        <is>
          <t>NORRBOTTENS LÄN</t>
        </is>
      </c>
      <c r="G23" t="inlineStr">
        <is>
          <t>BODEN</t>
        </is>
      </c>
      <c r="H23" t="inlineStr">
        <is>
          <t>Övriga statliga verk och myndigheter</t>
        </is>
      </c>
      <c r="I23" t="n">
        <v>21.2</v>
      </c>
      <c r="J23" t="n">
        <v>4</v>
      </c>
      <c r="K23" t="n">
        <v>2</v>
      </c>
      <c r="L23" t="n">
        <v>2</v>
      </c>
      <c r="M23" t="n">
        <v>1</v>
      </c>
      <c r="N23" t="n">
        <v>0</v>
      </c>
      <c r="O23" t="n">
        <v>0</v>
      </c>
      <c r="P23" t="n">
        <v>0</v>
      </c>
      <c r="Q23" t="n">
        <v>3</v>
      </c>
      <c r="R23" t="n">
        <v>1</v>
      </c>
      <c r="S23" t="n">
        <v>7</v>
      </c>
      <c r="T23" t="n">
        <v>9</v>
      </c>
      <c r="U23" t="n">
        <v>9</v>
      </c>
      <c r="V23" s="2" t="inlineStr">
        <is>
          <t>Garnlav
Motaggsvamp
Talltita
Norrlandslav
Plattlummer
Järpe
Revlummer</t>
        </is>
      </c>
      <c r="W23">
        <f>HYPERLINK("https://klasma.github.io/Logging_2582/artfynd/A 49753-2022 artfynd.xlsx", "A 49753-2022")</f>
        <v/>
      </c>
      <c r="X23">
        <f>HYPERLINK("https://klasma.github.io/Logging_2582/kartor/A 49753-2022 karta.png", "A 49753-2022")</f>
        <v/>
      </c>
      <c r="Y23">
        <f>HYPERLINK("https://klasma.github.io/Logging_2582/kartor_geotiff/A 49753-2022 georefererad karta.tif", "A 49753-2022")</f>
        <v/>
      </c>
      <c r="AA23">
        <f>HYPERLINK("https://klasma.github.io/Logging_2582/klagomål/A 49753-2022 FSC-klagomål.docx", "A 49753-2022")</f>
        <v/>
      </c>
      <c r="AB23">
        <f>HYPERLINK("https://klasma.github.io/Logging_2582/klagomålsmail/A 49753-2022 FSC-klagomål mail.docx", "A 49753-2022")</f>
        <v/>
      </c>
      <c r="AC23">
        <f>HYPERLINK("https://klasma.github.io/Logging_2582/tillsyn/A 49753-2022 tillsynsbegäran.docx", "A 49753-2022")</f>
        <v/>
      </c>
      <c r="AD23">
        <f>HYPERLINK("https://klasma.github.io/Logging_2582/tillsynsmail/A 49753-2022 tillsynsbegäran mail.docx", "A 49753-2022")</f>
        <v/>
      </c>
      <c r="AE23">
        <f>HYPERLINK("https://klasma.github.io/Logging_2582/fåglar/A 49753-2022 prioriterade fågelarter.docx", "A 49753-2022")</f>
        <v/>
      </c>
    </row>
    <row r="24" ht="15" customHeight="1">
      <c r="A24" t="inlineStr">
        <is>
          <t>A 47498-2022</t>
        </is>
      </c>
      <c r="B24" t="inlineStr">
        <is>
          <t>avverkningsanmälan</t>
        </is>
      </c>
      <c r="C24" t="inlineStr">
        <is>
          <t>Avverkning för annat ändamål</t>
        </is>
      </c>
      <c r="D24" s="1" t="n">
        <v>44853</v>
      </c>
      <c r="E24" s="1" t="n">
        <v>46323</v>
      </c>
      <c r="F24" t="inlineStr">
        <is>
          <t>NORRBOTTENS LÄN</t>
        </is>
      </c>
      <c r="G24" t="inlineStr">
        <is>
          <t>BODEN</t>
        </is>
      </c>
      <c r="H24" t="inlineStr">
        <is>
          <t>Kommuner</t>
        </is>
      </c>
      <c r="I24" t="n">
        <v>2.6</v>
      </c>
      <c r="J24" t="n">
        <v>6</v>
      </c>
      <c r="K24" t="n">
        <v>1</v>
      </c>
      <c r="L24" t="n">
        <v>2</v>
      </c>
      <c r="M24" t="n">
        <v>1</v>
      </c>
      <c r="N24" t="n">
        <v>0</v>
      </c>
      <c r="O24" t="n">
        <v>0</v>
      </c>
      <c r="P24" t="n">
        <v>0</v>
      </c>
      <c r="Q24" t="n">
        <v>3</v>
      </c>
      <c r="R24" t="n">
        <v>1</v>
      </c>
      <c r="S24" t="n">
        <v>7</v>
      </c>
      <c r="T24" t="n">
        <v>7</v>
      </c>
      <c r="U24" t="n">
        <v>7</v>
      </c>
      <c r="V24" s="2" t="inlineStr">
        <is>
          <t>Tornseglare
Järnsparv
Tretåig hackspett
Strutbräken
Spillkråka
Orre
Ärtsångare</t>
        </is>
      </c>
      <c r="W24">
        <f>HYPERLINK("https://klasma.github.io/Logging_2582/artfynd/A 47498-2022 artfynd.xlsx", "A 47498-2022")</f>
        <v/>
      </c>
      <c r="X24">
        <f>HYPERLINK("https://klasma.github.io/Logging_2582/kartor/A 47498-2022 karta.png", "A 47498-2022")</f>
        <v/>
      </c>
      <c r="Y24">
        <f>HYPERLINK("https://klasma.github.io/Logging_2582/kartor_geotiff/A 47498-2022 georefererad karta.tif", "A 47498-2022")</f>
        <v/>
      </c>
      <c r="AA24">
        <f>HYPERLINK("https://klasma.github.io/Logging_2582/klagomål/A 47498-2022 FSC-klagomål.docx", "A 47498-2022")</f>
        <v/>
      </c>
      <c r="AB24">
        <f>HYPERLINK("https://klasma.github.io/Logging_2582/klagomålsmail/A 47498-2022 FSC-klagomål mail.docx", "A 47498-2022")</f>
        <v/>
      </c>
      <c r="AC24">
        <f>HYPERLINK("https://klasma.github.io/Logging_2582/tillsyn/A 47498-2022 tillsynsbegäran.docx", "A 47498-2022")</f>
        <v/>
      </c>
      <c r="AD24">
        <f>HYPERLINK("https://klasma.github.io/Logging_2582/tillsynsmail/A 47498-2022 tillsynsbegäran mail.docx", "A 47498-2022")</f>
        <v/>
      </c>
      <c r="AE24">
        <f>HYPERLINK("https://klasma.github.io/Logging_2582/fåglar/A 47498-2022 prioriterade fågelarter.docx", "A 47498-2022")</f>
        <v/>
      </c>
    </row>
    <row r="25" ht="15" customHeight="1">
      <c r="A25" t="inlineStr">
        <is>
          <t>A 319-2024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45295</v>
      </c>
      <c r="E25" s="1" t="n">
        <v>46323</v>
      </c>
      <c r="F25" t="inlineStr">
        <is>
          <t>NORRBOTTENS LÄN</t>
        </is>
      </c>
      <c r="G25" t="inlineStr">
        <is>
          <t>BODEN</t>
        </is>
      </c>
      <c r="I25" t="n">
        <v>4.3</v>
      </c>
      <c r="J25" t="n">
        <v>2</v>
      </c>
      <c r="K25" t="n">
        <v>2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7</v>
      </c>
      <c r="T25" t="n">
        <v>12</v>
      </c>
      <c r="U25" t="n">
        <v>8</v>
      </c>
      <c r="V25" s="2" t="inlineStr">
        <is>
          <t>Gammelgransskål
Ullticka
Violettgrå tagellav
Blodticka
Vedticka
Spillkråka
Revlummer</t>
        </is>
      </c>
      <c r="W25">
        <f>HYPERLINK("https://klasma.github.io/Logging_2582/artfynd/A 319-2024 artfynd.xlsx", "A 319-2024")</f>
        <v/>
      </c>
      <c r="X25">
        <f>HYPERLINK("https://klasma.github.io/Logging_2582/kartor/A 319-2024 karta.png", "A 319-2024")</f>
        <v/>
      </c>
      <c r="Y25">
        <f>HYPERLINK("https://klasma.github.io/Logging_2582/kartor_geotiff/A 319-2024 georefererad karta.tif", "A 319-2024")</f>
        <v/>
      </c>
      <c r="AA25">
        <f>HYPERLINK("https://klasma.github.io/Logging_2582/klagomål/A 319-2024 FSC-klagomål.docx", "A 319-2024")</f>
        <v/>
      </c>
      <c r="AB25">
        <f>HYPERLINK("https://klasma.github.io/Logging_2582/klagomålsmail/A 319-2024 FSC-klagomål mail.docx", "A 319-2024")</f>
        <v/>
      </c>
      <c r="AC25">
        <f>HYPERLINK("https://klasma.github.io/Logging_2582/tillsyn/A 319-2024 tillsynsbegäran.docx", "A 319-2024")</f>
        <v/>
      </c>
      <c r="AD25">
        <f>HYPERLINK("https://klasma.github.io/Logging_2582/tillsynsmail/A 319-2024 tillsynsbegäran mail.docx", "A 319-2024")</f>
        <v/>
      </c>
      <c r="AE25">
        <f>HYPERLINK("https://klasma.github.io/Logging_2582/fåglar/A 319-2024 prioriterade fågelarter.docx", "A 319-2024")</f>
        <v/>
      </c>
    </row>
    <row r="26" ht="15" customHeight="1">
      <c r="A26" t="inlineStr">
        <is>
          <t>A 19598-2023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45049</v>
      </c>
      <c r="E26" s="1" t="n">
        <v>46323</v>
      </c>
      <c r="F26" t="inlineStr">
        <is>
          <t>NORRBOTTENS LÄN</t>
        </is>
      </c>
      <c r="G26" t="inlineStr">
        <is>
          <t>BODEN</t>
        </is>
      </c>
      <c r="I26" t="n">
        <v>1.8</v>
      </c>
      <c r="J26" t="n">
        <v>1</v>
      </c>
      <c r="K26" t="n">
        <v>3</v>
      </c>
      <c r="L26" t="n">
        <v>1</v>
      </c>
      <c r="M26" t="n">
        <v>3</v>
      </c>
      <c r="N26" t="n">
        <v>0</v>
      </c>
      <c r="O26" t="n">
        <v>0</v>
      </c>
      <c r="P26" t="n">
        <v>0</v>
      </c>
      <c r="Q26" t="n">
        <v>4</v>
      </c>
      <c r="R26" t="n">
        <v>3</v>
      </c>
      <c r="S26" t="n">
        <v>7</v>
      </c>
      <c r="T26" t="n">
        <v>11</v>
      </c>
      <c r="U26" t="n">
        <v>0</v>
      </c>
      <c r="V26" s="2" t="inlineStr">
        <is>
          <t>Garnlav
Grenlav
Liten hornflikmossa
Vedflikmossa
Bollvitmossa
Källpraktmossa
Lappranunkel</t>
        </is>
      </c>
      <c r="W26">
        <f>HYPERLINK("https://klasma.github.io/Logging_2582/artfynd/A 19598-2023 artfynd.xlsx", "A 19598-2023")</f>
        <v/>
      </c>
      <c r="X26">
        <f>HYPERLINK("https://klasma.github.io/Logging_2582/kartor/A 19598-2023 karta.png", "A 19598-2023")</f>
        <v/>
      </c>
      <c r="Y26">
        <f>HYPERLINK("https://klasma.github.io/Logging_2582/kartor_geotiff/A 19598-2023 georefererad karta.tif", "A 19598-2023")</f>
        <v/>
      </c>
      <c r="AA26">
        <f>HYPERLINK("https://klasma.github.io/Logging_2582/klagomål/A 19598-2023 FSC-klagomål.docx", "A 19598-2023")</f>
        <v/>
      </c>
      <c r="AB26">
        <f>HYPERLINK("https://klasma.github.io/Logging_2582/klagomålsmail/A 19598-2023 FSC-klagomål mail.docx", "A 19598-2023")</f>
        <v/>
      </c>
      <c r="AC26">
        <f>HYPERLINK("https://klasma.github.io/Logging_2582/tillsyn/A 19598-2023 tillsynsbegäran.docx", "A 19598-2023")</f>
        <v/>
      </c>
      <c r="AD26">
        <f>HYPERLINK("https://klasma.github.io/Logging_2582/tillsynsmail/A 19598-2023 tillsynsbegäran mail.docx", "A 19598-2023")</f>
        <v/>
      </c>
    </row>
    <row r="27" ht="15" customHeight="1">
      <c r="A27" t="inlineStr">
        <is>
          <t>A 30513-2026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46210</v>
      </c>
      <c r="E27" s="1" t="n">
        <v>46323</v>
      </c>
      <c r="F27" t="inlineStr">
        <is>
          <t>NORRBOTTENS LÄN</t>
        </is>
      </c>
      <c r="G27" t="inlineStr">
        <is>
          <t>BODEN</t>
        </is>
      </c>
      <c r="H27" t="inlineStr">
        <is>
          <t>Sveaskog</t>
        </is>
      </c>
      <c r="I27" t="n">
        <v>10.2</v>
      </c>
      <c r="J27" t="n">
        <v>1</v>
      </c>
      <c r="K27" t="n">
        <v>1</v>
      </c>
      <c r="L27" t="n">
        <v>4</v>
      </c>
      <c r="M27" t="n">
        <v>2</v>
      </c>
      <c r="N27" t="n">
        <v>0</v>
      </c>
      <c r="O27" t="n">
        <v>0</v>
      </c>
      <c r="P27" t="n">
        <v>0</v>
      </c>
      <c r="Q27" t="n">
        <v>6</v>
      </c>
      <c r="R27" t="n">
        <v>2</v>
      </c>
      <c r="S27" t="n">
        <v>7</v>
      </c>
      <c r="T27" t="n">
        <v>21</v>
      </c>
      <c r="U27" t="n">
        <v>12</v>
      </c>
      <c r="V27" s="2" t="inlineStr">
        <is>
          <t>Gräddporing
Knärot
Dropptaggsvamp
Nordtagging
Orange taggsvamp
Tallticka
Grönpyrola</t>
        </is>
      </c>
      <c r="W27">
        <f>HYPERLINK("https://klasma.github.io/Logging_2582/artfynd/A 30513-2026 artfynd.xlsx", "A 30513-2026")</f>
        <v/>
      </c>
      <c r="X27">
        <f>HYPERLINK("https://klasma.github.io/Logging_2582/kartor/A 30513-2026 karta.png", "A 30513-2026")</f>
        <v/>
      </c>
      <c r="Y27">
        <f>HYPERLINK("https://klasma.github.io/Logging_2582/kartor_geotiff/A 30513-2026 georefererad karta.tif", "A 30513-2026")</f>
        <v/>
      </c>
      <c r="Z27">
        <f>HYPERLINK("https://klasma.github.io/Logging_2582/knärot/A 30513-2026 karta knärot.png", "A 30513-2026")</f>
        <v/>
      </c>
      <c r="AA27">
        <f>HYPERLINK("https://klasma.github.io/Logging_2582/klagomål/A 30513-2026 FSC-klagomål.docx", "A 30513-2026")</f>
        <v/>
      </c>
      <c r="AB27">
        <f>HYPERLINK("https://klasma.github.io/Logging_2582/klagomålsmail/A 30513-2026 FSC-klagomål mail.docx", "A 30513-2026")</f>
        <v/>
      </c>
      <c r="AC27">
        <f>HYPERLINK("https://klasma.github.io/Logging_2582/tillsyn/A 30513-2026 tillsynsbegäran.docx", "A 30513-2026")</f>
        <v/>
      </c>
      <c r="AD27">
        <f>HYPERLINK("https://klasma.github.io/Logging_2582/tillsynsmail/A 30513-2026 tillsynsbegäran mail.docx", "A 30513-2026")</f>
        <v/>
      </c>
    </row>
    <row r="28" ht="15" customHeight="1">
      <c r="A28" t="inlineStr">
        <is>
          <t>A 51389-2022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44869</v>
      </c>
      <c r="E28" s="1" t="n">
        <v>46323</v>
      </c>
      <c r="F28" t="inlineStr">
        <is>
          <t>NORRBOTTENS LÄN</t>
        </is>
      </c>
      <c r="G28" t="inlineStr">
        <is>
          <t>BODEN</t>
        </is>
      </c>
      <c r="H28" t="inlineStr">
        <is>
          <t>Övriga statliga verk och myndigheter</t>
        </is>
      </c>
      <c r="I28" t="n">
        <v>15.6</v>
      </c>
      <c r="J28" t="n">
        <v>6</v>
      </c>
      <c r="K28" t="n">
        <v>0</v>
      </c>
      <c r="L28" t="n">
        <v>2</v>
      </c>
      <c r="M28" t="n">
        <v>0</v>
      </c>
      <c r="N28" t="n">
        <v>1</v>
      </c>
      <c r="O28" t="n">
        <v>0</v>
      </c>
      <c r="P28" t="n">
        <v>0</v>
      </c>
      <c r="Q28" t="n">
        <v>3</v>
      </c>
      <c r="R28" t="n">
        <v>1</v>
      </c>
      <c r="S28" t="n">
        <v>6</v>
      </c>
      <c r="T28" t="n">
        <v>6</v>
      </c>
      <c r="U28" t="n">
        <v>3</v>
      </c>
      <c r="V28" s="2" t="inlineStr">
        <is>
          <t>Pärluggla
Grönsångare
Talltita
Järpe
Tallbit
Orre</t>
        </is>
      </c>
      <c r="W28">
        <f>HYPERLINK("https://klasma.github.io/Logging_2582/artfynd/A 51389-2022 artfynd.xlsx", "A 51389-2022")</f>
        <v/>
      </c>
      <c r="X28">
        <f>HYPERLINK("https://klasma.github.io/Logging_2582/kartor/A 51389-2022 karta.png", "A 51389-2022")</f>
        <v/>
      </c>
      <c r="Y28">
        <f>HYPERLINK("https://klasma.github.io/Logging_2582/kartor_geotiff/A 51389-2022 georefererad karta.tif", "A 51389-2022")</f>
        <v/>
      </c>
      <c r="AA28">
        <f>HYPERLINK("https://klasma.github.io/Logging_2582/klagomål/A 51389-2022 FSC-klagomål.docx", "A 51389-2022")</f>
        <v/>
      </c>
      <c r="AB28">
        <f>HYPERLINK("https://klasma.github.io/Logging_2582/klagomålsmail/A 51389-2022 FSC-klagomål mail.docx", "A 51389-2022")</f>
        <v/>
      </c>
      <c r="AC28">
        <f>HYPERLINK("https://klasma.github.io/Logging_2582/tillsyn/A 51389-2022 tillsynsbegäran.docx", "A 51389-2022")</f>
        <v/>
      </c>
      <c r="AD28">
        <f>HYPERLINK("https://klasma.github.io/Logging_2582/tillsynsmail/A 51389-2022 tillsynsbegäran mail.docx", "A 51389-2022")</f>
        <v/>
      </c>
      <c r="AE28">
        <f>HYPERLINK("https://klasma.github.io/Logging_2582/fåglar/A 51389-2022 prioriterade fågelarter.docx", "A 51389-2022")</f>
        <v/>
      </c>
    </row>
    <row r="29" ht="15" customHeight="1">
      <c r="A29" t="inlineStr">
        <is>
          <t>A 28183-2026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46195</v>
      </c>
      <c r="E29" s="1" t="n">
        <v>46323</v>
      </c>
      <c r="F29" t="inlineStr">
        <is>
          <t>NORRBOTTENS LÄN</t>
        </is>
      </c>
      <c r="G29" t="inlineStr">
        <is>
          <t>BODEN</t>
        </is>
      </c>
      <c r="H29" t="inlineStr">
        <is>
          <t>Sveaskog</t>
        </is>
      </c>
      <c r="I29" t="n">
        <v>8.199999999999999</v>
      </c>
      <c r="J29" t="n">
        <v>2</v>
      </c>
      <c r="K29" t="n">
        <v>1</v>
      </c>
      <c r="L29" t="n">
        <v>3</v>
      </c>
      <c r="M29" t="n">
        <v>1</v>
      </c>
      <c r="N29" t="n">
        <v>0</v>
      </c>
      <c r="O29" t="n">
        <v>0</v>
      </c>
      <c r="P29" t="n">
        <v>0</v>
      </c>
      <c r="Q29" t="n">
        <v>4</v>
      </c>
      <c r="R29" t="n">
        <v>1</v>
      </c>
      <c r="S29" t="n">
        <v>6</v>
      </c>
      <c r="T29" t="n">
        <v>18</v>
      </c>
      <c r="U29" t="n">
        <v>18</v>
      </c>
      <c r="V29" s="2" t="inlineStr">
        <is>
          <t>Knärot
Blå taggsvamp
Lunglav
Orange taggsvamp
Grönpyrola
Fläcknycklar</t>
        </is>
      </c>
      <c r="W29">
        <f>HYPERLINK("https://klasma.github.io/Logging_2582/artfynd/A 28183-2026 artfynd.xlsx", "A 28183-2026")</f>
        <v/>
      </c>
      <c r="X29">
        <f>HYPERLINK("https://klasma.github.io/Logging_2582/kartor/A 28183-2026 karta.png", "A 28183-2026")</f>
        <v/>
      </c>
      <c r="Y29">
        <f>HYPERLINK("https://klasma.github.io/Logging_2582/kartor_geotiff/A 28183-2026 georefererad karta.tif", "A 28183-2026")</f>
        <v/>
      </c>
      <c r="Z29">
        <f>HYPERLINK("https://klasma.github.io/Logging_2582/knärot/A 28183-2026 karta knärot.png", "A 28183-2026")</f>
        <v/>
      </c>
      <c r="AA29">
        <f>HYPERLINK("https://klasma.github.io/Logging_2582/klagomål/A 28183-2026 FSC-klagomål.docx", "A 28183-2026")</f>
        <v/>
      </c>
      <c r="AB29">
        <f>HYPERLINK("https://klasma.github.io/Logging_2582/klagomålsmail/A 28183-2026 FSC-klagomål mail.docx", "A 28183-2026")</f>
        <v/>
      </c>
      <c r="AC29">
        <f>HYPERLINK("https://klasma.github.io/Logging_2582/tillsyn/A 28183-2026 tillsynsbegäran.docx", "A 28183-2026")</f>
        <v/>
      </c>
      <c r="AD29">
        <f>HYPERLINK("https://klasma.github.io/Logging_2582/tillsynsmail/A 28183-2026 tillsynsbegäran mail.docx", "A 28183-2026")</f>
        <v/>
      </c>
    </row>
    <row r="30" ht="15" customHeight="1">
      <c r="A30" t="inlineStr">
        <is>
          <t>S 1449-2024</t>
        </is>
      </c>
      <c r="B30" t="inlineStr">
        <is>
          <t>samrådsanmälan</t>
        </is>
      </c>
      <c r="C30" t="inlineStr">
        <is>
          <t>Annan skogsbruksåtgärd</t>
        </is>
      </c>
      <c r="D30" s="1" t="n">
        <v>45418</v>
      </c>
      <c r="E30" s="1" t="n">
        <v>46323</v>
      </c>
      <c r="F30" t="inlineStr">
        <is>
          <t>NORRBOTTENS LÄN</t>
        </is>
      </c>
      <c r="G30" t="inlineStr">
        <is>
          <t>BODEN</t>
        </is>
      </c>
      <c r="H30" t="inlineStr">
        <is>
          <t>Sveaskog</t>
        </is>
      </c>
      <c r="I30" t="n">
        <v>2</v>
      </c>
      <c r="J30" t="n">
        <v>0</v>
      </c>
      <c r="K30" t="n">
        <v>2</v>
      </c>
      <c r="L30" t="n">
        <v>3</v>
      </c>
      <c r="M30" t="n">
        <v>1</v>
      </c>
      <c r="N30" t="n">
        <v>0</v>
      </c>
      <c r="O30" t="n">
        <v>0</v>
      </c>
      <c r="P30" t="n">
        <v>0</v>
      </c>
      <c r="Q30" t="n">
        <v>4</v>
      </c>
      <c r="R30" t="n">
        <v>1</v>
      </c>
      <c r="S30" t="n">
        <v>6</v>
      </c>
      <c r="T30" t="n">
        <v>8</v>
      </c>
      <c r="U30" t="n">
        <v>2</v>
      </c>
      <c r="V30" s="2" t="inlineStr">
        <is>
          <t>Skrovlig taggsvamp
Nordtagging
Skarp dropptaggsvamp
Vaddporing
Rävticka
Skinnlav</t>
        </is>
      </c>
      <c r="W30">
        <f>HYPERLINK("https://klasma.github.io/Logging_2582/artfynd/S 1449-2024 artfynd.xlsx", "S 1449-2024")</f>
        <v/>
      </c>
      <c r="X30">
        <f>HYPERLINK("https://klasma.github.io/Logging_2582/kartor/S 1449-2024 karta.png", "S 1449-2024")</f>
        <v/>
      </c>
      <c r="Y30">
        <f>HYPERLINK("https://klasma.github.io/Logging_2582/kartor_geotiff/S 1449-2024 georefererad karta.tif", "S 1449-2024")</f>
        <v/>
      </c>
      <c r="AA30">
        <f>HYPERLINK("https://klasma.github.io/Logging_2582/klagomål/S 1449-2024 FSC-klagomål.docx", "S 1449-2024")</f>
        <v/>
      </c>
      <c r="AB30">
        <f>HYPERLINK("https://klasma.github.io/Logging_2582/klagomålsmail/S 1449-2024 FSC-klagomål mail.docx", "S 1449-2024")</f>
        <v/>
      </c>
      <c r="AC30">
        <f>HYPERLINK("https://klasma.github.io/Logging_2582/tillsyn/S 1449-2024 tillsynsbegäran.docx", "S 1449-2024")</f>
        <v/>
      </c>
      <c r="AD30">
        <f>HYPERLINK("https://klasma.github.io/Logging_2582/tillsynsmail/S 1449-2024 tillsynsbegäran mail.docx", "S 1449-2024")</f>
        <v/>
      </c>
    </row>
    <row r="31" ht="15" customHeight="1">
      <c r="A31" t="inlineStr">
        <is>
          <t>S 2311-2024</t>
        </is>
      </c>
      <c r="B31" t="inlineStr">
        <is>
          <t>samrådsanmälan</t>
        </is>
      </c>
      <c r="C31" t="inlineStr">
        <is>
          <t>Annan skogsbruksåtgärd</t>
        </is>
      </c>
      <c r="D31" s="1" t="n">
        <v>45463</v>
      </c>
      <c r="E31" s="1" t="n">
        <v>46323</v>
      </c>
      <c r="F31" t="inlineStr">
        <is>
          <t>NORRBOTTENS LÄN</t>
        </is>
      </c>
      <c r="G31" t="inlineStr">
        <is>
          <t>BODEN</t>
        </is>
      </c>
      <c r="H31" t="inlineStr">
        <is>
          <t>Sveaskog</t>
        </is>
      </c>
      <c r="I31" t="n">
        <v>2.3</v>
      </c>
      <c r="J31" t="n">
        <v>3</v>
      </c>
      <c r="K31" t="n">
        <v>3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1</v>
      </c>
      <c r="S31" t="n">
        <v>6</v>
      </c>
      <c r="T31" t="n">
        <v>8</v>
      </c>
      <c r="U31" t="n">
        <v>7</v>
      </c>
      <c r="V31" s="2" t="inlineStr">
        <is>
          <t>Knärot
Orange taggsvamp
Grönpyrola
Spindelblomster
Ögonpyrola
Nattviol</t>
        </is>
      </c>
      <c r="W31">
        <f>HYPERLINK("https://klasma.github.io/Logging_2582/artfynd/S 2311-2024 artfynd.xlsx", "S 2311-2024")</f>
        <v/>
      </c>
      <c r="X31">
        <f>HYPERLINK("https://klasma.github.io/Logging_2582/kartor/S 2311-2024 karta.png", "S 2311-2024")</f>
        <v/>
      </c>
      <c r="Y31">
        <f>HYPERLINK("https://klasma.github.io/Logging_2582/kartor_geotiff/S 2311-2024 georefererad karta.tif", "S 2311-2024")</f>
        <v/>
      </c>
      <c r="Z31">
        <f>HYPERLINK("https://klasma.github.io/Logging_2582/knärot/S 2311-2024 karta knärot.png", "S 2311-2024")</f>
        <v/>
      </c>
      <c r="AA31">
        <f>HYPERLINK("https://klasma.github.io/Logging_2582/klagomål/S 2311-2024 FSC-klagomål.docx", "S 2311-2024")</f>
        <v/>
      </c>
      <c r="AB31">
        <f>HYPERLINK("https://klasma.github.io/Logging_2582/klagomålsmail/S 2311-2024 FSC-klagomål mail.docx", "S 2311-2024")</f>
        <v/>
      </c>
      <c r="AC31">
        <f>HYPERLINK("https://klasma.github.io/Logging_2582/tillsyn/S 2311-2024 tillsynsbegäran.docx", "S 2311-2024")</f>
        <v/>
      </c>
      <c r="AD31">
        <f>HYPERLINK("https://klasma.github.io/Logging_2582/tillsynsmail/S 2311-2024 tillsynsbegäran mail.docx", "S 2311-2024")</f>
        <v/>
      </c>
    </row>
    <row r="32" ht="15" customHeight="1">
      <c r="A32" t="inlineStr">
        <is>
          <t>A 34792-2022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44795</v>
      </c>
      <c r="E32" s="1" t="n">
        <v>46323</v>
      </c>
      <c r="F32" t="inlineStr">
        <is>
          <t>NORRBOTTENS LÄN</t>
        </is>
      </c>
      <c r="G32" t="inlineStr">
        <is>
          <t>BODEN</t>
        </is>
      </c>
      <c r="H32" t="inlineStr">
        <is>
          <t>SCA</t>
        </is>
      </c>
      <c r="I32" t="n">
        <v>6.7</v>
      </c>
      <c r="J32" t="n">
        <v>1</v>
      </c>
      <c r="K32" t="n">
        <v>1</v>
      </c>
      <c r="L32" t="n">
        <v>3</v>
      </c>
      <c r="M32" t="n">
        <v>1</v>
      </c>
      <c r="N32" t="n">
        <v>0</v>
      </c>
      <c r="O32" t="n">
        <v>0</v>
      </c>
      <c r="P32" t="n">
        <v>0</v>
      </c>
      <c r="Q32" t="n">
        <v>4</v>
      </c>
      <c r="R32" t="n">
        <v>1</v>
      </c>
      <c r="S32" t="n">
        <v>5</v>
      </c>
      <c r="T32" t="n">
        <v>5</v>
      </c>
      <c r="U32" t="n">
        <v>5</v>
      </c>
      <c r="V32" s="2" t="inlineStr">
        <is>
          <t>Knärot
Gammelgransskål
Lunglav
Ullticka
Grönpyrola</t>
        </is>
      </c>
      <c r="W32">
        <f>HYPERLINK("https://klasma.github.io/Logging_2582/artfynd/A 34792-2022 artfynd.xlsx", "A 34792-2022")</f>
        <v/>
      </c>
      <c r="X32">
        <f>HYPERLINK("https://klasma.github.io/Logging_2582/kartor/A 34792-2022 karta.png", "A 34792-2022")</f>
        <v/>
      </c>
      <c r="Y32">
        <f>HYPERLINK("https://klasma.github.io/Logging_2582/kartor_geotiff/A 34792-2022 georefererad karta.tif", "A 34792-2022")</f>
        <v/>
      </c>
      <c r="Z32">
        <f>HYPERLINK("https://klasma.github.io/Logging_2582/knärot/A 34792-2022 karta knärot.png", "A 34792-2022")</f>
        <v/>
      </c>
      <c r="AA32">
        <f>HYPERLINK("https://klasma.github.io/Logging_2582/klagomål/A 34792-2022 FSC-klagomål.docx", "A 34792-2022")</f>
        <v/>
      </c>
      <c r="AB32">
        <f>HYPERLINK("https://klasma.github.io/Logging_2582/klagomålsmail/A 34792-2022 FSC-klagomål mail.docx", "A 34792-2022")</f>
        <v/>
      </c>
      <c r="AC32">
        <f>HYPERLINK("https://klasma.github.io/Logging_2582/tillsyn/A 34792-2022 tillsynsbegäran.docx", "A 34792-2022")</f>
        <v/>
      </c>
      <c r="AD32">
        <f>HYPERLINK("https://klasma.github.io/Logging_2582/tillsynsmail/A 34792-2022 tillsynsbegäran mail.docx", "A 34792-2022")</f>
        <v/>
      </c>
    </row>
    <row r="33" ht="15" customHeight="1">
      <c r="A33" t="inlineStr">
        <is>
          <t>A 59358-2022</t>
        </is>
      </c>
      <c r="B33" t="inlineStr">
        <is>
          <t>avverkningsanmälan</t>
        </is>
      </c>
      <c r="C33" t="inlineStr">
        <is>
          <t>Avverkning för annat ändamål</t>
        </is>
      </c>
      <c r="D33" s="1" t="n">
        <v>44904</v>
      </c>
      <c r="E33" s="1" t="n">
        <v>46323</v>
      </c>
      <c r="F33" t="inlineStr">
        <is>
          <t>NORRBOTTENS LÄN</t>
        </is>
      </c>
      <c r="G33" t="inlineStr">
        <is>
          <t>BODEN</t>
        </is>
      </c>
      <c r="I33" t="n">
        <v>1.5</v>
      </c>
      <c r="J33" t="n">
        <v>4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1</v>
      </c>
      <c r="S33" t="n">
        <v>5</v>
      </c>
      <c r="T33" t="n">
        <v>5</v>
      </c>
      <c r="U33" t="n">
        <v>5</v>
      </c>
      <c r="V33" s="2" t="inlineStr">
        <is>
          <t>Stare
Rosenfink
Rävticka
Sångsvan
Trana</t>
        </is>
      </c>
      <c r="W33">
        <f>HYPERLINK("https://klasma.github.io/Logging_2582/artfynd/A 59358-2022 artfynd.xlsx", "A 59358-2022")</f>
        <v/>
      </c>
      <c r="X33">
        <f>HYPERLINK("https://klasma.github.io/Logging_2582/kartor/A 59358-2022 karta.png", "A 59358-2022")</f>
        <v/>
      </c>
      <c r="Y33">
        <f>HYPERLINK("https://klasma.github.io/Logging_2582/kartor_geotiff/A 59358-2022 georefererad karta.tif", "A 59358-2022")</f>
        <v/>
      </c>
      <c r="AA33">
        <f>HYPERLINK("https://klasma.github.io/Logging_2582/klagomål/A 59358-2022 FSC-klagomål.docx", "A 59358-2022")</f>
        <v/>
      </c>
      <c r="AB33">
        <f>HYPERLINK("https://klasma.github.io/Logging_2582/klagomålsmail/A 59358-2022 FSC-klagomål mail.docx", "A 59358-2022")</f>
        <v/>
      </c>
      <c r="AC33">
        <f>HYPERLINK("https://klasma.github.io/Logging_2582/tillsyn/A 59358-2022 tillsynsbegäran.docx", "A 59358-2022")</f>
        <v/>
      </c>
      <c r="AD33">
        <f>HYPERLINK("https://klasma.github.io/Logging_2582/tillsynsmail/A 59358-2022 tillsynsbegäran mail.docx", "A 59358-2022")</f>
        <v/>
      </c>
      <c r="AE33">
        <f>HYPERLINK("https://klasma.github.io/Logging_2582/fåglar/A 59358-2022 prioriterade fågelarter.docx", "A 59358-2022")</f>
        <v/>
      </c>
    </row>
    <row r="34" ht="15" customHeight="1">
      <c r="A34" t="inlineStr">
        <is>
          <t>A 43709-2025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45912</v>
      </c>
      <c r="E34" s="1" t="n">
        <v>46323</v>
      </c>
      <c r="F34" t="inlineStr">
        <is>
          <t>NORRBOTTENS LÄN</t>
        </is>
      </c>
      <c r="G34" t="inlineStr">
        <is>
          <t>BODEN</t>
        </is>
      </c>
      <c r="I34" t="n">
        <v>7.7</v>
      </c>
      <c r="J34" t="n">
        <v>4</v>
      </c>
      <c r="K34" t="n">
        <v>1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1</v>
      </c>
      <c r="S34" t="n">
        <v>5</v>
      </c>
      <c r="T34" t="n">
        <v>6</v>
      </c>
      <c r="U34" t="n">
        <v>1</v>
      </c>
      <c r="V34" s="2" t="inlineStr">
        <is>
          <t>Vitryggig hackspett
Talltita
Tretåig hackspett
Björksplintborre
Spillkråka</t>
        </is>
      </c>
      <c r="W34">
        <f>HYPERLINK("https://klasma.github.io/Logging_2582/artfynd/A 43709-2025 artfynd.xlsx", "A 43709-2025")</f>
        <v/>
      </c>
      <c r="X34">
        <f>HYPERLINK("https://klasma.github.io/Logging_2582/kartor/A 43709-2025 karta.png", "A 43709-2025")</f>
        <v/>
      </c>
      <c r="Y34">
        <f>HYPERLINK("https://klasma.github.io/Logging_2582/kartor_geotiff/A 43709-2025 georefererad karta.tif", "A 43709-2025")</f>
        <v/>
      </c>
      <c r="AA34">
        <f>HYPERLINK("https://klasma.github.io/Logging_2582/klagomål/A 43709-2025 FSC-klagomål.docx", "A 43709-2025")</f>
        <v/>
      </c>
      <c r="AB34">
        <f>HYPERLINK("https://klasma.github.io/Logging_2582/klagomålsmail/A 43709-2025 FSC-klagomål mail.docx", "A 43709-2025")</f>
        <v/>
      </c>
      <c r="AC34">
        <f>HYPERLINK("https://klasma.github.io/Logging_2582/tillsyn/A 43709-2025 tillsynsbegäran.docx", "A 43709-2025")</f>
        <v/>
      </c>
      <c r="AD34">
        <f>HYPERLINK("https://klasma.github.io/Logging_2582/tillsynsmail/A 43709-2025 tillsynsbegäran mail.docx", "A 43709-2025")</f>
        <v/>
      </c>
      <c r="AE34">
        <f>HYPERLINK("https://klasma.github.io/Logging_2582/fåglar/A 43709-2025 prioriterade fågelarter.docx", "A 43709-2025")</f>
        <v/>
      </c>
    </row>
    <row r="35" ht="15" customHeight="1">
      <c r="A35" t="inlineStr">
        <is>
          <t>A 43719-2025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45912</v>
      </c>
      <c r="E35" s="1" t="n">
        <v>46323</v>
      </c>
      <c r="F35" t="inlineStr">
        <is>
          <t>NORRBOTTENS LÄN</t>
        </is>
      </c>
      <c r="G35" t="inlineStr">
        <is>
          <t>BODEN</t>
        </is>
      </c>
      <c r="H35" t="inlineStr">
        <is>
          <t>SCA</t>
        </is>
      </c>
      <c r="I35" t="n">
        <v>1.1</v>
      </c>
      <c r="J35" t="n">
        <v>1</v>
      </c>
      <c r="K35" t="n">
        <v>1</v>
      </c>
      <c r="L35" t="n">
        <v>2</v>
      </c>
      <c r="M35" t="n">
        <v>2</v>
      </c>
      <c r="N35" t="n">
        <v>0</v>
      </c>
      <c r="O35" t="n">
        <v>0</v>
      </c>
      <c r="P35" t="n">
        <v>0</v>
      </c>
      <c r="Q35" t="n">
        <v>4</v>
      </c>
      <c r="R35" t="n">
        <v>2</v>
      </c>
      <c r="S35" t="n">
        <v>5</v>
      </c>
      <c r="T35" t="n">
        <v>7</v>
      </c>
      <c r="U35" t="n">
        <v>4</v>
      </c>
      <c r="V35" s="2" t="inlineStr">
        <is>
          <t>Garnlav
Liten hornflikmossa
Tretåig hackspett
Vedtrappmossa
Stuplav</t>
        </is>
      </c>
      <c r="W35">
        <f>HYPERLINK("https://klasma.github.io/Logging_2582/artfynd/A 43719-2025 artfynd.xlsx", "A 43719-2025")</f>
        <v/>
      </c>
      <c r="X35">
        <f>HYPERLINK("https://klasma.github.io/Logging_2582/kartor/A 43719-2025 karta.png", "A 43719-2025")</f>
        <v/>
      </c>
      <c r="Y35">
        <f>HYPERLINK("https://klasma.github.io/Logging_2582/kartor_geotiff/A 43719-2025 georefererad karta.tif", "A 43719-2025")</f>
        <v/>
      </c>
      <c r="AA35">
        <f>HYPERLINK("https://klasma.github.io/Logging_2582/klagomål/A 43719-2025 FSC-klagomål.docx", "A 43719-2025")</f>
        <v/>
      </c>
      <c r="AB35">
        <f>HYPERLINK("https://klasma.github.io/Logging_2582/klagomålsmail/A 43719-2025 FSC-klagomål mail.docx", "A 43719-2025")</f>
        <v/>
      </c>
      <c r="AC35">
        <f>HYPERLINK("https://klasma.github.io/Logging_2582/tillsyn/A 43719-2025 tillsynsbegäran.docx", "A 43719-2025")</f>
        <v/>
      </c>
      <c r="AD35">
        <f>HYPERLINK("https://klasma.github.io/Logging_2582/tillsynsmail/A 43719-2025 tillsynsbegäran mail.docx", "A 43719-2025")</f>
        <v/>
      </c>
      <c r="AE35">
        <f>HYPERLINK("https://klasma.github.io/Logging_2582/fåglar/A 43719-2025 prioriterade fågelarter.docx", "A 43719-2025")</f>
        <v/>
      </c>
    </row>
    <row r="36" ht="15" customHeight="1">
      <c r="A36" t="inlineStr">
        <is>
          <t>A 39868-2025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45893</v>
      </c>
      <c r="E36" s="1" t="n">
        <v>46323</v>
      </c>
      <c r="F36" t="inlineStr">
        <is>
          <t>NORRBOTTENS LÄN</t>
        </is>
      </c>
      <c r="G36" t="inlineStr">
        <is>
          <t>BODEN</t>
        </is>
      </c>
      <c r="H36" t="inlineStr">
        <is>
          <t>Övriga statliga verk och myndigheter</t>
        </is>
      </c>
      <c r="I36" t="n">
        <v>3.1</v>
      </c>
      <c r="J36" t="n">
        <v>5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5</v>
      </c>
      <c r="T36" t="n">
        <v>5</v>
      </c>
      <c r="U36" t="n">
        <v>0</v>
      </c>
      <c r="V36" s="2" t="inlineStr">
        <is>
          <t>Nötkråka
Talltita
Gråspett
Järpe
Spillkråka</t>
        </is>
      </c>
      <c r="W36">
        <f>HYPERLINK("https://klasma.github.io/Logging_2582/artfynd/A 39868-2025 artfynd.xlsx", "A 39868-2025")</f>
        <v/>
      </c>
      <c r="X36">
        <f>HYPERLINK("https://klasma.github.io/Logging_2582/kartor/A 39868-2025 karta.png", "A 39868-2025")</f>
        <v/>
      </c>
      <c r="Y36">
        <f>HYPERLINK("https://klasma.github.io/Logging_2582/kartor_geotiff/A 39868-2025 georefererad karta.tif", "A 39868-2025")</f>
        <v/>
      </c>
      <c r="AA36">
        <f>HYPERLINK("https://klasma.github.io/Logging_2582/klagomål/A 39868-2025 FSC-klagomål.docx", "A 39868-2025")</f>
        <v/>
      </c>
      <c r="AB36">
        <f>HYPERLINK("https://klasma.github.io/Logging_2582/klagomålsmail/A 39868-2025 FSC-klagomål mail.docx", "A 39868-2025")</f>
        <v/>
      </c>
      <c r="AC36">
        <f>HYPERLINK("https://klasma.github.io/Logging_2582/tillsyn/A 39868-2025 tillsynsbegäran.docx", "A 39868-2025")</f>
        <v/>
      </c>
      <c r="AD36">
        <f>HYPERLINK("https://klasma.github.io/Logging_2582/tillsynsmail/A 39868-2025 tillsynsbegäran mail.docx", "A 39868-2025")</f>
        <v/>
      </c>
      <c r="AE36">
        <f>HYPERLINK("https://klasma.github.io/Logging_2582/fåglar/A 39868-2025 prioriterade fågelarter.docx", "A 39868-2025")</f>
        <v/>
      </c>
    </row>
    <row r="37" ht="15" customHeight="1">
      <c r="A37" t="inlineStr">
        <is>
          <t>A 31197-2026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46209</v>
      </c>
      <c r="E37" s="1" t="n">
        <v>46323</v>
      </c>
      <c r="F37" t="inlineStr">
        <is>
          <t>NORRBOTTENS LÄN</t>
        </is>
      </c>
      <c r="G37" t="inlineStr">
        <is>
          <t>BODEN</t>
        </is>
      </c>
      <c r="H37" t="inlineStr">
        <is>
          <t>Kommuner</t>
        </is>
      </c>
      <c r="I37" t="n">
        <v>2.7</v>
      </c>
      <c r="J37" t="n">
        <v>4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1</v>
      </c>
      <c r="S37" t="n">
        <v>5</v>
      </c>
      <c r="T37" t="n">
        <v>6</v>
      </c>
      <c r="U37" t="n">
        <v>0</v>
      </c>
      <c r="V37" s="2" t="inlineStr">
        <is>
          <t>Tornseglare
Älvstarr
Grönsiska
Svartvit flugsnappare
Vanlig groda</t>
        </is>
      </c>
      <c r="W37">
        <f>HYPERLINK("https://klasma.github.io/Logging_2582/artfynd/A 31197-2026 artfynd.xlsx", "A 31197-2026")</f>
        <v/>
      </c>
      <c r="X37">
        <f>HYPERLINK("https://klasma.github.io/Logging_2582/kartor/A 31197-2026 karta.png", "A 31197-2026")</f>
        <v/>
      </c>
      <c r="Y37">
        <f>HYPERLINK("https://klasma.github.io/Logging_2582/kartor_geotiff/A 31197-2026 georefererad karta.tif", "A 31197-2026")</f>
        <v/>
      </c>
      <c r="AA37">
        <f>HYPERLINK("https://klasma.github.io/Logging_2582/klagomål/A 31197-2026 FSC-klagomål.docx", "A 31197-2026")</f>
        <v/>
      </c>
      <c r="AB37">
        <f>HYPERLINK("https://klasma.github.io/Logging_2582/klagomålsmail/A 31197-2026 FSC-klagomål mail.docx", "A 31197-2026")</f>
        <v/>
      </c>
      <c r="AC37">
        <f>HYPERLINK("https://klasma.github.io/Logging_2582/tillsyn/A 31197-2026 tillsynsbegäran.docx", "A 31197-2026")</f>
        <v/>
      </c>
      <c r="AD37">
        <f>HYPERLINK("https://klasma.github.io/Logging_2582/tillsynsmail/A 31197-2026 tillsynsbegäran mail.docx", "A 31197-2026")</f>
        <v/>
      </c>
      <c r="AE37">
        <f>HYPERLINK("https://klasma.github.io/Logging_2582/fåglar/A 31197-2026 prioriterade fågelarter.docx", "A 31197-2026")</f>
        <v/>
      </c>
    </row>
    <row r="38" ht="15" customHeight="1">
      <c r="A38" t="inlineStr">
        <is>
          <t>A 32309-2025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45835</v>
      </c>
      <c r="E38" s="1" t="n">
        <v>46323</v>
      </c>
      <c r="F38" t="inlineStr">
        <is>
          <t>NORRBOTTENS LÄN</t>
        </is>
      </c>
      <c r="G38" t="inlineStr">
        <is>
          <t>BODEN</t>
        </is>
      </c>
      <c r="H38" t="inlineStr">
        <is>
          <t>Sveaskog</t>
        </is>
      </c>
      <c r="I38" t="n">
        <v>13.6</v>
      </c>
      <c r="J38" t="n">
        <v>1</v>
      </c>
      <c r="K38" t="n">
        <v>2</v>
      </c>
      <c r="L38" t="n">
        <v>1</v>
      </c>
      <c r="M38" t="n">
        <v>2</v>
      </c>
      <c r="N38" t="n">
        <v>0</v>
      </c>
      <c r="O38" t="n">
        <v>0</v>
      </c>
      <c r="P38" t="n">
        <v>0</v>
      </c>
      <c r="Q38" t="n">
        <v>3</v>
      </c>
      <c r="R38" t="n">
        <v>2</v>
      </c>
      <c r="S38" t="n">
        <v>5</v>
      </c>
      <c r="T38" t="n">
        <v>6</v>
      </c>
      <c r="U38" t="n">
        <v>4</v>
      </c>
      <c r="V38" s="2" t="inlineStr">
        <is>
          <t>Doftticka
Garnlav
Lunglav
Bårdlav
Stuplav</t>
        </is>
      </c>
      <c r="W38">
        <f>HYPERLINK("https://klasma.github.io/Logging_2582/artfynd/A 32309-2025 artfynd.xlsx", "A 32309-2025")</f>
        <v/>
      </c>
      <c r="X38">
        <f>HYPERLINK("https://klasma.github.io/Logging_2582/kartor/A 32309-2025 karta.png", "A 32309-2025")</f>
        <v/>
      </c>
      <c r="Y38">
        <f>HYPERLINK("https://klasma.github.io/Logging_2582/kartor_geotiff/A 32309-2025 georefererad karta.tif", "A 32309-2025")</f>
        <v/>
      </c>
      <c r="AA38">
        <f>HYPERLINK("https://klasma.github.io/Logging_2582/klagomål/A 32309-2025 FSC-klagomål.docx", "A 32309-2025")</f>
        <v/>
      </c>
      <c r="AB38">
        <f>HYPERLINK("https://klasma.github.io/Logging_2582/klagomålsmail/A 32309-2025 FSC-klagomål mail.docx", "A 32309-2025")</f>
        <v/>
      </c>
      <c r="AC38">
        <f>HYPERLINK("https://klasma.github.io/Logging_2582/tillsyn/A 32309-2025 tillsynsbegäran.docx", "A 32309-2025")</f>
        <v/>
      </c>
      <c r="AD38">
        <f>HYPERLINK("https://klasma.github.io/Logging_2582/tillsynsmail/A 32309-2025 tillsynsbegäran mail.docx", "A 32309-2025")</f>
        <v/>
      </c>
    </row>
    <row r="39" ht="15" customHeight="1">
      <c r="A39" t="inlineStr">
        <is>
          <t>A 19324-2024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45428</v>
      </c>
      <c r="E39" s="1" t="n">
        <v>46323</v>
      </c>
      <c r="F39" t="inlineStr">
        <is>
          <t>NORRBOTTENS LÄN</t>
        </is>
      </c>
      <c r="G39" t="inlineStr">
        <is>
          <t>BODEN</t>
        </is>
      </c>
      <c r="I39" t="n">
        <v>3.8</v>
      </c>
      <c r="J39" t="n">
        <v>3</v>
      </c>
      <c r="K39" t="n">
        <v>1</v>
      </c>
      <c r="L39" t="n">
        <v>0</v>
      </c>
      <c r="M39" t="n">
        <v>2</v>
      </c>
      <c r="N39" t="n">
        <v>1</v>
      </c>
      <c r="O39" t="n">
        <v>0</v>
      </c>
      <c r="P39" t="n">
        <v>0</v>
      </c>
      <c r="Q39" t="n">
        <v>3</v>
      </c>
      <c r="R39" t="n">
        <v>3</v>
      </c>
      <c r="S39" t="n">
        <v>5</v>
      </c>
      <c r="T39" t="n">
        <v>6</v>
      </c>
      <c r="U39" t="n">
        <v>5</v>
      </c>
      <c r="V39" s="2" t="inlineStr">
        <is>
          <t>Bitter taggsvamp
Knärot
Norna
Ögonpyrola
Nattviol</t>
        </is>
      </c>
      <c r="W39">
        <f>HYPERLINK("https://klasma.github.io/Logging_2582/artfynd/A 19324-2024 artfynd.xlsx", "A 19324-2024")</f>
        <v/>
      </c>
      <c r="X39">
        <f>HYPERLINK("https://klasma.github.io/Logging_2582/kartor/A 19324-2024 karta.png", "A 19324-2024")</f>
        <v/>
      </c>
      <c r="Y39">
        <f>HYPERLINK("https://klasma.github.io/Logging_2582/kartor_geotiff/A 19324-2024 georefererad karta.tif", "A 19324-2024")</f>
        <v/>
      </c>
      <c r="Z39">
        <f>HYPERLINK("https://klasma.github.io/Logging_2582/knärot/A 19324-2024 karta knärot.png", "A 19324-2024")</f>
        <v/>
      </c>
      <c r="AA39">
        <f>HYPERLINK("https://klasma.github.io/Logging_2582/klagomål/A 19324-2024 FSC-klagomål.docx", "A 19324-2024")</f>
        <v/>
      </c>
      <c r="AB39">
        <f>HYPERLINK("https://klasma.github.io/Logging_2582/klagomålsmail/A 19324-2024 FSC-klagomål mail.docx", "A 19324-2024")</f>
        <v/>
      </c>
      <c r="AC39">
        <f>HYPERLINK("https://klasma.github.io/Logging_2582/tillsyn/A 19324-2024 tillsynsbegäran.docx", "A 19324-2024")</f>
        <v/>
      </c>
      <c r="AD39">
        <f>HYPERLINK("https://klasma.github.io/Logging_2582/tillsynsmail/A 19324-2024 tillsynsbegäran mail.docx", "A 19324-2024")</f>
        <v/>
      </c>
    </row>
    <row r="40" ht="15" customHeight="1">
      <c r="A40" t="inlineStr">
        <is>
          <t>A 32325-2024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45512</v>
      </c>
      <c r="E40" s="1" t="n">
        <v>46323</v>
      </c>
      <c r="F40" t="inlineStr">
        <is>
          <t>NORRBOTTENS LÄN</t>
        </is>
      </c>
      <c r="G40" t="inlineStr">
        <is>
          <t>BODEN</t>
        </is>
      </c>
      <c r="H40" t="inlineStr">
        <is>
          <t>Övriga Aktiebolag</t>
        </is>
      </c>
      <c r="I40" t="n">
        <v>36.5</v>
      </c>
      <c r="J40" t="n">
        <v>1</v>
      </c>
      <c r="K40" t="n">
        <v>2</v>
      </c>
      <c r="L40" t="n">
        <v>1</v>
      </c>
      <c r="M40" t="n">
        <v>2</v>
      </c>
      <c r="N40" t="n">
        <v>0</v>
      </c>
      <c r="O40" t="n">
        <v>0</v>
      </c>
      <c r="P40" t="n">
        <v>0</v>
      </c>
      <c r="Q40" t="n">
        <v>3</v>
      </c>
      <c r="R40" t="n">
        <v>2</v>
      </c>
      <c r="S40" t="n">
        <v>5</v>
      </c>
      <c r="T40" t="n">
        <v>7</v>
      </c>
      <c r="U40" t="n">
        <v>7</v>
      </c>
      <c r="V40" s="2" t="inlineStr">
        <is>
          <t>Garnlav
Knärot
Gammelgransskål
Luddlav
Skinnlav</t>
        </is>
      </c>
      <c r="W40">
        <f>HYPERLINK("https://klasma.github.io/Logging_2582/artfynd/A 32325-2024 artfynd.xlsx", "A 32325-2024")</f>
        <v/>
      </c>
      <c r="X40">
        <f>HYPERLINK("https://klasma.github.io/Logging_2582/kartor/A 32325-2024 karta.png", "A 32325-2024")</f>
        <v/>
      </c>
      <c r="Y40">
        <f>HYPERLINK("https://klasma.github.io/Logging_2582/kartor_geotiff/A 32325-2024 georefererad karta.tif", "A 32325-2024")</f>
        <v/>
      </c>
      <c r="Z40">
        <f>HYPERLINK("https://klasma.github.io/Logging_2582/knärot/A 32325-2024 karta knärot.png", "A 32325-2024")</f>
        <v/>
      </c>
      <c r="AA40">
        <f>HYPERLINK("https://klasma.github.io/Logging_2582/klagomål/A 32325-2024 FSC-klagomål.docx", "A 32325-2024")</f>
        <v/>
      </c>
      <c r="AB40">
        <f>HYPERLINK("https://klasma.github.io/Logging_2582/klagomålsmail/A 32325-2024 FSC-klagomål mail.docx", "A 32325-2024")</f>
        <v/>
      </c>
      <c r="AC40">
        <f>HYPERLINK("https://klasma.github.io/Logging_2582/tillsyn/A 32325-2024 tillsynsbegäran.docx", "A 32325-2024")</f>
        <v/>
      </c>
      <c r="AD40">
        <f>HYPERLINK("https://klasma.github.io/Logging_2582/tillsynsmail/A 32325-2024 tillsynsbegäran mail.docx", "A 32325-2024")</f>
        <v/>
      </c>
    </row>
    <row r="41" ht="15" customHeight="1">
      <c r="A41" t="inlineStr">
        <is>
          <t>A 54167-2025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45964</v>
      </c>
      <c r="E41" s="1" t="n">
        <v>46323</v>
      </c>
      <c r="F41" t="inlineStr">
        <is>
          <t>NORRBOTTENS LÄN</t>
        </is>
      </c>
      <c r="G41" t="inlineStr">
        <is>
          <t>BODEN</t>
        </is>
      </c>
      <c r="I41" t="n">
        <v>1.1</v>
      </c>
      <c r="J41" t="n">
        <v>3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5</v>
      </c>
      <c r="T41" t="n">
        <v>5</v>
      </c>
      <c r="U41" t="n">
        <v>4</v>
      </c>
      <c r="V41" s="2" t="inlineStr">
        <is>
          <t>Lunglav
Stiftgelélav
Järpe
Spillkråka
Vanlig padda</t>
        </is>
      </c>
      <c r="W41">
        <f>HYPERLINK("https://klasma.github.io/Logging_2582/artfynd/A 54167-2025 artfynd.xlsx", "A 54167-2025")</f>
        <v/>
      </c>
      <c r="X41">
        <f>HYPERLINK("https://klasma.github.io/Logging_2582/kartor/A 54167-2025 karta.png", "A 54167-2025")</f>
        <v/>
      </c>
      <c r="Y41">
        <f>HYPERLINK("https://klasma.github.io/Logging_2582/kartor_geotiff/A 54167-2025 georefererad karta.tif", "A 54167-2025")</f>
        <v/>
      </c>
      <c r="AA41">
        <f>HYPERLINK("https://klasma.github.io/Logging_2582/klagomål/A 54167-2025 FSC-klagomål.docx", "A 54167-2025")</f>
        <v/>
      </c>
      <c r="AB41">
        <f>HYPERLINK("https://klasma.github.io/Logging_2582/klagomålsmail/A 54167-2025 FSC-klagomål mail.docx", "A 54167-2025")</f>
        <v/>
      </c>
      <c r="AC41">
        <f>HYPERLINK("https://klasma.github.io/Logging_2582/tillsyn/A 54167-2025 tillsynsbegäran.docx", "A 54167-2025")</f>
        <v/>
      </c>
      <c r="AD41">
        <f>HYPERLINK("https://klasma.github.io/Logging_2582/tillsynsmail/A 54167-2025 tillsynsbegäran mail.docx", "A 54167-2025")</f>
        <v/>
      </c>
      <c r="AE41">
        <f>HYPERLINK("https://klasma.github.io/Logging_2582/fåglar/A 54167-2025 prioriterade fågelarter.docx", "A 54167-2025")</f>
        <v/>
      </c>
    </row>
    <row r="42" ht="15" customHeight="1">
      <c r="A42" t="inlineStr">
        <is>
          <t>A 42648-2026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46309</v>
      </c>
      <c r="E42" s="1" t="n">
        <v>46323</v>
      </c>
      <c r="F42" t="inlineStr">
        <is>
          <t>NORRBOTTENS LÄN</t>
        </is>
      </c>
      <c r="G42" t="inlineStr">
        <is>
          <t>BODEN</t>
        </is>
      </c>
      <c r="H42" t="inlineStr">
        <is>
          <t>Sveaskog</t>
        </is>
      </c>
      <c r="I42" t="n">
        <v>14.6</v>
      </c>
      <c r="J42" t="n">
        <v>0</v>
      </c>
      <c r="K42" t="n">
        <v>0</v>
      </c>
      <c r="L42" t="n">
        <v>4</v>
      </c>
      <c r="M42" t="n">
        <v>1</v>
      </c>
      <c r="N42" t="n">
        <v>0</v>
      </c>
      <c r="O42" t="n">
        <v>0</v>
      </c>
      <c r="P42" t="n">
        <v>0</v>
      </c>
      <c r="Q42" t="n">
        <v>5</v>
      </c>
      <c r="R42" t="n">
        <v>1</v>
      </c>
      <c r="S42" t="n">
        <v>5</v>
      </c>
      <c r="T42" t="n">
        <v>12</v>
      </c>
      <c r="U42" t="n">
        <v>0</v>
      </c>
      <c r="V42" s="2" t="inlineStr">
        <is>
          <t>Garnlav
Gammelgransskål
Lunglav
Motaggsvamp
Rynkskinn</t>
        </is>
      </c>
      <c r="W42">
        <f>HYPERLINK("https://klasma.github.io/Logging_2582/artfynd/A 42648-2026 artfynd.xlsx", "A 42648-2026")</f>
        <v/>
      </c>
      <c r="X42">
        <f>HYPERLINK("https://klasma.github.io/Logging_2582/kartor/A 42648-2026 karta.png", "A 42648-2026")</f>
        <v/>
      </c>
      <c r="Y42">
        <f>HYPERLINK("https://klasma.github.io/Logging_2582/kartor_geotiff/A 42648-2026 georefererad karta.tif", "A 42648-2026")</f>
        <v/>
      </c>
      <c r="AA42">
        <f>HYPERLINK("https://klasma.github.io/Logging_2582/klagomål/A 42648-2026 FSC-klagomål.docx", "A 42648-2026")</f>
        <v/>
      </c>
      <c r="AB42">
        <f>HYPERLINK("https://klasma.github.io/Logging_2582/klagomålsmail/A 42648-2026 FSC-klagomål mail.docx", "A 42648-2026")</f>
        <v/>
      </c>
      <c r="AC42">
        <f>HYPERLINK("https://klasma.github.io/Logging_2582/tillsyn/A 42648-2026 tillsynsbegäran.docx", "A 42648-2026")</f>
        <v/>
      </c>
      <c r="AD42">
        <f>HYPERLINK("https://klasma.github.io/Logging_2582/tillsynsmail/A 42648-2026 tillsynsbegäran mail.docx", "A 42648-2026")</f>
        <v/>
      </c>
    </row>
    <row r="43" ht="15" customHeight="1">
      <c r="A43" t="inlineStr">
        <is>
          <t>A 31030-2025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45832</v>
      </c>
      <c r="E43" s="1" t="n">
        <v>46323</v>
      </c>
      <c r="F43" t="inlineStr">
        <is>
          <t>NORRBOTTENS LÄN</t>
        </is>
      </c>
      <c r="G43" t="inlineStr">
        <is>
          <t>BODEN</t>
        </is>
      </c>
      <c r="H43" t="inlineStr">
        <is>
          <t>Sveaskog</t>
        </is>
      </c>
      <c r="I43" t="n">
        <v>11.1</v>
      </c>
      <c r="J43" t="n">
        <v>3</v>
      </c>
      <c r="K43" t="n">
        <v>2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2</v>
      </c>
      <c r="R43" t="n">
        <v>1</v>
      </c>
      <c r="S43" t="n">
        <v>5</v>
      </c>
      <c r="T43" t="n">
        <v>9</v>
      </c>
      <c r="U43" t="n">
        <v>9</v>
      </c>
      <c r="V43" s="2" t="inlineStr">
        <is>
          <t>Knärot
Lunglav
Spindelblomster
Stuplav
Fläcknycklar</t>
        </is>
      </c>
      <c r="W43">
        <f>HYPERLINK("https://klasma.github.io/Logging_2582/artfynd/A 31030-2025 artfynd.xlsx", "A 31030-2025")</f>
        <v/>
      </c>
      <c r="X43">
        <f>HYPERLINK("https://klasma.github.io/Logging_2582/kartor/A 31030-2025 karta.png", "A 31030-2025")</f>
        <v/>
      </c>
      <c r="Y43">
        <f>HYPERLINK("https://klasma.github.io/Logging_2582/kartor_geotiff/A 31030-2025 georefererad karta.tif", "A 31030-2025")</f>
        <v/>
      </c>
      <c r="Z43">
        <f>HYPERLINK("https://klasma.github.io/Logging_2582/knärot/A 31030-2025 karta knärot.png", "A 31030-2025")</f>
        <v/>
      </c>
      <c r="AA43">
        <f>HYPERLINK("https://klasma.github.io/Logging_2582/klagomål/A 31030-2025 FSC-klagomål.docx", "A 31030-2025")</f>
        <v/>
      </c>
      <c r="AB43">
        <f>HYPERLINK("https://klasma.github.io/Logging_2582/klagomålsmail/A 31030-2025 FSC-klagomål mail.docx", "A 31030-2025")</f>
        <v/>
      </c>
      <c r="AC43">
        <f>HYPERLINK("https://klasma.github.io/Logging_2582/tillsyn/A 31030-2025 tillsynsbegäran.docx", "A 31030-2025")</f>
        <v/>
      </c>
      <c r="AD43">
        <f>HYPERLINK("https://klasma.github.io/Logging_2582/tillsynsmail/A 31030-2025 tillsynsbegäran mail.docx", "A 31030-2025")</f>
        <v/>
      </c>
    </row>
    <row r="44" ht="15" customHeight="1">
      <c r="A44" t="inlineStr">
        <is>
          <t>A 21610-2026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46149</v>
      </c>
      <c r="E44" s="1" t="n">
        <v>46323</v>
      </c>
      <c r="F44" t="inlineStr">
        <is>
          <t>NORRBOTTENS LÄN</t>
        </is>
      </c>
      <c r="G44" t="inlineStr">
        <is>
          <t>BODEN</t>
        </is>
      </c>
      <c r="I44" t="n">
        <v>1.8</v>
      </c>
      <c r="J44" t="n">
        <v>5</v>
      </c>
      <c r="K44" t="n">
        <v>0</v>
      </c>
      <c r="L44" t="n">
        <v>4</v>
      </c>
      <c r="M44" t="n">
        <v>0</v>
      </c>
      <c r="N44" t="n">
        <v>0</v>
      </c>
      <c r="O44" t="n">
        <v>0</v>
      </c>
      <c r="P44" t="n">
        <v>0</v>
      </c>
      <c r="Q44" t="n">
        <v>4</v>
      </c>
      <c r="R44" t="n">
        <v>0</v>
      </c>
      <c r="S44" t="n">
        <v>5</v>
      </c>
      <c r="T44" t="n">
        <v>11</v>
      </c>
      <c r="U44" t="n">
        <v>11</v>
      </c>
      <c r="V44" s="2" t="inlineStr">
        <is>
          <t>Björktrast
Järnsparv
Rödvingetrast
Talltita
Gråsiska</t>
        </is>
      </c>
      <c r="W44">
        <f>HYPERLINK("https://klasma.github.io/Logging_2582/artfynd/A 21610-2026 artfynd.xlsx", "A 21610-2026")</f>
        <v/>
      </c>
      <c r="X44">
        <f>HYPERLINK("https://klasma.github.io/Logging_2582/kartor/A 21610-2026 karta.png", "A 21610-2026")</f>
        <v/>
      </c>
      <c r="Y44">
        <f>HYPERLINK("https://klasma.github.io/Logging_2582/kartor_geotiff/A 21610-2026 georefererad karta.tif", "A 21610-2026")</f>
        <v/>
      </c>
      <c r="AA44">
        <f>HYPERLINK("https://klasma.github.io/Logging_2582/klagomål/A 21610-2026 FSC-klagomål.docx", "A 21610-2026")</f>
        <v/>
      </c>
      <c r="AB44">
        <f>HYPERLINK("https://klasma.github.io/Logging_2582/klagomålsmail/A 21610-2026 FSC-klagomål mail.docx", "A 21610-2026")</f>
        <v/>
      </c>
      <c r="AC44">
        <f>HYPERLINK("https://klasma.github.io/Logging_2582/tillsyn/A 21610-2026 tillsynsbegäran.docx", "A 21610-2026")</f>
        <v/>
      </c>
      <c r="AD44">
        <f>HYPERLINK("https://klasma.github.io/Logging_2582/tillsynsmail/A 21610-2026 tillsynsbegäran mail.docx", "A 21610-2026")</f>
        <v/>
      </c>
      <c r="AE44">
        <f>HYPERLINK("https://klasma.github.io/Logging_2582/fåglar/A 21610-2026 prioriterade fågelarter.docx", "A 21610-2026")</f>
        <v/>
      </c>
    </row>
    <row r="45" ht="15" customHeight="1">
      <c r="A45" t="inlineStr">
        <is>
          <t>A 43710-2025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45912</v>
      </c>
      <c r="E45" s="1" t="n">
        <v>46323</v>
      </c>
      <c r="F45" t="inlineStr">
        <is>
          <t>NORRBOTTENS LÄN</t>
        </is>
      </c>
      <c r="G45" t="inlineStr">
        <is>
          <t>BODEN</t>
        </is>
      </c>
      <c r="I45" t="n">
        <v>4.8</v>
      </c>
      <c r="J45" t="n">
        <v>2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4</v>
      </c>
      <c r="T45" t="n">
        <v>4</v>
      </c>
      <c r="U45" t="n">
        <v>4</v>
      </c>
      <c r="V45" s="2" t="inlineStr">
        <is>
          <t>Talltagel
Spillkråka
Timmerticka
Orre</t>
        </is>
      </c>
      <c r="W45">
        <f>HYPERLINK("https://klasma.github.io/Logging_2582/artfynd/A 43710-2025 artfynd.xlsx", "A 43710-2025")</f>
        <v/>
      </c>
      <c r="X45">
        <f>HYPERLINK("https://klasma.github.io/Logging_2582/kartor/A 43710-2025 karta.png", "A 43710-2025")</f>
        <v/>
      </c>
      <c r="Y45">
        <f>HYPERLINK("https://klasma.github.io/Logging_2582/kartor_geotiff/A 43710-2025 georefererad karta.tif", "A 43710-2025")</f>
        <v/>
      </c>
      <c r="AA45">
        <f>HYPERLINK("https://klasma.github.io/Logging_2582/klagomål/A 43710-2025 FSC-klagomål.docx", "A 43710-2025")</f>
        <v/>
      </c>
      <c r="AB45">
        <f>HYPERLINK("https://klasma.github.io/Logging_2582/klagomålsmail/A 43710-2025 FSC-klagomål mail.docx", "A 43710-2025")</f>
        <v/>
      </c>
      <c r="AC45">
        <f>HYPERLINK("https://klasma.github.io/Logging_2582/tillsyn/A 43710-2025 tillsynsbegäran.docx", "A 43710-2025")</f>
        <v/>
      </c>
      <c r="AD45">
        <f>HYPERLINK("https://klasma.github.io/Logging_2582/tillsynsmail/A 43710-2025 tillsynsbegäran mail.docx", "A 43710-2025")</f>
        <v/>
      </c>
      <c r="AE45">
        <f>HYPERLINK("https://klasma.github.io/Logging_2582/fåglar/A 43710-2025 prioriterade fågelarter.docx", "A 43710-2025")</f>
        <v/>
      </c>
    </row>
    <row r="46" ht="15" customHeight="1">
      <c r="A46" t="inlineStr">
        <is>
          <t>A 59028-2025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45988</v>
      </c>
      <c r="E46" s="1" t="n">
        <v>46323</v>
      </c>
      <c r="F46" t="inlineStr">
        <is>
          <t>NORRBOTTENS LÄN</t>
        </is>
      </c>
      <c r="G46" t="inlineStr">
        <is>
          <t>BODEN</t>
        </is>
      </c>
      <c r="I46" t="n">
        <v>4.3</v>
      </c>
      <c r="J46" t="n">
        <v>0</v>
      </c>
      <c r="K46" t="n">
        <v>0</v>
      </c>
      <c r="L46" t="n">
        <v>2</v>
      </c>
      <c r="M46" t="n">
        <v>2</v>
      </c>
      <c r="N46" t="n">
        <v>0</v>
      </c>
      <c r="O46" t="n">
        <v>0</v>
      </c>
      <c r="P46" t="n">
        <v>0</v>
      </c>
      <c r="Q46" t="n">
        <v>4</v>
      </c>
      <c r="R46" t="n">
        <v>2</v>
      </c>
      <c r="S46" t="n">
        <v>4</v>
      </c>
      <c r="T46" t="n">
        <v>4</v>
      </c>
      <c r="U46" t="n">
        <v>0</v>
      </c>
      <c r="V46" s="2" t="inlineStr">
        <is>
          <t>Goliatmusseron
Skrovlig taggsvamp
Dvärgbägarlav
Skarp dropptaggsvamp</t>
        </is>
      </c>
      <c r="W46">
        <f>HYPERLINK("https://klasma.github.io/Logging_2582/artfynd/A 59028-2025 artfynd.xlsx", "A 59028-2025")</f>
        <v/>
      </c>
      <c r="X46">
        <f>HYPERLINK("https://klasma.github.io/Logging_2582/kartor/A 59028-2025 karta.png", "A 59028-2025")</f>
        <v/>
      </c>
      <c r="Y46">
        <f>HYPERLINK("https://klasma.github.io/Logging_2582/kartor_geotiff/A 59028-2025 georefererad karta.tif", "A 59028-2025")</f>
        <v/>
      </c>
      <c r="AA46">
        <f>HYPERLINK("https://klasma.github.io/Logging_2582/klagomål/A 59028-2025 FSC-klagomål.docx", "A 59028-2025")</f>
        <v/>
      </c>
      <c r="AB46">
        <f>HYPERLINK("https://klasma.github.io/Logging_2582/klagomålsmail/A 59028-2025 FSC-klagomål mail.docx", "A 59028-2025")</f>
        <v/>
      </c>
      <c r="AC46">
        <f>HYPERLINK("https://klasma.github.io/Logging_2582/tillsyn/A 59028-2025 tillsynsbegäran.docx", "A 59028-2025")</f>
        <v/>
      </c>
      <c r="AD46">
        <f>HYPERLINK("https://klasma.github.io/Logging_2582/tillsynsmail/A 59028-2025 tillsynsbegäran mail.docx", "A 59028-2025")</f>
        <v/>
      </c>
    </row>
    <row r="47" ht="15" customHeight="1">
      <c r="A47" t="inlineStr">
        <is>
          <t>A 1879-2024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45307</v>
      </c>
      <c r="E47" s="1" t="n">
        <v>46323</v>
      </c>
      <c r="F47" t="inlineStr">
        <is>
          <t>NORRBOTTENS LÄN</t>
        </is>
      </c>
      <c r="G47" t="inlineStr">
        <is>
          <t>BODEN</t>
        </is>
      </c>
      <c r="H47" t="inlineStr">
        <is>
          <t>SCA</t>
        </is>
      </c>
      <c r="I47" t="n">
        <v>4.5</v>
      </c>
      <c r="J47" t="n">
        <v>0</v>
      </c>
      <c r="K47" t="n">
        <v>1</v>
      </c>
      <c r="L47" t="n">
        <v>1</v>
      </c>
      <c r="M47" t="n">
        <v>2</v>
      </c>
      <c r="N47" t="n">
        <v>0</v>
      </c>
      <c r="O47" t="n">
        <v>0</v>
      </c>
      <c r="P47" t="n">
        <v>0</v>
      </c>
      <c r="Q47" t="n">
        <v>3</v>
      </c>
      <c r="R47" t="n">
        <v>2</v>
      </c>
      <c r="S47" t="n">
        <v>4</v>
      </c>
      <c r="T47" t="n">
        <v>16</v>
      </c>
      <c r="U47" t="n">
        <v>16</v>
      </c>
      <c r="V47" s="2" t="inlineStr">
        <is>
          <t>Garnlav
Ringlav
Skogshare
Bårdlav</t>
        </is>
      </c>
      <c r="W47">
        <f>HYPERLINK("https://klasma.github.io/Logging_2582/artfynd/A 1879-2024 artfynd.xlsx", "A 1879-2024")</f>
        <v/>
      </c>
      <c r="X47">
        <f>HYPERLINK("https://klasma.github.io/Logging_2582/kartor/A 1879-2024 karta.png", "A 1879-2024")</f>
        <v/>
      </c>
      <c r="Y47">
        <f>HYPERLINK("https://klasma.github.io/Logging_2582/kartor_geotiff/A 1879-2024 georefererad karta.tif", "A 1879-2024")</f>
        <v/>
      </c>
      <c r="AA47">
        <f>HYPERLINK("https://klasma.github.io/Logging_2582/klagomål/A 1879-2024 FSC-klagomål.docx", "A 1879-2024")</f>
        <v/>
      </c>
      <c r="AB47">
        <f>HYPERLINK("https://klasma.github.io/Logging_2582/klagomålsmail/A 1879-2024 FSC-klagomål mail.docx", "A 1879-2024")</f>
        <v/>
      </c>
      <c r="AC47">
        <f>HYPERLINK("https://klasma.github.io/Logging_2582/tillsyn/A 1879-2024 tillsynsbegäran.docx", "A 1879-2024")</f>
        <v/>
      </c>
      <c r="AD47">
        <f>HYPERLINK("https://klasma.github.io/Logging_2582/tillsynsmail/A 1879-2024 tillsynsbegäran mail.docx", "A 1879-2024")</f>
        <v/>
      </c>
    </row>
    <row r="48" ht="15" customHeight="1">
      <c r="A48" t="inlineStr">
        <is>
          <t>A 35413-2026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46261</v>
      </c>
      <c r="E48" s="1" t="n">
        <v>46323</v>
      </c>
      <c r="F48" t="inlineStr">
        <is>
          <t>NORRBOTTENS LÄN</t>
        </is>
      </c>
      <c r="G48" t="inlineStr">
        <is>
          <t>BODEN</t>
        </is>
      </c>
      <c r="H48" t="inlineStr">
        <is>
          <t>Sveaskog</t>
        </is>
      </c>
      <c r="I48" t="n">
        <v>1.7</v>
      </c>
      <c r="J48" t="n">
        <v>2</v>
      </c>
      <c r="K48" t="n">
        <v>2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4</v>
      </c>
      <c r="T48" t="n">
        <v>16</v>
      </c>
      <c r="U48" t="n">
        <v>16</v>
      </c>
      <c r="V48" s="2" t="inlineStr">
        <is>
          <t>Knärot
Spindelblomster
Ögonpyrola
Ormbär</t>
        </is>
      </c>
      <c r="W48">
        <f>HYPERLINK("https://klasma.github.io/Logging_2582/artfynd/A 35413-2026 artfynd.xlsx", "A 35413-2026")</f>
        <v/>
      </c>
      <c r="X48">
        <f>HYPERLINK("https://klasma.github.io/Logging_2582/kartor/A 35413-2026 karta.png", "A 35413-2026")</f>
        <v/>
      </c>
      <c r="Y48">
        <f>HYPERLINK("https://klasma.github.io/Logging_2582/kartor_geotiff/A 35413-2026 georefererad karta.tif", "A 35413-2026")</f>
        <v/>
      </c>
      <c r="Z48">
        <f>HYPERLINK("https://klasma.github.io/Logging_2582/knärot/A 35413-2026 karta knärot.png", "A 35413-2026")</f>
        <v/>
      </c>
      <c r="AA48">
        <f>HYPERLINK("https://klasma.github.io/Logging_2582/klagomål/A 35413-2026 FSC-klagomål.docx", "A 35413-2026")</f>
        <v/>
      </c>
      <c r="AB48">
        <f>HYPERLINK("https://klasma.github.io/Logging_2582/klagomålsmail/A 35413-2026 FSC-klagomål mail.docx", "A 35413-2026")</f>
        <v/>
      </c>
      <c r="AC48">
        <f>HYPERLINK("https://klasma.github.io/Logging_2582/tillsyn/A 35413-2026 tillsynsbegäran.docx", "A 35413-2026")</f>
        <v/>
      </c>
      <c r="AD48">
        <f>HYPERLINK("https://klasma.github.io/Logging_2582/tillsynsmail/A 35413-2026 tillsynsbegäran mail.docx", "A 35413-2026")</f>
        <v/>
      </c>
    </row>
    <row r="49" ht="15" customHeight="1">
      <c r="A49" t="inlineStr">
        <is>
          <t>A 43576-2026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46315</v>
      </c>
      <c r="E49" s="1" t="n">
        <v>46323</v>
      </c>
      <c r="F49" t="inlineStr">
        <is>
          <t>NORRBOTTENS LÄN</t>
        </is>
      </c>
      <c r="G49" t="inlineStr">
        <is>
          <t>BODEN</t>
        </is>
      </c>
      <c r="I49" t="n">
        <v>5.2</v>
      </c>
      <c r="J49" t="n">
        <v>3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2</v>
      </c>
      <c r="R49" t="n">
        <v>1</v>
      </c>
      <c r="S49" t="n">
        <v>4</v>
      </c>
      <c r="T49" t="n">
        <v>5</v>
      </c>
      <c r="U49" t="n">
        <v>0</v>
      </c>
      <c r="V49" s="2" t="inlineStr">
        <is>
          <t>Knärot
Luddfingersvamp
Spindelblomster
Spillkråka</t>
        </is>
      </c>
      <c r="W49">
        <f>HYPERLINK("https://klasma.github.io/Logging_2582/artfynd/A 43576-2026 artfynd.xlsx", "A 43576-2026")</f>
        <v/>
      </c>
      <c r="X49">
        <f>HYPERLINK("https://klasma.github.io/Logging_2582/kartor/A 43576-2026 karta.png", "A 43576-2026")</f>
        <v/>
      </c>
      <c r="Y49">
        <f>HYPERLINK("https://klasma.github.io/Logging_2582/kartor_geotiff/A 43576-2026 georefererad karta.tif", "A 43576-2026")</f>
        <v/>
      </c>
      <c r="Z49">
        <f>HYPERLINK("https://klasma.github.io/Logging_2582/knärot/A 43576-2026 karta knärot.png", "A 43576-2026")</f>
        <v/>
      </c>
      <c r="AA49">
        <f>HYPERLINK("https://klasma.github.io/Logging_2582/klagomål/A 43576-2026 FSC-klagomål.docx", "A 43576-2026")</f>
        <v/>
      </c>
      <c r="AB49">
        <f>HYPERLINK("https://klasma.github.io/Logging_2582/klagomålsmail/A 43576-2026 FSC-klagomål mail.docx", "A 43576-2026")</f>
        <v/>
      </c>
      <c r="AC49">
        <f>HYPERLINK("https://klasma.github.io/Logging_2582/tillsyn/A 43576-2026 tillsynsbegäran.docx", "A 43576-2026")</f>
        <v/>
      </c>
      <c r="AD49">
        <f>HYPERLINK("https://klasma.github.io/Logging_2582/tillsynsmail/A 43576-2026 tillsynsbegäran mail.docx", "A 43576-2026")</f>
        <v/>
      </c>
      <c r="AE49">
        <f>HYPERLINK("https://klasma.github.io/Logging_2582/fåglar/A 43576-2026 prioriterade fågelarter.docx", "A 43576-2026")</f>
        <v/>
      </c>
    </row>
    <row r="50" ht="15" customHeight="1">
      <c r="A50" t="inlineStr">
        <is>
          <t>A 57526-2025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45980</v>
      </c>
      <c r="E50" s="1" t="n">
        <v>46323</v>
      </c>
      <c r="F50" t="inlineStr">
        <is>
          <t>NORRBOTTENS LÄN</t>
        </is>
      </c>
      <c r="G50" t="inlineStr">
        <is>
          <t>BODEN</t>
        </is>
      </c>
      <c r="H50" t="inlineStr">
        <is>
          <t>Sveaskog</t>
        </is>
      </c>
      <c r="I50" t="n">
        <v>2.9</v>
      </c>
      <c r="J50" t="n">
        <v>1</v>
      </c>
      <c r="K50" t="n">
        <v>1</v>
      </c>
      <c r="L50" t="n">
        <v>2</v>
      </c>
      <c r="M50" t="n">
        <v>1</v>
      </c>
      <c r="N50" t="n">
        <v>0</v>
      </c>
      <c r="O50" t="n">
        <v>0</v>
      </c>
      <c r="P50" t="n">
        <v>0</v>
      </c>
      <c r="Q50" t="n">
        <v>3</v>
      </c>
      <c r="R50" t="n">
        <v>1</v>
      </c>
      <c r="S50" t="n">
        <v>4</v>
      </c>
      <c r="T50" t="n">
        <v>27</v>
      </c>
      <c r="U50" t="n">
        <v>0</v>
      </c>
      <c r="V50" s="2" t="inlineStr">
        <is>
          <t>Knärot
Lunglav
Ullticka
Stuplav</t>
        </is>
      </c>
      <c r="W50">
        <f>HYPERLINK("https://klasma.github.io/Logging_2582/artfynd/A 57526-2025 artfynd.xlsx", "A 57526-2025")</f>
        <v/>
      </c>
      <c r="X50">
        <f>HYPERLINK("https://klasma.github.io/Logging_2582/kartor/A 57526-2025 karta.png", "A 57526-2025")</f>
        <v/>
      </c>
      <c r="Y50">
        <f>HYPERLINK("https://klasma.github.io/Logging_2582/kartor_geotiff/A 57526-2025 georefererad karta.tif", "A 57526-2025")</f>
        <v/>
      </c>
      <c r="Z50">
        <f>HYPERLINK("https://klasma.github.io/Logging_2582/knärot/A 57526-2025 karta knärot.png", "A 57526-2025")</f>
        <v/>
      </c>
      <c r="AA50">
        <f>HYPERLINK("https://klasma.github.io/Logging_2582/klagomål/A 57526-2025 FSC-klagomål.docx", "A 57526-2025")</f>
        <v/>
      </c>
      <c r="AB50">
        <f>HYPERLINK("https://klasma.github.io/Logging_2582/klagomålsmail/A 57526-2025 FSC-klagomål mail.docx", "A 57526-2025")</f>
        <v/>
      </c>
      <c r="AC50">
        <f>HYPERLINK("https://klasma.github.io/Logging_2582/tillsyn/A 57526-2025 tillsynsbegäran.docx", "A 57526-2025")</f>
        <v/>
      </c>
      <c r="AD50">
        <f>HYPERLINK("https://klasma.github.io/Logging_2582/tillsynsmail/A 57526-2025 tillsynsbegäran mail.docx", "A 57526-2025")</f>
        <v/>
      </c>
    </row>
    <row r="51" ht="15" customHeight="1">
      <c r="A51" t="inlineStr">
        <is>
          <t>A 21475-2026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46148</v>
      </c>
      <c r="E51" s="1" t="n">
        <v>46323</v>
      </c>
      <c r="F51" t="inlineStr">
        <is>
          <t>NORRBOTTENS LÄN</t>
        </is>
      </c>
      <c r="G51" t="inlineStr">
        <is>
          <t>BODEN</t>
        </is>
      </c>
      <c r="H51" t="inlineStr">
        <is>
          <t>Sveaskog</t>
        </is>
      </c>
      <c r="I51" t="n">
        <v>27.6</v>
      </c>
      <c r="J51" t="n">
        <v>2</v>
      </c>
      <c r="K51" t="n">
        <v>1</v>
      </c>
      <c r="L51" t="n">
        <v>2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n">
        <v>0</v>
      </c>
      <c r="S51" t="n">
        <v>4</v>
      </c>
      <c r="T51" t="n">
        <v>4</v>
      </c>
      <c r="U51" t="n">
        <v>0</v>
      </c>
      <c r="V51" s="2" t="inlineStr">
        <is>
          <t>Harticka
Tretåig hackspett
Smal svampklubba
Järpe</t>
        </is>
      </c>
      <c r="W51">
        <f>HYPERLINK("https://klasma.github.io/Logging_2582/artfynd/A 21475-2026 artfynd.xlsx", "A 21475-2026")</f>
        <v/>
      </c>
      <c r="X51">
        <f>HYPERLINK("https://klasma.github.io/Logging_2582/kartor/A 21475-2026 karta.png", "A 21475-2026")</f>
        <v/>
      </c>
      <c r="Y51">
        <f>HYPERLINK("https://klasma.github.io/Logging_2582/kartor_geotiff/A 21475-2026 georefererad karta.tif", "A 21475-2026")</f>
        <v/>
      </c>
      <c r="AA51">
        <f>HYPERLINK("https://klasma.github.io/Logging_2582/klagomål/A 21475-2026 FSC-klagomål.docx", "A 21475-2026")</f>
        <v/>
      </c>
      <c r="AB51">
        <f>HYPERLINK("https://klasma.github.io/Logging_2582/klagomålsmail/A 21475-2026 FSC-klagomål mail.docx", "A 21475-2026")</f>
        <v/>
      </c>
      <c r="AC51">
        <f>HYPERLINK("https://klasma.github.io/Logging_2582/tillsyn/A 21475-2026 tillsynsbegäran.docx", "A 21475-2026")</f>
        <v/>
      </c>
      <c r="AD51">
        <f>HYPERLINK("https://klasma.github.io/Logging_2582/tillsynsmail/A 21475-2026 tillsynsbegäran mail.docx", "A 21475-2026")</f>
        <v/>
      </c>
      <c r="AE51">
        <f>HYPERLINK("https://klasma.github.io/Logging_2582/fåglar/A 21475-2026 prioriterade fågelarter.docx", "A 21475-2026")</f>
        <v/>
      </c>
    </row>
    <row r="52" ht="15" customHeight="1">
      <c r="A52" t="inlineStr">
        <is>
          <t>A 28358-2026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46196</v>
      </c>
      <c r="E52" s="1" t="n">
        <v>46323</v>
      </c>
      <c r="F52" t="inlineStr">
        <is>
          <t>NORRBOTTENS LÄN</t>
        </is>
      </c>
      <c r="G52" t="inlineStr">
        <is>
          <t>BODEN</t>
        </is>
      </c>
      <c r="H52" t="inlineStr">
        <is>
          <t>Sveaskog</t>
        </is>
      </c>
      <c r="I52" t="n">
        <v>7.3</v>
      </c>
      <c r="J52" t="n">
        <v>3</v>
      </c>
      <c r="K52" t="n">
        <v>1</v>
      </c>
      <c r="L52" t="n">
        <v>1</v>
      </c>
      <c r="M52" t="n">
        <v>2</v>
      </c>
      <c r="N52" t="n">
        <v>0</v>
      </c>
      <c r="O52" t="n">
        <v>0</v>
      </c>
      <c r="P52" t="n">
        <v>0</v>
      </c>
      <c r="Q52" t="n">
        <v>3</v>
      </c>
      <c r="R52" t="n">
        <v>2</v>
      </c>
      <c r="S52" t="n">
        <v>4</v>
      </c>
      <c r="T52" t="n">
        <v>6</v>
      </c>
      <c r="U52" t="n">
        <v>0</v>
      </c>
      <c r="V52" s="2" t="inlineStr">
        <is>
          <t>Doftticka
Knärot
Lunglav
Spindelblomster</t>
        </is>
      </c>
      <c r="W52">
        <f>HYPERLINK("https://klasma.github.io/Logging_2582/artfynd/A 28358-2026 artfynd.xlsx", "A 28358-2026")</f>
        <v/>
      </c>
      <c r="X52">
        <f>HYPERLINK("https://klasma.github.io/Logging_2582/kartor/A 28358-2026 karta.png", "A 28358-2026")</f>
        <v/>
      </c>
      <c r="Y52">
        <f>HYPERLINK("https://klasma.github.io/Logging_2582/kartor_geotiff/A 28358-2026 georefererad karta.tif", "A 28358-2026")</f>
        <v/>
      </c>
      <c r="Z52">
        <f>HYPERLINK("https://klasma.github.io/Logging_2582/knärot/A 28358-2026 karta knärot.png", "A 28358-2026")</f>
        <v/>
      </c>
      <c r="AA52">
        <f>HYPERLINK("https://klasma.github.io/Logging_2582/klagomål/A 28358-2026 FSC-klagomål.docx", "A 28358-2026")</f>
        <v/>
      </c>
      <c r="AB52">
        <f>HYPERLINK("https://klasma.github.io/Logging_2582/klagomålsmail/A 28358-2026 FSC-klagomål mail.docx", "A 28358-2026")</f>
        <v/>
      </c>
      <c r="AC52">
        <f>HYPERLINK("https://klasma.github.io/Logging_2582/tillsyn/A 28358-2026 tillsynsbegäran.docx", "A 28358-2026")</f>
        <v/>
      </c>
      <c r="AD52">
        <f>HYPERLINK("https://klasma.github.io/Logging_2582/tillsynsmail/A 28358-2026 tillsynsbegäran mail.docx", "A 28358-2026")</f>
        <v/>
      </c>
    </row>
    <row r="53" ht="15" customHeight="1">
      <c r="A53" t="inlineStr">
        <is>
          <t>S 3220-2025</t>
        </is>
      </c>
      <c r="B53" t="inlineStr">
        <is>
          <t>samrådsanmälan</t>
        </is>
      </c>
      <c r="C53" t="inlineStr">
        <is>
          <t>Annan skogsbruksåtgärd</t>
        </is>
      </c>
      <c r="D53" s="1" t="n">
        <v>45980</v>
      </c>
      <c r="E53" s="1" t="n">
        <v>46323</v>
      </c>
      <c r="F53" t="inlineStr">
        <is>
          <t>NORRBOTTENS LÄN</t>
        </is>
      </c>
      <c r="G53" t="inlineStr">
        <is>
          <t>BODEN</t>
        </is>
      </c>
      <c r="H53" t="inlineStr">
        <is>
          <t>Sveaskog</t>
        </is>
      </c>
      <c r="I53" t="n">
        <v>2.9</v>
      </c>
      <c r="J53" t="n">
        <v>1</v>
      </c>
      <c r="K53" t="n">
        <v>1</v>
      </c>
      <c r="L53" t="n">
        <v>2</v>
      </c>
      <c r="M53" t="n">
        <v>1</v>
      </c>
      <c r="N53" t="n">
        <v>0</v>
      </c>
      <c r="O53" t="n">
        <v>0</v>
      </c>
      <c r="P53" t="n">
        <v>0</v>
      </c>
      <c r="Q53" t="n">
        <v>3</v>
      </c>
      <c r="R53" t="n">
        <v>1</v>
      </c>
      <c r="S53" t="n">
        <v>4</v>
      </c>
      <c r="T53" t="n">
        <v>27</v>
      </c>
      <c r="U53" t="n">
        <v>0</v>
      </c>
      <c r="V53" s="2" t="inlineStr">
        <is>
          <t>Knärot
Lunglav
Ullticka
Stuplav</t>
        </is>
      </c>
      <c r="W53">
        <f>HYPERLINK("https://klasma.github.io/Logging_2582/artfynd/S 3220-2025 artfynd.xlsx", "S 3220-2025")</f>
        <v/>
      </c>
      <c r="X53">
        <f>HYPERLINK("https://klasma.github.io/Logging_2582/kartor/S 3220-2025 karta.png", "S 3220-2025")</f>
        <v/>
      </c>
      <c r="Y53">
        <f>HYPERLINK("https://klasma.github.io/Logging_2582/kartor_geotiff/S 3220-2025 georefererad karta.tif", "S 3220-2025")</f>
        <v/>
      </c>
      <c r="Z53">
        <f>HYPERLINK("https://klasma.github.io/Logging_2582/knärot/S 3220-2025 karta knärot.png", "S 3220-2025")</f>
        <v/>
      </c>
      <c r="AA53">
        <f>HYPERLINK("https://klasma.github.io/Logging_2582/klagomål/S 3220-2025 FSC-klagomål.docx", "S 3220-2025")</f>
        <v/>
      </c>
      <c r="AB53">
        <f>HYPERLINK("https://klasma.github.io/Logging_2582/klagomålsmail/S 3220-2025 FSC-klagomål mail.docx", "S 3220-2025")</f>
        <v/>
      </c>
      <c r="AC53">
        <f>HYPERLINK("https://klasma.github.io/Logging_2582/tillsyn/S 3220-2025 tillsynsbegäran.docx", "S 3220-2025")</f>
        <v/>
      </c>
      <c r="AD53">
        <f>HYPERLINK("https://klasma.github.io/Logging_2582/tillsynsmail/S 3220-2025 tillsynsbegäran mail.docx", "S 3220-2025")</f>
        <v/>
      </c>
    </row>
    <row r="54" ht="15" customHeight="1">
      <c r="A54" t="inlineStr">
        <is>
          <t>A 43007-2022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44833</v>
      </c>
      <c r="E54" s="1" t="n">
        <v>46323</v>
      </c>
      <c r="F54" t="inlineStr">
        <is>
          <t>NORRBOTTENS LÄN</t>
        </is>
      </c>
      <c r="G54" t="inlineStr">
        <is>
          <t>BODEN</t>
        </is>
      </c>
      <c r="I54" t="n">
        <v>1.8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</v>
      </c>
      <c r="T54" t="n">
        <v>3</v>
      </c>
      <c r="U54" t="n">
        <v>3</v>
      </c>
      <c r="V54" s="2" t="inlineStr">
        <is>
          <t>Kransmossa
Liljekonvalj
Nattviol</t>
        </is>
      </c>
      <c r="W54">
        <f>HYPERLINK("https://klasma.github.io/Logging_2582/artfynd/A 43007-2022 artfynd.xlsx", "A 43007-2022")</f>
        <v/>
      </c>
      <c r="X54">
        <f>HYPERLINK("https://klasma.github.io/Logging_2582/kartor/A 43007-2022 karta.png", "A 43007-2022")</f>
        <v/>
      </c>
      <c r="Y54">
        <f>HYPERLINK("https://klasma.github.io/Logging_2582/kartor_geotiff/A 43007-2022 georefererad karta.tif", "A 43007-2022")</f>
        <v/>
      </c>
      <c r="AA54">
        <f>HYPERLINK("https://klasma.github.io/Logging_2582/klagomål/A 43007-2022 FSC-klagomål.docx", "A 43007-2022")</f>
        <v/>
      </c>
      <c r="AB54">
        <f>HYPERLINK("https://klasma.github.io/Logging_2582/klagomålsmail/A 43007-2022 FSC-klagomål mail.docx", "A 43007-2022")</f>
        <v/>
      </c>
      <c r="AC54">
        <f>HYPERLINK("https://klasma.github.io/Logging_2582/tillsyn/A 43007-2022 tillsynsbegäran.docx", "A 43007-2022")</f>
        <v/>
      </c>
      <c r="AD54">
        <f>HYPERLINK("https://klasma.github.io/Logging_2582/tillsynsmail/A 43007-2022 tillsynsbegäran mail.docx", "A 43007-2022")</f>
        <v/>
      </c>
    </row>
    <row r="55" ht="15" customHeight="1">
      <c r="A55" t="inlineStr">
        <is>
          <t>A 23575-2023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45077</v>
      </c>
      <c r="E55" s="1" t="n">
        <v>46323</v>
      </c>
      <c r="F55" t="inlineStr">
        <is>
          <t>NORRBOTTENS LÄN</t>
        </is>
      </c>
      <c r="G55" t="inlineStr">
        <is>
          <t>BODEN</t>
        </is>
      </c>
      <c r="I55" t="n">
        <v>7.9</v>
      </c>
      <c r="J55" t="n">
        <v>1</v>
      </c>
      <c r="K55" t="n">
        <v>1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2</v>
      </c>
      <c r="R55" t="n">
        <v>0</v>
      </c>
      <c r="S55" t="n">
        <v>3</v>
      </c>
      <c r="T55" t="n">
        <v>4</v>
      </c>
      <c r="U55" t="n">
        <v>1</v>
      </c>
      <c r="V55" s="2" t="inlineStr">
        <is>
          <t>Gammelgransskål
Nordfladdermus
Bollvitmossa</t>
        </is>
      </c>
      <c r="W55">
        <f>HYPERLINK("https://klasma.github.io/Logging_2582/artfynd/A 23575-2023 artfynd.xlsx", "A 23575-2023")</f>
        <v/>
      </c>
      <c r="X55">
        <f>HYPERLINK("https://klasma.github.io/Logging_2582/kartor/A 23575-2023 karta.png", "A 23575-2023")</f>
        <v/>
      </c>
      <c r="Y55">
        <f>HYPERLINK("https://klasma.github.io/Logging_2582/kartor_geotiff/A 23575-2023 georefererad karta.tif", "A 23575-2023")</f>
        <v/>
      </c>
      <c r="AA55">
        <f>HYPERLINK("https://klasma.github.io/Logging_2582/klagomål/A 23575-2023 FSC-klagomål.docx", "A 23575-2023")</f>
        <v/>
      </c>
      <c r="AB55">
        <f>HYPERLINK("https://klasma.github.io/Logging_2582/klagomålsmail/A 23575-2023 FSC-klagomål mail.docx", "A 23575-2023")</f>
        <v/>
      </c>
      <c r="AC55">
        <f>HYPERLINK("https://klasma.github.io/Logging_2582/tillsyn/A 23575-2023 tillsynsbegäran.docx", "A 23575-2023")</f>
        <v/>
      </c>
      <c r="AD55">
        <f>HYPERLINK("https://klasma.github.io/Logging_2582/tillsynsmail/A 23575-2023 tillsynsbegäran mail.docx", "A 23575-2023")</f>
        <v/>
      </c>
    </row>
    <row r="56" ht="15" customHeight="1">
      <c r="A56" t="inlineStr">
        <is>
          <t>A 48220-2025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45933</v>
      </c>
      <c r="E56" s="1" t="n">
        <v>46323</v>
      </c>
      <c r="F56" t="inlineStr">
        <is>
          <t>NORRBOTTENS LÄN</t>
        </is>
      </c>
      <c r="G56" t="inlineStr">
        <is>
          <t>BODEN</t>
        </is>
      </c>
      <c r="H56" t="inlineStr">
        <is>
          <t>Sveaskog</t>
        </is>
      </c>
      <c r="I56" t="n">
        <v>2.4</v>
      </c>
      <c r="J56" t="n">
        <v>1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2</v>
      </c>
      <c r="R56" t="n">
        <v>1</v>
      </c>
      <c r="S56" t="n">
        <v>3</v>
      </c>
      <c r="T56" t="n">
        <v>4</v>
      </c>
      <c r="U56" t="n">
        <v>0</v>
      </c>
      <c r="V56" s="2" t="inlineStr">
        <is>
          <t>Garnlav
Gammelgransskål
Spillkråka</t>
        </is>
      </c>
      <c r="W56">
        <f>HYPERLINK("https://klasma.github.io/Logging_2582/artfynd/A 48220-2025 artfynd.xlsx", "A 48220-2025")</f>
        <v/>
      </c>
      <c r="X56">
        <f>HYPERLINK("https://klasma.github.io/Logging_2582/kartor/A 48220-2025 karta.png", "A 48220-2025")</f>
        <v/>
      </c>
      <c r="Y56">
        <f>HYPERLINK("https://klasma.github.io/Logging_2582/kartor_geotiff/A 48220-2025 georefererad karta.tif", "A 48220-2025")</f>
        <v/>
      </c>
      <c r="AA56">
        <f>HYPERLINK("https://klasma.github.io/Logging_2582/klagomål/A 48220-2025 FSC-klagomål.docx", "A 48220-2025")</f>
        <v/>
      </c>
      <c r="AB56">
        <f>HYPERLINK("https://klasma.github.io/Logging_2582/klagomålsmail/A 48220-2025 FSC-klagomål mail.docx", "A 48220-2025")</f>
        <v/>
      </c>
      <c r="AC56">
        <f>HYPERLINK("https://klasma.github.io/Logging_2582/tillsyn/A 48220-2025 tillsynsbegäran.docx", "A 48220-2025")</f>
        <v/>
      </c>
      <c r="AD56">
        <f>HYPERLINK("https://klasma.github.io/Logging_2582/tillsynsmail/A 48220-2025 tillsynsbegäran mail.docx", "A 48220-2025")</f>
        <v/>
      </c>
      <c r="AE56">
        <f>HYPERLINK("https://klasma.github.io/Logging_2582/fåglar/A 48220-2025 prioriterade fågelarter.docx", "A 48220-2025")</f>
        <v/>
      </c>
    </row>
    <row r="57" ht="15" customHeight="1">
      <c r="A57" t="inlineStr">
        <is>
          <t>A 51957-2025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45952</v>
      </c>
      <c r="E57" s="1" t="n">
        <v>46323</v>
      </c>
      <c r="F57" t="inlineStr">
        <is>
          <t>NORRBOTTENS LÄN</t>
        </is>
      </c>
      <c r="G57" t="inlineStr">
        <is>
          <t>BODEN</t>
        </is>
      </c>
      <c r="H57" t="inlineStr">
        <is>
          <t>Sveaskog</t>
        </is>
      </c>
      <c r="I57" t="n">
        <v>8</v>
      </c>
      <c r="J57" t="n">
        <v>0</v>
      </c>
      <c r="K57" t="n">
        <v>0</v>
      </c>
      <c r="L57" t="n">
        <v>1</v>
      </c>
      <c r="M57" t="n">
        <v>2</v>
      </c>
      <c r="N57" t="n">
        <v>0</v>
      </c>
      <c r="O57" t="n">
        <v>0</v>
      </c>
      <c r="P57" t="n">
        <v>0</v>
      </c>
      <c r="Q57" t="n">
        <v>3</v>
      </c>
      <c r="R57" t="n">
        <v>2</v>
      </c>
      <c r="S57" t="n">
        <v>3</v>
      </c>
      <c r="T57" t="n">
        <v>7</v>
      </c>
      <c r="U57" t="n">
        <v>1</v>
      </c>
      <c r="V57" s="2" t="inlineStr">
        <is>
          <t>Brunfläckig pärlemorfjäril
Garnlav
Harticka</t>
        </is>
      </c>
      <c r="W57">
        <f>HYPERLINK("https://klasma.github.io/Logging_2582/artfynd/A 51957-2025 artfynd.xlsx", "A 51957-2025")</f>
        <v/>
      </c>
      <c r="X57">
        <f>HYPERLINK("https://klasma.github.io/Logging_2582/kartor/A 51957-2025 karta.png", "A 51957-2025")</f>
        <v/>
      </c>
      <c r="Y57">
        <f>HYPERLINK("https://klasma.github.io/Logging_2582/kartor_geotiff/A 51957-2025 georefererad karta.tif", "A 51957-2025")</f>
        <v/>
      </c>
      <c r="AA57">
        <f>HYPERLINK("https://klasma.github.io/Logging_2582/klagomål/A 51957-2025 FSC-klagomål.docx", "A 51957-2025")</f>
        <v/>
      </c>
      <c r="AB57">
        <f>HYPERLINK("https://klasma.github.io/Logging_2582/klagomålsmail/A 51957-2025 FSC-klagomål mail.docx", "A 51957-2025")</f>
        <v/>
      </c>
      <c r="AC57">
        <f>HYPERLINK("https://klasma.github.io/Logging_2582/tillsyn/A 51957-2025 tillsynsbegäran.docx", "A 51957-2025")</f>
        <v/>
      </c>
      <c r="AD57">
        <f>HYPERLINK("https://klasma.github.io/Logging_2582/tillsynsmail/A 51957-2025 tillsynsbegäran mail.docx", "A 51957-2025")</f>
        <v/>
      </c>
    </row>
    <row r="58" ht="15" customHeight="1">
      <c r="A58" t="inlineStr">
        <is>
          <t>A 37014-2023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45155</v>
      </c>
      <c r="E58" s="1" t="n">
        <v>46323</v>
      </c>
      <c r="F58" t="inlineStr">
        <is>
          <t>NORRBOTTENS LÄN</t>
        </is>
      </c>
      <c r="G58" t="inlineStr">
        <is>
          <t>BODEN</t>
        </is>
      </c>
      <c r="H58" t="inlineStr">
        <is>
          <t>Sveaskog</t>
        </is>
      </c>
      <c r="I58" t="n">
        <v>2.4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1</v>
      </c>
      <c r="S58" t="n">
        <v>3</v>
      </c>
      <c r="T58" t="n">
        <v>7</v>
      </c>
      <c r="U58" t="n">
        <v>7</v>
      </c>
      <c r="V58" s="2" t="inlineStr">
        <is>
          <t>Garnlav
Talltita
Stuplav</t>
        </is>
      </c>
      <c r="W58">
        <f>HYPERLINK("https://klasma.github.io/Logging_2582/artfynd/A 37014-2023 artfynd.xlsx", "A 37014-2023")</f>
        <v/>
      </c>
      <c r="X58">
        <f>HYPERLINK("https://klasma.github.io/Logging_2582/kartor/A 37014-2023 karta.png", "A 37014-2023")</f>
        <v/>
      </c>
      <c r="Y58">
        <f>HYPERLINK("https://klasma.github.io/Logging_2582/kartor_geotiff/A 37014-2023 georefererad karta.tif", "A 37014-2023")</f>
        <v/>
      </c>
      <c r="AA58">
        <f>HYPERLINK("https://klasma.github.io/Logging_2582/klagomål/A 37014-2023 FSC-klagomål.docx", "A 37014-2023")</f>
        <v/>
      </c>
      <c r="AB58">
        <f>HYPERLINK("https://klasma.github.io/Logging_2582/klagomålsmail/A 37014-2023 FSC-klagomål mail.docx", "A 37014-2023")</f>
        <v/>
      </c>
      <c r="AC58">
        <f>HYPERLINK("https://klasma.github.io/Logging_2582/tillsyn/A 37014-2023 tillsynsbegäran.docx", "A 37014-2023")</f>
        <v/>
      </c>
      <c r="AD58">
        <f>HYPERLINK("https://klasma.github.io/Logging_2582/tillsynsmail/A 37014-2023 tillsynsbegäran mail.docx", "A 37014-2023")</f>
        <v/>
      </c>
      <c r="AE58">
        <f>HYPERLINK("https://klasma.github.io/Logging_2582/fåglar/A 37014-2023 prioriterade fågelarter.docx", "A 37014-2023")</f>
        <v/>
      </c>
    </row>
    <row r="59" ht="15" customHeight="1">
      <c r="A59" t="inlineStr">
        <is>
          <t>A 57806-2025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45981</v>
      </c>
      <c r="E59" s="1" t="n">
        <v>46323</v>
      </c>
      <c r="F59" t="inlineStr">
        <is>
          <t>NORRBOTTENS LÄN</t>
        </is>
      </c>
      <c r="G59" t="inlineStr">
        <is>
          <t>BODEN</t>
        </is>
      </c>
      <c r="H59" t="inlineStr">
        <is>
          <t>Sveaskog</t>
        </is>
      </c>
      <c r="I59" t="n">
        <v>10.4</v>
      </c>
      <c r="J59" t="n">
        <v>0</v>
      </c>
      <c r="K59" t="n">
        <v>0</v>
      </c>
      <c r="L59" t="n">
        <v>3</v>
      </c>
      <c r="M59" t="n">
        <v>0</v>
      </c>
      <c r="N59" t="n">
        <v>0</v>
      </c>
      <c r="O59" t="n">
        <v>0</v>
      </c>
      <c r="P59" t="n">
        <v>0</v>
      </c>
      <c r="Q59" t="n">
        <v>3</v>
      </c>
      <c r="R59" t="n">
        <v>0</v>
      </c>
      <c r="S59" t="n">
        <v>3</v>
      </c>
      <c r="T59" t="n">
        <v>3</v>
      </c>
      <c r="U59" t="n">
        <v>0</v>
      </c>
      <c r="V59" s="2" t="inlineStr">
        <is>
          <t>Dropptaggsvamp
Dvärgbägarlav
Lunglav</t>
        </is>
      </c>
      <c r="W59">
        <f>HYPERLINK("https://klasma.github.io/Logging_2582/artfynd/A 57806-2025 artfynd.xlsx", "A 57806-2025")</f>
        <v/>
      </c>
      <c r="X59">
        <f>HYPERLINK("https://klasma.github.io/Logging_2582/kartor/A 57806-2025 karta.png", "A 57806-2025")</f>
        <v/>
      </c>
      <c r="Y59">
        <f>HYPERLINK("https://klasma.github.io/Logging_2582/kartor_geotiff/A 57806-2025 georefererad karta.tif", "A 57806-2025")</f>
        <v/>
      </c>
      <c r="AA59">
        <f>HYPERLINK("https://klasma.github.io/Logging_2582/klagomål/A 57806-2025 FSC-klagomål.docx", "A 57806-2025")</f>
        <v/>
      </c>
      <c r="AB59">
        <f>HYPERLINK("https://klasma.github.io/Logging_2582/klagomålsmail/A 57806-2025 FSC-klagomål mail.docx", "A 57806-2025")</f>
        <v/>
      </c>
      <c r="AC59">
        <f>HYPERLINK("https://klasma.github.io/Logging_2582/tillsyn/A 57806-2025 tillsynsbegäran.docx", "A 57806-2025")</f>
        <v/>
      </c>
      <c r="AD59">
        <f>HYPERLINK("https://klasma.github.io/Logging_2582/tillsynsmail/A 57806-2025 tillsynsbegäran mail.docx", "A 57806-2025")</f>
        <v/>
      </c>
    </row>
    <row r="60" ht="15" customHeight="1">
      <c r="A60" t="inlineStr">
        <is>
          <t>A 29868-2026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46205</v>
      </c>
      <c r="E60" s="1" t="n">
        <v>46323</v>
      </c>
      <c r="F60" t="inlineStr">
        <is>
          <t>NORRBOTTENS LÄN</t>
        </is>
      </c>
      <c r="G60" t="inlineStr">
        <is>
          <t>BODEN</t>
        </is>
      </c>
      <c r="H60" t="inlineStr">
        <is>
          <t>Sveaskog</t>
        </is>
      </c>
      <c r="I60" t="n">
        <v>5.3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2</v>
      </c>
      <c r="R60" t="n">
        <v>1</v>
      </c>
      <c r="S60" t="n">
        <v>3</v>
      </c>
      <c r="T60" t="n">
        <v>6</v>
      </c>
      <c r="U60" t="n">
        <v>2</v>
      </c>
      <c r="V60" s="2" t="inlineStr">
        <is>
          <t>Garnlav
Lunglav
Spindelblomster</t>
        </is>
      </c>
      <c r="W60">
        <f>HYPERLINK("https://klasma.github.io/Logging_2582/artfynd/A 29868-2026 artfynd.xlsx", "A 29868-2026")</f>
        <v/>
      </c>
      <c r="X60">
        <f>HYPERLINK("https://klasma.github.io/Logging_2582/kartor/A 29868-2026 karta.png", "A 29868-2026")</f>
        <v/>
      </c>
      <c r="Y60">
        <f>HYPERLINK("https://klasma.github.io/Logging_2582/kartor_geotiff/A 29868-2026 georefererad karta.tif", "A 29868-2026")</f>
        <v/>
      </c>
      <c r="AA60">
        <f>HYPERLINK("https://klasma.github.io/Logging_2582/klagomål/A 29868-2026 FSC-klagomål.docx", "A 29868-2026")</f>
        <v/>
      </c>
      <c r="AB60">
        <f>HYPERLINK("https://klasma.github.io/Logging_2582/klagomålsmail/A 29868-2026 FSC-klagomål mail.docx", "A 29868-2026")</f>
        <v/>
      </c>
      <c r="AC60">
        <f>HYPERLINK("https://klasma.github.io/Logging_2582/tillsyn/A 29868-2026 tillsynsbegäran.docx", "A 29868-2026")</f>
        <v/>
      </c>
      <c r="AD60">
        <f>HYPERLINK("https://klasma.github.io/Logging_2582/tillsynsmail/A 29868-2026 tillsynsbegäran mail.docx", "A 29868-2026")</f>
        <v/>
      </c>
    </row>
    <row r="61" ht="15" customHeight="1">
      <c r="A61" t="inlineStr">
        <is>
          <t>A 31230-2026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46217</v>
      </c>
      <c r="E61" s="1" t="n">
        <v>46323</v>
      </c>
      <c r="F61" t="inlineStr">
        <is>
          <t>NORRBOTTENS LÄN</t>
        </is>
      </c>
      <c r="G61" t="inlineStr">
        <is>
          <t>BODEN</t>
        </is>
      </c>
      <c r="H61" t="inlineStr">
        <is>
          <t>Sveaskog</t>
        </is>
      </c>
      <c r="I61" t="n">
        <v>7</v>
      </c>
      <c r="J61" t="n">
        <v>2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3</v>
      </c>
      <c r="T61" t="n">
        <v>3</v>
      </c>
      <c r="U61" t="n">
        <v>0</v>
      </c>
      <c r="V61" s="2" t="inlineStr">
        <is>
          <t>Lunglav
Fläcknycklar
Fläcknycklar × sumpnycklar</t>
        </is>
      </c>
      <c r="W61">
        <f>HYPERLINK("https://klasma.github.io/Logging_2582/artfynd/A 31230-2026 artfynd.xlsx", "A 31230-2026")</f>
        <v/>
      </c>
      <c r="X61">
        <f>HYPERLINK("https://klasma.github.io/Logging_2582/kartor/A 31230-2026 karta.png", "A 31230-2026")</f>
        <v/>
      </c>
      <c r="Y61">
        <f>HYPERLINK("https://klasma.github.io/Logging_2582/kartor_geotiff/A 31230-2026 georefererad karta.tif", "A 31230-2026")</f>
        <v/>
      </c>
      <c r="AA61">
        <f>HYPERLINK("https://klasma.github.io/Logging_2582/klagomål/A 31230-2026 FSC-klagomål.docx", "A 31230-2026")</f>
        <v/>
      </c>
      <c r="AB61">
        <f>HYPERLINK("https://klasma.github.io/Logging_2582/klagomålsmail/A 31230-2026 FSC-klagomål mail.docx", "A 31230-2026")</f>
        <v/>
      </c>
      <c r="AC61">
        <f>HYPERLINK("https://klasma.github.io/Logging_2582/tillsyn/A 31230-2026 tillsynsbegäran.docx", "A 31230-2026")</f>
        <v/>
      </c>
      <c r="AD61">
        <f>HYPERLINK("https://klasma.github.io/Logging_2582/tillsynsmail/A 31230-2026 tillsynsbegäran mail.docx", "A 31230-2026")</f>
        <v/>
      </c>
    </row>
    <row r="62" ht="15" customHeight="1">
      <c r="A62" t="inlineStr">
        <is>
          <t>A 6118-2025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45698</v>
      </c>
      <c r="E62" s="1" t="n">
        <v>46323</v>
      </c>
      <c r="F62" t="inlineStr">
        <is>
          <t>NORRBOTTENS LÄN</t>
        </is>
      </c>
      <c r="G62" t="inlineStr">
        <is>
          <t>BODEN</t>
        </is>
      </c>
      <c r="H62" t="inlineStr">
        <is>
          <t>SCA</t>
        </is>
      </c>
      <c r="I62" t="n">
        <v>3.7</v>
      </c>
      <c r="J62" t="n">
        <v>2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2</v>
      </c>
      <c r="R62" t="n">
        <v>1</v>
      </c>
      <c r="S62" t="n">
        <v>3</v>
      </c>
      <c r="T62" t="n">
        <v>14</v>
      </c>
      <c r="U62" t="n">
        <v>14</v>
      </c>
      <c r="V62" s="2" t="inlineStr">
        <is>
          <t>Garnlav
Tretåig hackspett
Spillkråka</t>
        </is>
      </c>
      <c r="W62">
        <f>HYPERLINK("https://klasma.github.io/Logging_2582/artfynd/A 6118-2025 artfynd.xlsx", "A 6118-2025")</f>
        <v/>
      </c>
      <c r="X62">
        <f>HYPERLINK("https://klasma.github.io/Logging_2582/kartor/A 6118-2025 karta.png", "A 6118-2025")</f>
        <v/>
      </c>
      <c r="Y62">
        <f>HYPERLINK("https://klasma.github.io/Logging_2582/kartor_geotiff/A 6118-2025 georefererad karta.tif", "A 6118-2025")</f>
        <v/>
      </c>
      <c r="AA62">
        <f>HYPERLINK("https://klasma.github.io/Logging_2582/klagomål/A 6118-2025 FSC-klagomål.docx", "A 6118-2025")</f>
        <v/>
      </c>
      <c r="AB62">
        <f>HYPERLINK("https://klasma.github.io/Logging_2582/klagomålsmail/A 6118-2025 FSC-klagomål mail.docx", "A 6118-2025")</f>
        <v/>
      </c>
      <c r="AC62">
        <f>HYPERLINK("https://klasma.github.io/Logging_2582/tillsyn/A 6118-2025 tillsynsbegäran.docx", "A 6118-2025")</f>
        <v/>
      </c>
      <c r="AD62">
        <f>HYPERLINK("https://klasma.github.io/Logging_2582/tillsynsmail/A 6118-2025 tillsynsbegäran mail.docx", "A 6118-2025")</f>
        <v/>
      </c>
      <c r="AE62">
        <f>HYPERLINK("https://klasma.github.io/Logging_2582/fåglar/A 6118-2025 prioriterade fågelarter.docx", "A 6118-2025")</f>
        <v/>
      </c>
    </row>
    <row r="63" ht="15" customHeight="1">
      <c r="A63" t="inlineStr">
        <is>
          <t>A 29797-2022</t>
        </is>
      </c>
      <c r="B63" t="inlineStr">
        <is>
          <t>avverkningsanmälan</t>
        </is>
      </c>
      <c r="C63" t="inlineStr">
        <is>
          <t>Avverkning för att bevara och utveckla /försöksver</t>
        </is>
      </c>
      <c r="D63" s="1" t="n">
        <v>44755</v>
      </c>
      <c r="E63" s="1" t="n">
        <v>46323</v>
      </c>
      <c r="F63" t="inlineStr">
        <is>
          <t>NORRBOTTENS LÄN</t>
        </is>
      </c>
      <c r="G63" t="inlineStr">
        <is>
          <t>BODEN</t>
        </is>
      </c>
      <c r="H63" t="inlineStr">
        <is>
          <t>Kyrkan</t>
        </is>
      </c>
      <c r="I63" t="n">
        <v>29.2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</v>
      </c>
      <c r="T63" t="n">
        <v>4</v>
      </c>
      <c r="U63" t="n">
        <v>4</v>
      </c>
      <c r="V63" s="2" t="inlineStr">
        <is>
          <t>Vanlig groda
Vanlig padda
Revlummer</t>
        </is>
      </c>
      <c r="W63">
        <f>HYPERLINK("https://klasma.github.io/Logging_2582/artfynd/A 29797-2022 artfynd.xlsx", "A 29797-2022")</f>
        <v/>
      </c>
      <c r="X63">
        <f>HYPERLINK("https://klasma.github.io/Logging_2582/kartor/A 29797-2022 karta.png", "A 29797-2022")</f>
        <v/>
      </c>
      <c r="Y63">
        <f>HYPERLINK("https://klasma.github.io/Logging_2582/kartor_geotiff/A 29797-2022 georefererad karta.tif", "A 29797-2022")</f>
        <v/>
      </c>
      <c r="AA63">
        <f>HYPERLINK("https://klasma.github.io/Logging_2582/klagomål/A 29797-2022 FSC-klagomål.docx", "A 29797-2022")</f>
        <v/>
      </c>
      <c r="AB63">
        <f>HYPERLINK("https://klasma.github.io/Logging_2582/klagomålsmail/A 29797-2022 FSC-klagomål mail.docx", "A 29797-2022")</f>
        <v/>
      </c>
      <c r="AC63">
        <f>HYPERLINK("https://klasma.github.io/Logging_2582/tillsyn/A 29797-2022 tillsynsbegäran.docx", "A 29797-2022")</f>
        <v/>
      </c>
      <c r="AD63">
        <f>HYPERLINK("https://klasma.github.io/Logging_2582/tillsynsmail/A 29797-2022 tillsynsbegäran mail.docx", "A 29797-2022")</f>
        <v/>
      </c>
    </row>
    <row r="64" ht="15" customHeight="1">
      <c r="A64" t="inlineStr">
        <is>
          <t>A 38808-2026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46286</v>
      </c>
      <c r="E64" s="1" t="n">
        <v>46323</v>
      </c>
      <c r="F64" t="inlineStr">
        <is>
          <t>NORRBOTTENS LÄN</t>
        </is>
      </c>
      <c r="G64" t="inlineStr">
        <is>
          <t>BODEN</t>
        </is>
      </c>
      <c r="H64" t="inlineStr">
        <is>
          <t>Sveaskog</t>
        </is>
      </c>
      <c r="I64" t="n">
        <v>12.7</v>
      </c>
      <c r="J64" t="n">
        <v>0</v>
      </c>
      <c r="K64" t="n">
        <v>1</v>
      </c>
      <c r="L64" t="n">
        <v>2</v>
      </c>
      <c r="M64" t="n">
        <v>0</v>
      </c>
      <c r="N64" t="n">
        <v>0</v>
      </c>
      <c r="O64" t="n">
        <v>0</v>
      </c>
      <c r="P64" t="n">
        <v>0</v>
      </c>
      <c r="Q64" t="n">
        <v>2</v>
      </c>
      <c r="R64" t="n">
        <v>0</v>
      </c>
      <c r="S64" t="n">
        <v>3</v>
      </c>
      <c r="T64" t="n">
        <v>6</v>
      </c>
      <c r="U64" t="n">
        <v>0</v>
      </c>
      <c r="V64" s="2" t="inlineStr">
        <is>
          <t>Lunglav
Vedflamlav
Stuplav</t>
        </is>
      </c>
      <c r="W64">
        <f>HYPERLINK("https://klasma.github.io/Logging_2582/artfynd/A 38808-2026 artfynd.xlsx", "A 38808-2026")</f>
        <v/>
      </c>
      <c r="X64">
        <f>HYPERLINK("https://klasma.github.io/Logging_2582/kartor/A 38808-2026 karta.png", "A 38808-2026")</f>
        <v/>
      </c>
      <c r="Y64">
        <f>HYPERLINK("https://klasma.github.io/Logging_2582/kartor_geotiff/A 38808-2026 georefererad karta.tif", "A 38808-2026")</f>
        <v/>
      </c>
      <c r="AA64">
        <f>HYPERLINK("https://klasma.github.io/Logging_2582/klagomål/A 38808-2026 FSC-klagomål.docx", "A 38808-2026")</f>
        <v/>
      </c>
      <c r="AB64">
        <f>HYPERLINK("https://klasma.github.io/Logging_2582/klagomålsmail/A 38808-2026 FSC-klagomål mail.docx", "A 38808-2026")</f>
        <v/>
      </c>
      <c r="AC64">
        <f>HYPERLINK("https://klasma.github.io/Logging_2582/tillsyn/A 38808-2026 tillsynsbegäran.docx", "A 38808-2026")</f>
        <v/>
      </c>
      <c r="AD64">
        <f>HYPERLINK("https://klasma.github.io/Logging_2582/tillsynsmail/A 38808-2026 tillsynsbegäran mail.docx", "A 38808-2026")</f>
        <v/>
      </c>
    </row>
    <row r="65" ht="15" customHeight="1">
      <c r="A65" t="inlineStr">
        <is>
          <t>A 34875-2026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46258</v>
      </c>
      <c r="E65" s="1" t="n">
        <v>46323</v>
      </c>
      <c r="F65" t="inlineStr">
        <is>
          <t>NORRBOTTENS LÄN</t>
        </is>
      </c>
      <c r="G65" t="inlineStr">
        <is>
          <t>BODEN</t>
        </is>
      </c>
      <c r="H65" t="inlineStr">
        <is>
          <t>Sveaskog</t>
        </is>
      </c>
      <c r="I65" t="n">
        <v>5.1</v>
      </c>
      <c r="J65" t="n">
        <v>2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2</v>
      </c>
      <c r="R65" t="n">
        <v>1</v>
      </c>
      <c r="S65" t="n">
        <v>3</v>
      </c>
      <c r="T65" t="n">
        <v>3</v>
      </c>
      <c r="U65" t="n">
        <v>0</v>
      </c>
      <c r="V65" s="2" t="inlineStr">
        <is>
          <t>Knärot
Tallticka
Fläcknycklar</t>
        </is>
      </c>
      <c r="W65">
        <f>HYPERLINK("https://klasma.github.io/Logging_2582/artfynd/A 34875-2026 artfynd.xlsx", "A 34875-2026")</f>
        <v/>
      </c>
      <c r="X65">
        <f>HYPERLINK("https://klasma.github.io/Logging_2582/kartor/A 34875-2026 karta.png", "A 34875-2026")</f>
        <v/>
      </c>
      <c r="Y65">
        <f>HYPERLINK("https://klasma.github.io/Logging_2582/kartor_geotiff/A 34875-2026 georefererad karta.tif", "A 34875-2026")</f>
        <v/>
      </c>
      <c r="Z65">
        <f>HYPERLINK("https://klasma.github.io/Logging_2582/knärot/A 34875-2026 karta knärot.png", "A 34875-2026")</f>
        <v/>
      </c>
      <c r="AA65">
        <f>HYPERLINK("https://klasma.github.io/Logging_2582/klagomål/A 34875-2026 FSC-klagomål.docx", "A 34875-2026")</f>
        <v/>
      </c>
      <c r="AB65">
        <f>HYPERLINK("https://klasma.github.io/Logging_2582/klagomålsmail/A 34875-2026 FSC-klagomål mail.docx", "A 34875-2026")</f>
        <v/>
      </c>
      <c r="AC65">
        <f>HYPERLINK("https://klasma.github.io/Logging_2582/tillsyn/A 34875-2026 tillsynsbegäran.docx", "A 34875-2026")</f>
        <v/>
      </c>
      <c r="AD65">
        <f>HYPERLINK("https://klasma.github.io/Logging_2582/tillsynsmail/A 34875-2026 tillsynsbegäran mail.docx", "A 34875-2026")</f>
        <v/>
      </c>
    </row>
    <row r="66" ht="15" customHeight="1">
      <c r="A66" t="inlineStr">
        <is>
          <t>A 28267-2025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45818</v>
      </c>
      <c r="E66" s="1" t="n">
        <v>46323</v>
      </c>
      <c r="F66" t="inlineStr">
        <is>
          <t>NORRBOTTENS LÄN</t>
        </is>
      </c>
      <c r="G66" t="inlineStr">
        <is>
          <t>BODEN</t>
        </is>
      </c>
      <c r="H66" t="inlineStr">
        <is>
          <t>Sveaskog</t>
        </is>
      </c>
      <c r="I66" t="n">
        <v>2.6</v>
      </c>
      <c r="J66" t="n">
        <v>2</v>
      </c>
      <c r="K66" t="n">
        <v>0</v>
      </c>
      <c r="L66" t="n">
        <v>1</v>
      </c>
      <c r="M66" t="n">
        <v>2</v>
      </c>
      <c r="N66" t="n">
        <v>0</v>
      </c>
      <c r="O66" t="n">
        <v>0</v>
      </c>
      <c r="P66" t="n">
        <v>0</v>
      </c>
      <c r="Q66" t="n">
        <v>3</v>
      </c>
      <c r="R66" t="n">
        <v>2</v>
      </c>
      <c r="S66" t="n">
        <v>3</v>
      </c>
      <c r="T66" t="n">
        <v>3</v>
      </c>
      <c r="U66" t="n">
        <v>0</v>
      </c>
      <c r="V66" s="2" t="inlineStr">
        <is>
          <t>Doftticka
Knärot
Lunglav</t>
        </is>
      </c>
      <c r="W66">
        <f>HYPERLINK("https://klasma.github.io/Logging_2582/artfynd/A 28267-2025 artfynd.xlsx", "A 28267-2025")</f>
        <v/>
      </c>
      <c r="X66">
        <f>HYPERLINK("https://klasma.github.io/Logging_2582/kartor/A 28267-2025 karta.png", "A 28267-2025")</f>
        <v/>
      </c>
      <c r="Y66">
        <f>HYPERLINK("https://klasma.github.io/Logging_2582/kartor_geotiff/A 28267-2025 georefererad karta.tif", "A 28267-2025")</f>
        <v/>
      </c>
      <c r="Z66">
        <f>HYPERLINK("https://klasma.github.io/Logging_2582/knärot/A 28267-2025 karta knärot.png", "A 28267-2025")</f>
        <v/>
      </c>
      <c r="AA66">
        <f>HYPERLINK("https://klasma.github.io/Logging_2582/klagomål/A 28267-2025 FSC-klagomål.docx", "A 28267-2025")</f>
        <v/>
      </c>
      <c r="AB66">
        <f>HYPERLINK("https://klasma.github.io/Logging_2582/klagomålsmail/A 28267-2025 FSC-klagomål mail.docx", "A 28267-2025")</f>
        <v/>
      </c>
      <c r="AC66">
        <f>HYPERLINK("https://klasma.github.io/Logging_2582/tillsyn/A 28267-2025 tillsynsbegäran.docx", "A 28267-2025")</f>
        <v/>
      </c>
      <c r="AD66">
        <f>HYPERLINK("https://klasma.github.io/Logging_2582/tillsynsmail/A 28267-2025 tillsynsbegäran mail.docx", "A 28267-2025")</f>
        <v/>
      </c>
    </row>
    <row r="67" ht="15" customHeight="1">
      <c r="A67" t="inlineStr">
        <is>
          <t>A 32590-2026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46240</v>
      </c>
      <c r="E67" s="1" t="n">
        <v>46323</v>
      </c>
      <c r="F67" t="inlineStr">
        <is>
          <t>NORRBOTTENS LÄN</t>
        </is>
      </c>
      <c r="G67" t="inlineStr">
        <is>
          <t>BODEN</t>
        </is>
      </c>
      <c r="H67" t="inlineStr">
        <is>
          <t>SCA</t>
        </is>
      </c>
      <c r="I67" t="n">
        <v>5.9</v>
      </c>
      <c r="J67" t="n">
        <v>1</v>
      </c>
      <c r="K67" t="n">
        <v>0</v>
      </c>
      <c r="L67" t="n">
        <v>2</v>
      </c>
      <c r="M67" t="n">
        <v>1</v>
      </c>
      <c r="N67" t="n">
        <v>0</v>
      </c>
      <c r="O67" t="n">
        <v>0</v>
      </c>
      <c r="P67" t="n">
        <v>0</v>
      </c>
      <c r="Q67" t="n">
        <v>3</v>
      </c>
      <c r="R67" t="n">
        <v>1</v>
      </c>
      <c r="S67" t="n">
        <v>3</v>
      </c>
      <c r="T67" t="n">
        <v>3</v>
      </c>
      <c r="U67" t="n">
        <v>3</v>
      </c>
      <c r="V67" s="2" t="inlineStr">
        <is>
          <t>Garnlav
Tretåig hackspett
Vitgrynig nållav</t>
        </is>
      </c>
      <c r="W67">
        <f>HYPERLINK("https://klasma.github.io/Logging_2582/artfynd/A 32590-2026 artfynd.xlsx", "A 32590-2026")</f>
        <v/>
      </c>
      <c r="X67">
        <f>HYPERLINK("https://klasma.github.io/Logging_2582/kartor/A 32590-2026 karta.png", "A 32590-2026")</f>
        <v/>
      </c>
      <c r="Y67">
        <f>HYPERLINK("https://klasma.github.io/Logging_2582/kartor_geotiff/A 32590-2026 georefererad karta.tif", "A 32590-2026")</f>
        <v/>
      </c>
      <c r="AA67">
        <f>HYPERLINK("https://klasma.github.io/Logging_2582/klagomål/A 32590-2026 FSC-klagomål.docx", "A 32590-2026")</f>
        <v/>
      </c>
      <c r="AB67">
        <f>HYPERLINK("https://klasma.github.io/Logging_2582/klagomålsmail/A 32590-2026 FSC-klagomål mail.docx", "A 32590-2026")</f>
        <v/>
      </c>
      <c r="AC67">
        <f>HYPERLINK("https://klasma.github.io/Logging_2582/tillsyn/A 32590-2026 tillsynsbegäran.docx", "A 32590-2026")</f>
        <v/>
      </c>
      <c r="AD67">
        <f>HYPERLINK("https://klasma.github.io/Logging_2582/tillsynsmail/A 32590-2026 tillsynsbegäran mail.docx", "A 32590-2026")</f>
        <v/>
      </c>
      <c r="AE67">
        <f>HYPERLINK("https://klasma.github.io/Logging_2582/fåglar/A 32590-2026 prioriterade fågelarter.docx", "A 32590-2026")</f>
        <v/>
      </c>
    </row>
    <row r="68" ht="15" customHeight="1">
      <c r="A68" t="inlineStr">
        <is>
          <t>A 23323-2025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45791</v>
      </c>
      <c r="E68" s="1" t="n">
        <v>46323</v>
      </c>
      <c r="F68" t="inlineStr">
        <is>
          <t>NORRBOTTENS LÄN</t>
        </is>
      </c>
      <c r="G68" t="inlineStr">
        <is>
          <t>BODEN</t>
        </is>
      </c>
      <c r="H68" t="inlineStr">
        <is>
          <t>Sveaskog</t>
        </is>
      </c>
      <c r="I68" t="n">
        <v>21.8</v>
      </c>
      <c r="J68" t="n">
        <v>2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3</v>
      </c>
      <c r="T68" t="n">
        <v>4</v>
      </c>
      <c r="U68" t="n">
        <v>4</v>
      </c>
      <c r="V68" s="2" t="inlineStr">
        <is>
          <t>Grönpyrola
Fläcknycklar
Nattviol</t>
        </is>
      </c>
      <c r="W68">
        <f>HYPERLINK("https://klasma.github.io/Logging_2582/artfynd/A 23323-2025 artfynd.xlsx", "A 23323-2025")</f>
        <v/>
      </c>
      <c r="X68">
        <f>HYPERLINK("https://klasma.github.io/Logging_2582/kartor/A 23323-2025 karta.png", "A 23323-2025")</f>
        <v/>
      </c>
      <c r="Y68">
        <f>HYPERLINK("https://klasma.github.io/Logging_2582/kartor_geotiff/A 23323-2025 georefererad karta.tif", "A 23323-2025")</f>
        <v/>
      </c>
      <c r="AA68">
        <f>HYPERLINK("https://klasma.github.io/Logging_2582/klagomål/A 23323-2025 FSC-klagomål.docx", "A 23323-2025")</f>
        <v/>
      </c>
      <c r="AB68">
        <f>HYPERLINK("https://klasma.github.io/Logging_2582/klagomålsmail/A 23323-2025 FSC-klagomål mail.docx", "A 23323-2025")</f>
        <v/>
      </c>
      <c r="AC68">
        <f>HYPERLINK("https://klasma.github.io/Logging_2582/tillsyn/A 23323-2025 tillsynsbegäran.docx", "A 23323-2025")</f>
        <v/>
      </c>
      <c r="AD68">
        <f>HYPERLINK("https://klasma.github.io/Logging_2582/tillsynsmail/A 23323-2025 tillsynsbegäran mail.docx", "A 23323-2025")</f>
        <v/>
      </c>
    </row>
    <row r="69" ht="15" customHeight="1">
      <c r="A69" t="inlineStr">
        <is>
          <t>A 36162-2026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46267</v>
      </c>
      <c r="E69" s="1" t="n">
        <v>46323</v>
      </c>
      <c r="F69" t="inlineStr">
        <is>
          <t>NORRBOTTENS LÄN</t>
        </is>
      </c>
      <c r="G69" t="inlineStr">
        <is>
          <t>BODEN</t>
        </is>
      </c>
      <c r="I69" t="n">
        <v>2.3</v>
      </c>
      <c r="J69" t="n">
        <v>3</v>
      </c>
      <c r="K69" t="n">
        <v>0</v>
      </c>
      <c r="L69" t="n">
        <v>3</v>
      </c>
      <c r="M69" t="n">
        <v>0</v>
      </c>
      <c r="N69" t="n">
        <v>0</v>
      </c>
      <c r="O69" t="n">
        <v>0</v>
      </c>
      <c r="P69" t="n">
        <v>0</v>
      </c>
      <c r="Q69" t="n">
        <v>3</v>
      </c>
      <c r="R69" t="n">
        <v>0</v>
      </c>
      <c r="S69" t="n">
        <v>3</v>
      </c>
      <c r="T69" t="n">
        <v>4</v>
      </c>
      <c r="U69" t="n">
        <v>4</v>
      </c>
      <c r="V69" s="2" t="inlineStr">
        <is>
          <t>Björktrast
Rödvingetrast
Skrattmås</t>
        </is>
      </c>
      <c r="W69">
        <f>HYPERLINK("https://klasma.github.io/Logging_2582/artfynd/A 36162-2026 artfynd.xlsx", "A 36162-2026")</f>
        <v/>
      </c>
      <c r="X69">
        <f>HYPERLINK("https://klasma.github.io/Logging_2582/kartor/A 36162-2026 karta.png", "A 36162-2026")</f>
        <v/>
      </c>
      <c r="Y69">
        <f>HYPERLINK("https://klasma.github.io/Logging_2582/kartor_geotiff/A 36162-2026 georefererad karta.tif", "A 36162-2026")</f>
        <v/>
      </c>
      <c r="AA69">
        <f>HYPERLINK("https://klasma.github.io/Logging_2582/klagomål/A 36162-2026 FSC-klagomål.docx", "A 36162-2026")</f>
        <v/>
      </c>
      <c r="AB69">
        <f>HYPERLINK("https://klasma.github.io/Logging_2582/klagomålsmail/A 36162-2026 FSC-klagomål mail.docx", "A 36162-2026")</f>
        <v/>
      </c>
      <c r="AC69">
        <f>HYPERLINK("https://klasma.github.io/Logging_2582/tillsyn/A 36162-2026 tillsynsbegäran.docx", "A 36162-2026")</f>
        <v/>
      </c>
      <c r="AD69">
        <f>HYPERLINK("https://klasma.github.io/Logging_2582/tillsynsmail/A 36162-2026 tillsynsbegäran mail.docx", "A 36162-2026")</f>
        <v/>
      </c>
      <c r="AE69">
        <f>HYPERLINK("https://klasma.github.io/Logging_2582/fåglar/A 36162-2026 prioriterade fågelarter.docx", "A 36162-2026")</f>
        <v/>
      </c>
    </row>
    <row r="70" ht="15" customHeight="1">
      <c r="A70" t="inlineStr">
        <is>
          <t>A 43987-2026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46317</v>
      </c>
      <c r="E70" s="1" t="n">
        <v>46323</v>
      </c>
      <c r="F70" t="inlineStr">
        <is>
          <t>NORRBOTTENS LÄN</t>
        </is>
      </c>
      <c r="G70" t="inlineStr">
        <is>
          <t>BODEN</t>
        </is>
      </c>
      <c r="H70" t="inlineStr">
        <is>
          <t>Sveaskog</t>
        </is>
      </c>
      <c r="I70" t="n">
        <v>2.5</v>
      </c>
      <c r="J70" t="n">
        <v>0</v>
      </c>
      <c r="K70" t="n">
        <v>2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3</v>
      </c>
      <c r="T70" t="n">
        <v>4</v>
      </c>
      <c r="U70" t="n">
        <v>0</v>
      </c>
      <c r="V70" s="2" t="inlineStr">
        <is>
          <t>Lunglav
Luddlav
Stuplav</t>
        </is>
      </c>
      <c r="W70">
        <f>HYPERLINK("https://klasma.github.io/Logging_2582/artfynd/A 43987-2026 artfynd.xlsx", "A 43987-2026")</f>
        <v/>
      </c>
      <c r="X70">
        <f>HYPERLINK("https://klasma.github.io/Logging_2582/kartor/A 43987-2026 karta.png", "A 43987-2026")</f>
        <v/>
      </c>
      <c r="Y70">
        <f>HYPERLINK("https://klasma.github.io/Logging_2582/kartor_geotiff/A 43987-2026 georefererad karta.tif", "A 43987-2026")</f>
        <v/>
      </c>
      <c r="AA70">
        <f>HYPERLINK("https://klasma.github.io/Logging_2582/klagomål/A 43987-2026 FSC-klagomål.docx", "A 43987-2026")</f>
        <v/>
      </c>
      <c r="AB70">
        <f>HYPERLINK("https://klasma.github.io/Logging_2582/klagomålsmail/A 43987-2026 FSC-klagomål mail.docx", "A 43987-2026")</f>
        <v/>
      </c>
      <c r="AC70">
        <f>HYPERLINK("https://klasma.github.io/Logging_2582/tillsyn/A 43987-2026 tillsynsbegäran.docx", "A 43987-2026")</f>
        <v/>
      </c>
      <c r="AD70">
        <f>HYPERLINK("https://klasma.github.io/Logging_2582/tillsynsmail/A 43987-2026 tillsynsbegäran mail.docx", "A 43987-2026")</f>
        <v/>
      </c>
    </row>
    <row r="71" ht="15" customHeight="1">
      <c r="A71" t="inlineStr">
        <is>
          <t>A 26040-2026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46181</v>
      </c>
      <c r="E71" s="1" t="n">
        <v>46323</v>
      </c>
      <c r="F71" t="inlineStr">
        <is>
          <t>NORRBOTTENS LÄN</t>
        </is>
      </c>
      <c r="G71" t="inlineStr">
        <is>
          <t>BODEN</t>
        </is>
      </c>
      <c r="H71" t="inlineStr">
        <is>
          <t>Sveaskog</t>
        </is>
      </c>
      <c r="I71" t="n">
        <v>32.6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2</v>
      </c>
      <c r="R71" t="n">
        <v>1</v>
      </c>
      <c r="S71" t="n">
        <v>3</v>
      </c>
      <c r="T71" t="n">
        <v>4</v>
      </c>
      <c r="U71" t="n">
        <v>3</v>
      </c>
      <c r="V71" s="2" t="inlineStr">
        <is>
          <t>Doftticka
Lunglav
Bårdlav</t>
        </is>
      </c>
      <c r="W71">
        <f>HYPERLINK("https://klasma.github.io/Logging_2582/artfynd/A 26040-2026 artfynd.xlsx", "A 26040-2026")</f>
        <v/>
      </c>
      <c r="X71">
        <f>HYPERLINK("https://klasma.github.io/Logging_2582/kartor/A 26040-2026 karta.png", "A 26040-2026")</f>
        <v/>
      </c>
      <c r="Y71">
        <f>HYPERLINK("https://klasma.github.io/Logging_2582/kartor_geotiff/A 26040-2026 georefererad karta.tif", "A 26040-2026")</f>
        <v/>
      </c>
      <c r="AA71">
        <f>HYPERLINK("https://klasma.github.io/Logging_2582/klagomål/A 26040-2026 FSC-klagomål.docx", "A 26040-2026")</f>
        <v/>
      </c>
      <c r="AB71">
        <f>HYPERLINK("https://klasma.github.io/Logging_2582/klagomålsmail/A 26040-2026 FSC-klagomål mail.docx", "A 26040-2026")</f>
        <v/>
      </c>
      <c r="AC71">
        <f>HYPERLINK("https://klasma.github.io/Logging_2582/tillsyn/A 26040-2026 tillsynsbegäran.docx", "A 26040-2026")</f>
        <v/>
      </c>
      <c r="AD71">
        <f>HYPERLINK("https://klasma.github.io/Logging_2582/tillsynsmail/A 26040-2026 tillsynsbegäran mail.docx", "A 26040-2026")</f>
        <v/>
      </c>
    </row>
    <row r="72" ht="15" customHeight="1">
      <c r="A72" t="inlineStr">
        <is>
          <t>A 26728-2026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46184</v>
      </c>
      <c r="E72" s="1" t="n">
        <v>46323</v>
      </c>
      <c r="F72" t="inlineStr">
        <is>
          <t>NORRBOTTENS LÄN</t>
        </is>
      </c>
      <c r="G72" t="inlineStr">
        <is>
          <t>BODEN</t>
        </is>
      </c>
      <c r="H72" t="inlineStr">
        <is>
          <t>Sveaskog</t>
        </is>
      </c>
      <c r="I72" t="n">
        <v>14.4</v>
      </c>
      <c r="J72" t="n">
        <v>2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3</v>
      </c>
      <c r="T72" t="n">
        <v>3</v>
      </c>
      <c r="U72" t="n">
        <v>0</v>
      </c>
      <c r="V72" s="2" t="inlineStr">
        <is>
          <t>Lunglav
Plattlummer
Fläcknycklar</t>
        </is>
      </c>
      <c r="W72">
        <f>HYPERLINK("https://klasma.github.io/Logging_2582/artfynd/A 26728-2026 artfynd.xlsx", "A 26728-2026")</f>
        <v/>
      </c>
      <c r="X72">
        <f>HYPERLINK("https://klasma.github.io/Logging_2582/kartor/A 26728-2026 karta.png", "A 26728-2026")</f>
        <v/>
      </c>
      <c r="Y72">
        <f>HYPERLINK("https://klasma.github.io/Logging_2582/kartor_geotiff/A 26728-2026 georefererad karta.tif", "A 26728-2026")</f>
        <v/>
      </c>
      <c r="AA72">
        <f>HYPERLINK("https://klasma.github.io/Logging_2582/klagomål/A 26728-2026 FSC-klagomål.docx", "A 26728-2026")</f>
        <v/>
      </c>
      <c r="AB72">
        <f>HYPERLINK("https://klasma.github.io/Logging_2582/klagomålsmail/A 26728-2026 FSC-klagomål mail.docx", "A 26728-2026")</f>
        <v/>
      </c>
      <c r="AC72">
        <f>HYPERLINK("https://klasma.github.io/Logging_2582/tillsyn/A 26728-2026 tillsynsbegäran.docx", "A 26728-2026")</f>
        <v/>
      </c>
      <c r="AD72">
        <f>HYPERLINK("https://klasma.github.io/Logging_2582/tillsynsmail/A 26728-2026 tillsynsbegäran mail.docx", "A 26728-2026")</f>
        <v/>
      </c>
    </row>
    <row r="73" ht="15" customHeight="1">
      <c r="A73" t="inlineStr">
        <is>
          <t>A 13659-2022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44648</v>
      </c>
      <c r="E73" s="1" t="n">
        <v>46323</v>
      </c>
      <c r="F73" t="inlineStr">
        <is>
          <t>NORRBOTTENS LÄN</t>
        </is>
      </c>
      <c r="G73" t="inlineStr">
        <is>
          <t>BODEN</t>
        </is>
      </c>
      <c r="H73" t="inlineStr">
        <is>
          <t>Sveaskog</t>
        </is>
      </c>
      <c r="I73" t="n">
        <v>7.3</v>
      </c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</v>
      </c>
      <c r="T73" t="n">
        <v>2</v>
      </c>
      <c r="U73" t="n">
        <v>2</v>
      </c>
      <c r="V73" s="2" t="inlineStr">
        <is>
          <t>Bollvitmossa
Ögonpyrola</t>
        </is>
      </c>
      <c r="W73">
        <f>HYPERLINK("https://klasma.github.io/Logging_2582/artfynd/A 13659-2022 artfynd.xlsx", "A 13659-2022")</f>
        <v/>
      </c>
      <c r="X73">
        <f>HYPERLINK("https://klasma.github.io/Logging_2582/kartor/A 13659-2022 karta.png", "A 13659-2022")</f>
        <v/>
      </c>
      <c r="Y73">
        <f>HYPERLINK("https://klasma.github.io/Logging_2582/kartor_geotiff/A 13659-2022 georefererad karta.tif", "A 13659-2022")</f>
        <v/>
      </c>
      <c r="AA73">
        <f>HYPERLINK("https://klasma.github.io/Logging_2582/klagomål/A 13659-2022 FSC-klagomål.docx", "A 13659-2022")</f>
        <v/>
      </c>
      <c r="AB73">
        <f>HYPERLINK("https://klasma.github.io/Logging_2582/klagomålsmail/A 13659-2022 FSC-klagomål mail.docx", "A 13659-2022")</f>
        <v/>
      </c>
      <c r="AC73">
        <f>HYPERLINK("https://klasma.github.io/Logging_2582/tillsyn/A 13659-2022 tillsynsbegäran.docx", "A 13659-2022")</f>
        <v/>
      </c>
      <c r="AD73">
        <f>HYPERLINK("https://klasma.github.io/Logging_2582/tillsynsmail/A 13659-2022 tillsynsbegäran mail.docx", "A 13659-2022")</f>
        <v/>
      </c>
    </row>
    <row r="74" ht="15" customHeight="1">
      <c r="A74" t="inlineStr">
        <is>
          <t>A 36629-2022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44804</v>
      </c>
      <c r="E74" s="1" t="n">
        <v>46323</v>
      </c>
      <c r="F74" t="inlineStr">
        <is>
          <t>NORRBOTTENS LÄN</t>
        </is>
      </c>
      <c r="G74" t="inlineStr">
        <is>
          <t>BODEN</t>
        </is>
      </c>
      <c r="H74" t="inlineStr">
        <is>
          <t>Sveaskog</t>
        </is>
      </c>
      <c r="I74" t="n">
        <v>3</v>
      </c>
      <c r="J74" t="n">
        <v>0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0</v>
      </c>
      <c r="S74" t="n">
        <v>2</v>
      </c>
      <c r="T74" t="n">
        <v>10</v>
      </c>
      <c r="U74" t="n">
        <v>10</v>
      </c>
      <c r="V74" s="2" t="inlineStr">
        <is>
          <t>Dropptaggsvamp
Skarp dropptaggsvamp</t>
        </is>
      </c>
      <c r="W74">
        <f>HYPERLINK("https://klasma.github.io/Logging_2582/artfynd/A 36629-2022 artfynd.xlsx", "A 36629-2022")</f>
        <v/>
      </c>
      <c r="X74">
        <f>HYPERLINK("https://klasma.github.io/Logging_2582/kartor/A 36629-2022 karta.png", "A 36629-2022")</f>
        <v/>
      </c>
      <c r="Y74">
        <f>HYPERLINK("https://klasma.github.io/Logging_2582/kartor_geotiff/A 36629-2022 georefererad karta.tif", "A 36629-2022")</f>
        <v/>
      </c>
      <c r="AA74">
        <f>HYPERLINK("https://klasma.github.io/Logging_2582/klagomål/A 36629-2022 FSC-klagomål.docx", "A 36629-2022")</f>
        <v/>
      </c>
      <c r="AB74">
        <f>HYPERLINK("https://klasma.github.io/Logging_2582/klagomålsmail/A 36629-2022 FSC-klagomål mail.docx", "A 36629-2022")</f>
        <v/>
      </c>
      <c r="AC74">
        <f>HYPERLINK("https://klasma.github.io/Logging_2582/tillsyn/A 36629-2022 tillsynsbegäran.docx", "A 36629-2022")</f>
        <v/>
      </c>
      <c r="AD74">
        <f>HYPERLINK("https://klasma.github.io/Logging_2582/tillsynsmail/A 36629-2022 tillsynsbegäran mail.docx", "A 36629-2022")</f>
        <v/>
      </c>
    </row>
    <row r="75" ht="15" customHeight="1">
      <c r="A75" t="inlineStr">
        <is>
          <t>A 35037-2022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44796</v>
      </c>
      <c r="E75" s="1" t="n">
        <v>46323</v>
      </c>
      <c r="F75" t="inlineStr">
        <is>
          <t>NORRBOTTENS LÄN</t>
        </is>
      </c>
      <c r="G75" t="inlineStr">
        <is>
          <t>BODEN</t>
        </is>
      </c>
      <c r="I75" t="n">
        <v>0.6</v>
      </c>
      <c r="J75" t="n">
        <v>2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2</v>
      </c>
      <c r="T75" t="n">
        <v>2</v>
      </c>
      <c r="U75" t="n">
        <v>2</v>
      </c>
      <c r="V75" s="2" t="inlineStr">
        <is>
          <t>Rödvingetrast
Revlummer</t>
        </is>
      </c>
      <c r="W75">
        <f>HYPERLINK("https://klasma.github.io/Logging_2582/artfynd/A 35037-2022 artfynd.xlsx", "A 35037-2022")</f>
        <v/>
      </c>
      <c r="X75">
        <f>HYPERLINK("https://klasma.github.io/Logging_2582/kartor/A 35037-2022 karta.png", "A 35037-2022")</f>
        <v/>
      </c>
      <c r="Y75">
        <f>HYPERLINK("https://klasma.github.io/Logging_2582/kartor_geotiff/A 35037-2022 georefererad karta.tif", "A 35037-2022")</f>
        <v/>
      </c>
      <c r="AA75">
        <f>HYPERLINK("https://klasma.github.io/Logging_2582/klagomål/A 35037-2022 FSC-klagomål.docx", "A 35037-2022")</f>
        <v/>
      </c>
      <c r="AB75">
        <f>HYPERLINK("https://klasma.github.io/Logging_2582/klagomålsmail/A 35037-2022 FSC-klagomål mail.docx", "A 35037-2022")</f>
        <v/>
      </c>
      <c r="AC75">
        <f>HYPERLINK("https://klasma.github.io/Logging_2582/tillsyn/A 35037-2022 tillsynsbegäran.docx", "A 35037-2022")</f>
        <v/>
      </c>
      <c r="AD75">
        <f>HYPERLINK("https://klasma.github.io/Logging_2582/tillsynsmail/A 35037-2022 tillsynsbegäran mail.docx", "A 35037-2022")</f>
        <v/>
      </c>
      <c r="AE75">
        <f>HYPERLINK("https://klasma.github.io/Logging_2582/fåglar/A 35037-2022 prioriterade fågelarter.docx", "A 35037-2022")</f>
        <v/>
      </c>
    </row>
    <row r="76" ht="15" customHeight="1">
      <c r="A76" t="inlineStr">
        <is>
          <t>A 26346-2022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44735</v>
      </c>
      <c r="E76" s="1" t="n">
        <v>46323</v>
      </c>
      <c r="F76" t="inlineStr">
        <is>
          <t>NORRBOTTENS LÄN</t>
        </is>
      </c>
      <c r="G76" t="inlineStr">
        <is>
          <t>BODEN</t>
        </is>
      </c>
      <c r="H76" t="inlineStr">
        <is>
          <t>Sveaskog</t>
        </is>
      </c>
      <c r="I76" t="n">
        <v>5.6</v>
      </c>
      <c r="J76" t="n">
        <v>0</v>
      </c>
      <c r="K76" t="n">
        <v>0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n">
        <v>2</v>
      </c>
      <c r="R76" t="n">
        <v>0</v>
      </c>
      <c r="S76" t="n">
        <v>2</v>
      </c>
      <c r="T76" t="n">
        <v>3</v>
      </c>
      <c r="U76" t="n">
        <v>3</v>
      </c>
      <c r="V76" s="2" t="inlineStr">
        <is>
          <t>Blå taggsvamp
Ullticka</t>
        </is>
      </c>
      <c r="W76">
        <f>HYPERLINK("https://klasma.github.io/Logging_2582/artfynd/A 26346-2022 artfynd.xlsx", "A 26346-2022")</f>
        <v/>
      </c>
      <c r="X76">
        <f>HYPERLINK("https://klasma.github.io/Logging_2582/kartor/A 26346-2022 karta.png", "A 26346-2022")</f>
        <v/>
      </c>
      <c r="Y76">
        <f>HYPERLINK("https://klasma.github.io/Logging_2582/kartor_geotiff/A 26346-2022 georefererad karta.tif", "A 26346-2022")</f>
        <v/>
      </c>
      <c r="AA76">
        <f>HYPERLINK("https://klasma.github.io/Logging_2582/klagomål/A 26346-2022 FSC-klagomål.docx", "A 26346-2022")</f>
        <v/>
      </c>
      <c r="AB76">
        <f>HYPERLINK("https://klasma.github.io/Logging_2582/klagomålsmail/A 26346-2022 FSC-klagomål mail.docx", "A 26346-2022")</f>
        <v/>
      </c>
      <c r="AC76">
        <f>HYPERLINK("https://klasma.github.io/Logging_2582/tillsyn/A 26346-2022 tillsynsbegäran.docx", "A 26346-2022")</f>
        <v/>
      </c>
      <c r="AD76">
        <f>HYPERLINK("https://klasma.github.io/Logging_2582/tillsynsmail/A 26346-2022 tillsynsbegäran mail.docx", "A 26346-2022")</f>
        <v/>
      </c>
    </row>
    <row r="77" ht="15" customHeight="1">
      <c r="A77" t="inlineStr">
        <is>
          <t>A 34737-2024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45526</v>
      </c>
      <c r="E77" s="1" t="n">
        <v>46323</v>
      </c>
      <c r="F77" t="inlineStr">
        <is>
          <t>NORRBOTTENS LÄN</t>
        </is>
      </c>
      <c r="G77" t="inlineStr">
        <is>
          <t>BODEN</t>
        </is>
      </c>
      <c r="H77" t="inlineStr">
        <is>
          <t>Sveaskog</t>
        </is>
      </c>
      <c r="I77" t="n">
        <v>6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2</v>
      </c>
      <c r="T77" t="n">
        <v>4</v>
      </c>
      <c r="U77" t="n">
        <v>1</v>
      </c>
      <c r="V77" s="2" t="inlineStr">
        <is>
          <t>Lunglav
Fläcknycklar</t>
        </is>
      </c>
      <c r="W77">
        <f>HYPERLINK("https://klasma.github.io/Logging_2582/artfynd/A 34737-2024 artfynd.xlsx", "A 34737-2024")</f>
        <v/>
      </c>
      <c r="X77">
        <f>HYPERLINK("https://klasma.github.io/Logging_2582/kartor/A 34737-2024 karta.png", "A 34737-2024")</f>
        <v/>
      </c>
      <c r="Y77">
        <f>HYPERLINK("https://klasma.github.io/Logging_2582/kartor_geotiff/A 34737-2024 georefererad karta.tif", "A 34737-2024")</f>
        <v/>
      </c>
      <c r="AA77">
        <f>HYPERLINK("https://klasma.github.io/Logging_2582/klagomål/A 34737-2024 FSC-klagomål.docx", "A 34737-2024")</f>
        <v/>
      </c>
      <c r="AB77">
        <f>HYPERLINK("https://klasma.github.io/Logging_2582/klagomålsmail/A 34737-2024 FSC-klagomål mail.docx", "A 34737-2024")</f>
        <v/>
      </c>
      <c r="AC77">
        <f>HYPERLINK("https://klasma.github.io/Logging_2582/tillsyn/A 34737-2024 tillsynsbegäran.docx", "A 34737-2024")</f>
        <v/>
      </c>
      <c r="AD77">
        <f>HYPERLINK("https://klasma.github.io/Logging_2582/tillsynsmail/A 34737-2024 tillsynsbegäran mail.docx", "A 34737-2024")</f>
        <v/>
      </c>
    </row>
    <row r="78" ht="15" customHeight="1">
      <c r="A78" t="inlineStr">
        <is>
          <t>A 22906-2023</t>
        </is>
      </c>
      <c r="B78" t="inlineStr">
        <is>
          <t>avverkningsanmälan</t>
        </is>
      </c>
      <c r="C78" t="inlineStr">
        <is>
          <t>Avverkning för att bevara och utveckla /försöksver</t>
        </is>
      </c>
      <c r="D78" s="1" t="n">
        <v>45072</v>
      </c>
      <c r="E78" s="1" t="n">
        <v>46323</v>
      </c>
      <c r="F78" t="inlineStr">
        <is>
          <t>NORRBOTTENS LÄN</t>
        </is>
      </c>
      <c r="G78" t="inlineStr">
        <is>
          <t>BODEN</t>
        </is>
      </c>
      <c r="H78" t="inlineStr">
        <is>
          <t>Sveaskog</t>
        </is>
      </c>
      <c r="I78" t="n">
        <v>3.5</v>
      </c>
      <c r="J78" t="n">
        <v>2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2</v>
      </c>
      <c r="T78" t="n">
        <v>2</v>
      </c>
      <c r="U78" t="n">
        <v>0</v>
      </c>
      <c r="V78" s="2" t="inlineStr">
        <is>
          <t>Talltita
Utter</t>
        </is>
      </c>
      <c r="W78">
        <f>HYPERLINK("https://klasma.github.io/Logging_2582/artfynd/A 22906-2023 artfynd.xlsx", "A 22906-2023")</f>
        <v/>
      </c>
      <c r="X78">
        <f>HYPERLINK("https://klasma.github.io/Logging_2582/kartor/A 22906-2023 karta.png", "A 22906-2023")</f>
        <v/>
      </c>
      <c r="Y78">
        <f>HYPERLINK("https://klasma.github.io/Logging_2582/kartor_geotiff/A 22906-2023 georefererad karta.tif", "A 22906-2023")</f>
        <v/>
      </c>
      <c r="AA78">
        <f>HYPERLINK("https://klasma.github.io/Logging_2582/klagomål/A 22906-2023 FSC-klagomål.docx", "A 22906-2023")</f>
        <v/>
      </c>
      <c r="AB78">
        <f>HYPERLINK("https://klasma.github.io/Logging_2582/klagomålsmail/A 22906-2023 FSC-klagomål mail.docx", "A 22906-2023")</f>
        <v/>
      </c>
      <c r="AC78">
        <f>HYPERLINK("https://klasma.github.io/Logging_2582/tillsyn/A 22906-2023 tillsynsbegäran.docx", "A 22906-2023")</f>
        <v/>
      </c>
      <c r="AD78">
        <f>HYPERLINK("https://klasma.github.io/Logging_2582/tillsynsmail/A 22906-2023 tillsynsbegäran mail.docx", "A 22906-2023")</f>
        <v/>
      </c>
      <c r="AE78">
        <f>HYPERLINK("https://klasma.github.io/Logging_2582/fåglar/A 22906-2023 prioriterade fågelarter.docx", "A 22906-2023")</f>
        <v/>
      </c>
    </row>
    <row r="79" ht="15" customHeight="1">
      <c r="A79" t="inlineStr">
        <is>
          <t>A 34164-2023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45137</v>
      </c>
      <c r="E79" s="1" t="n">
        <v>46323</v>
      </c>
      <c r="F79" t="inlineStr">
        <is>
          <t>NORRBOTTENS LÄN</t>
        </is>
      </c>
      <c r="G79" t="inlineStr">
        <is>
          <t>BODEN</t>
        </is>
      </c>
      <c r="H79" t="inlineStr">
        <is>
          <t>SCA</t>
        </is>
      </c>
      <c r="I79" t="n">
        <v>2.2</v>
      </c>
      <c r="J79" t="n">
        <v>1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2</v>
      </c>
      <c r="R79" t="n">
        <v>1</v>
      </c>
      <c r="S79" t="n">
        <v>2</v>
      </c>
      <c r="T79" t="n">
        <v>3</v>
      </c>
      <c r="U79" t="n">
        <v>3</v>
      </c>
      <c r="V79" s="2" t="inlineStr">
        <is>
          <t>Garnlav
Tretåig hackspett</t>
        </is>
      </c>
      <c r="W79">
        <f>HYPERLINK("https://klasma.github.io/Logging_2582/artfynd/A 34164-2023 artfynd.xlsx", "A 34164-2023")</f>
        <v/>
      </c>
      <c r="X79">
        <f>HYPERLINK("https://klasma.github.io/Logging_2582/kartor/A 34164-2023 karta.png", "A 34164-2023")</f>
        <v/>
      </c>
      <c r="Y79">
        <f>HYPERLINK("https://klasma.github.io/Logging_2582/kartor_geotiff/A 34164-2023 georefererad karta.tif", "A 34164-2023")</f>
        <v/>
      </c>
      <c r="AA79">
        <f>HYPERLINK("https://klasma.github.io/Logging_2582/klagomål/A 34164-2023 FSC-klagomål.docx", "A 34164-2023")</f>
        <v/>
      </c>
      <c r="AB79">
        <f>HYPERLINK("https://klasma.github.io/Logging_2582/klagomålsmail/A 34164-2023 FSC-klagomål mail.docx", "A 34164-2023")</f>
        <v/>
      </c>
      <c r="AC79">
        <f>HYPERLINK("https://klasma.github.io/Logging_2582/tillsyn/A 34164-2023 tillsynsbegäran.docx", "A 34164-2023")</f>
        <v/>
      </c>
      <c r="AD79">
        <f>HYPERLINK("https://klasma.github.io/Logging_2582/tillsynsmail/A 34164-2023 tillsynsbegäran mail.docx", "A 34164-2023")</f>
        <v/>
      </c>
      <c r="AE79">
        <f>HYPERLINK("https://klasma.github.io/Logging_2582/fåglar/A 34164-2023 prioriterade fågelarter.docx", "A 34164-2023")</f>
        <v/>
      </c>
    </row>
    <row r="80" ht="15" customHeight="1">
      <c r="A80" t="inlineStr">
        <is>
          <t>A 1507-2022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44573</v>
      </c>
      <c r="E80" s="1" t="n">
        <v>46323</v>
      </c>
      <c r="F80" t="inlineStr">
        <is>
          <t>NORRBOTTENS LÄN</t>
        </is>
      </c>
      <c r="G80" t="inlineStr">
        <is>
          <t>BODEN</t>
        </is>
      </c>
      <c r="H80" t="inlineStr">
        <is>
          <t>Övriga statliga verk och myndigheter</t>
        </is>
      </c>
      <c r="I80" t="n">
        <v>15.4</v>
      </c>
      <c r="J80" t="n">
        <v>2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2</v>
      </c>
      <c r="T80" t="n">
        <v>2</v>
      </c>
      <c r="U80" t="n">
        <v>1</v>
      </c>
      <c r="V80" s="2" t="inlineStr">
        <is>
          <t>Talltita
Gråspett</t>
        </is>
      </c>
      <c r="W80">
        <f>HYPERLINK("https://klasma.github.io/Logging_2582/artfynd/A 1507-2022 artfynd.xlsx", "A 1507-2022")</f>
        <v/>
      </c>
      <c r="X80">
        <f>HYPERLINK("https://klasma.github.io/Logging_2582/kartor/A 1507-2022 karta.png", "A 1507-2022")</f>
        <v/>
      </c>
      <c r="Y80">
        <f>HYPERLINK("https://klasma.github.io/Logging_2582/kartor_geotiff/A 1507-2022 georefererad karta.tif", "A 1507-2022")</f>
        <v/>
      </c>
      <c r="AA80">
        <f>HYPERLINK("https://klasma.github.io/Logging_2582/klagomål/A 1507-2022 FSC-klagomål.docx", "A 1507-2022")</f>
        <v/>
      </c>
      <c r="AB80">
        <f>HYPERLINK("https://klasma.github.io/Logging_2582/klagomålsmail/A 1507-2022 FSC-klagomål mail.docx", "A 1507-2022")</f>
        <v/>
      </c>
      <c r="AC80">
        <f>HYPERLINK("https://klasma.github.io/Logging_2582/tillsyn/A 1507-2022 tillsynsbegäran.docx", "A 1507-2022")</f>
        <v/>
      </c>
      <c r="AD80">
        <f>HYPERLINK("https://klasma.github.io/Logging_2582/tillsynsmail/A 1507-2022 tillsynsbegäran mail.docx", "A 1507-2022")</f>
        <v/>
      </c>
      <c r="AE80">
        <f>HYPERLINK("https://klasma.github.io/Logging_2582/fåglar/A 1507-2022 prioriterade fågelarter.docx", "A 1507-2022")</f>
        <v/>
      </c>
    </row>
    <row r="81" ht="15" customHeight="1">
      <c r="A81" t="inlineStr">
        <is>
          <t>A 25701-2025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45803</v>
      </c>
      <c r="E81" s="1" t="n">
        <v>46323</v>
      </c>
      <c r="F81" t="inlineStr">
        <is>
          <t>NORRBOTTENS LÄN</t>
        </is>
      </c>
      <c r="G81" t="inlineStr">
        <is>
          <t>BODEN</t>
        </is>
      </c>
      <c r="H81" t="inlineStr">
        <is>
          <t>Sveaskog</t>
        </is>
      </c>
      <c r="I81" t="n">
        <v>8.800000000000001</v>
      </c>
      <c r="J81" t="n">
        <v>0</v>
      </c>
      <c r="K81" t="n">
        <v>0</v>
      </c>
      <c r="L81" t="n">
        <v>2</v>
      </c>
      <c r="M81" t="n">
        <v>0</v>
      </c>
      <c r="N81" t="n">
        <v>0</v>
      </c>
      <c r="O81" t="n">
        <v>0</v>
      </c>
      <c r="P81" t="n">
        <v>0</v>
      </c>
      <c r="Q81" t="n">
        <v>2</v>
      </c>
      <c r="R81" t="n">
        <v>0</v>
      </c>
      <c r="S81" t="n">
        <v>2</v>
      </c>
      <c r="T81" t="n">
        <v>2</v>
      </c>
      <c r="U81" t="n">
        <v>1</v>
      </c>
      <c r="V81" s="2" t="inlineStr">
        <is>
          <t>Lunglav
Öring</t>
        </is>
      </c>
      <c r="W81">
        <f>HYPERLINK("https://klasma.github.io/Logging_2582/artfynd/A 25701-2025 artfynd.xlsx", "A 25701-2025")</f>
        <v/>
      </c>
      <c r="X81">
        <f>HYPERLINK("https://klasma.github.io/Logging_2582/kartor/A 25701-2025 karta.png", "A 25701-2025")</f>
        <v/>
      </c>
      <c r="Y81">
        <f>HYPERLINK("https://klasma.github.io/Logging_2582/kartor_geotiff/A 25701-2025 georefererad karta.tif", "A 25701-2025")</f>
        <v/>
      </c>
      <c r="AA81">
        <f>HYPERLINK("https://klasma.github.io/Logging_2582/klagomål/A 25701-2025 FSC-klagomål.docx", "A 25701-2025")</f>
        <v/>
      </c>
      <c r="AB81">
        <f>HYPERLINK("https://klasma.github.io/Logging_2582/klagomålsmail/A 25701-2025 FSC-klagomål mail.docx", "A 25701-2025")</f>
        <v/>
      </c>
      <c r="AC81">
        <f>HYPERLINK("https://klasma.github.io/Logging_2582/tillsyn/A 25701-2025 tillsynsbegäran.docx", "A 25701-2025")</f>
        <v/>
      </c>
      <c r="AD81">
        <f>HYPERLINK("https://klasma.github.io/Logging_2582/tillsynsmail/A 25701-2025 tillsynsbegäran mail.docx", "A 25701-2025")</f>
        <v/>
      </c>
    </row>
    <row r="82" ht="15" customHeight="1">
      <c r="A82" t="inlineStr">
        <is>
          <t>A 6639-2024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45341</v>
      </c>
      <c r="E82" s="1" t="n">
        <v>46323</v>
      </c>
      <c r="F82" t="inlineStr">
        <is>
          <t>NORRBOTTENS LÄN</t>
        </is>
      </c>
      <c r="G82" t="inlineStr">
        <is>
          <t>BODEN</t>
        </is>
      </c>
      <c r="H82" t="inlineStr">
        <is>
          <t>Övriga statliga verk och myndigheter</t>
        </is>
      </c>
      <c r="I82" t="n">
        <v>23.8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2</v>
      </c>
      <c r="U82" t="n">
        <v>0</v>
      </c>
      <c r="V82" s="2" t="inlineStr">
        <is>
          <t>Lunglav
Kungsfågel</t>
        </is>
      </c>
      <c r="W82">
        <f>HYPERLINK("https://klasma.github.io/Logging_2582/artfynd/A 6639-2024 artfynd.xlsx", "A 6639-2024")</f>
        <v/>
      </c>
      <c r="X82">
        <f>HYPERLINK("https://klasma.github.io/Logging_2582/kartor/A 6639-2024 karta.png", "A 6639-2024")</f>
        <v/>
      </c>
      <c r="Y82">
        <f>HYPERLINK("https://klasma.github.io/Logging_2582/kartor_geotiff/A 6639-2024 georefererad karta.tif", "A 6639-2024")</f>
        <v/>
      </c>
      <c r="AA82">
        <f>HYPERLINK("https://klasma.github.io/Logging_2582/klagomål/A 6639-2024 FSC-klagomål.docx", "A 6639-2024")</f>
        <v/>
      </c>
      <c r="AB82">
        <f>HYPERLINK("https://klasma.github.io/Logging_2582/klagomålsmail/A 6639-2024 FSC-klagomål mail.docx", "A 6639-2024")</f>
        <v/>
      </c>
      <c r="AC82">
        <f>HYPERLINK("https://klasma.github.io/Logging_2582/tillsyn/A 6639-2024 tillsynsbegäran.docx", "A 6639-2024")</f>
        <v/>
      </c>
      <c r="AD82">
        <f>HYPERLINK("https://klasma.github.io/Logging_2582/tillsynsmail/A 6639-2024 tillsynsbegäran mail.docx", "A 6639-2024")</f>
        <v/>
      </c>
    </row>
    <row r="83" ht="15" customHeight="1">
      <c r="A83" t="inlineStr">
        <is>
          <t>A 43315-2025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45910</v>
      </c>
      <c r="E83" s="1" t="n">
        <v>46323</v>
      </c>
      <c r="F83" t="inlineStr">
        <is>
          <t>NORRBOTTENS LÄN</t>
        </is>
      </c>
      <c r="G83" t="inlineStr">
        <is>
          <t>BODEN</t>
        </is>
      </c>
      <c r="H83" t="inlineStr">
        <is>
          <t>Sveaskog</t>
        </is>
      </c>
      <c r="I83" t="n">
        <v>2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2</v>
      </c>
      <c r="T83" t="n">
        <v>2</v>
      </c>
      <c r="U83" t="n">
        <v>2</v>
      </c>
      <c r="V83" s="2" t="inlineStr">
        <is>
          <t>Lunglav
Stuplav</t>
        </is>
      </c>
      <c r="W83">
        <f>HYPERLINK("https://klasma.github.io/Logging_2582/artfynd/A 43315-2025 artfynd.xlsx", "A 43315-2025")</f>
        <v/>
      </c>
      <c r="X83">
        <f>HYPERLINK("https://klasma.github.io/Logging_2582/kartor/A 43315-2025 karta.png", "A 43315-2025")</f>
        <v/>
      </c>
      <c r="Y83">
        <f>HYPERLINK("https://klasma.github.io/Logging_2582/kartor_geotiff/A 43315-2025 georefererad karta.tif", "A 43315-2025")</f>
        <v/>
      </c>
      <c r="AA83">
        <f>HYPERLINK("https://klasma.github.io/Logging_2582/klagomål/A 43315-2025 FSC-klagomål.docx", "A 43315-2025")</f>
        <v/>
      </c>
      <c r="AB83">
        <f>HYPERLINK("https://klasma.github.io/Logging_2582/klagomålsmail/A 43315-2025 FSC-klagomål mail.docx", "A 43315-2025")</f>
        <v/>
      </c>
      <c r="AC83">
        <f>HYPERLINK("https://klasma.github.io/Logging_2582/tillsyn/A 43315-2025 tillsynsbegäran.docx", "A 43315-2025")</f>
        <v/>
      </c>
      <c r="AD83">
        <f>HYPERLINK("https://klasma.github.io/Logging_2582/tillsynsmail/A 43315-2025 tillsynsbegäran mail.docx", "A 43315-2025")</f>
        <v/>
      </c>
    </row>
    <row r="84" ht="15" customHeight="1">
      <c r="A84" t="inlineStr">
        <is>
          <t>A 45477-2025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45922</v>
      </c>
      <c r="E84" s="1" t="n">
        <v>46323</v>
      </c>
      <c r="F84" t="inlineStr">
        <is>
          <t>NORRBOTTENS LÄN</t>
        </is>
      </c>
      <c r="G84" t="inlineStr">
        <is>
          <t>BODEN</t>
        </is>
      </c>
      <c r="H84" t="inlineStr">
        <is>
          <t>Sveaskog</t>
        </is>
      </c>
      <c r="I84" t="n">
        <v>9.1</v>
      </c>
      <c r="J84" t="n">
        <v>1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2</v>
      </c>
      <c r="R84" t="n">
        <v>1</v>
      </c>
      <c r="S84" t="n">
        <v>2</v>
      </c>
      <c r="T84" t="n">
        <v>3</v>
      </c>
      <c r="U84" t="n">
        <v>0</v>
      </c>
      <c r="V84" s="2" t="inlineStr">
        <is>
          <t>Doftticka
Lunglav</t>
        </is>
      </c>
      <c r="W84">
        <f>HYPERLINK("https://klasma.github.io/Logging_2582/artfynd/A 45477-2025 artfynd.xlsx", "A 45477-2025")</f>
        <v/>
      </c>
      <c r="X84">
        <f>HYPERLINK("https://klasma.github.io/Logging_2582/kartor/A 45477-2025 karta.png", "A 45477-2025")</f>
        <v/>
      </c>
      <c r="Y84">
        <f>HYPERLINK("https://klasma.github.io/Logging_2582/kartor_geotiff/A 45477-2025 georefererad karta.tif", "A 45477-2025")</f>
        <v/>
      </c>
      <c r="AA84">
        <f>HYPERLINK("https://klasma.github.io/Logging_2582/klagomål/A 45477-2025 FSC-klagomål.docx", "A 45477-2025")</f>
        <v/>
      </c>
      <c r="AB84">
        <f>HYPERLINK("https://klasma.github.io/Logging_2582/klagomålsmail/A 45477-2025 FSC-klagomål mail.docx", "A 45477-2025")</f>
        <v/>
      </c>
      <c r="AC84">
        <f>HYPERLINK("https://klasma.github.io/Logging_2582/tillsyn/A 45477-2025 tillsynsbegäran.docx", "A 45477-2025")</f>
        <v/>
      </c>
      <c r="AD84">
        <f>HYPERLINK("https://klasma.github.io/Logging_2582/tillsynsmail/A 45477-2025 tillsynsbegäran mail.docx", "A 45477-2025")</f>
        <v/>
      </c>
    </row>
    <row r="85" ht="15" customHeight="1">
      <c r="A85" t="inlineStr">
        <is>
          <t>A 17292-2022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44678</v>
      </c>
      <c r="E85" s="1" t="n">
        <v>46323</v>
      </c>
      <c r="F85" t="inlineStr">
        <is>
          <t>NORRBOTTENS LÄN</t>
        </is>
      </c>
      <c r="G85" t="inlineStr">
        <is>
          <t>BODEN</t>
        </is>
      </c>
      <c r="H85" t="inlineStr">
        <is>
          <t>Kyrkan</t>
        </is>
      </c>
      <c r="I85" t="n">
        <v>0.8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2</v>
      </c>
      <c r="T85" t="n">
        <v>3</v>
      </c>
      <c r="U85" t="n">
        <v>3</v>
      </c>
      <c r="V85" s="2" t="inlineStr">
        <is>
          <t>Garnlav
Revlummer</t>
        </is>
      </c>
      <c r="W85">
        <f>HYPERLINK("https://klasma.github.io/Logging_2582/artfynd/A 17292-2022 artfynd.xlsx", "A 17292-2022")</f>
        <v/>
      </c>
      <c r="X85">
        <f>HYPERLINK("https://klasma.github.io/Logging_2582/kartor/A 17292-2022 karta.png", "A 17292-2022")</f>
        <v/>
      </c>
      <c r="Y85">
        <f>HYPERLINK("https://klasma.github.io/Logging_2582/kartor_geotiff/A 17292-2022 georefererad karta.tif", "A 17292-2022")</f>
        <v/>
      </c>
      <c r="AA85">
        <f>HYPERLINK("https://klasma.github.io/Logging_2582/klagomål/A 17292-2022 FSC-klagomål.docx", "A 17292-2022")</f>
        <v/>
      </c>
      <c r="AB85">
        <f>HYPERLINK("https://klasma.github.io/Logging_2582/klagomålsmail/A 17292-2022 FSC-klagomål mail.docx", "A 17292-2022")</f>
        <v/>
      </c>
      <c r="AC85">
        <f>HYPERLINK("https://klasma.github.io/Logging_2582/tillsyn/A 17292-2022 tillsynsbegäran.docx", "A 17292-2022")</f>
        <v/>
      </c>
      <c r="AD85">
        <f>HYPERLINK("https://klasma.github.io/Logging_2582/tillsynsmail/A 17292-2022 tillsynsbegäran mail.docx", "A 17292-2022")</f>
        <v/>
      </c>
    </row>
    <row r="86" ht="15" customHeight="1">
      <c r="A86" t="inlineStr">
        <is>
          <t>A 9306-2025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45714</v>
      </c>
      <c r="E86" s="1" t="n">
        <v>46323</v>
      </c>
      <c r="F86" t="inlineStr">
        <is>
          <t>NORRBOTTENS LÄN</t>
        </is>
      </c>
      <c r="G86" t="inlineStr">
        <is>
          <t>BODEN</t>
        </is>
      </c>
      <c r="H86" t="inlineStr">
        <is>
          <t>SCA</t>
        </is>
      </c>
      <c r="I86" t="n">
        <v>11.7</v>
      </c>
      <c r="J86" t="n">
        <v>0</v>
      </c>
      <c r="K86" t="n">
        <v>0</v>
      </c>
      <c r="L86" t="n">
        <v>2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0</v>
      </c>
      <c r="S86" t="n">
        <v>2</v>
      </c>
      <c r="T86" t="n">
        <v>2</v>
      </c>
      <c r="U86" t="n">
        <v>0</v>
      </c>
      <c r="V86" s="2" t="inlineStr">
        <is>
          <t>Lunglav
Rynkskinn</t>
        </is>
      </c>
      <c r="W86">
        <f>HYPERLINK("https://klasma.github.io/Logging_2582/artfynd/A 9306-2025 artfynd.xlsx", "A 9306-2025")</f>
        <v/>
      </c>
      <c r="X86">
        <f>HYPERLINK("https://klasma.github.io/Logging_2582/kartor/A 9306-2025 karta.png", "A 9306-2025")</f>
        <v/>
      </c>
      <c r="Y86">
        <f>HYPERLINK("https://klasma.github.io/Logging_2582/kartor_geotiff/A 9306-2025 georefererad karta.tif", "A 9306-2025")</f>
        <v/>
      </c>
      <c r="AA86">
        <f>HYPERLINK("https://klasma.github.io/Logging_2582/klagomål/A 9306-2025 FSC-klagomål.docx", "A 9306-2025")</f>
        <v/>
      </c>
      <c r="AB86">
        <f>HYPERLINK("https://klasma.github.io/Logging_2582/klagomålsmail/A 9306-2025 FSC-klagomål mail.docx", "A 9306-2025")</f>
        <v/>
      </c>
      <c r="AC86">
        <f>HYPERLINK("https://klasma.github.io/Logging_2582/tillsyn/A 9306-2025 tillsynsbegäran.docx", "A 9306-2025")</f>
        <v/>
      </c>
      <c r="AD86">
        <f>HYPERLINK("https://klasma.github.io/Logging_2582/tillsynsmail/A 9306-2025 tillsynsbegäran mail.docx", "A 9306-2025")</f>
        <v/>
      </c>
    </row>
    <row r="87" ht="15" customHeight="1">
      <c r="A87" t="inlineStr">
        <is>
          <t>A 6895-2025</t>
        </is>
      </c>
      <c r="B87" t="inlineStr">
        <is>
          <t>avverkningsanmälan</t>
        </is>
      </c>
      <c r="C87" t="inlineStr">
        <is>
          <t>Avverkning för annat ändamål</t>
        </is>
      </c>
      <c r="D87" s="1" t="n">
        <v>45701</v>
      </c>
      <c r="E87" s="1" t="n">
        <v>46323</v>
      </c>
      <c r="F87" t="inlineStr">
        <is>
          <t>NORRBOTTENS LÄN</t>
        </is>
      </c>
      <c r="G87" t="inlineStr">
        <is>
          <t>BODEN</t>
        </is>
      </c>
      <c r="I87" t="n">
        <v>1.5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2</v>
      </c>
      <c r="T87" t="n">
        <v>2</v>
      </c>
      <c r="U87" t="n">
        <v>0</v>
      </c>
      <c r="V87" s="2" t="inlineStr">
        <is>
          <t>Kolflarnlav
Plattlummer</t>
        </is>
      </c>
      <c r="W87">
        <f>HYPERLINK("https://klasma.github.io/Logging_2582/artfynd/A 6895-2025 artfynd.xlsx", "A 6895-2025")</f>
        <v/>
      </c>
      <c r="X87">
        <f>HYPERLINK("https://klasma.github.io/Logging_2582/kartor/A 6895-2025 karta.png", "A 6895-2025")</f>
        <v/>
      </c>
      <c r="Y87">
        <f>HYPERLINK("https://klasma.github.io/Logging_2582/kartor_geotiff/A 6895-2025 georefererad karta.tif", "A 6895-2025")</f>
        <v/>
      </c>
      <c r="AA87">
        <f>HYPERLINK("https://klasma.github.io/Logging_2582/klagomål/A 6895-2025 FSC-klagomål.docx", "A 6895-2025")</f>
        <v/>
      </c>
      <c r="AB87">
        <f>HYPERLINK("https://klasma.github.io/Logging_2582/klagomålsmail/A 6895-2025 FSC-klagomål mail.docx", "A 6895-2025")</f>
        <v/>
      </c>
      <c r="AC87">
        <f>HYPERLINK("https://klasma.github.io/Logging_2582/tillsyn/A 6895-2025 tillsynsbegäran.docx", "A 6895-2025")</f>
        <v/>
      </c>
      <c r="AD87">
        <f>HYPERLINK("https://klasma.github.io/Logging_2582/tillsynsmail/A 6895-2025 tillsynsbegäran mail.docx", "A 6895-2025")</f>
        <v/>
      </c>
    </row>
    <row r="88" ht="15" customHeight="1">
      <c r="A88" t="inlineStr">
        <is>
          <t>A 61210-2024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45645</v>
      </c>
      <c r="E88" s="1" t="n">
        <v>46323</v>
      </c>
      <c r="F88" t="inlineStr">
        <is>
          <t>NORRBOTTENS LÄN</t>
        </is>
      </c>
      <c r="G88" t="inlineStr">
        <is>
          <t>BODEN</t>
        </is>
      </c>
      <c r="H88" t="inlineStr">
        <is>
          <t>Sveaskog</t>
        </is>
      </c>
      <c r="I88" t="n">
        <v>2.4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2</v>
      </c>
      <c r="R88" t="n">
        <v>1</v>
      </c>
      <c r="S88" t="n">
        <v>2</v>
      </c>
      <c r="T88" t="n">
        <v>4</v>
      </c>
      <c r="U88" t="n">
        <v>0</v>
      </c>
      <c r="V88" s="2" t="inlineStr">
        <is>
          <t>Skrovlig taggsvamp
Blå taggsvamp</t>
        </is>
      </c>
      <c r="W88">
        <f>HYPERLINK("https://klasma.github.io/Logging_2582/artfynd/A 61210-2024 artfynd.xlsx", "A 61210-2024")</f>
        <v/>
      </c>
      <c r="X88">
        <f>HYPERLINK("https://klasma.github.io/Logging_2582/kartor/A 61210-2024 karta.png", "A 61210-2024")</f>
        <v/>
      </c>
      <c r="Y88">
        <f>HYPERLINK("https://klasma.github.io/Logging_2582/kartor_geotiff/A 61210-2024 georefererad karta.tif", "A 61210-2024")</f>
        <v/>
      </c>
      <c r="AA88">
        <f>HYPERLINK("https://klasma.github.io/Logging_2582/klagomål/A 61210-2024 FSC-klagomål.docx", "A 61210-2024")</f>
        <v/>
      </c>
      <c r="AB88">
        <f>HYPERLINK("https://klasma.github.io/Logging_2582/klagomålsmail/A 61210-2024 FSC-klagomål mail.docx", "A 61210-2024")</f>
        <v/>
      </c>
      <c r="AC88">
        <f>HYPERLINK("https://klasma.github.io/Logging_2582/tillsyn/A 61210-2024 tillsynsbegäran.docx", "A 61210-2024")</f>
        <v/>
      </c>
      <c r="AD88">
        <f>HYPERLINK("https://klasma.github.io/Logging_2582/tillsynsmail/A 61210-2024 tillsynsbegäran mail.docx", "A 61210-2024")</f>
        <v/>
      </c>
    </row>
    <row r="89" ht="15" customHeight="1">
      <c r="A89" t="inlineStr">
        <is>
          <t>A 1507-2022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44573</v>
      </c>
      <c r="E89" s="1" t="n">
        <v>46323</v>
      </c>
      <c r="F89" t="inlineStr">
        <is>
          <t>NORRBOTTENS LÄN</t>
        </is>
      </c>
      <c r="G89" t="inlineStr">
        <is>
          <t>BODEN</t>
        </is>
      </c>
      <c r="H89" t="inlineStr">
        <is>
          <t>Övriga statliga verk och myndigheter</t>
        </is>
      </c>
      <c r="I89" t="n">
        <v>15.4</v>
      </c>
      <c r="J89" t="n">
        <v>2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2</v>
      </c>
      <c r="T89" t="n">
        <v>2</v>
      </c>
      <c r="U89" t="n">
        <v>1</v>
      </c>
      <c r="V89" s="2" t="inlineStr">
        <is>
          <t>Talltita
Gråspett</t>
        </is>
      </c>
      <c r="W89">
        <f>HYPERLINK("https://klasma.github.io/Logging_2582/artfynd/A 1507-2022 artfynd.xlsx", "A 1507-2022")</f>
        <v/>
      </c>
      <c r="X89">
        <f>HYPERLINK("https://klasma.github.io/Logging_2582/kartor/A 1507-2022 karta.png", "A 1507-2022")</f>
        <v/>
      </c>
      <c r="Y89">
        <f>HYPERLINK("https://klasma.github.io/Logging_2582/kartor_geotiff/A 1507-2022 georefererad karta.tif", "A 1507-2022")</f>
        <v/>
      </c>
      <c r="AA89">
        <f>HYPERLINK("https://klasma.github.io/Logging_2582/klagomål/A 1507-2022 FSC-klagomål.docx", "A 1507-2022")</f>
        <v/>
      </c>
      <c r="AB89">
        <f>HYPERLINK("https://klasma.github.io/Logging_2582/klagomålsmail/A 1507-2022 FSC-klagomål mail.docx", "A 1507-2022")</f>
        <v/>
      </c>
      <c r="AC89">
        <f>HYPERLINK("https://klasma.github.io/Logging_2582/tillsyn/A 1507-2022 tillsynsbegäran.docx", "A 1507-2022")</f>
        <v/>
      </c>
      <c r="AD89">
        <f>HYPERLINK("https://klasma.github.io/Logging_2582/tillsynsmail/A 1507-2022 tillsynsbegäran mail.docx", "A 1507-2022")</f>
        <v/>
      </c>
      <c r="AE89">
        <f>HYPERLINK("https://klasma.github.io/Logging_2582/fåglar/A 1507-2022 prioriterade fågelarter.docx", "A 1507-2022")</f>
        <v/>
      </c>
    </row>
    <row r="90" ht="15" customHeight="1">
      <c r="A90" t="inlineStr">
        <is>
          <t>A 32971-2024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45517</v>
      </c>
      <c r="E90" s="1" t="n">
        <v>46323</v>
      </c>
      <c r="F90" t="inlineStr">
        <is>
          <t>NORRBOTTENS LÄN</t>
        </is>
      </c>
      <c r="G90" t="inlineStr">
        <is>
          <t>BODEN</t>
        </is>
      </c>
      <c r="H90" t="inlineStr">
        <is>
          <t>Sveaskog</t>
        </is>
      </c>
      <c r="I90" t="n">
        <v>10</v>
      </c>
      <c r="J90" t="n">
        <v>1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2</v>
      </c>
      <c r="T90" t="n">
        <v>5</v>
      </c>
      <c r="U90" t="n">
        <v>4</v>
      </c>
      <c r="V90" s="2" t="inlineStr">
        <is>
          <t>Lunglav
Fläcknycklar</t>
        </is>
      </c>
      <c r="W90">
        <f>HYPERLINK("https://klasma.github.io/Logging_2582/artfynd/A 32971-2024 artfynd.xlsx", "A 32971-2024")</f>
        <v/>
      </c>
      <c r="X90">
        <f>HYPERLINK("https://klasma.github.io/Logging_2582/kartor/A 32971-2024 karta.png", "A 32971-2024")</f>
        <v/>
      </c>
      <c r="Y90">
        <f>HYPERLINK("https://klasma.github.io/Logging_2582/kartor_geotiff/A 32971-2024 georefererad karta.tif", "A 32971-2024")</f>
        <v/>
      </c>
      <c r="AA90">
        <f>HYPERLINK("https://klasma.github.io/Logging_2582/klagomål/A 32971-2024 FSC-klagomål.docx", "A 32971-2024")</f>
        <v/>
      </c>
      <c r="AB90">
        <f>HYPERLINK("https://klasma.github.io/Logging_2582/klagomålsmail/A 32971-2024 FSC-klagomål mail.docx", "A 32971-2024")</f>
        <v/>
      </c>
      <c r="AC90">
        <f>HYPERLINK("https://klasma.github.io/Logging_2582/tillsyn/A 32971-2024 tillsynsbegäran.docx", "A 32971-2024")</f>
        <v/>
      </c>
      <c r="AD90">
        <f>HYPERLINK("https://klasma.github.io/Logging_2582/tillsynsmail/A 32971-2024 tillsynsbegäran mail.docx", "A 32971-2024")</f>
        <v/>
      </c>
    </row>
    <row r="91" ht="15" customHeight="1">
      <c r="A91" t="inlineStr">
        <is>
          <t>A 59435-2024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45638</v>
      </c>
      <c r="E91" s="1" t="n">
        <v>46323</v>
      </c>
      <c r="F91" t="inlineStr">
        <is>
          <t>NORRBOTTENS LÄN</t>
        </is>
      </c>
      <c r="G91" t="inlineStr">
        <is>
          <t>BODEN</t>
        </is>
      </c>
      <c r="I91" t="n">
        <v>2.1</v>
      </c>
      <c r="J91" t="n">
        <v>1</v>
      </c>
      <c r="K91" t="n">
        <v>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2</v>
      </c>
      <c r="T91" t="n">
        <v>3</v>
      </c>
      <c r="U91" t="n">
        <v>3</v>
      </c>
      <c r="V91" s="2" t="inlineStr">
        <is>
          <t>Lappranunkel
Ögonpyrola</t>
        </is>
      </c>
      <c r="W91">
        <f>HYPERLINK("https://klasma.github.io/Logging_2582/artfynd/A 59435-2024 artfynd.xlsx", "A 59435-2024")</f>
        <v/>
      </c>
      <c r="X91">
        <f>HYPERLINK("https://klasma.github.io/Logging_2582/kartor/A 59435-2024 karta.png", "A 59435-2024")</f>
        <v/>
      </c>
      <c r="Y91">
        <f>HYPERLINK("https://klasma.github.io/Logging_2582/kartor_geotiff/A 59435-2024 georefererad karta.tif", "A 59435-2024")</f>
        <v/>
      </c>
      <c r="AA91">
        <f>HYPERLINK("https://klasma.github.io/Logging_2582/klagomål/A 59435-2024 FSC-klagomål.docx", "A 59435-2024")</f>
        <v/>
      </c>
      <c r="AB91">
        <f>HYPERLINK("https://klasma.github.io/Logging_2582/klagomålsmail/A 59435-2024 FSC-klagomål mail.docx", "A 59435-2024")</f>
        <v/>
      </c>
      <c r="AC91">
        <f>HYPERLINK("https://klasma.github.io/Logging_2582/tillsyn/A 59435-2024 tillsynsbegäran.docx", "A 59435-2024")</f>
        <v/>
      </c>
      <c r="AD91">
        <f>HYPERLINK("https://klasma.github.io/Logging_2582/tillsynsmail/A 59435-2024 tillsynsbegäran mail.docx", "A 59435-2024")</f>
        <v/>
      </c>
    </row>
    <row r="92" ht="15" customHeight="1">
      <c r="A92" t="inlineStr">
        <is>
          <t>A 8703-2026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46066</v>
      </c>
      <c r="E92" s="1" t="n">
        <v>46323</v>
      </c>
      <c r="F92" t="inlineStr">
        <is>
          <t>NORRBOTTENS LÄN</t>
        </is>
      </c>
      <c r="G92" t="inlineStr">
        <is>
          <t>BODEN</t>
        </is>
      </c>
      <c r="I92" t="n">
        <v>1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2</v>
      </c>
      <c r="T92" t="n">
        <v>2</v>
      </c>
      <c r="U92" t="n">
        <v>0</v>
      </c>
      <c r="V92" s="2" t="inlineStr">
        <is>
          <t>Ullticka
Skinnlav</t>
        </is>
      </c>
      <c r="W92">
        <f>HYPERLINK("https://klasma.github.io/Logging_2582/artfynd/A 8703-2026 artfynd.xlsx", "A 8703-2026")</f>
        <v/>
      </c>
      <c r="X92">
        <f>HYPERLINK("https://klasma.github.io/Logging_2582/kartor/A 8703-2026 karta.png", "A 8703-2026")</f>
        <v/>
      </c>
      <c r="Y92">
        <f>HYPERLINK("https://klasma.github.io/Logging_2582/kartor_geotiff/A 8703-2026 georefererad karta.tif", "A 8703-2026")</f>
        <v/>
      </c>
      <c r="AA92">
        <f>HYPERLINK("https://klasma.github.io/Logging_2582/klagomål/A 8703-2026 FSC-klagomål.docx", "A 8703-2026")</f>
        <v/>
      </c>
      <c r="AB92">
        <f>HYPERLINK("https://klasma.github.io/Logging_2582/klagomålsmail/A 8703-2026 FSC-klagomål mail.docx", "A 8703-2026")</f>
        <v/>
      </c>
      <c r="AC92">
        <f>HYPERLINK("https://klasma.github.io/Logging_2582/tillsyn/A 8703-2026 tillsynsbegäran.docx", "A 8703-2026")</f>
        <v/>
      </c>
      <c r="AD92">
        <f>HYPERLINK("https://klasma.github.io/Logging_2582/tillsynsmail/A 8703-2026 tillsynsbegäran mail.docx", "A 8703-2026")</f>
        <v/>
      </c>
    </row>
    <row r="93" ht="15" customHeight="1">
      <c r="A93" t="inlineStr">
        <is>
          <t>A 8754-2026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46066</v>
      </c>
      <c r="E93" s="1" t="n">
        <v>46323</v>
      </c>
      <c r="F93" t="inlineStr">
        <is>
          <t>NORRBOTTENS LÄN</t>
        </is>
      </c>
      <c r="G93" t="inlineStr">
        <is>
          <t>BODEN</t>
        </is>
      </c>
      <c r="I93" t="n">
        <v>2.1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2</v>
      </c>
      <c r="R93" t="n">
        <v>1</v>
      </c>
      <c r="S93" t="n">
        <v>2</v>
      </c>
      <c r="T93" t="n">
        <v>2</v>
      </c>
      <c r="U93" t="n">
        <v>0</v>
      </c>
      <c r="V93" s="2" t="inlineStr">
        <is>
          <t>Garnlav
Ullticka</t>
        </is>
      </c>
      <c r="W93">
        <f>HYPERLINK("https://klasma.github.io/Logging_2582/artfynd/A 8754-2026 artfynd.xlsx", "A 8754-2026")</f>
        <v/>
      </c>
      <c r="X93">
        <f>HYPERLINK("https://klasma.github.io/Logging_2582/kartor/A 8754-2026 karta.png", "A 8754-2026")</f>
        <v/>
      </c>
      <c r="Y93">
        <f>HYPERLINK("https://klasma.github.io/Logging_2582/kartor_geotiff/A 8754-2026 georefererad karta.tif", "A 8754-2026")</f>
        <v/>
      </c>
      <c r="AA93">
        <f>HYPERLINK("https://klasma.github.io/Logging_2582/klagomål/A 8754-2026 FSC-klagomål.docx", "A 8754-2026")</f>
        <v/>
      </c>
      <c r="AB93">
        <f>HYPERLINK("https://klasma.github.io/Logging_2582/klagomålsmail/A 8754-2026 FSC-klagomål mail.docx", "A 8754-2026")</f>
        <v/>
      </c>
      <c r="AC93">
        <f>HYPERLINK("https://klasma.github.io/Logging_2582/tillsyn/A 8754-2026 tillsynsbegäran.docx", "A 8754-2026")</f>
        <v/>
      </c>
      <c r="AD93">
        <f>HYPERLINK("https://klasma.github.io/Logging_2582/tillsynsmail/A 8754-2026 tillsynsbegäran mail.docx", "A 8754-2026")</f>
        <v/>
      </c>
    </row>
    <row r="94" ht="15" customHeight="1">
      <c r="A94" t="inlineStr">
        <is>
          <t>A 29881-2026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46205</v>
      </c>
      <c r="E94" s="1" t="n">
        <v>46323</v>
      </c>
      <c r="F94" t="inlineStr">
        <is>
          <t>NORRBOTTENS LÄN</t>
        </is>
      </c>
      <c r="G94" t="inlineStr">
        <is>
          <t>BODEN</t>
        </is>
      </c>
      <c r="H94" t="inlineStr">
        <is>
          <t>Sveaskog</t>
        </is>
      </c>
      <c r="I94" t="n">
        <v>6.4</v>
      </c>
      <c r="J94" t="n">
        <v>1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2</v>
      </c>
      <c r="T94" t="n">
        <v>2</v>
      </c>
      <c r="U94" t="n">
        <v>1</v>
      </c>
      <c r="V94" s="2" t="inlineStr">
        <is>
          <t>Lunglav
Fläcknycklar</t>
        </is>
      </c>
      <c r="W94">
        <f>HYPERLINK("https://klasma.github.io/Logging_2582/artfynd/A 29881-2026 artfynd.xlsx", "A 29881-2026")</f>
        <v/>
      </c>
      <c r="X94">
        <f>HYPERLINK("https://klasma.github.io/Logging_2582/kartor/A 29881-2026 karta.png", "A 29881-2026")</f>
        <v/>
      </c>
      <c r="Y94">
        <f>HYPERLINK("https://klasma.github.io/Logging_2582/kartor_geotiff/A 29881-2026 georefererad karta.tif", "A 29881-2026")</f>
        <v/>
      </c>
      <c r="AA94">
        <f>HYPERLINK("https://klasma.github.io/Logging_2582/klagomål/A 29881-2026 FSC-klagomål.docx", "A 29881-2026")</f>
        <v/>
      </c>
      <c r="AB94">
        <f>HYPERLINK("https://klasma.github.io/Logging_2582/klagomålsmail/A 29881-2026 FSC-klagomål mail.docx", "A 29881-2026")</f>
        <v/>
      </c>
      <c r="AC94">
        <f>HYPERLINK("https://klasma.github.io/Logging_2582/tillsyn/A 29881-2026 tillsynsbegäran.docx", "A 29881-2026")</f>
        <v/>
      </c>
      <c r="AD94">
        <f>HYPERLINK("https://klasma.github.io/Logging_2582/tillsynsmail/A 29881-2026 tillsynsbegäran mail.docx", "A 29881-2026")</f>
        <v/>
      </c>
    </row>
    <row r="95" ht="15" customHeight="1">
      <c r="A95" t="inlineStr">
        <is>
          <t>A 29807-2026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46205</v>
      </c>
      <c r="E95" s="1" t="n">
        <v>46323</v>
      </c>
      <c r="F95" t="inlineStr">
        <is>
          <t>NORRBOTTENS LÄN</t>
        </is>
      </c>
      <c r="G95" t="inlineStr">
        <is>
          <t>BODEN</t>
        </is>
      </c>
      <c r="H95" t="inlineStr">
        <is>
          <t>Sveaskog</t>
        </is>
      </c>
      <c r="I95" t="n">
        <v>5</v>
      </c>
      <c r="J95" t="n">
        <v>0</v>
      </c>
      <c r="K95" t="n">
        <v>0</v>
      </c>
      <c r="L95" t="n">
        <v>2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2</v>
      </c>
      <c r="T95" t="n">
        <v>2</v>
      </c>
      <c r="U95" t="n">
        <v>0</v>
      </c>
      <c r="V95" s="2" t="inlineStr">
        <is>
          <t>Lunglav
Mörk kolflarnlav</t>
        </is>
      </c>
      <c r="W95">
        <f>HYPERLINK("https://klasma.github.io/Logging_2582/artfynd/A 29807-2026 artfynd.xlsx", "A 29807-2026")</f>
        <v/>
      </c>
      <c r="X95">
        <f>HYPERLINK("https://klasma.github.io/Logging_2582/kartor/A 29807-2026 karta.png", "A 29807-2026")</f>
        <v/>
      </c>
      <c r="Y95">
        <f>HYPERLINK("https://klasma.github.io/Logging_2582/kartor_geotiff/A 29807-2026 georefererad karta.tif", "A 29807-2026")</f>
        <v/>
      </c>
      <c r="AA95">
        <f>HYPERLINK("https://klasma.github.io/Logging_2582/klagomål/A 29807-2026 FSC-klagomål.docx", "A 29807-2026")</f>
        <v/>
      </c>
      <c r="AB95">
        <f>HYPERLINK("https://klasma.github.io/Logging_2582/klagomålsmail/A 29807-2026 FSC-klagomål mail.docx", "A 29807-2026")</f>
        <v/>
      </c>
      <c r="AC95">
        <f>HYPERLINK("https://klasma.github.io/Logging_2582/tillsyn/A 29807-2026 tillsynsbegäran.docx", "A 29807-2026")</f>
        <v/>
      </c>
      <c r="AD95">
        <f>HYPERLINK("https://klasma.github.io/Logging_2582/tillsynsmail/A 29807-2026 tillsynsbegäran mail.docx", "A 29807-2026")</f>
        <v/>
      </c>
    </row>
    <row r="96" ht="15" customHeight="1">
      <c r="A96" t="inlineStr">
        <is>
          <t>A 29860-2026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46205</v>
      </c>
      <c r="E96" s="1" t="n">
        <v>46323</v>
      </c>
      <c r="F96" t="inlineStr">
        <is>
          <t>NORRBOTTENS LÄN</t>
        </is>
      </c>
      <c r="G96" t="inlineStr">
        <is>
          <t>BODEN</t>
        </is>
      </c>
      <c r="H96" t="inlineStr">
        <is>
          <t>Sveaskog</t>
        </is>
      </c>
      <c r="I96" t="n">
        <v>1.6</v>
      </c>
      <c r="J96" t="n">
        <v>0</v>
      </c>
      <c r="K96" t="n">
        <v>0</v>
      </c>
      <c r="L96" t="n">
        <v>2</v>
      </c>
      <c r="M96" t="n">
        <v>0</v>
      </c>
      <c r="N96" t="n">
        <v>0</v>
      </c>
      <c r="O96" t="n">
        <v>0</v>
      </c>
      <c r="P96" t="n">
        <v>0</v>
      </c>
      <c r="Q96" t="n">
        <v>2</v>
      </c>
      <c r="R96" t="n">
        <v>0</v>
      </c>
      <c r="S96" t="n">
        <v>2</v>
      </c>
      <c r="T96" t="n">
        <v>2</v>
      </c>
      <c r="U96" t="n">
        <v>0</v>
      </c>
      <c r="V96" s="2" t="inlineStr">
        <is>
          <t>Knottrig blåslav
Lunglav</t>
        </is>
      </c>
      <c r="W96">
        <f>HYPERLINK("https://klasma.github.io/Logging_2582/artfynd/A 29860-2026 artfynd.xlsx", "A 29860-2026")</f>
        <v/>
      </c>
      <c r="X96">
        <f>HYPERLINK("https://klasma.github.io/Logging_2582/kartor/A 29860-2026 karta.png", "A 29860-2026")</f>
        <v/>
      </c>
      <c r="Y96">
        <f>HYPERLINK("https://klasma.github.io/Logging_2582/kartor_geotiff/A 29860-2026 georefererad karta.tif", "A 29860-2026")</f>
        <v/>
      </c>
      <c r="AA96">
        <f>HYPERLINK("https://klasma.github.io/Logging_2582/klagomål/A 29860-2026 FSC-klagomål.docx", "A 29860-2026")</f>
        <v/>
      </c>
      <c r="AB96">
        <f>HYPERLINK("https://klasma.github.io/Logging_2582/klagomålsmail/A 29860-2026 FSC-klagomål mail.docx", "A 29860-2026")</f>
        <v/>
      </c>
      <c r="AC96">
        <f>HYPERLINK("https://klasma.github.io/Logging_2582/tillsyn/A 29860-2026 tillsynsbegäran.docx", "A 29860-2026")</f>
        <v/>
      </c>
      <c r="AD96">
        <f>HYPERLINK("https://klasma.github.io/Logging_2582/tillsynsmail/A 29860-2026 tillsynsbegäran mail.docx", "A 29860-2026")</f>
        <v/>
      </c>
    </row>
    <row r="97" ht="15" customHeight="1">
      <c r="A97" t="inlineStr">
        <is>
          <t>A 48899-2024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45594</v>
      </c>
      <c r="E97" s="1" t="n">
        <v>46323</v>
      </c>
      <c r="F97" t="inlineStr">
        <is>
          <t>NORRBOTTENS LÄN</t>
        </is>
      </c>
      <c r="G97" t="inlineStr">
        <is>
          <t>BODEN</t>
        </is>
      </c>
      <c r="H97" t="inlineStr">
        <is>
          <t>SCA</t>
        </is>
      </c>
      <c r="I97" t="n">
        <v>18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2</v>
      </c>
      <c r="T97" t="n">
        <v>2</v>
      </c>
      <c r="U97" t="n">
        <v>2</v>
      </c>
      <c r="V97" s="2" t="inlineStr">
        <is>
          <t>Hässlebrodd
Fläcknycklar</t>
        </is>
      </c>
      <c r="W97">
        <f>HYPERLINK("https://klasma.github.io/Logging_2582/artfynd/A 48899-2024 artfynd.xlsx", "A 48899-2024")</f>
        <v/>
      </c>
      <c r="X97">
        <f>HYPERLINK("https://klasma.github.io/Logging_2582/kartor/A 48899-2024 karta.png", "A 48899-2024")</f>
        <v/>
      </c>
      <c r="Y97">
        <f>HYPERLINK("https://klasma.github.io/Logging_2582/kartor_geotiff/A 48899-2024 georefererad karta.tif", "A 48899-2024")</f>
        <v/>
      </c>
      <c r="AA97">
        <f>HYPERLINK("https://klasma.github.io/Logging_2582/klagomål/A 48899-2024 FSC-klagomål.docx", "A 48899-2024")</f>
        <v/>
      </c>
      <c r="AB97">
        <f>HYPERLINK("https://klasma.github.io/Logging_2582/klagomålsmail/A 48899-2024 FSC-klagomål mail.docx", "A 48899-2024")</f>
        <v/>
      </c>
      <c r="AC97">
        <f>HYPERLINK("https://klasma.github.io/Logging_2582/tillsyn/A 48899-2024 tillsynsbegäran.docx", "A 48899-2024")</f>
        <v/>
      </c>
      <c r="AD97">
        <f>HYPERLINK("https://klasma.github.io/Logging_2582/tillsynsmail/A 48899-2024 tillsynsbegäran mail.docx", "A 48899-2024")</f>
        <v/>
      </c>
    </row>
    <row r="98" ht="15" customHeight="1">
      <c r="A98" t="inlineStr">
        <is>
          <t>A 31233-2026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46217</v>
      </c>
      <c r="E98" s="1" t="n">
        <v>46323</v>
      </c>
      <c r="F98" t="inlineStr">
        <is>
          <t>NORRBOTTENS LÄN</t>
        </is>
      </c>
      <c r="G98" t="inlineStr">
        <is>
          <t>BODEN</t>
        </is>
      </c>
      <c r="H98" t="inlineStr">
        <is>
          <t>Sveaskog</t>
        </is>
      </c>
      <c r="I98" t="n">
        <v>18.5</v>
      </c>
      <c r="J98" t="n">
        <v>1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2</v>
      </c>
      <c r="T98" t="n">
        <v>3</v>
      </c>
      <c r="U98" t="n">
        <v>3</v>
      </c>
      <c r="V98" s="2" t="inlineStr">
        <is>
          <t>Lunglav
Fläcknycklar</t>
        </is>
      </c>
      <c r="W98">
        <f>HYPERLINK("https://klasma.github.io/Logging_2582/artfynd/A 31233-2026 artfynd.xlsx", "A 31233-2026")</f>
        <v/>
      </c>
      <c r="X98">
        <f>HYPERLINK("https://klasma.github.io/Logging_2582/kartor/A 31233-2026 karta.png", "A 31233-2026")</f>
        <v/>
      </c>
      <c r="Y98">
        <f>HYPERLINK("https://klasma.github.io/Logging_2582/kartor_geotiff/A 31233-2026 georefererad karta.tif", "A 31233-2026")</f>
        <v/>
      </c>
      <c r="AA98">
        <f>HYPERLINK("https://klasma.github.io/Logging_2582/klagomål/A 31233-2026 FSC-klagomål.docx", "A 31233-2026")</f>
        <v/>
      </c>
      <c r="AB98">
        <f>HYPERLINK("https://klasma.github.io/Logging_2582/klagomålsmail/A 31233-2026 FSC-klagomål mail.docx", "A 31233-2026")</f>
        <v/>
      </c>
      <c r="AC98">
        <f>HYPERLINK("https://klasma.github.io/Logging_2582/tillsyn/A 31233-2026 tillsynsbegäran.docx", "A 31233-2026")</f>
        <v/>
      </c>
      <c r="AD98">
        <f>HYPERLINK("https://klasma.github.io/Logging_2582/tillsynsmail/A 31233-2026 tillsynsbegäran mail.docx", "A 31233-2026")</f>
        <v/>
      </c>
    </row>
    <row r="99" ht="15" customHeight="1">
      <c r="A99" t="inlineStr">
        <is>
          <t>A 31655-2026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46225</v>
      </c>
      <c r="E99" s="1" t="n">
        <v>46323</v>
      </c>
      <c r="F99" t="inlineStr">
        <is>
          <t>NORRBOTTENS LÄN</t>
        </is>
      </c>
      <c r="G99" t="inlineStr">
        <is>
          <t>BODEN</t>
        </is>
      </c>
      <c r="H99" t="inlineStr">
        <is>
          <t>Sveaskog</t>
        </is>
      </c>
      <c r="I99" t="n">
        <v>11.1</v>
      </c>
      <c r="J99" t="n">
        <v>0</v>
      </c>
      <c r="K99" t="n">
        <v>0</v>
      </c>
      <c r="L99" t="n">
        <v>2</v>
      </c>
      <c r="M99" t="n">
        <v>0</v>
      </c>
      <c r="N99" t="n">
        <v>0</v>
      </c>
      <c r="O99" t="n">
        <v>0</v>
      </c>
      <c r="P99" t="n">
        <v>0</v>
      </c>
      <c r="Q99" t="n">
        <v>2</v>
      </c>
      <c r="R99" t="n">
        <v>0</v>
      </c>
      <c r="S99" t="n">
        <v>2</v>
      </c>
      <c r="T99" t="n">
        <v>2</v>
      </c>
      <c r="U99" t="n">
        <v>2</v>
      </c>
      <c r="V99" s="2" t="inlineStr">
        <is>
          <t>Dropptaggsvamp
Lunglav</t>
        </is>
      </c>
      <c r="W99">
        <f>HYPERLINK("https://klasma.github.io/Logging_2582/artfynd/A 31655-2026 artfynd.xlsx", "A 31655-2026")</f>
        <v/>
      </c>
      <c r="X99">
        <f>HYPERLINK("https://klasma.github.io/Logging_2582/kartor/A 31655-2026 karta.png", "A 31655-2026")</f>
        <v/>
      </c>
      <c r="Y99">
        <f>HYPERLINK("https://klasma.github.io/Logging_2582/kartor_geotiff/A 31655-2026 georefererad karta.tif", "A 31655-2026")</f>
        <v/>
      </c>
      <c r="AA99">
        <f>HYPERLINK("https://klasma.github.io/Logging_2582/klagomål/A 31655-2026 FSC-klagomål.docx", "A 31655-2026")</f>
        <v/>
      </c>
      <c r="AB99">
        <f>HYPERLINK("https://klasma.github.io/Logging_2582/klagomålsmail/A 31655-2026 FSC-klagomål mail.docx", "A 31655-2026")</f>
        <v/>
      </c>
      <c r="AC99">
        <f>HYPERLINK("https://klasma.github.io/Logging_2582/tillsyn/A 31655-2026 tillsynsbegäran.docx", "A 31655-2026")</f>
        <v/>
      </c>
      <c r="AD99">
        <f>HYPERLINK("https://klasma.github.io/Logging_2582/tillsynsmail/A 31655-2026 tillsynsbegäran mail.docx", "A 31655-2026")</f>
        <v/>
      </c>
    </row>
    <row r="100" ht="15" customHeight="1">
      <c r="A100" t="inlineStr">
        <is>
          <t>A 38870-2026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46286</v>
      </c>
      <c r="E100" s="1" t="n">
        <v>46323</v>
      </c>
      <c r="F100" t="inlineStr">
        <is>
          <t>NORRBOTTENS LÄN</t>
        </is>
      </c>
      <c r="G100" t="inlineStr">
        <is>
          <t>BODEN</t>
        </is>
      </c>
      <c r="H100" t="inlineStr">
        <is>
          <t>Sveaskog</t>
        </is>
      </c>
      <c r="I100" t="n">
        <v>4.8</v>
      </c>
      <c r="J100" t="n">
        <v>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2</v>
      </c>
      <c r="T100" t="n">
        <v>3</v>
      </c>
      <c r="U100" t="n">
        <v>3</v>
      </c>
      <c r="V100" s="2" t="inlineStr">
        <is>
          <t>Fläcknycklar
Revlummer</t>
        </is>
      </c>
      <c r="W100">
        <f>HYPERLINK("https://klasma.github.io/Logging_2582/artfynd/A 38870-2026 artfynd.xlsx", "A 38870-2026")</f>
        <v/>
      </c>
      <c r="X100">
        <f>HYPERLINK("https://klasma.github.io/Logging_2582/kartor/A 38870-2026 karta.png", "A 38870-2026")</f>
        <v/>
      </c>
      <c r="Y100">
        <f>HYPERLINK("https://klasma.github.io/Logging_2582/kartor_geotiff/A 38870-2026 georefererad karta.tif", "A 38870-2026")</f>
        <v/>
      </c>
      <c r="AA100">
        <f>HYPERLINK("https://klasma.github.io/Logging_2582/klagomål/A 38870-2026 FSC-klagomål.docx", "A 38870-2026")</f>
        <v/>
      </c>
      <c r="AB100">
        <f>HYPERLINK("https://klasma.github.io/Logging_2582/klagomålsmail/A 38870-2026 FSC-klagomål mail.docx", "A 38870-2026")</f>
        <v/>
      </c>
      <c r="AC100">
        <f>HYPERLINK("https://klasma.github.io/Logging_2582/tillsyn/A 38870-2026 tillsynsbegäran.docx", "A 38870-2026")</f>
        <v/>
      </c>
      <c r="AD100">
        <f>HYPERLINK("https://klasma.github.io/Logging_2582/tillsynsmail/A 38870-2026 tillsynsbegäran mail.docx", "A 38870-2026")</f>
        <v/>
      </c>
    </row>
    <row r="101" ht="15" customHeight="1">
      <c r="A101" t="inlineStr">
        <is>
          <t>A 33096-2026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46245</v>
      </c>
      <c r="E101" s="1" t="n">
        <v>46323</v>
      </c>
      <c r="F101" t="inlineStr">
        <is>
          <t>NORRBOTTENS LÄN</t>
        </is>
      </c>
      <c r="G101" t="inlineStr">
        <is>
          <t>BODEN</t>
        </is>
      </c>
      <c r="I101" t="n">
        <v>36.6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2</v>
      </c>
      <c r="T101" t="n">
        <v>2</v>
      </c>
      <c r="U101" t="n">
        <v>0</v>
      </c>
      <c r="V101" s="2" t="inlineStr">
        <is>
          <t>Lunglav
Skinnlav</t>
        </is>
      </c>
      <c r="W101">
        <f>HYPERLINK("https://klasma.github.io/Logging_2582/artfynd/A 33096-2026 artfynd.xlsx", "A 33096-2026")</f>
        <v/>
      </c>
      <c r="X101">
        <f>HYPERLINK("https://klasma.github.io/Logging_2582/kartor/A 33096-2026 karta.png", "A 33096-2026")</f>
        <v/>
      </c>
      <c r="Y101">
        <f>HYPERLINK("https://klasma.github.io/Logging_2582/kartor_geotiff/A 33096-2026 georefererad karta.tif", "A 33096-2026")</f>
        <v/>
      </c>
      <c r="AA101">
        <f>HYPERLINK("https://klasma.github.io/Logging_2582/klagomål/A 33096-2026 FSC-klagomål.docx", "A 33096-2026")</f>
        <v/>
      </c>
      <c r="AB101">
        <f>HYPERLINK("https://klasma.github.io/Logging_2582/klagomålsmail/A 33096-2026 FSC-klagomål mail.docx", "A 33096-2026")</f>
        <v/>
      </c>
      <c r="AC101">
        <f>HYPERLINK("https://klasma.github.io/Logging_2582/tillsyn/A 33096-2026 tillsynsbegäran.docx", "A 33096-2026")</f>
        <v/>
      </c>
      <c r="AD101">
        <f>HYPERLINK("https://klasma.github.io/Logging_2582/tillsynsmail/A 33096-2026 tillsynsbegäran mail.docx", "A 33096-2026")</f>
        <v/>
      </c>
    </row>
    <row r="102" ht="15" customHeight="1">
      <c r="A102" t="inlineStr">
        <is>
          <t>A 33416-2026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46247</v>
      </c>
      <c r="E102" s="1" t="n">
        <v>46323</v>
      </c>
      <c r="F102" t="inlineStr">
        <is>
          <t>NORRBOTTENS LÄN</t>
        </is>
      </c>
      <c r="G102" t="inlineStr">
        <is>
          <t>BODEN</t>
        </is>
      </c>
      <c r="H102" t="inlineStr">
        <is>
          <t>Kyrkan</t>
        </is>
      </c>
      <c r="I102" t="n">
        <v>7</v>
      </c>
      <c r="J102" t="n">
        <v>1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1</v>
      </c>
      <c r="S102" t="n">
        <v>2</v>
      </c>
      <c r="T102" t="n">
        <v>2</v>
      </c>
      <c r="U102" t="n">
        <v>0</v>
      </c>
      <c r="V102" s="2" t="inlineStr">
        <is>
          <t>Garnlav
Plattlummer</t>
        </is>
      </c>
      <c r="W102">
        <f>HYPERLINK("https://klasma.github.io/Logging_2582/artfynd/A 33416-2026 artfynd.xlsx", "A 33416-2026")</f>
        <v/>
      </c>
      <c r="X102">
        <f>HYPERLINK("https://klasma.github.io/Logging_2582/kartor/A 33416-2026 karta.png", "A 33416-2026")</f>
        <v/>
      </c>
      <c r="Y102">
        <f>HYPERLINK("https://klasma.github.io/Logging_2582/kartor_geotiff/A 33416-2026 georefererad karta.tif", "A 33416-2026")</f>
        <v/>
      </c>
      <c r="AA102">
        <f>HYPERLINK("https://klasma.github.io/Logging_2582/klagomål/A 33416-2026 FSC-klagomål.docx", "A 33416-2026")</f>
        <v/>
      </c>
      <c r="AB102">
        <f>HYPERLINK("https://klasma.github.io/Logging_2582/klagomålsmail/A 33416-2026 FSC-klagomål mail.docx", "A 33416-2026")</f>
        <v/>
      </c>
      <c r="AC102">
        <f>HYPERLINK("https://klasma.github.io/Logging_2582/tillsyn/A 33416-2026 tillsynsbegäran.docx", "A 33416-2026")</f>
        <v/>
      </c>
      <c r="AD102">
        <f>HYPERLINK("https://klasma.github.io/Logging_2582/tillsynsmail/A 33416-2026 tillsynsbegäran mail.docx", "A 33416-2026")</f>
        <v/>
      </c>
    </row>
    <row r="103" ht="15" customHeight="1">
      <c r="A103" t="inlineStr">
        <is>
          <t>A 900-2024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45301</v>
      </c>
      <c r="E103" s="1" t="n">
        <v>46323</v>
      </c>
      <c r="F103" t="inlineStr">
        <is>
          <t>NORRBOTTENS LÄN</t>
        </is>
      </c>
      <c r="G103" t="inlineStr">
        <is>
          <t>BODEN</t>
        </is>
      </c>
      <c r="I103" t="n">
        <v>5.2</v>
      </c>
      <c r="J103" t="n">
        <v>2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1</v>
      </c>
      <c r="S103" t="n">
        <v>2</v>
      </c>
      <c r="T103" t="n">
        <v>2</v>
      </c>
      <c r="U103" t="n">
        <v>0</v>
      </c>
      <c r="V103" s="2" t="inlineStr">
        <is>
          <t>Knärot
Revlummer</t>
        </is>
      </c>
      <c r="W103">
        <f>HYPERLINK("https://klasma.github.io/Logging_2582/artfynd/A 900-2024 artfynd.xlsx", "A 900-2024")</f>
        <v/>
      </c>
      <c r="X103">
        <f>HYPERLINK("https://klasma.github.io/Logging_2582/kartor/A 900-2024 karta.png", "A 900-2024")</f>
        <v/>
      </c>
      <c r="Y103">
        <f>HYPERLINK("https://klasma.github.io/Logging_2582/kartor_geotiff/A 900-2024 georefererad karta.tif", "A 900-2024")</f>
        <v/>
      </c>
      <c r="Z103">
        <f>HYPERLINK("https://klasma.github.io/Logging_2582/knärot/A 900-2024 karta knärot.png", "A 900-2024")</f>
        <v/>
      </c>
      <c r="AA103">
        <f>HYPERLINK("https://klasma.github.io/Logging_2582/klagomål/A 900-2024 FSC-klagomål.docx", "A 900-2024")</f>
        <v/>
      </c>
      <c r="AB103">
        <f>HYPERLINK("https://klasma.github.io/Logging_2582/klagomålsmail/A 900-2024 FSC-klagomål mail.docx", "A 900-2024")</f>
        <v/>
      </c>
      <c r="AC103">
        <f>HYPERLINK("https://klasma.github.io/Logging_2582/tillsyn/A 900-2024 tillsynsbegäran.docx", "A 900-2024")</f>
        <v/>
      </c>
      <c r="AD103">
        <f>HYPERLINK("https://klasma.github.io/Logging_2582/tillsynsmail/A 900-2024 tillsynsbegäran mail.docx", "A 900-2024")</f>
        <v/>
      </c>
    </row>
    <row r="104" ht="15" customHeight="1">
      <c r="A104" t="inlineStr">
        <is>
          <t>A 34874-2026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46258</v>
      </c>
      <c r="E104" s="1" t="n">
        <v>46323</v>
      </c>
      <c r="F104" t="inlineStr">
        <is>
          <t>NORRBOTTENS LÄN</t>
        </is>
      </c>
      <c r="G104" t="inlineStr">
        <is>
          <t>BODEN</t>
        </is>
      </c>
      <c r="H104" t="inlineStr">
        <is>
          <t>Sveaskog</t>
        </is>
      </c>
      <c r="I104" t="n">
        <v>6</v>
      </c>
      <c r="J104" t="n">
        <v>1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2</v>
      </c>
      <c r="R104" t="n">
        <v>2</v>
      </c>
      <c r="S104" t="n">
        <v>2</v>
      </c>
      <c r="T104" t="n">
        <v>2</v>
      </c>
      <c r="U104" t="n">
        <v>0</v>
      </c>
      <c r="V104" s="2" t="inlineStr">
        <is>
          <t>Garnlav
Knärot</t>
        </is>
      </c>
      <c r="W104">
        <f>HYPERLINK("https://klasma.github.io/Logging_2582/artfynd/A 34874-2026 artfynd.xlsx", "A 34874-2026")</f>
        <v/>
      </c>
      <c r="X104">
        <f>HYPERLINK("https://klasma.github.io/Logging_2582/kartor/A 34874-2026 karta.png", "A 34874-2026")</f>
        <v/>
      </c>
      <c r="Y104">
        <f>HYPERLINK("https://klasma.github.io/Logging_2582/kartor_geotiff/A 34874-2026 georefererad karta.tif", "A 34874-2026")</f>
        <v/>
      </c>
      <c r="Z104">
        <f>HYPERLINK("https://klasma.github.io/Logging_2582/knärot/A 34874-2026 karta knärot.png", "A 34874-2026")</f>
        <v/>
      </c>
      <c r="AA104">
        <f>HYPERLINK("https://klasma.github.io/Logging_2582/klagomål/A 34874-2026 FSC-klagomål.docx", "A 34874-2026")</f>
        <v/>
      </c>
      <c r="AB104">
        <f>HYPERLINK("https://klasma.github.io/Logging_2582/klagomålsmail/A 34874-2026 FSC-klagomål mail.docx", "A 34874-2026")</f>
        <v/>
      </c>
      <c r="AC104">
        <f>HYPERLINK("https://klasma.github.io/Logging_2582/tillsyn/A 34874-2026 tillsynsbegäran.docx", "A 34874-2026")</f>
        <v/>
      </c>
      <c r="AD104">
        <f>HYPERLINK("https://klasma.github.io/Logging_2582/tillsynsmail/A 34874-2026 tillsynsbegäran mail.docx", "A 34874-2026")</f>
        <v/>
      </c>
    </row>
    <row r="105" ht="15" customHeight="1">
      <c r="A105" t="inlineStr">
        <is>
          <t>A 42092-2026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46304</v>
      </c>
      <c r="E105" s="1" t="n">
        <v>46323</v>
      </c>
      <c r="F105" t="inlineStr">
        <is>
          <t>NORRBOTTENS LÄN</t>
        </is>
      </c>
      <c r="G105" t="inlineStr">
        <is>
          <t>BODEN</t>
        </is>
      </c>
      <c r="H105" t="inlineStr">
        <is>
          <t>Sveaskog</t>
        </is>
      </c>
      <c r="I105" t="n">
        <v>14.4</v>
      </c>
      <c r="J105" t="n">
        <v>0</v>
      </c>
      <c r="K105" t="n">
        <v>0</v>
      </c>
      <c r="L105" t="n">
        <v>2</v>
      </c>
      <c r="M105" t="n">
        <v>0</v>
      </c>
      <c r="N105" t="n">
        <v>0</v>
      </c>
      <c r="O105" t="n">
        <v>0</v>
      </c>
      <c r="P105" t="n">
        <v>0</v>
      </c>
      <c r="Q105" t="n">
        <v>2</v>
      </c>
      <c r="R105" t="n">
        <v>0</v>
      </c>
      <c r="S105" t="n">
        <v>2</v>
      </c>
      <c r="T105" t="n">
        <v>3</v>
      </c>
      <c r="U105" t="n">
        <v>1</v>
      </c>
      <c r="V105" s="2" t="inlineStr">
        <is>
          <t>Dropptaggsvamp
Lunglav</t>
        </is>
      </c>
      <c r="W105">
        <f>HYPERLINK("https://klasma.github.io/Logging_2582/artfynd/A 42092-2026 artfynd.xlsx", "A 42092-2026")</f>
        <v/>
      </c>
      <c r="X105">
        <f>HYPERLINK("https://klasma.github.io/Logging_2582/kartor/A 42092-2026 karta.png", "A 42092-2026")</f>
        <v/>
      </c>
      <c r="Y105">
        <f>HYPERLINK("https://klasma.github.io/Logging_2582/kartor_geotiff/A 42092-2026 georefererad karta.tif", "A 42092-2026")</f>
        <v/>
      </c>
      <c r="AA105">
        <f>HYPERLINK("https://klasma.github.io/Logging_2582/klagomål/A 42092-2026 FSC-klagomål.docx", "A 42092-2026")</f>
        <v/>
      </c>
      <c r="AB105">
        <f>HYPERLINK("https://klasma.github.io/Logging_2582/klagomålsmail/A 42092-2026 FSC-klagomål mail.docx", "A 42092-2026")</f>
        <v/>
      </c>
      <c r="AC105">
        <f>HYPERLINK("https://klasma.github.io/Logging_2582/tillsyn/A 42092-2026 tillsynsbegäran.docx", "A 42092-2026")</f>
        <v/>
      </c>
      <c r="AD105">
        <f>HYPERLINK("https://klasma.github.io/Logging_2582/tillsynsmail/A 42092-2026 tillsynsbegäran mail.docx", "A 42092-2026")</f>
        <v/>
      </c>
    </row>
    <row r="106" ht="15" customHeight="1">
      <c r="A106" t="inlineStr">
        <is>
          <t>A 35300-2026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46261</v>
      </c>
      <c r="E106" s="1" t="n">
        <v>46323</v>
      </c>
      <c r="F106" t="inlineStr">
        <is>
          <t>NORRBOTTENS LÄN</t>
        </is>
      </c>
      <c r="G106" t="inlineStr">
        <is>
          <t>BODEN</t>
        </is>
      </c>
      <c r="I106" t="n">
        <v>3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2</v>
      </c>
      <c r="R106" t="n">
        <v>1</v>
      </c>
      <c r="S106" t="n">
        <v>2</v>
      </c>
      <c r="T106" t="n">
        <v>2</v>
      </c>
      <c r="U106" t="n">
        <v>0</v>
      </c>
      <c r="V106" s="2" t="inlineStr">
        <is>
          <t>Garnlav
Vitgrynig nållav</t>
        </is>
      </c>
      <c r="W106">
        <f>HYPERLINK("https://klasma.github.io/Logging_2582/artfynd/A 35300-2026 artfynd.xlsx", "A 35300-2026")</f>
        <v/>
      </c>
      <c r="X106">
        <f>HYPERLINK("https://klasma.github.io/Logging_2582/kartor/A 35300-2026 karta.png", "A 35300-2026")</f>
        <v/>
      </c>
      <c r="Y106">
        <f>HYPERLINK("https://klasma.github.io/Logging_2582/kartor_geotiff/A 35300-2026 georefererad karta.tif", "A 35300-2026")</f>
        <v/>
      </c>
      <c r="AA106">
        <f>HYPERLINK("https://klasma.github.io/Logging_2582/klagomål/A 35300-2026 FSC-klagomål.docx", "A 35300-2026")</f>
        <v/>
      </c>
      <c r="AB106">
        <f>HYPERLINK("https://klasma.github.io/Logging_2582/klagomålsmail/A 35300-2026 FSC-klagomål mail.docx", "A 35300-2026")</f>
        <v/>
      </c>
      <c r="AC106">
        <f>HYPERLINK("https://klasma.github.io/Logging_2582/tillsyn/A 35300-2026 tillsynsbegäran.docx", "A 35300-2026")</f>
        <v/>
      </c>
      <c r="AD106">
        <f>HYPERLINK("https://klasma.github.io/Logging_2582/tillsynsmail/A 35300-2026 tillsynsbegäran mail.docx", "A 35300-2026")</f>
        <v/>
      </c>
    </row>
    <row r="107" ht="15" customHeight="1">
      <c r="A107" t="inlineStr">
        <is>
          <t>A 35418-2026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46261</v>
      </c>
      <c r="E107" s="1" t="n">
        <v>46323</v>
      </c>
      <c r="F107" t="inlineStr">
        <is>
          <t>NORRBOTTENS LÄN</t>
        </is>
      </c>
      <c r="G107" t="inlineStr">
        <is>
          <t>BODEN</t>
        </is>
      </c>
      <c r="H107" t="inlineStr">
        <is>
          <t>Sveaskog</t>
        </is>
      </c>
      <c r="I107" t="n">
        <v>4.3</v>
      </c>
      <c r="J107" t="n">
        <v>1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2</v>
      </c>
      <c r="R107" t="n">
        <v>1</v>
      </c>
      <c r="S107" t="n">
        <v>2</v>
      </c>
      <c r="T107" t="n">
        <v>8</v>
      </c>
      <c r="U107" t="n">
        <v>8</v>
      </c>
      <c r="V107" s="2" t="inlineStr">
        <is>
          <t>Knärot
Dropptaggsvamp</t>
        </is>
      </c>
      <c r="W107">
        <f>HYPERLINK("https://klasma.github.io/Logging_2582/artfynd/A 35418-2026 artfynd.xlsx", "A 35418-2026")</f>
        <v/>
      </c>
      <c r="X107">
        <f>HYPERLINK("https://klasma.github.io/Logging_2582/kartor/A 35418-2026 karta.png", "A 35418-2026")</f>
        <v/>
      </c>
      <c r="Y107">
        <f>HYPERLINK("https://klasma.github.io/Logging_2582/kartor_geotiff/A 35418-2026 georefererad karta.tif", "A 35418-2026")</f>
        <v/>
      </c>
      <c r="Z107">
        <f>HYPERLINK("https://klasma.github.io/Logging_2582/knärot/A 35418-2026 karta knärot.png", "A 35418-2026")</f>
        <v/>
      </c>
      <c r="AA107">
        <f>HYPERLINK("https://klasma.github.io/Logging_2582/klagomål/A 35418-2026 FSC-klagomål.docx", "A 35418-2026")</f>
        <v/>
      </c>
      <c r="AB107">
        <f>HYPERLINK("https://klasma.github.io/Logging_2582/klagomålsmail/A 35418-2026 FSC-klagomål mail.docx", "A 35418-2026")</f>
        <v/>
      </c>
      <c r="AC107">
        <f>HYPERLINK("https://klasma.github.io/Logging_2582/tillsyn/A 35418-2026 tillsynsbegäran.docx", "A 35418-2026")</f>
        <v/>
      </c>
      <c r="AD107">
        <f>HYPERLINK("https://klasma.github.io/Logging_2582/tillsynsmail/A 35418-2026 tillsynsbegäran mail.docx", "A 35418-2026")</f>
        <v/>
      </c>
    </row>
    <row r="108" ht="15" customHeight="1">
      <c r="A108" t="inlineStr">
        <is>
          <t>A 26721-2026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46184</v>
      </c>
      <c r="E108" s="1" t="n">
        <v>46323</v>
      </c>
      <c r="F108" t="inlineStr">
        <is>
          <t>NORRBOTTENS LÄN</t>
        </is>
      </c>
      <c r="G108" t="inlineStr">
        <is>
          <t>BODEN</t>
        </is>
      </c>
      <c r="H108" t="inlineStr">
        <is>
          <t>Sveaskog</t>
        </is>
      </c>
      <c r="I108" t="n">
        <v>7.8</v>
      </c>
      <c r="J108" t="n">
        <v>1</v>
      </c>
      <c r="K108" t="n">
        <v>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2</v>
      </c>
      <c r="T108" t="n">
        <v>2</v>
      </c>
      <c r="U108" t="n">
        <v>0</v>
      </c>
      <c r="V108" s="2" t="inlineStr">
        <is>
          <t>Plattlummer
Tibast</t>
        </is>
      </c>
      <c r="W108">
        <f>HYPERLINK("https://klasma.github.io/Logging_2582/artfynd/A 26721-2026 artfynd.xlsx", "A 26721-2026")</f>
        <v/>
      </c>
      <c r="X108">
        <f>HYPERLINK("https://klasma.github.io/Logging_2582/kartor/A 26721-2026 karta.png", "A 26721-2026")</f>
        <v/>
      </c>
      <c r="Y108">
        <f>HYPERLINK("https://klasma.github.io/Logging_2582/kartor_geotiff/A 26721-2026 georefererad karta.tif", "A 26721-2026")</f>
        <v/>
      </c>
      <c r="AA108">
        <f>HYPERLINK("https://klasma.github.io/Logging_2582/klagomål/A 26721-2026 FSC-klagomål.docx", "A 26721-2026")</f>
        <v/>
      </c>
      <c r="AB108">
        <f>HYPERLINK("https://klasma.github.io/Logging_2582/klagomålsmail/A 26721-2026 FSC-klagomål mail.docx", "A 26721-2026")</f>
        <v/>
      </c>
      <c r="AC108">
        <f>HYPERLINK("https://klasma.github.io/Logging_2582/tillsyn/A 26721-2026 tillsynsbegäran.docx", "A 26721-2026")</f>
        <v/>
      </c>
      <c r="AD108">
        <f>HYPERLINK("https://klasma.github.io/Logging_2582/tillsynsmail/A 26721-2026 tillsynsbegäran mail.docx", "A 26721-2026")</f>
        <v/>
      </c>
    </row>
    <row r="109" ht="15" customHeight="1">
      <c r="A109" t="inlineStr">
        <is>
          <t>A 28867-2025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45820</v>
      </c>
      <c r="E109" s="1" t="n">
        <v>46323</v>
      </c>
      <c r="F109" t="inlineStr">
        <is>
          <t>NORRBOTTENS LÄN</t>
        </is>
      </c>
      <c r="G109" t="inlineStr">
        <is>
          <t>BODEN</t>
        </is>
      </c>
      <c r="H109" t="inlineStr">
        <is>
          <t>Sveaskog</t>
        </is>
      </c>
      <c r="I109" t="n">
        <v>8.199999999999999</v>
      </c>
      <c r="J109" t="n">
        <v>2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n">
        <v>2</v>
      </c>
      <c r="T109" t="n">
        <v>12</v>
      </c>
      <c r="U109" t="n">
        <v>12</v>
      </c>
      <c r="V109" s="2" t="inlineStr">
        <is>
          <t>Knärot
Fläcknycklar</t>
        </is>
      </c>
      <c r="W109">
        <f>HYPERLINK("https://klasma.github.io/Logging_2582/artfynd/A 28867-2025 artfynd.xlsx", "A 28867-2025")</f>
        <v/>
      </c>
      <c r="X109">
        <f>HYPERLINK("https://klasma.github.io/Logging_2582/kartor/A 28867-2025 karta.png", "A 28867-2025")</f>
        <v/>
      </c>
      <c r="Y109">
        <f>HYPERLINK("https://klasma.github.io/Logging_2582/kartor_geotiff/A 28867-2025 georefererad karta.tif", "A 28867-2025")</f>
        <v/>
      </c>
      <c r="Z109">
        <f>HYPERLINK("https://klasma.github.io/Logging_2582/knärot/A 28867-2025 karta knärot.png", "A 28867-2025")</f>
        <v/>
      </c>
      <c r="AA109">
        <f>HYPERLINK("https://klasma.github.io/Logging_2582/klagomål/A 28867-2025 FSC-klagomål.docx", "A 28867-2025")</f>
        <v/>
      </c>
      <c r="AB109">
        <f>HYPERLINK("https://klasma.github.io/Logging_2582/klagomålsmail/A 28867-2025 FSC-klagomål mail.docx", "A 28867-2025")</f>
        <v/>
      </c>
      <c r="AC109">
        <f>HYPERLINK("https://klasma.github.io/Logging_2582/tillsyn/A 28867-2025 tillsynsbegäran.docx", "A 28867-2025")</f>
        <v/>
      </c>
      <c r="AD109">
        <f>HYPERLINK("https://klasma.github.io/Logging_2582/tillsynsmail/A 28867-2025 tillsynsbegäran mail.docx", "A 28867-2025")</f>
        <v/>
      </c>
    </row>
    <row r="110" ht="15" customHeight="1">
      <c r="A110" t="inlineStr">
        <is>
          <t>A 42233-2022</t>
        </is>
      </c>
      <c r="B110" t="inlineStr">
        <is>
          <t>avverkningsanmälan</t>
        </is>
      </c>
      <c r="C110" t="inlineStr">
        <is>
          <t>Avverkning för att bevara och utveckla /försöksver</t>
        </is>
      </c>
      <c r="D110" s="1" t="n">
        <v>44830</v>
      </c>
      <c r="E110" s="1" t="n">
        <v>46323</v>
      </c>
      <c r="F110" t="inlineStr">
        <is>
          <t>NORRBOTTENS LÄN</t>
        </is>
      </c>
      <c r="G110" t="inlineStr">
        <is>
          <t>BODEN</t>
        </is>
      </c>
      <c r="I110" t="n">
        <v>3.6</v>
      </c>
      <c r="J110" t="n">
        <v>2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2</v>
      </c>
      <c r="T110" t="n">
        <v>2</v>
      </c>
      <c r="U110" t="n">
        <v>2</v>
      </c>
      <c r="V110" s="2" t="inlineStr">
        <is>
          <t>Enkelbeckasin
Svartvit flugsnappare</t>
        </is>
      </c>
      <c r="W110">
        <f>HYPERLINK("https://klasma.github.io/Logging_2582/artfynd/A 42233-2022 artfynd.xlsx", "A 42233-2022")</f>
        <v/>
      </c>
      <c r="X110">
        <f>HYPERLINK("https://klasma.github.io/Logging_2582/kartor/A 42233-2022 karta.png", "A 42233-2022")</f>
        <v/>
      </c>
      <c r="Y110">
        <f>HYPERLINK("https://klasma.github.io/Logging_2582/kartor_geotiff/A 42233-2022 georefererad karta.tif", "A 42233-2022")</f>
        <v/>
      </c>
      <c r="AA110">
        <f>HYPERLINK("https://klasma.github.io/Logging_2582/klagomål/A 42233-2022 FSC-klagomål.docx", "A 42233-2022")</f>
        <v/>
      </c>
      <c r="AB110">
        <f>HYPERLINK("https://klasma.github.io/Logging_2582/klagomålsmail/A 42233-2022 FSC-klagomål mail.docx", "A 42233-2022")</f>
        <v/>
      </c>
      <c r="AC110">
        <f>HYPERLINK("https://klasma.github.io/Logging_2582/tillsyn/A 42233-2022 tillsynsbegäran.docx", "A 42233-2022")</f>
        <v/>
      </c>
      <c r="AD110">
        <f>HYPERLINK("https://klasma.github.io/Logging_2582/tillsynsmail/A 42233-2022 tillsynsbegäran mail.docx", "A 42233-2022")</f>
        <v/>
      </c>
      <c r="AE110">
        <f>HYPERLINK("https://klasma.github.io/Logging_2582/fåglar/A 42233-2022 prioriterade fågelarter.docx", "A 42233-2022")</f>
        <v/>
      </c>
    </row>
    <row r="111" ht="15" customHeight="1">
      <c r="A111" t="inlineStr">
        <is>
          <t>A 60774-2025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45999</v>
      </c>
      <c r="E111" s="1" t="n">
        <v>46323</v>
      </c>
      <c r="F111" t="inlineStr">
        <is>
          <t>NORRBOTTENS LÄN</t>
        </is>
      </c>
      <c r="G111" t="inlineStr">
        <is>
          <t>BODEN</t>
        </is>
      </c>
      <c r="I111" t="n">
        <v>1</v>
      </c>
      <c r="J111" t="n">
        <v>0</v>
      </c>
      <c r="K111" t="n">
        <v>1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2</v>
      </c>
      <c r="T111" t="n">
        <v>2</v>
      </c>
      <c r="U111" t="n">
        <v>0</v>
      </c>
      <c r="V111" s="2" t="inlineStr">
        <is>
          <t>Ullticka
Skinnlav</t>
        </is>
      </c>
      <c r="W111">
        <f>HYPERLINK("https://klasma.github.io/Logging_2582/artfynd/A 60774-2025 artfynd.xlsx", "A 60774-2025")</f>
        <v/>
      </c>
      <c r="X111">
        <f>HYPERLINK("https://klasma.github.io/Logging_2582/kartor/A 60774-2025 karta.png", "A 60774-2025")</f>
        <v/>
      </c>
      <c r="Y111">
        <f>HYPERLINK("https://klasma.github.io/Logging_2582/kartor_geotiff/A 60774-2025 georefererad karta.tif", "A 60774-2025")</f>
        <v/>
      </c>
      <c r="AA111">
        <f>HYPERLINK("https://klasma.github.io/Logging_2582/klagomål/A 60774-2025 FSC-klagomål.docx", "A 60774-2025")</f>
        <v/>
      </c>
      <c r="AB111">
        <f>HYPERLINK("https://klasma.github.io/Logging_2582/klagomålsmail/A 60774-2025 FSC-klagomål mail.docx", "A 60774-2025")</f>
        <v/>
      </c>
      <c r="AC111">
        <f>HYPERLINK("https://klasma.github.io/Logging_2582/tillsyn/A 60774-2025 tillsynsbegäran.docx", "A 60774-2025")</f>
        <v/>
      </c>
      <c r="AD111">
        <f>HYPERLINK("https://klasma.github.io/Logging_2582/tillsynsmail/A 60774-2025 tillsynsbegäran mail.docx", "A 60774-2025")</f>
        <v/>
      </c>
    </row>
    <row r="112" ht="15" customHeight="1">
      <c r="A112" t="inlineStr">
        <is>
          <t>A 36163-2026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46267</v>
      </c>
      <c r="E112" s="1" t="n">
        <v>46323</v>
      </c>
      <c r="F112" t="inlineStr">
        <is>
          <t>NORRBOTTENS LÄN</t>
        </is>
      </c>
      <c r="G112" t="inlineStr">
        <is>
          <t>BODEN</t>
        </is>
      </c>
      <c r="I112" t="n">
        <v>7.2</v>
      </c>
      <c r="J112" t="n">
        <v>2</v>
      </c>
      <c r="K112" t="n">
        <v>0</v>
      </c>
      <c r="L112" t="n">
        <v>2</v>
      </c>
      <c r="M112" t="n">
        <v>0</v>
      </c>
      <c r="N112" t="n">
        <v>0</v>
      </c>
      <c r="O112" t="n">
        <v>0</v>
      </c>
      <c r="P112" t="n">
        <v>0</v>
      </c>
      <c r="Q112" t="n">
        <v>2</v>
      </c>
      <c r="R112" t="n">
        <v>0</v>
      </c>
      <c r="S112" t="n">
        <v>2</v>
      </c>
      <c r="T112" t="n">
        <v>3</v>
      </c>
      <c r="U112" t="n">
        <v>3</v>
      </c>
      <c r="V112" s="2" t="inlineStr">
        <is>
          <t>Björktrast
Rödvingetrast</t>
        </is>
      </c>
      <c r="W112">
        <f>HYPERLINK("https://klasma.github.io/Logging_2582/artfynd/A 36163-2026 artfynd.xlsx", "A 36163-2026")</f>
        <v/>
      </c>
      <c r="X112">
        <f>HYPERLINK("https://klasma.github.io/Logging_2582/kartor/A 36163-2026 karta.png", "A 36163-2026")</f>
        <v/>
      </c>
      <c r="Y112">
        <f>HYPERLINK("https://klasma.github.io/Logging_2582/kartor_geotiff/A 36163-2026 georefererad karta.tif", "A 36163-2026")</f>
        <v/>
      </c>
      <c r="AA112">
        <f>HYPERLINK("https://klasma.github.io/Logging_2582/klagomål/A 36163-2026 FSC-klagomål.docx", "A 36163-2026")</f>
        <v/>
      </c>
      <c r="AB112">
        <f>HYPERLINK("https://klasma.github.io/Logging_2582/klagomålsmail/A 36163-2026 FSC-klagomål mail.docx", "A 36163-2026")</f>
        <v/>
      </c>
      <c r="AC112">
        <f>HYPERLINK("https://klasma.github.io/Logging_2582/tillsyn/A 36163-2026 tillsynsbegäran.docx", "A 36163-2026")</f>
        <v/>
      </c>
      <c r="AD112">
        <f>HYPERLINK("https://klasma.github.io/Logging_2582/tillsynsmail/A 36163-2026 tillsynsbegäran mail.docx", "A 36163-2026")</f>
        <v/>
      </c>
      <c r="AE112">
        <f>HYPERLINK("https://klasma.github.io/Logging_2582/fåglar/A 36163-2026 prioriterade fågelarter.docx", "A 36163-2026")</f>
        <v/>
      </c>
    </row>
    <row r="113" ht="15" customHeight="1">
      <c r="A113" t="inlineStr">
        <is>
          <t>A 43163-2026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46311</v>
      </c>
      <c r="E113" s="1" t="n">
        <v>46323</v>
      </c>
      <c r="F113" t="inlineStr">
        <is>
          <t>NORRBOTTENS LÄN</t>
        </is>
      </c>
      <c r="G113" t="inlineStr">
        <is>
          <t>BODEN</t>
        </is>
      </c>
      <c r="I113" t="n">
        <v>5.6</v>
      </c>
      <c r="J113" t="n">
        <v>1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2</v>
      </c>
      <c r="R113" t="n">
        <v>1</v>
      </c>
      <c r="S113" t="n">
        <v>2</v>
      </c>
      <c r="T113" t="n">
        <v>4</v>
      </c>
      <c r="U113" t="n">
        <v>0</v>
      </c>
      <c r="V113" s="2" t="inlineStr">
        <is>
          <t>Knärot
Knottrig blåslav</t>
        </is>
      </c>
      <c r="W113">
        <f>HYPERLINK("https://klasma.github.io/Logging_2582/artfynd/A 43163-2026 artfynd.xlsx", "A 43163-2026")</f>
        <v/>
      </c>
      <c r="X113">
        <f>HYPERLINK("https://klasma.github.io/Logging_2582/kartor/A 43163-2026 karta.png", "A 43163-2026")</f>
        <v/>
      </c>
      <c r="Y113">
        <f>HYPERLINK("https://klasma.github.io/Logging_2582/kartor_geotiff/A 43163-2026 georefererad karta.tif", "A 43163-2026")</f>
        <v/>
      </c>
      <c r="Z113">
        <f>HYPERLINK("https://klasma.github.io/Logging_2582/knärot/A 43163-2026 karta knärot.png", "A 43163-2026")</f>
        <v/>
      </c>
      <c r="AA113">
        <f>HYPERLINK("https://klasma.github.io/Logging_2582/klagomål/A 43163-2026 FSC-klagomål.docx", "A 43163-2026")</f>
        <v/>
      </c>
      <c r="AB113">
        <f>HYPERLINK("https://klasma.github.io/Logging_2582/klagomålsmail/A 43163-2026 FSC-klagomål mail.docx", "A 43163-2026")</f>
        <v/>
      </c>
      <c r="AC113">
        <f>HYPERLINK("https://klasma.github.io/Logging_2582/tillsyn/A 43163-2026 tillsynsbegäran.docx", "A 43163-2026")</f>
        <v/>
      </c>
      <c r="AD113">
        <f>HYPERLINK("https://klasma.github.io/Logging_2582/tillsynsmail/A 43163-2026 tillsynsbegäran mail.docx", "A 43163-2026")</f>
        <v/>
      </c>
    </row>
    <row r="114" ht="15" customHeight="1">
      <c r="A114" t="inlineStr">
        <is>
          <t>A 31758-2025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45834</v>
      </c>
      <c r="E114" s="1" t="n">
        <v>46323</v>
      </c>
      <c r="F114" t="inlineStr">
        <is>
          <t>NORRBOTTENS LÄN</t>
        </is>
      </c>
      <c r="G114" t="inlineStr">
        <is>
          <t>BODEN</t>
        </is>
      </c>
      <c r="I114" t="n">
        <v>19.9</v>
      </c>
      <c r="J114" t="n">
        <v>1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2</v>
      </c>
      <c r="R114" t="n">
        <v>1</v>
      </c>
      <c r="S114" t="n">
        <v>2</v>
      </c>
      <c r="T114" t="n">
        <v>3</v>
      </c>
      <c r="U114" t="n">
        <v>0</v>
      </c>
      <c r="V114" s="2" t="inlineStr">
        <is>
          <t>Garnlav
Tretåig hackspett</t>
        </is>
      </c>
      <c r="W114">
        <f>HYPERLINK("https://klasma.github.io/Logging_2582/artfynd/A 31758-2025 artfynd.xlsx", "A 31758-2025")</f>
        <v/>
      </c>
      <c r="X114">
        <f>HYPERLINK("https://klasma.github.io/Logging_2582/kartor/A 31758-2025 karta.png", "A 31758-2025")</f>
        <v/>
      </c>
      <c r="Y114">
        <f>HYPERLINK("https://klasma.github.io/Logging_2582/kartor_geotiff/A 31758-2025 georefererad karta.tif", "A 31758-2025")</f>
        <v/>
      </c>
      <c r="AA114">
        <f>HYPERLINK("https://klasma.github.io/Logging_2582/klagomål/A 31758-2025 FSC-klagomål.docx", "A 31758-2025")</f>
        <v/>
      </c>
      <c r="AB114">
        <f>HYPERLINK("https://klasma.github.io/Logging_2582/klagomålsmail/A 31758-2025 FSC-klagomål mail.docx", "A 31758-2025")</f>
        <v/>
      </c>
      <c r="AC114">
        <f>HYPERLINK("https://klasma.github.io/Logging_2582/tillsyn/A 31758-2025 tillsynsbegäran.docx", "A 31758-2025")</f>
        <v/>
      </c>
      <c r="AD114">
        <f>HYPERLINK("https://klasma.github.io/Logging_2582/tillsynsmail/A 31758-2025 tillsynsbegäran mail.docx", "A 31758-2025")</f>
        <v/>
      </c>
      <c r="AE114">
        <f>HYPERLINK("https://klasma.github.io/Logging_2582/fåglar/A 31758-2025 prioriterade fågelarter.docx", "A 31758-2025")</f>
        <v/>
      </c>
    </row>
    <row r="115" ht="15" customHeight="1">
      <c r="A115" t="inlineStr">
        <is>
          <t>A 36622-2026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46270</v>
      </c>
      <c r="E115" s="1" t="n">
        <v>46323</v>
      </c>
      <c r="F115" t="inlineStr">
        <is>
          <t>NORRBOTTENS LÄN</t>
        </is>
      </c>
      <c r="G115" t="inlineStr">
        <is>
          <t>BODEN</t>
        </is>
      </c>
      <c r="I115" t="n">
        <v>11.7</v>
      </c>
      <c r="J115" t="n">
        <v>1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2</v>
      </c>
      <c r="T115" t="n">
        <v>4</v>
      </c>
      <c r="U115" t="n">
        <v>0</v>
      </c>
      <c r="V115" s="2" t="inlineStr">
        <is>
          <t>Dropptaggsvamp
Revlummer</t>
        </is>
      </c>
      <c r="W115">
        <f>HYPERLINK("https://klasma.github.io/Logging_2582/artfynd/A 36622-2026 artfynd.xlsx", "A 36622-2026")</f>
        <v/>
      </c>
      <c r="X115">
        <f>HYPERLINK("https://klasma.github.io/Logging_2582/kartor/A 36622-2026 karta.png", "A 36622-2026")</f>
        <v/>
      </c>
      <c r="Y115">
        <f>HYPERLINK("https://klasma.github.io/Logging_2582/kartor_geotiff/A 36622-2026 georefererad karta.tif", "A 36622-2026")</f>
        <v/>
      </c>
      <c r="AA115">
        <f>HYPERLINK("https://klasma.github.io/Logging_2582/klagomål/A 36622-2026 FSC-klagomål.docx", "A 36622-2026")</f>
        <v/>
      </c>
      <c r="AB115">
        <f>HYPERLINK("https://klasma.github.io/Logging_2582/klagomålsmail/A 36622-2026 FSC-klagomål mail.docx", "A 36622-2026")</f>
        <v/>
      </c>
      <c r="AC115">
        <f>HYPERLINK("https://klasma.github.io/Logging_2582/tillsyn/A 36622-2026 tillsynsbegäran.docx", "A 36622-2026")</f>
        <v/>
      </c>
      <c r="AD115">
        <f>HYPERLINK("https://klasma.github.io/Logging_2582/tillsynsmail/A 36622-2026 tillsynsbegäran mail.docx", "A 36622-2026")</f>
        <v/>
      </c>
    </row>
    <row r="116" ht="15" customHeight="1">
      <c r="A116" t="inlineStr">
        <is>
          <t>A 21657-2026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46149</v>
      </c>
      <c r="E116" s="1" t="n">
        <v>46323</v>
      </c>
      <c r="F116" t="inlineStr">
        <is>
          <t>NORRBOTTENS LÄN</t>
        </is>
      </c>
      <c r="G116" t="inlineStr">
        <is>
          <t>BODEN</t>
        </is>
      </c>
      <c r="I116" t="n">
        <v>9.800000000000001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</v>
      </c>
      <c r="T116" t="n">
        <v>2</v>
      </c>
      <c r="U116" t="n">
        <v>0</v>
      </c>
      <c r="V116" s="2" t="inlineStr">
        <is>
          <t>Orre
Utter</t>
        </is>
      </c>
      <c r="W116">
        <f>HYPERLINK("https://klasma.github.io/Logging_2582/artfynd/A 21657-2026 artfynd.xlsx", "A 21657-2026")</f>
        <v/>
      </c>
      <c r="X116">
        <f>HYPERLINK("https://klasma.github.io/Logging_2582/kartor/A 21657-2026 karta.png", "A 21657-2026")</f>
        <v/>
      </c>
      <c r="Y116">
        <f>HYPERLINK("https://klasma.github.io/Logging_2582/kartor_geotiff/A 21657-2026 georefererad karta.tif", "A 21657-2026")</f>
        <v/>
      </c>
      <c r="AA116">
        <f>HYPERLINK("https://klasma.github.io/Logging_2582/klagomål/A 21657-2026 FSC-klagomål.docx", "A 21657-2026")</f>
        <v/>
      </c>
      <c r="AB116">
        <f>HYPERLINK("https://klasma.github.io/Logging_2582/klagomålsmail/A 21657-2026 FSC-klagomål mail.docx", "A 21657-2026")</f>
        <v/>
      </c>
      <c r="AC116">
        <f>HYPERLINK("https://klasma.github.io/Logging_2582/tillsyn/A 21657-2026 tillsynsbegäran.docx", "A 21657-2026")</f>
        <v/>
      </c>
      <c r="AD116">
        <f>HYPERLINK("https://klasma.github.io/Logging_2582/tillsynsmail/A 21657-2026 tillsynsbegäran mail.docx", "A 21657-2026")</f>
        <v/>
      </c>
      <c r="AE116">
        <f>HYPERLINK("https://klasma.github.io/Logging_2582/fåglar/A 21657-2026 prioriterade fågelarter.docx", "A 21657-2026")</f>
        <v/>
      </c>
    </row>
    <row r="117" ht="15" customHeight="1">
      <c r="A117" t="inlineStr">
        <is>
          <t>A 44440-2026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46321</v>
      </c>
      <c r="E117" s="1" t="n">
        <v>46323</v>
      </c>
      <c r="F117" t="inlineStr">
        <is>
          <t>NORRBOTTENS LÄN</t>
        </is>
      </c>
      <c r="G117" t="inlineStr">
        <is>
          <t>BODEN</t>
        </is>
      </c>
      <c r="H117" t="inlineStr">
        <is>
          <t>Sveaskog</t>
        </is>
      </c>
      <c r="I117" t="n">
        <v>2.5</v>
      </c>
      <c r="J117" t="n">
        <v>0</v>
      </c>
      <c r="K117" t="n">
        <v>0</v>
      </c>
      <c r="L117" t="n">
        <v>2</v>
      </c>
      <c r="M117" t="n">
        <v>0</v>
      </c>
      <c r="N117" t="n">
        <v>0</v>
      </c>
      <c r="O117" t="n">
        <v>0</v>
      </c>
      <c r="P117" t="n">
        <v>0</v>
      </c>
      <c r="Q117" t="n">
        <v>2</v>
      </c>
      <c r="R117" t="n">
        <v>0</v>
      </c>
      <c r="S117" t="n">
        <v>2</v>
      </c>
      <c r="T117" t="n">
        <v>2</v>
      </c>
      <c r="U117" t="n">
        <v>0</v>
      </c>
      <c r="V117" s="2" t="inlineStr">
        <is>
          <t>Gammelgransskål
Rynkskinn</t>
        </is>
      </c>
      <c r="W117">
        <f>HYPERLINK("https://klasma.github.io/Logging_2582/artfynd/A 44440-2026 artfynd.xlsx", "A 44440-2026")</f>
        <v/>
      </c>
      <c r="X117">
        <f>HYPERLINK("https://klasma.github.io/Logging_2582/kartor/A 44440-2026 karta.png", "A 44440-2026")</f>
        <v/>
      </c>
      <c r="Y117">
        <f>HYPERLINK("https://klasma.github.io/Logging_2582/kartor_geotiff/A 44440-2026 georefererad karta.tif", "A 44440-2026")</f>
        <v/>
      </c>
      <c r="AA117">
        <f>HYPERLINK("https://klasma.github.io/Logging_2582/klagomål/A 44440-2026 FSC-klagomål.docx", "A 44440-2026")</f>
        <v/>
      </c>
      <c r="AB117">
        <f>HYPERLINK("https://klasma.github.io/Logging_2582/klagomålsmail/A 44440-2026 FSC-klagomål mail.docx", "A 44440-2026")</f>
        <v/>
      </c>
      <c r="AC117">
        <f>HYPERLINK("https://klasma.github.io/Logging_2582/tillsyn/A 44440-2026 tillsynsbegäran.docx", "A 44440-2026")</f>
        <v/>
      </c>
      <c r="AD117">
        <f>HYPERLINK("https://klasma.github.io/Logging_2582/tillsynsmail/A 44440-2026 tillsynsbegäran mail.docx", "A 44440-2026")</f>
        <v/>
      </c>
    </row>
    <row r="118" ht="15" customHeight="1">
      <c r="A118" t="inlineStr">
        <is>
          <t>A 23794-2026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46164</v>
      </c>
      <c r="E118" s="1" t="n">
        <v>46323</v>
      </c>
      <c r="F118" t="inlineStr">
        <is>
          <t>NORRBOTTENS LÄN</t>
        </is>
      </c>
      <c r="G118" t="inlineStr">
        <is>
          <t>BODEN</t>
        </is>
      </c>
      <c r="H118" t="inlineStr">
        <is>
          <t>Sveaskog</t>
        </is>
      </c>
      <c r="I118" t="n">
        <v>3.1</v>
      </c>
      <c r="J118" t="n">
        <v>2</v>
      </c>
      <c r="K118" t="n">
        <v>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</v>
      </c>
      <c r="T118" t="n">
        <v>2</v>
      </c>
      <c r="U118" t="n">
        <v>2</v>
      </c>
      <c r="V118" s="2" t="inlineStr">
        <is>
          <t>Plattlummer
Spindelblomster</t>
        </is>
      </c>
      <c r="W118">
        <f>HYPERLINK("https://klasma.github.io/Logging_2582/artfynd/A 23794-2026 artfynd.xlsx", "A 23794-2026")</f>
        <v/>
      </c>
      <c r="X118">
        <f>HYPERLINK("https://klasma.github.io/Logging_2582/kartor/A 23794-2026 karta.png", "A 23794-2026")</f>
        <v/>
      </c>
      <c r="Y118">
        <f>HYPERLINK("https://klasma.github.io/Logging_2582/kartor_geotiff/A 23794-2026 georefererad karta.tif", "A 23794-2026")</f>
        <v/>
      </c>
      <c r="AA118">
        <f>HYPERLINK("https://klasma.github.io/Logging_2582/klagomål/A 23794-2026 FSC-klagomål.docx", "A 23794-2026")</f>
        <v/>
      </c>
      <c r="AB118">
        <f>HYPERLINK("https://klasma.github.io/Logging_2582/klagomålsmail/A 23794-2026 FSC-klagomål mail.docx", "A 23794-2026")</f>
        <v/>
      </c>
      <c r="AC118">
        <f>HYPERLINK("https://klasma.github.io/Logging_2582/tillsyn/A 23794-2026 tillsynsbegäran.docx", "A 23794-2026")</f>
        <v/>
      </c>
      <c r="AD118">
        <f>HYPERLINK("https://klasma.github.io/Logging_2582/tillsynsmail/A 23794-2026 tillsynsbegäran mail.docx", "A 23794-2026")</f>
        <v/>
      </c>
    </row>
    <row r="119" ht="15" customHeight="1">
      <c r="A119" t="inlineStr">
        <is>
          <t>A 37086-2025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45875</v>
      </c>
      <c r="E119" s="1" t="n">
        <v>46323</v>
      </c>
      <c r="F119" t="inlineStr">
        <is>
          <t>NORRBOTTENS LÄN</t>
        </is>
      </c>
      <c r="G119" t="inlineStr">
        <is>
          <t>BODEN</t>
        </is>
      </c>
      <c r="H119" t="inlineStr">
        <is>
          <t>Övriga Aktiebolag</t>
        </is>
      </c>
      <c r="I119" t="n">
        <v>22.8</v>
      </c>
      <c r="J119" t="n">
        <v>0</v>
      </c>
      <c r="K119" t="n">
        <v>1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2</v>
      </c>
      <c r="T119" t="n">
        <v>2</v>
      </c>
      <c r="U119" t="n">
        <v>2</v>
      </c>
      <c r="V119" s="2" t="inlineStr">
        <is>
          <t>Lunglav
Stuplav</t>
        </is>
      </c>
      <c r="W119">
        <f>HYPERLINK("https://klasma.github.io/Logging_2582/artfynd/A 37086-2025 artfynd.xlsx", "A 37086-2025")</f>
        <v/>
      </c>
      <c r="X119">
        <f>HYPERLINK("https://klasma.github.io/Logging_2582/kartor/A 37086-2025 karta.png", "A 37086-2025")</f>
        <v/>
      </c>
      <c r="Y119">
        <f>HYPERLINK("https://klasma.github.io/Logging_2582/kartor_geotiff/A 37086-2025 georefererad karta.tif", "A 37086-2025")</f>
        <v/>
      </c>
      <c r="AA119">
        <f>HYPERLINK("https://klasma.github.io/Logging_2582/klagomål/A 37086-2025 FSC-klagomål.docx", "A 37086-2025")</f>
        <v/>
      </c>
      <c r="AB119">
        <f>HYPERLINK("https://klasma.github.io/Logging_2582/klagomålsmail/A 37086-2025 FSC-klagomål mail.docx", "A 37086-2025")</f>
        <v/>
      </c>
      <c r="AC119">
        <f>HYPERLINK("https://klasma.github.io/Logging_2582/tillsyn/A 37086-2025 tillsynsbegäran.docx", "A 37086-2025")</f>
        <v/>
      </c>
      <c r="AD119">
        <f>HYPERLINK("https://klasma.github.io/Logging_2582/tillsynsmail/A 37086-2025 tillsynsbegäran mail.docx", "A 37086-2025")</f>
        <v/>
      </c>
    </row>
    <row r="120" ht="15" customHeight="1">
      <c r="A120" t="inlineStr">
        <is>
          <t>A 26773-2026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46184</v>
      </c>
      <c r="E120" s="1" t="n">
        <v>46323</v>
      </c>
      <c r="F120" t="inlineStr">
        <is>
          <t>NORRBOTTENS LÄN</t>
        </is>
      </c>
      <c r="G120" t="inlineStr">
        <is>
          <t>BODEN</t>
        </is>
      </c>
      <c r="H120" t="inlineStr">
        <is>
          <t>Sveaskog</t>
        </is>
      </c>
      <c r="I120" t="n">
        <v>2.9</v>
      </c>
      <c r="J120" t="n">
        <v>1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2</v>
      </c>
      <c r="R120" t="n">
        <v>1</v>
      </c>
      <c r="S120" t="n">
        <v>2</v>
      </c>
      <c r="T120" t="n">
        <v>2</v>
      </c>
      <c r="U120" t="n">
        <v>0</v>
      </c>
      <c r="V120" s="2" t="inlineStr">
        <is>
          <t>Knärot
Lunglav</t>
        </is>
      </c>
      <c r="W120">
        <f>HYPERLINK("https://klasma.github.io/Logging_2582/artfynd/A 26773-2026 artfynd.xlsx", "A 26773-2026")</f>
        <v/>
      </c>
      <c r="X120">
        <f>HYPERLINK("https://klasma.github.io/Logging_2582/kartor/A 26773-2026 karta.png", "A 26773-2026")</f>
        <v/>
      </c>
      <c r="Y120">
        <f>HYPERLINK("https://klasma.github.io/Logging_2582/kartor_geotiff/A 26773-2026 georefererad karta.tif", "A 26773-2026")</f>
        <v/>
      </c>
      <c r="Z120">
        <f>HYPERLINK("https://klasma.github.io/Logging_2582/knärot/A 26773-2026 karta knärot.png", "A 26773-2026")</f>
        <v/>
      </c>
      <c r="AA120">
        <f>HYPERLINK("https://klasma.github.io/Logging_2582/klagomål/A 26773-2026 FSC-klagomål.docx", "A 26773-2026")</f>
        <v/>
      </c>
      <c r="AB120">
        <f>HYPERLINK("https://klasma.github.io/Logging_2582/klagomålsmail/A 26773-2026 FSC-klagomål mail.docx", "A 26773-2026")</f>
        <v/>
      </c>
      <c r="AC120">
        <f>HYPERLINK("https://klasma.github.io/Logging_2582/tillsyn/A 26773-2026 tillsynsbegäran.docx", "A 26773-2026")</f>
        <v/>
      </c>
      <c r="AD120">
        <f>HYPERLINK("https://klasma.github.io/Logging_2582/tillsynsmail/A 26773-2026 tillsynsbegäran mail.docx", "A 26773-2026")</f>
        <v/>
      </c>
    </row>
    <row r="121" ht="15" customHeight="1">
      <c r="A121" t="inlineStr">
        <is>
          <t>S 884-2024</t>
        </is>
      </c>
      <c r="B121" t="inlineStr">
        <is>
          <t>samrådsanmälan</t>
        </is>
      </c>
      <c r="C121" t="inlineStr">
        <is>
          <t>Annan skogsbruksåtgärd</t>
        </is>
      </c>
      <c r="D121" s="1" t="n">
        <v>45376</v>
      </c>
      <c r="E121" s="1" t="n">
        <v>46323</v>
      </c>
      <c r="F121" t="inlineStr">
        <is>
          <t>NORRBOTTENS LÄN</t>
        </is>
      </c>
      <c r="G121" t="inlineStr">
        <is>
          <t>BODEN</t>
        </is>
      </c>
      <c r="H121" t="inlineStr">
        <is>
          <t>Sveaskog</t>
        </is>
      </c>
      <c r="I121" t="n">
        <v>1.6</v>
      </c>
      <c r="J121" t="n">
        <v>1</v>
      </c>
      <c r="K121" t="n">
        <v>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</v>
      </c>
      <c r="T121" t="n">
        <v>2</v>
      </c>
      <c r="U121" t="n">
        <v>2</v>
      </c>
      <c r="V121" s="2" t="inlineStr">
        <is>
          <t>Spindelblomster
Ögonpyrola</t>
        </is>
      </c>
      <c r="W121">
        <f>HYPERLINK("https://klasma.github.io/Logging_2582/artfynd/S 884-2024 artfynd.xlsx", "S 884-2024")</f>
        <v/>
      </c>
      <c r="X121">
        <f>HYPERLINK("https://klasma.github.io/Logging_2582/kartor/S 884-2024 karta.png", "S 884-2024")</f>
        <v/>
      </c>
      <c r="Y121">
        <f>HYPERLINK("https://klasma.github.io/Logging_2582/kartor_geotiff/S 884-2024 georefererad karta.tif", "S 884-2024")</f>
        <v/>
      </c>
      <c r="Z121">
        <f>HYPERLINK("https://klasma.github.io/Logging_2582/knärot/S 884-2024 karta knärot.png", "S 884-2024")</f>
        <v/>
      </c>
      <c r="AA121">
        <f>HYPERLINK("https://klasma.github.io/Logging_2582/klagomål/S 884-2024 FSC-klagomål.docx", "S 884-2024")</f>
        <v/>
      </c>
      <c r="AB121">
        <f>HYPERLINK("https://klasma.github.io/Logging_2582/klagomålsmail/S 884-2024 FSC-klagomål mail.docx", "S 884-2024")</f>
        <v/>
      </c>
      <c r="AC121">
        <f>HYPERLINK("https://klasma.github.io/Logging_2582/tillsyn/S 884-2024 tillsynsbegäran.docx", "S 884-2024")</f>
        <v/>
      </c>
      <c r="AD121">
        <f>HYPERLINK("https://klasma.github.io/Logging_2582/tillsynsmail/S 884-2024 tillsynsbegäran mail.docx", "S 884-2024")</f>
        <v/>
      </c>
    </row>
    <row r="122" ht="15" customHeight="1">
      <c r="A122" t="inlineStr">
        <is>
          <t>A 13647-2022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44648</v>
      </c>
      <c r="E122" s="1" t="n">
        <v>46323</v>
      </c>
      <c r="F122" t="inlineStr">
        <is>
          <t>NORRBOTTENS LÄN</t>
        </is>
      </c>
      <c r="G122" t="inlineStr">
        <is>
          <t>BODEN</t>
        </is>
      </c>
      <c r="H122" t="inlineStr">
        <is>
          <t>Sveaskog</t>
        </is>
      </c>
      <c r="I122" t="n">
        <v>3.8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3</v>
      </c>
      <c r="U122" t="n">
        <v>0</v>
      </c>
      <c r="V122" s="2" t="inlineStr">
        <is>
          <t>Gammelgransskål</t>
        </is>
      </c>
      <c r="W122">
        <f>HYPERLINK("https://klasma.github.io/Logging_2582/artfynd/A 13647-2022 artfynd.xlsx", "A 13647-2022")</f>
        <v/>
      </c>
      <c r="X122">
        <f>HYPERLINK("https://klasma.github.io/Logging_2582/kartor/A 13647-2022 karta.png", "A 13647-2022")</f>
        <v/>
      </c>
      <c r="Y122">
        <f>HYPERLINK("https://klasma.github.io/Logging_2582/kartor_geotiff/A 13647-2022 georefererad karta.tif", "A 13647-2022")</f>
        <v/>
      </c>
      <c r="AA122">
        <f>HYPERLINK("https://klasma.github.io/Logging_2582/klagomål/A 13647-2022 FSC-klagomål.docx", "A 13647-2022")</f>
        <v/>
      </c>
      <c r="AB122">
        <f>HYPERLINK("https://klasma.github.io/Logging_2582/klagomålsmail/A 13647-2022 FSC-klagomål mail.docx", "A 13647-2022")</f>
        <v/>
      </c>
      <c r="AC122">
        <f>HYPERLINK("https://klasma.github.io/Logging_2582/tillsyn/A 13647-2022 tillsynsbegäran.docx", "A 13647-2022")</f>
        <v/>
      </c>
      <c r="AD122">
        <f>HYPERLINK("https://klasma.github.io/Logging_2582/tillsynsmail/A 13647-2022 tillsynsbegäran mail.docx", "A 13647-2022")</f>
        <v/>
      </c>
    </row>
    <row r="123" ht="15" customHeight="1">
      <c r="A123" t="inlineStr">
        <is>
          <t>A 44768-2022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44840</v>
      </c>
      <c r="E123" s="1" t="n">
        <v>46323</v>
      </c>
      <c r="F123" t="inlineStr">
        <is>
          <t>NORRBOTTENS LÄN</t>
        </is>
      </c>
      <c r="G123" t="inlineStr">
        <is>
          <t>BODEN</t>
        </is>
      </c>
      <c r="H123" t="inlineStr">
        <is>
          <t>SCA</t>
        </is>
      </c>
      <c r="I123" t="n">
        <v>6.1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1</v>
      </c>
      <c r="U123" t="n">
        <v>0</v>
      </c>
      <c r="V123" s="2" t="inlineStr">
        <is>
          <t>Motaggsvamp</t>
        </is>
      </c>
      <c r="W123">
        <f>HYPERLINK("https://klasma.github.io/Logging_2582/artfynd/A 44768-2022 artfynd.xlsx", "A 44768-2022")</f>
        <v/>
      </c>
      <c r="X123">
        <f>HYPERLINK("https://klasma.github.io/Logging_2582/kartor/A 44768-2022 karta.png", "A 44768-2022")</f>
        <v/>
      </c>
      <c r="Y123">
        <f>HYPERLINK("https://klasma.github.io/Logging_2582/kartor_geotiff/A 44768-2022 georefererad karta.tif", "A 44768-2022")</f>
        <v/>
      </c>
      <c r="AA123">
        <f>HYPERLINK("https://klasma.github.io/Logging_2582/klagomål/A 44768-2022 FSC-klagomål.docx", "A 44768-2022")</f>
        <v/>
      </c>
      <c r="AB123">
        <f>HYPERLINK("https://klasma.github.io/Logging_2582/klagomålsmail/A 44768-2022 FSC-klagomål mail.docx", "A 44768-2022")</f>
        <v/>
      </c>
      <c r="AC123">
        <f>HYPERLINK("https://klasma.github.io/Logging_2582/tillsyn/A 44768-2022 tillsynsbegäran.docx", "A 44768-2022")</f>
        <v/>
      </c>
      <c r="AD123">
        <f>HYPERLINK("https://klasma.github.io/Logging_2582/tillsynsmail/A 44768-2022 tillsynsbegäran mail.docx", "A 44768-2022")</f>
        <v/>
      </c>
    </row>
    <row r="124" ht="15" customHeight="1">
      <c r="A124" t="inlineStr">
        <is>
          <t>A 49410-2023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45211</v>
      </c>
      <c r="E124" s="1" t="n">
        <v>46323</v>
      </c>
      <c r="F124" t="inlineStr">
        <is>
          <t>NORRBOTTENS LÄN</t>
        </is>
      </c>
      <c r="G124" t="inlineStr">
        <is>
          <t>BODEN</t>
        </is>
      </c>
      <c r="H124" t="inlineStr">
        <is>
          <t>Sveaskog</t>
        </is>
      </c>
      <c r="I124" t="n">
        <v>3.8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1</v>
      </c>
      <c r="U124" t="n">
        <v>1</v>
      </c>
      <c r="V124" s="2" t="inlineStr">
        <is>
          <t>Lunglav</t>
        </is>
      </c>
      <c r="W124">
        <f>HYPERLINK("https://klasma.github.io/Logging_2582/artfynd/A 49410-2023 artfynd.xlsx", "A 49410-2023")</f>
        <v/>
      </c>
      <c r="X124">
        <f>HYPERLINK("https://klasma.github.io/Logging_2582/kartor/A 49410-2023 karta.png", "A 49410-2023")</f>
        <v/>
      </c>
      <c r="Y124">
        <f>HYPERLINK("https://klasma.github.io/Logging_2582/kartor_geotiff/A 49410-2023 georefererad karta.tif", "A 49410-2023")</f>
        <v/>
      </c>
      <c r="AA124">
        <f>HYPERLINK("https://klasma.github.io/Logging_2582/klagomål/A 49410-2023 FSC-klagomål.docx", "A 49410-2023")</f>
        <v/>
      </c>
      <c r="AB124">
        <f>HYPERLINK("https://klasma.github.io/Logging_2582/klagomålsmail/A 49410-2023 FSC-klagomål mail.docx", "A 49410-2023")</f>
        <v/>
      </c>
      <c r="AC124">
        <f>HYPERLINK("https://klasma.github.io/Logging_2582/tillsyn/A 49410-2023 tillsynsbegäran.docx", "A 49410-2023")</f>
        <v/>
      </c>
      <c r="AD124">
        <f>HYPERLINK("https://klasma.github.io/Logging_2582/tillsynsmail/A 49410-2023 tillsynsbegäran mail.docx", "A 49410-2023")</f>
        <v/>
      </c>
    </row>
    <row r="125" ht="15" customHeight="1">
      <c r="A125" t="inlineStr">
        <is>
          <t>A 18678-2025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45763</v>
      </c>
      <c r="E125" s="1" t="n">
        <v>46323</v>
      </c>
      <c r="F125" t="inlineStr">
        <is>
          <t>NORRBOTTENS LÄN</t>
        </is>
      </c>
      <c r="G125" t="inlineStr">
        <is>
          <t>BODEN</t>
        </is>
      </c>
      <c r="I125" t="n">
        <v>1.6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1</v>
      </c>
      <c r="S125" t="n">
        <v>1</v>
      </c>
      <c r="T125" t="n">
        <v>2</v>
      </c>
      <c r="U125" t="n">
        <v>0</v>
      </c>
      <c r="V125" s="2" t="inlineStr">
        <is>
          <t>Garnlav</t>
        </is>
      </c>
      <c r="W125">
        <f>HYPERLINK("https://klasma.github.io/Logging_2582/artfynd/A 18678-2025 artfynd.xlsx", "A 18678-2025")</f>
        <v/>
      </c>
      <c r="X125">
        <f>HYPERLINK("https://klasma.github.io/Logging_2582/kartor/A 18678-2025 karta.png", "A 18678-2025")</f>
        <v/>
      </c>
      <c r="Y125">
        <f>HYPERLINK("https://klasma.github.io/Logging_2582/kartor_geotiff/A 18678-2025 georefererad karta.tif", "A 18678-2025")</f>
        <v/>
      </c>
      <c r="AA125">
        <f>HYPERLINK("https://klasma.github.io/Logging_2582/klagomål/A 18678-2025 FSC-klagomål.docx", "A 18678-2025")</f>
        <v/>
      </c>
      <c r="AB125">
        <f>HYPERLINK("https://klasma.github.io/Logging_2582/klagomålsmail/A 18678-2025 FSC-klagomål mail.docx", "A 18678-2025")</f>
        <v/>
      </c>
      <c r="AC125">
        <f>HYPERLINK("https://klasma.github.io/Logging_2582/tillsyn/A 18678-2025 tillsynsbegäran.docx", "A 18678-2025")</f>
        <v/>
      </c>
      <c r="AD125">
        <f>HYPERLINK("https://klasma.github.io/Logging_2582/tillsynsmail/A 18678-2025 tillsynsbegäran mail.docx", "A 18678-2025")</f>
        <v/>
      </c>
    </row>
    <row r="126" ht="15" customHeight="1">
      <c r="A126" t="inlineStr">
        <is>
          <t>A 41443-2025</t>
        </is>
      </c>
      <c r="B126" t="inlineStr">
        <is>
          <t>avverkningsanmälan</t>
        </is>
      </c>
      <c r="C126" t="inlineStr">
        <is>
          <t>Avverkning för att bevara och utveckla /försöksver</t>
        </is>
      </c>
      <c r="D126" s="1" t="n">
        <v>45901</v>
      </c>
      <c r="E126" s="1" t="n">
        <v>46323</v>
      </c>
      <c r="F126" t="inlineStr">
        <is>
          <t>NORRBOTTENS LÄN</t>
        </is>
      </c>
      <c r="G126" t="inlineStr">
        <is>
          <t>BODEN</t>
        </is>
      </c>
      <c r="H126" t="inlineStr">
        <is>
          <t>Sveaskog</t>
        </is>
      </c>
      <c r="I126" t="n">
        <v>1.7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1</v>
      </c>
      <c r="U126" t="n">
        <v>0</v>
      </c>
      <c r="V126" s="2" t="inlineStr">
        <is>
          <t>Kolflarnlav</t>
        </is>
      </c>
      <c r="W126">
        <f>HYPERLINK("https://klasma.github.io/Logging_2582/artfynd/A 41443-2025 artfynd.xlsx", "A 41443-2025")</f>
        <v/>
      </c>
      <c r="X126">
        <f>HYPERLINK("https://klasma.github.io/Logging_2582/kartor/A 41443-2025 karta.png", "A 41443-2025")</f>
        <v/>
      </c>
      <c r="Y126">
        <f>HYPERLINK("https://klasma.github.io/Logging_2582/kartor_geotiff/A 41443-2025 georefererad karta.tif", "A 41443-2025")</f>
        <v/>
      </c>
      <c r="AA126">
        <f>HYPERLINK("https://klasma.github.io/Logging_2582/klagomål/A 41443-2025 FSC-klagomål.docx", "A 41443-2025")</f>
        <v/>
      </c>
      <c r="AB126">
        <f>HYPERLINK("https://klasma.github.io/Logging_2582/klagomålsmail/A 41443-2025 FSC-klagomål mail.docx", "A 41443-2025")</f>
        <v/>
      </c>
      <c r="AC126">
        <f>HYPERLINK("https://klasma.github.io/Logging_2582/tillsyn/A 41443-2025 tillsynsbegäran.docx", "A 41443-2025")</f>
        <v/>
      </c>
      <c r="AD126">
        <f>HYPERLINK("https://klasma.github.io/Logging_2582/tillsynsmail/A 41443-2025 tillsynsbegäran mail.docx", "A 41443-2025")</f>
        <v/>
      </c>
    </row>
    <row r="127" ht="15" customHeight="1">
      <c r="A127" t="inlineStr">
        <is>
          <t>A 42436-2025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45905</v>
      </c>
      <c r="E127" s="1" t="n">
        <v>46323</v>
      </c>
      <c r="F127" t="inlineStr">
        <is>
          <t>NORRBOTTENS LÄN</t>
        </is>
      </c>
      <c r="G127" t="inlineStr">
        <is>
          <t>BODEN</t>
        </is>
      </c>
      <c r="H127" t="inlineStr">
        <is>
          <t>SCA</t>
        </is>
      </c>
      <c r="I127" t="n">
        <v>4.1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1</v>
      </c>
      <c r="U127" t="n">
        <v>1</v>
      </c>
      <c r="V127" s="2" t="inlineStr">
        <is>
          <t>Skinnlav</t>
        </is>
      </c>
      <c r="W127">
        <f>HYPERLINK("https://klasma.github.io/Logging_2582/artfynd/A 42436-2025 artfynd.xlsx", "A 42436-2025")</f>
        <v/>
      </c>
      <c r="X127">
        <f>HYPERLINK("https://klasma.github.io/Logging_2582/kartor/A 42436-2025 karta.png", "A 42436-2025")</f>
        <v/>
      </c>
      <c r="Y127">
        <f>HYPERLINK("https://klasma.github.io/Logging_2582/kartor_geotiff/A 42436-2025 georefererad karta.tif", "A 42436-2025")</f>
        <v/>
      </c>
      <c r="AA127">
        <f>HYPERLINK("https://klasma.github.io/Logging_2582/klagomål/A 42436-2025 FSC-klagomål.docx", "A 42436-2025")</f>
        <v/>
      </c>
      <c r="AB127">
        <f>HYPERLINK("https://klasma.github.io/Logging_2582/klagomålsmail/A 42436-2025 FSC-klagomål mail.docx", "A 42436-2025")</f>
        <v/>
      </c>
      <c r="AC127">
        <f>HYPERLINK("https://klasma.github.io/Logging_2582/tillsyn/A 42436-2025 tillsynsbegäran.docx", "A 42436-2025")</f>
        <v/>
      </c>
      <c r="AD127">
        <f>HYPERLINK("https://klasma.github.io/Logging_2582/tillsynsmail/A 42436-2025 tillsynsbegäran mail.docx", "A 42436-2025")</f>
        <v/>
      </c>
    </row>
    <row r="128" ht="15" customHeight="1">
      <c r="A128" t="inlineStr">
        <is>
          <t>A 12832-2022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44642</v>
      </c>
      <c r="E128" s="1" t="n">
        <v>46323</v>
      </c>
      <c r="F128" t="inlineStr">
        <is>
          <t>NORRBOTTENS LÄN</t>
        </is>
      </c>
      <c r="G128" t="inlineStr">
        <is>
          <t>BODEN</t>
        </is>
      </c>
      <c r="I128" t="n">
        <v>6.6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1</v>
      </c>
      <c r="S128" t="n">
        <v>1</v>
      </c>
      <c r="T128" t="n">
        <v>1</v>
      </c>
      <c r="U128" t="n">
        <v>0</v>
      </c>
      <c r="V128" s="2" t="inlineStr">
        <is>
          <t>Doftticka</t>
        </is>
      </c>
      <c r="W128">
        <f>HYPERLINK("https://klasma.github.io/Logging_2582/artfynd/A 12832-2022 artfynd.xlsx", "A 12832-2022")</f>
        <v/>
      </c>
      <c r="X128">
        <f>HYPERLINK("https://klasma.github.io/Logging_2582/kartor/A 12832-2022 karta.png", "A 12832-2022")</f>
        <v/>
      </c>
      <c r="Y128">
        <f>HYPERLINK("https://klasma.github.io/Logging_2582/kartor_geotiff/A 12832-2022 georefererad karta.tif", "A 12832-2022")</f>
        <v/>
      </c>
      <c r="AA128">
        <f>HYPERLINK("https://klasma.github.io/Logging_2582/klagomål/A 12832-2022 FSC-klagomål.docx", "A 12832-2022")</f>
        <v/>
      </c>
      <c r="AB128">
        <f>HYPERLINK("https://klasma.github.io/Logging_2582/klagomålsmail/A 12832-2022 FSC-klagomål mail.docx", "A 12832-2022")</f>
        <v/>
      </c>
      <c r="AC128">
        <f>HYPERLINK("https://klasma.github.io/Logging_2582/tillsyn/A 12832-2022 tillsynsbegäran.docx", "A 12832-2022")</f>
        <v/>
      </c>
      <c r="AD128">
        <f>HYPERLINK("https://klasma.github.io/Logging_2582/tillsynsmail/A 12832-2022 tillsynsbegäran mail.docx", "A 12832-2022")</f>
        <v/>
      </c>
    </row>
    <row r="129" ht="15" customHeight="1">
      <c r="A129" t="inlineStr">
        <is>
          <t>A 48549-2025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45936</v>
      </c>
      <c r="E129" s="1" t="n">
        <v>46323</v>
      </c>
      <c r="F129" t="inlineStr">
        <is>
          <t>NORRBOTTENS LÄN</t>
        </is>
      </c>
      <c r="G129" t="inlineStr">
        <is>
          <t>BODEN</t>
        </is>
      </c>
      <c r="I129" t="n">
        <v>4.1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1</v>
      </c>
      <c r="U129" t="n">
        <v>1</v>
      </c>
      <c r="V129" s="2" t="inlineStr">
        <is>
          <t>Gråspett</t>
        </is>
      </c>
      <c r="W129">
        <f>HYPERLINK("https://klasma.github.io/Logging_2582/artfynd/A 48549-2025 artfynd.xlsx", "A 48549-2025")</f>
        <v/>
      </c>
      <c r="X129">
        <f>HYPERLINK("https://klasma.github.io/Logging_2582/kartor/A 48549-2025 karta.png", "A 48549-2025")</f>
        <v/>
      </c>
      <c r="Y129">
        <f>HYPERLINK("https://klasma.github.io/Logging_2582/kartor_geotiff/A 48549-2025 georefererad karta.tif", "A 48549-2025")</f>
        <v/>
      </c>
      <c r="AA129">
        <f>HYPERLINK("https://klasma.github.io/Logging_2582/klagomål/A 48549-2025 FSC-klagomål.docx", "A 48549-2025")</f>
        <v/>
      </c>
      <c r="AB129">
        <f>HYPERLINK("https://klasma.github.io/Logging_2582/klagomålsmail/A 48549-2025 FSC-klagomål mail.docx", "A 48549-2025")</f>
        <v/>
      </c>
      <c r="AC129">
        <f>HYPERLINK("https://klasma.github.io/Logging_2582/tillsyn/A 48549-2025 tillsynsbegäran.docx", "A 48549-2025")</f>
        <v/>
      </c>
      <c r="AD129">
        <f>HYPERLINK("https://klasma.github.io/Logging_2582/tillsynsmail/A 48549-2025 tillsynsbegäran mail.docx", "A 48549-2025")</f>
        <v/>
      </c>
      <c r="AE129">
        <f>HYPERLINK("https://klasma.github.io/Logging_2582/fåglar/A 48549-2025 prioriterade fågelarter.docx", "A 48549-2025")</f>
        <v/>
      </c>
    </row>
    <row r="130" ht="15" customHeight="1">
      <c r="A130" t="inlineStr">
        <is>
          <t>A 22892-2024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45448</v>
      </c>
      <c r="E130" s="1" t="n">
        <v>46323</v>
      </c>
      <c r="F130" t="inlineStr">
        <is>
          <t>NORRBOTTENS LÄN</t>
        </is>
      </c>
      <c r="G130" t="inlineStr">
        <is>
          <t>BODEN</t>
        </is>
      </c>
      <c r="H130" t="inlineStr">
        <is>
          <t>Sveaskog</t>
        </is>
      </c>
      <c r="I130" t="n">
        <v>0.8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1</v>
      </c>
      <c r="U130" t="n">
        <v>0</v>
      </c>
      <c r="V130" s="2" t="inlineStr">
        <is>
          <t>Bollvitmossa</t>
        </is>
      </c>
      <c r="W130">
        <f>HYPERLINK("https://klasma.github.io/Logging_2582/artfynd/A 22892-2024 artfynd.xlsx", "A 22892-2024")</f>
        <v/>
      </c>
      <c r="X130">
        <f>HYPERLINK("https://klasma.github.io/Logging_2582/kartor/A 22892-2024 karta.png", "A 22892-2024")</f>
        <v/>
      </c>
      <c r="Y130">
        <f>HYPERLINK("https://klasma.github.io/Logging_2582/kartor_geotiff/A 22892-2024 georefererad karta.tif", "A 22892-2024")</f>
        <v/>
      </c>
      <c r="AA130">
        <f>HYPERLINK("https://klasma.github.io/Logging_2582/klagomål/A 22892-2024 FSC-klagomål.docx", "A 22892-2024")</f>
        <v/>
      </c>
      <c r="AB130">
        <f>HYPERLINK("https://klasma.github.io/Logging_2582/klagomålsmail/A 22892-2024 FSC-klagomål mail.docx", "A 22892-2024")</f>
        <v/>
      </c>
      <c r="AC130">
        <f>HYPERLINK("https://klasma.github.io/Logging_2582/tillsyn/A 22892-2024 tillsynsbegäran.docx", "A 22892-2024")</f>
        <v/>
      </c>
      <c r="AD130">
        <f>HYPERLINK("https://klasma.github.io/Logging_2582/tillsynsmail/A 22892-2024 tillsynsbegäran mail.docx", "A 22892-2024")</f>
        <v/>
      </c>
    </row>
    <row r="131" ht="15" customHeight="1">
      <c r="A131" t="inlineStr">
        <is>
          <t>A 13568-2022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44648</v>
      </c>
      <c r="E131" s="1" t="n">
        <v>46323</v>
      </c>
      <c r="F131" t="inlineStr">
        <is>
          <t>NORRBOTTENS LÄN</t>
        </is>
      </c>
      <c r="G131" t="inlineStr">
        <is>
          <t>BODEN</t>
        </is>
      </c>
      <c r="H131" t="inlineStr">
        <is>
          <t>Sveaskog</t>
        </is>
      </c>
      <c r="I131" t="n">
        <v>1.5</v>
      </c>
      <c r="J131" t="n">
        <v>1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1</v>
      </c>
      <c r="U131" t="n">
        <v>1</v>
      </c>
      <c r="V131" s="2" t="inlineStr">
        <is>
          <t>Lavskrika</t>
        </is>
      </c>
      <c r="W131">
        <f>HYPERLINK("https://klasma.github.io/Logging_2582/artfynd/A 13568-2022 artfynd.xlsx", "A 13568-2022")</f>
        <v/>
      </c>
      <c r="X131">
        <f>HYPERLINK("https://klasma.github.io/Logging_2582/kartor/A 13568-2022 karta.png", "A 13568-2022")</f>
        <v/>
      </c>
      <c r="Y131">
        <f>HYPERLINK("https://klasma.github.io/Logging_2582/kartor_geotiff/A 13568-2022 georefererad karta.tif", "A 13568-2022")</f>
        <v/>
      </c>
      <c r="AA131">
        <f>HYPERLINK("https://klasma.github.io/Logging_2582/klagomål/A 13568-2022 FSC-klagomål.docx", "A 13568-2022")</f>
        <v/>
      </c>
      <c r="AB131">
        <f>HYPERLINK("https://klasma.github.io/Logging_2582/klagomålsmail/A 13568-2022 FSC-klagomål mail.docx", "A 13568-2022")</f>
        <v/>
      </c>
      <c r="AC131">
        <f>HYPERLINK("https://klasma.github.io/Logging_2582/tillsyn/A 13568-2022 tillsynsbegäran.docx", "A 13568-2022")</f>
        <v/>
      </c>
      <c r="AD131">
        <f>HYPERLINK("https://klasma.github.io/Logging_2582/tillsynsmail/A 13568-2022 tillsynsbegäran mail.docx", "A 13568-2022")</f>
        <v/>
      </c>
      <c r="AE131">
        <f>HYPERLINK("https://klasma.github.io/Logging_2582/fåglar/A 13568-2022 prioriterade fågelarter.docx", "A 13568-2022")</f>
        <v/>
      </c>
    </row>
    <row r="132" ht="15" customHeight="1">
      <c r="A132" t="inlineStr">
        <is>
          <t>A 50394-2025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45944</v>
      </c>
      <c r="E132" s="1" t="n">
        <v>46323</v>
      </c>
      <c r="F132" t="inlineStr">
        <is>
          <t>NORRBOTTENS LÄN</t>
        </is>
      </c>
      <c r="G132" t="inlineStr">
        <is>
          <t>BODEN</t>
        </is>
      </c>
      <c r="H132" t="inlineStr">
        <is>
          <t>Sveaskog</t>
        </is>
      </c>
      <c r="I132" t="n">
        <v>2.2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0</v>
      </c>
      <c r="V132" s="2" t="inlineStr">
        <is>
          <t>Utter</t>
        </is>
      </c>
      <c r="W132">
        <f>HYPERLINK("https://klasma.github.io/Logging_2582/artfynd/A 50394-2025 artfynd.xlsx", "A 50394-2025")</f>
        <v/>
      </c>
      <c r="X132">
        <f>HYPERLINK("https://klasma.github.io/Logging_2582/kartor/A 50394-2025 karta.png", "A 50394-2025")</f>
        <v/>
      </c>
      <c r="Y132">
        <f>HYPERLINK("https://klasma.github.io/Logging_2582/kartor_geotiff/A 50394-2025 georefererad karta.tif", "A 50394-2025")</f>
        <v/>
      </c>
      <c r="AA132">
        <f>HYPERLINK("https://klasma.github.io/Logging_2582/klagomål/A 50394-2025 FSC-klagomål.docx", "A 50394-2025")</f>
        <v/>
      </c>
      <c r="AB132">
        <f>HYPERLINK("https://klasma.github.io/Logging_2582/klagomålsmail/A 50394-2025 FSC-klagomål mail.docx", "A 50394-2025")</f>
        <v/>
      </c>
      <c r="AC132">
        <f>HYPERLINK("https://klasma.github.io/Logging_2582/tillsyn/A 50394-2025 tillsynsbegäran.docx", "A 50394-2025")</f>
        <v/>
      </c>
      <c r="AD132">
        <f>HYPERLINK("https://klasma.github.io/Logging_2582/tillsynsmail/A 50394-2025 tillsynsbegäran mail.docx", "A 50394-2025")</f>
        <v/>
      </c>
    </row>
    <row r="133" ht="15" customHeight="1">
      <c r="A133" t="inlineStr">
        <is>
          <t>A 68560-2021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44529</v>
      </c>
      <c r="E133" s="1" t="n">
        <v>46323</v>
      </c>
      <c r="F133" t="inlineStr">
        <is>
          <t>NORRBOTTENS LÄN</t>
        </is>
      </c>
      <c r="G133" t="inlineStr">
        <is>
          <t>BODEN</t>
        </is>
      </c>
      <c r="I133" t="n">
        <v>3.5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4</v>
      </c>
      <c r="U133" t="n">
        <v>4</v>
      </c>
      <c r="V133" s="2" t="inlineStr">
        <is>
          <t>Småflikig brosklav</t>
        </is>
      </c>
      <c r="W133">
        <f>HYPERLINK("https://klasma.github.io/Logging_2582/artfynd/A 68560-2021 artfynd.xlsx", "A 68560-2021")</f>
        <v/>
      </c>
      <c r="X133">
        <f>HYPERLINK("https://klasma.github.io/Logging_2582/kartor/A 68560-2021 karta.png", "A 68560-2021")</f>
        <v/>
      </c>
      <c r="Y133">
        <f>HYPERLINK("https://klasma.github.io/Logging_2582/kartor_geotiff/A 68560-2021 georefererad karta.tif", "A 68560-2021")</f>
        <v/>
      </c>
      <c r="AA133">
        <f>HYPERLINK("https://klasma.github.io/Logging_2582/klagomål/A 68560-2021 FSC-klagomål.docx", "A 68560-2021")</f>
        <v/>
      </c>
      <c r="AB133">
        <f>HYPERLINK("https://klasma.github.io/Logging_2582/klagomålsmail/A 68560-2021 FSC-klagomål mail.docx", "A 68560-2021")</f>
        <v/>
      </c>
      <c r="AC133">
        <f>HYPERLINK("https://klasma.github.io/Logging_2582/tillsyn/A 68560-2021 tillsynsbegäran.docx", "A 68560-2021")</f>
        <v/>
      </c>
      <c r="AD133">
        <f>HYPERLINK("https://klasma.github.io/Logging_2582/tillsynsmail/A 68560-2021 tillsynsbegäran mail.docx", "A 68560-2021")</f>
        <v/>
      </c>
    </row>
    <row r="134" ht="15" customHeight="1">
      <c r="A134" t="inlineStr">
        <is>
          <t>A 51184-2025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45947</v>
      </c>
      <c r="E134" s="1" t="n">
        <v>46323</v>
      </c>
      <c r="F134" t="inlineStr">
        <is>
          <t>NORRBOTTENS LÄN</t>
        </is>
      </c>
      <c r="G134" t="inlineStr">
        <is>
          <t>BODEN</t>
        </is>
      </c>
      <c r="H134" t="inlineStr">
        <is>
          <t>Sveaskog</t>
        </is>
      </c>
      <c r="I134" t="n">
        <v>2.9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1</v>
      </c>
      <c r="U134" t="n">
        <v>0</v>
      </c>
      <c r="V134" s="2" t="inlineStr">
        <is>
          <t>Lunglav</t>
        </is>
      </c>
      <c r="W134">
        <f>HYPERLINK("https://klasma.github.io/Logging_2582/artfynd/A 51184-2025 artfynd.xlsx", "A 51184-2025")</f>
        <v/>
      </c>
      <c r="X134">
        <f>HYPERLINK("https://klasma.github.io/Logging_2582/kartor/A 51184-2025 karta.png", "A 51184-2025")</f>
        <v/>
      </c>
      <c r="Y134">
        <f>HYPERLINK("https://klasma.github.io/Logging_2582/kartor_geotiff/A 51184-2025 georefererad karta.tif", "A 51184-2025")</f>
        <v/>
      </c>
      <c r="AA134">
        <f>HYPERLINK("https://klasma.github.io/Logging_2582/klagomål/A 51184-2025 FSC-klagomål.docx", "A 51184-2025")</f>
        <v/>
      </c>
      <c r="AB134">
        <f>HYPERLINK("https://klasma.github.io/Logging_2582/klagomålsmail/A 51184-2025 FSC-klagomål mail.docx", "A 51184-2025")</f>
        <v/>
      </c>
      <c r="AC134">
        <f>HYPERLINK("https://klasma.github.io/Logging_2582/tillsyn/A 51184-2025 tillsynsbegäran.docx", "A 51184-2025")</f>
        <v/>
      </c>
      <c r="AD134">
        <f>HYPERLINK("https://klasma.github.io/Logging_2582/tillsynsmail/A 51184-2025 tillsynsbegäran mail.docx", "A 51184-2025")</f>
        <v/>
      </c>
    </row>
    <row r="135" ht="15" customHeight="1">
      <c r="A135" t="inlineStr">
        <is>
          <t>A 51258-2025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45949</v>
      </c>
      <c r="E135" s="1" t="n">
        <v>46323</v>
      </c>
      <c r="F135" t="inlineStr">
        <is>
          <t>NORRBOTTENS LÄN</t>
        </is>
      </c>
      <c r="G135" t="inlineStr">
        <is>
          <t>BODEN</t>
        </is>
      </c>
      <c r="H135" t="inlineStr">
        <is>
          <t>SCA</t>
        </is>
      </c>
      <c r="I135" t="n">
        <v>1.4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1</v>
      </c>
      <c r="U135" t="n">
        <v>0</v>
      </c>
      <c r="V135" s="2" t="inlineStr">
        <is>
          <t>Sångsvan</t>
        </is>
      </c>
      <c r="W135">
        <f>HYPERLINK("https://klasma.github.io/Logging_2582/artfynd/A 51258-2025 artfynd.xlsx", "A 51258-2025")</f>
        <v/>
      </c>
      <c r="X135">
        <f>HYPERLINK("https://klasma.github.io/Logging_2582/kartor/A 51258-2025 karta.png", "A 51258-2025")</f>
        <v/>
      </c>
      <c r="Y135">
        <f>HYPERLINK("https://klasma.github.io/Logging_2582/kartor_geotiff/A 51258-2025 georefererad karta.tif", "A 51258-2025")</f>
        <v/>
      </c>
      <c r="AA135">
        <f>HYPERLINK("https://klasma.github.io/Logging_2582/klagomål/A 51258-2025 FSC-klagomål.docx", "A 51258-2025")</f>
        <v/>
      </c>
      <c r="AB135">
        <f>HYPERLINK("https://klasma.github.io/Logging_2582/klagomålsmail/A 51258-2025 FSC-klagomål mail.docx", "A 51258-2025")</f>
        <v/>
      </c>
      <c r="AC135">
        <f>HYPERLINK("https://klasma.github.io/Logging_2582/tillsyn/A 51258-2025 tillsynsbegäran.docx", "A 51258-2025")</f>
        <v/>
      </c>
      <c r="AD135">
        <f>HYPERLINK("https://klasma.github.io/Logging_2582/tillsynsmail/A 51258-2025 tillsynsbegäran mail.docx", "A 51258-2025")</f>
        <v/>
      </c>
      <c r="AE135">
        <f>HYPERLINK("https://klasma.github.io/Logging_2582/fåglar/A 51258-2025 prioriterade fågelarter.docx", "A 51258-2025")</f>
        <v/>
      </c>
    </row>
    <row r="136" ht="15" customHeight="1">
      <c r="A136" t="inlineStr">
        <is>
          <t>A 51304-2025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45950</v>
      </c>
      <c r="E136" s="1" t="n">
        <v>46323</v>
      </c>
      <c r="F136" t="inlineStr">
        <is>
          <t>NORRBOTTENS LÄN</t>
        </is>
      </c>
      <c r="G136" t="inlineStr">
        <is>
          <t>BODEN</t>
        </is>
      </c>
      <c r="H136" t="inlineStr">
        <is>
          <t>SCA</t>
        </is>
      </c>
      <c r="I136" t="n">
        <v>1.3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1</v>
      </c>
      <c r="U136" t="n">
        <v>0</v>
      </c>
      <c r="V136" s="2" t="inlineStr">
        <is>
          <t>Bollvitmossa</t>
        </is>
      </c>
      <c r="W136">
        <f>HYPERLINK("https://klasma.github.io/Logging_2582/artfynd/A 51304-2025 artfynd.xlsx", "A 51304-2025")</f>
        <v/>
      </c>
      <c r="X136">
        <f>HYPERLINK("https://klasma.github.io/Logging_2582/kartor/A 51304-2025 karta.png", "A 51304-2025")</f>
        <v/>
      </c>
      <c r="Y136">
        <f>HYPERLINK("https://klasma.github.io/Logging_2582/kartor_geotiff/A 51304-2025 georefererad karta.tif", "A 51304-2025")</f>
        <v/>
      </c>
      <c r="AA136">
        <f>HYPERLINK("https://klasma.github.io/Logging_2582/klagomål/A 51304-2025 FSC-klagomål.docx", "A 51304-2025")</f>
        <v/>
      </c>
      <c r="AB136">
        <f>HYPERLINK("https://klasma.github.io/Logging_2582/klagomålsmail/A 51304-2025 FSC-klagomål mail.docx", "A 51304-2025")</f>
        <v/>
      </c>
      <c r="AC136">
        <f>HYPERLINK("https://klasma.github.io/Logging_2582/tillsyn/A 51304-2025 tillsynsbegäran.docx", "A 51304-2025")</f>
        <v/>
      </c>
      <c r="AD136">
        <f>HYPERLINK("https://klasma.github.io/Logging_2582/tillsynsmail/A 51304-2025 tillsynsbegäran mail.docx", "A 51304-2025")</f>
        <v/>
      </c>
    </row>
    <row r="137" ht="15" customHeight="1">
      <c r="A137" t="inlineStr">
        <is>
          <t>A 51874-2025</t>
        </is>
      </c>
      <c r="B137" t="inlineStr">
        <is>
          <t>avverkningsanmälan</t>
        </is>
      </c>
      <c r="C137" t="inlineStr">
        <is>
          <t>Avverkning för att bevara och utveckla /försöksver</t>
        </is>
      </c>
      <c r="D137" s="1" t="n">
        <v>45952</v>
      </c>
      <c r="E137" s="1" t="n">
        <v>46323</v>
      </c>
      <c r="F137" t="inlineStr">
        <is>
          <t>NORRBOTTENS LÄN</t>
        </is>
      </c>
      <c r="G137" t="inlineStr">
        <is>
          <t>BODEN</t>
        </is>
      </c>
      <c r="H137" t="inlineStr">
        <is>
          <t>Sveaskog</t>
        </is>
      </c>
      <c r="I137" t="n">
        <v>0.7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1</v>
      </c>
      <c r="U137" t="n">
        <v>1</v>
      </c>
      <c r="V137" s="2" t="inlineStr">
        <is>
          <t>Skinnlav</t>
        </is>
      </c>
      <c r="W137">
        <f>HYPERLINK("https://klasma.github.io/Logging_2582/artfynd/A 51874-2025 artfynd.xlsx", "A 51874-2025")</f>
        <v/>
      </c>
      <c r="X137">
        <f>HYPERLINK("https://klasma.github.io/Logging_2582/kartor/A 51874-2025 karta.png", "A 51874-2025")</f>
        <v/>
      </c>
      <c r="Y137">
        <f>HYPERLINK("https://klasma.github.io/Logging_2582/kartor_geotiff/A 51874-2025 georefererad karta.tif", "A 51874-2025")</f>
        <v/>
      </c>
      <c r="AA137">
        <f>HYPERLINK("https://klasma.github.io/Logging_2582/klagomål/A 51874-2025 FSC-klagomål.docx", "A 51874-2025")</f>
        <v/>
      </c>
      <c r="AB137">
        <f>HYPERLINK("https://klasma.github.io/Logging_2582/klagomålsmail/A 51874-2025 FSC-klagomål mail.docx", "A 51874-2025")</f>
        <v/>
      </c>
      <c r="AC137">
        <f>HYPERLINK("https://klasma.github.io/Logging_2582/tillsyn/A 51874-2025 tillsynsbegäran.docx", "A 51874-2025")</f>
        <v/>
      </c>
      <c r="AD137">
        <f>HYPERLINK("https://klasma.github.io/Logging_2582/tillsynsmail/A 51874-2025 tillsynsbegäran mail.docx", "A 51874-2025")</f>
        <v/>
      </c>
    </row>
    <row r="138" ht="15" customHeight="1">
      <c r="A138" t="inlineStr">
        <is>
          <t>A 41087-2024</t>
        </is>
      </c>
      <c r="B138" t="inlineStr">
        <is>
          <t>avverkningsanmälan</t>
        </is>
      </c>
      <c r="C138" t="inlineStr">
        <is>
          <t>Avverkning för att bevara och utveckla /försöksver</t>
        </is>
      </c>
      <c r="D138" s="1" t="n">
        <v>45559</v>
      </c>
      <c r="E138" s="1" t="n">
        <v>46323</v>
      </c>
      <c r="F138" t="inlineStr">
        <is>
          <t>NORRBOTTENS LÄN</t>
        </is>
      </c>
      <c r="G138" t="inlineStr">
        <is>
          <t>BODEN</t>
        </is>
      </c>
      <c r="H138" t="inlineStr">
        <is>
          <t>Sveaskog</t>
        </is>
      </c>
      <c r="I138" t="n">
        <v>7.5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1</v>
      </c>
      <c r="S138" t="n">
        <v>1</v>
      </c>
      <c r="T138" t="n">
        <v>1</v>
      </c>
      <c r="U138" t="n">
        <v>0</v>
      </c>
      <c r="V138" s="2" t="inlineStr">
        <is>
          <t>Garnlav</t>
        </is>
      </c>
      <c r="W138">
        <f>HYPERLINK("https://klasma.github.io/Logging_2582/artfynd/A 41087-2024 artfynd.xlsx", "A 41087-2024")</f>
        <v/>
      </c>
      <c r="X138">
        <f>HYPERLINK("https://klasma.github.io/Logging_2582/kartor/A 41087-2024 karta.png", "A 41087-2024")</f>
        <v/>
      </c>
      <c r="Y138">
        <f>HYPERLINK("https://klasma.github.io/Logging_2582/kartor_geotiff/A 41087-2024 georefererad karta.tif", "A 41087-2024")</f>
        <v/>
      </c>
      <c r="AA138">
        <f>HYPERLINK("https://klasma.github.io/Logging_2582/klagomål/A 41087-2024 FSC-klagomål.docx", "A 41087-2024")</f>
        <v/>
      </c>
      <c r="AB138">
        <f>HYPERLINK("https://klasma.github.io/Logging_2582/klagomålsmail/A 41087-2024 FSC-klagomål mail.docx", "A 41087-2024")</f>
        <v/>
      </c>
      <c r="AC138">
        <f>HYPERLINK("https://klasma.github.io/Logging_2582/tillsyn/A 41087-2024 tillsynsbegäran.docx", "A 41087-2024")</f>
        <v/>
      </c>
      <c r="AD138">
        <f>HYPERLINK("https://klasma.github.io/Logging_2582/tillsynsmail/A 41087-2024 tillsynsbegäran mail.docx", "A 41087-2024")</f>
        <v/>
      </c>
    </row>
    <row r="139" ht="15" customHeight="1">
      <c r="A139" t="inlineStr">
        <is>
          <t>A 32600-2024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45513</v>
      </c>
      <c r="E139" s="1" t="n">
        <v>46323</v>
      </c>
      <c r="F139" t="inlineStr">
        <is>
          <t>NORRBOTTENS LÄN</t>
        </is>
      </c>
      <c r="G139" t="inlineStr">
        <is>
          <t>BODEN</t>
        </is>
      </c>
      <c r="I139" t="n">
        <v>2.5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1</v>
      </c>
      <c r="U139" t="n">
        <v>1</v>
      </c>
      <c r="V139" s="2" t="inlineStr">
        <is>
          <t>Lunglav</t>
        </is>
      </c>
      <c r="W139">
        <f>HYPERLINK("https://klasma.github.io/Logging_2582/artfynd/A 32600-2024 artfynd.xlsx", "A 32600-2024")</f>
        <v/>
      </c>
      <c r="X139">
        <f>HYPERLINK("https://klasma.github.io/Logging_2582/kartor/A 32600-2024 karta.png", "A 32600-2024")</f>
        <v/>
      </c>
      <c r="Y139">
        <f>HYPERLINK("https://klasma.github.io/Logging_2582/kartor_geotiff/A 32600-2024 georefererad karta.tif", "A 32600-2024")</f>
        <v/>
      </c>
      <c r="AA139">
        <f>HYPERLINK("https://klasma.github.io/Logging_2582/klagomål/A 32600-2024 FSC-klagomål.docx", "A 32600-2024")</f>
        <v/>
      </c>
      <c r="AB139">
        <f>HYPERLINK("https://klasma.github.io/Logging_2582/klagomålsmail/A 32600-2024 FSC-klagomål mail.docx", "A 32600-2024")</f>
        <v/>
      </c>
      <c r="AC139">
        <f>HYPERLINK("https://klasma.github.io/Logging_2582/tillsyn/A 32600-2024 tillsynsbegäran.docx", "A 32600-2024")</f>
        <v/>
      </c>
      <c r="AD139">
        <f>HYPERLINK("https://klasma.github.io/Logging_2582/tillsynsmail/A 32600-2024 tillsynsbegäran mail.docx", "A 32600-2024")</f>
        <v/>
      </c>
    </row>
    <row r="140" ht="15" customHeight="1">
      <c r="A140" t="inlineStr">
        <is>
          <t>A 53180-2025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45958</v>
      </c>
      <c r="E140" s="1" t="n">
        <v>46323</v>
      </c>
      <c r="F140" t="inlineStr">
        <is>
          <t>NORRBOTTENS LÄN</t>
        </is>
      </c>
      <c r="G140" t="inlineStr">
        <is>
          <t>BODEN</t>
        </is>
      </c>
      <c r="H140" t="inlineStr">
        <is>
          <t>Sveaskog</t>
        </is>
      </c>
      <c r="I140" t="n">
        <v>13.2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3</v>
      </c>
      <c r="U140" t="n">
        <v>3</v>
      </c>
      <c r="V140" s="2" t="inlineStr">
        <is>
          <t>Lunglav</t>
        </is>
      </c>
      <c r="W140">
        <f>HYPERLINK("https://klasma.github.io/Logging_2582/artfynd/A 53180-2025 artfynd.xlsx", "A 53180-2025")</f>
        <v/>
      </c>
      <c r="X140">
        <f>HYPERLINK("https://klasma.github.io/Logging_2582/kartor/A 53180-2025 karta.png", "A 53180-2025")</f>
        <v/>
      </c>
      <c r="Y140">
        <f>HYPERLINK("https://klasma.github.io/Logging_2582/kartor_geotiff/A 53180-2025 georefererad karta.tif", "A 53180-2025")</f>
        <v/>
      </c>
      <c r="AA140">
        <f>HYPERLINK("https://klasma.github.io/Logging_2582/klagomål/A 53180-2025 FSC-klagomål.docx", "A 53180-2025")</f>
        <v/>
      </c>
      <c r="AB140">
        <f>HYPERLINK("https://klasma.github.io/Logging_2582/klagomålsmail/A 53180-2025 FSC-klagomål mail.docx", "A 53180-2025")</f>
        <v/>
      </c>
      <c r="AC140">
        <f>HYPERLINK("https://klasma.github.io/Logging_2582/tillsyn/A 53180-2025 tillsynsbegäran.docx", "A 53180-2025")</f>
        <v/>
      </c>
      <c r="AD140">
        <f>HYPERLINK("https://klasma.github.io/Logging_2582/tillsynsmail/A 53180-2025 tillsynsbegäran mail.docx", "A 53180-2025")</f>
        <v/>
      </c>
    </row>
    <row r="141" ht="15" customHeight="1">
      <c r="A141" t="inlineStr">
        <is>
          <t>A 53590-2025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45960</v>
      </c>
      <c r="E141" s="1" t="n">
        <v>46323</v>
      </c>
      <c r="F141" t="inlineStr">
        <is>
          <t>NORRBOTTENS LÄN</t>
        </is>
      </c>
      <c r="G141" t="inlineStr">
        <is>
          <t>BODEN</t>
        </is>
      </c>
      <c r="H141" t="inlineStr">
        <is>
          <t>Sveaskog</t>
        </is>
      </c>
      <c r="I141" t="n">
        <v>7.6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1</v>
      </c>
      <c r="U141" t="n">
        <v>0</v>
      </c>
      <c r="V141" s="2" t="inlineStr">
        <is>
          <t>Gulskölding</t>
        </is>
      </c>
      <c r="W141">
        <f>HYPERLINK("https://klasma.github.io/Logging_2582/artfynd/A 53590-2025 artfynd.xlsx", "A 53590-2025")</f>
        <v/>
      </c>
      <c r="X141">
        <f>HYPERLINK("https://klasma.github.io/Logging_2582/kartor/A 53590-2025 karta.png", "A 53590-2025")</f>
        <v/>
      </c>
      <c r="Y141">
        <f>HYPERLINK("https://klasma.github.io/Logging_2582/kartor_geotiff/A 53590-2025 georefererad karta.tif", "A 53590-2025")</f>
        <v/>
      </c>
      <c r="AA141">
        <f>HYPERLINK("https://klasma.github.io/Logging_2582/klagomål/A 53590-2025 FSC-klagomål.docx", "A 53590-2025")</f>
        <v/>
      </c>
      <c r="AB141">
        <f>HYPERLINK("https://klasma.github.io/Logging_2582/klagomålsmail/A 53590-2025 FSC-klagomål mail.docx", "A 53590-2025")</f>
        <v/>
      </c>
      <c r="AC141">
        <f>HYPERLINK("https://klasma.github.io/Logging_2582/tillsyn/A 53590-2025 tillsynsbegäran.docx", "A 53590-2025")</f>
        <v/>
      </c>
      <c r="AD141">
        <f>HYPERLINK("https://klasma.github.io/Logging_2582/tillsynsmail/A 53590-2025 tillsynsbegäran mail.docx", "A 53590-2025")</f>
        <v/>
      </c>
    </row>
    <row r="142" ht="15" customHeight="1">
      <c r="A142" t="inlineStr">
        <is>
          <t>A 56598-2025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45975</v>
      </c>
      <c r="E142" s="1" t="n">
        <v>46323</v>
      </c>
      <c r="F142" t="inlineStr">
        <is>
          <t>NORRBOTTENS LÄN</t>
        </is>
      </c>
      <c r="G142" t="inlineStr">
        <is>
          <t>BODEN</t>
        </is>
      </c>
      <c r="I142" t="n">
        <v>1.1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1</v>
      </c>
      <c r="U142" t="n">
        <v>0</v>
      </c>
      <c r="V142" s="2" t="inlineStr">
        <is>
          <t>Revlummer</t>
        </is>
      </c>
      <c r="W142">
        <f>HYPERLINK("https://klasma.github.io/Logging_2582/artfynd/A 56598-2025 artfynd.xlsx", "A 56598-2025")</f>
        <v/>
      </c>
      <c r="X142">
        <f>HYPERLINK("https://klasma.github.io/Logging_2582/kartor/A 56598-2025 karta.png", "A 56598-2025")</f>
        <v/>
      </c>
      <c r="Y142">
        <f>HYPERLINK("https://klasma.github.io/Logging_2582/kartor_geotiff/A 56598-2025 georefererad karta.tif", "A 56598-2025")</f>
        <v/>
      </c>
      <c r="AA142">
        <f>HYPERLINK("https://klasma.github.io/Logging_2582/klagomål/A 56598-2025 FSC-klagomål.docx", "A 56598-2025")</f>
        <v/>
      </c>
      <c r="AB142">
        <f>HYPERLINK("https://klasma.github.io/Logging_2582/klagomålsmail/A 56598-2025 FSC-klagomål mail.docx", "A 56598-2025")</f>
        <v/>
      </c>
      <c r="AC142">
        <f>HYPERLINK("https://klasma.github.io/Logging_2582/tillsyn/A 56598-2025 tillsynsbegäran.docx", "A 56598-2025")</f>
        <v/>
      </c>
      <c r="AD142">
        <f>HYPERLINK("https://klasma.github.io/Logging_2582/tillsynsmail/A 56598-2025 tillsynsbegäran mail.docx", "A 56598-2025")</f>
        <v/>
      </c>
    </row>
    <row r="143" ht="15" customHeight="1">
      <c r="A143" t="inlineStr">
        <is>
          <t>A 62002-2025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46003</v>
      </c>
      <c r="E143" s="1" t="n">
        <v>46323</v>
      </c>
      <c r="F143" t="inlineStr">
        <is>
          <t>NORRBOTTENS LÄN</t>
        </is>
      </c>
      <c r="G143" t="inlineStr">
        <is>
          <t>BODEN</t>
        </is>
      </c>
      <c r="H143" t="inlineStr">
        <is>
          <t>SCA</t>
        </is>
      </c>
      <c r="I143" t="n">
        <v>1.7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1</v>
      </c>
      <c r="U143" t="n">
        <v>0</v>
      </c>
      <c r="V143" s="2" t="inlineStr">
        <is>
          <t>Vitgrynig nållav</t>
        </is>
      </c>
      <c r="W143">
        <f>HYPERLINK("https://klasma.github.io/Logging_2582/artfynd/A 62002-2025 artfynd.xlsx", "A 62002-2025")</f>
        <v/>
      </c>
      <c r="X143">
        <f>HYPERLINK("https://klasma.github.io/Logging_2582/kartor/A 62002-2025 karta.png", "A 62002-2025")</f>
        <v/>
      </c>
      <c r="Y143">
        <f>HYPERLINK("https://klasma.github.io/Logging_2582/kartor_geotiff/A 62002-2025 georefererad karta.tif", "A 62002-2025")</f>
        <v/>
      </c>
      <c r="AA143">
        <f>HYPERLINK("https://klasma.github.io/Logging_2582/klagomål/A 62002-2025 FSC-klagomål.docx", "A 62002-2025")</f>
        <v/>
      </c>
      <c r="AB143">
        <f>HYPERLINK("https://klasma.github.io/Logging_2582/klagomålsmail/A 62002-2025 FSC-klagomål mail.docx", "A 62002-2025")</f>
        <v/>
      </c>
      <c r="AC143">
        <f>HYPERLINK("https://klasma.github.io/Logging_2582/tillsyn/A 62002-2025 tillsynsbegäran.docx", "A 62002-2025")</f>
        <v/>
      </c>
      <c r="AD143">
        <f>HYPERLINK("https://klasma.github.io/Logging_2582/tillsynsmail/A 62002-2025 tillsynsbegäran mail.docx", "A 62002-2025")</f>
        <v/>
      </c>
    </row>
    <row r="144" ht="15" customHeight="1">
      <c r="A144" t="inlineStr">
        <is>
          <t>A 60196-2025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45994</v>
      </c>
      <c r="E144" s="1" t="n">
        <v>46323</v>
      </c>
      <c r="F144" t="inlineStr">
        <is>
          <t>NORRBOTTENS LÄN</t>
        </is>
      </c>
      <c r="G144" t="inlineStr">
        <is>
          <t>BODEN</t>
        </is>
      </c>
      <c r="I144" t="n">
        <v>1.2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1</v>
      </c>
      <c r="S144" t="n">
        <v>1</v>
      </c>
      <c r="T144" t="n">
        <v>1</v>
      </c>
      <c r="U144" t="n">
        <v>0</v>
      </c>
      <c r="V144" s="2" t="inlineStr">
        <is>
          <t>Igelkott</t>
        </is>
      </c>
      <c r="W144">
        <f>HYPERLINK("https://klasma.github.io/Logging_2582/artfynd/A 60196-2025 artfynd.xlsx", "A 60196-2025")</f>
        <v/>
      </c>
      <c r="X144">
        <f>HYPERLINK("https://klasma.github.io/Logging_2582/kartor/A 60196-2025 karta.png", "A 60196-2025")</f>
        <v/>
      </c>
      <c r="Y144">
        <f>HYPERLINK("https://klasma.github.io/Logging_2582/kartor_geotiff/A 60196-2025 georefererad karta.tif", "A 60196-2025")</f>
        <v/>
      </c>
      <c r="AA144">
        <f>HYPERLINK("https://klasma.github.io/Logging_2582/klagomål/A 60196-2025 FSC-klagomål.docx", "A 60196-2025")</f>
        <v/>
      </c>
      <c r="AB144">
        <f>HYPERLINK("https://klasma.github.io/Logging_2582/klagomålsmail/A 60196-2025 FSC-klagomål mail.docx", "A 60196-2025")</f>
        <v/>
      </c>
      <c r="AC144">
        <f>HYPERLINK("https://klasma.github.io/Logging_2582/tillsyn/A 60196-2025 tillsynsbegäran.docx", "A 60196-2025")</f>
        <v/>
      </c>
      <c r="AD144">
        <f>HYPERLINK("https://klasma.github.io/Logging_2582/tillsynsmail/A 60196-2025 tillsynsbegäran mail.docx", "A 60196-2025")</f>
        <v/>
      </c>
    </row>
    <row r="145" ht="15" customHeight="1">
      <c r="A145" t="inlineStr">
        <is>
          <t>A 60781-2025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45999</v>
      </c>
      <c r="E145" s="1" t="n">
        <v>46323</v>
      </c>
      <c r="F145" t="inlineStr">
        <is>
          <t>NORRBOTTENS LÄN</t>
        </is>
      </c>
      <c r="G145" t="inlineStr">
        <is>
          <t>BODEN</t>
        </is>
      </c>
      <c r="I145" t="n">
        <v>12.3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1</v>
      </c>
      <c r="U145" t="n">
        <v>0</v>
      </c>
      <c r="V145" s="2" t="inlineStr">
        <is>
          <t>Rosenticka</t>
        </is>
      </c>
      <c r="W145">
        <f>HYPERLINK("https://klasma.github.io/Logging_2582/artfynd/A 60781-2025 artfynd.xlsx", "A 60781-2025")</f>
        <v/>
      </c>
      <c r="X145">
        <f>HYPERLINK("https://klasma.github.io/Logging_2582/kartor/A 60781-2025 karta.png", "A 60781-2025")</f>
        <v/>
      </c>
      <c r="Y145">
        <f>HYPERLINK("https://klasma.github.io/Logging_2582/kartor_geotiff/A 60781-2025 georefererad karta.tif", "A 60781-2025")</f>
        <v/>
      </c>
      <c r="AA145">
        <f>HYPERLINK("https://klasma.github.io/Logging_2582/klagomål/A 60781-2025 FSC-klagomål.docx", "A 60781-2025")</f>
        <v/>
      </c>
      <c r="AB145">
        <f>HYPERLINK("https://klasma.github.io/Logging_2582/klagomålsmail/A 60781-2025 FSC-klagomål mail.docx", "A 60781-2025")</f>
        <v/>
      </c>
      <c r="AC145">
        <f>HYPERLINK("https://klasma.github.io/Logging_2582/tillsyn/A 60781-2025 tillsynsbegäran.docx", "A 60781-2025")</f>
        <v/>
      </c>
      <c r="AD145">
        <f>HYPERLINK("https://klasma.github.io/Logging_2582/tillsynsmail/A 60781-2025 tillsynsbegäran mail.docx", "A 60781-2025")</f>
        <v/>
      </c>
    </row>
    <row r="146" ht="15" customHeight="1">
      <c r="A146" t="inlineStr">
        <is>
          <t>A 29875-2026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46205</v>
      </c>
      <c r="E146" s="1" t="n">
        <v>46323</v>
      </c>
      <c r="F146" t="inlineStr">
        <is>
          <t>NORRBOTTENS LÄN</t>
        </is>
      </c>
      <c r="G146" t="inlineStr">
        <is>
          <t>BODEN</t>
        </is>
      </c>
      <c r="H146" t="inlineStr">
        <is>
          <t>Sveaskog</t>
        </is>
      </c>
      <c r="I146" t="n">
        <v>4.4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1</v>
      </c>
      <c r="U146" t="n">
        <v>1</v>
      </c>
      <c r="V146" s="2" t="inlineStr">
        <is>
          <t>Tallticka</t>
        </is>
      </c>
      <c r="W146">
        <f>HYPERLINK("https://klasma.github.io/Logging_2582/artfynd/A 29875-2026 artfynd.xlsx", "A 29875-2026")</f>
        <v/>
      </c>
      <c r="X146">
        <f>HYPERLINK("https://klasma.github.io/Logging_2582/kartor/A 29875-2026 karta.png", "A 29875-2026")</f>
        <v/>
      </c>
      <c r="Y146">
        <f>HYPERLINK("https://klasma.github.io/Logging_2582/kartor_geotiff/A 29875-2026 georefererad karta.tif", "A 29875-2026")</f>
        <v/>
      </c>
      <c r="AA146">
        <f>HYPERLINK("https://klasma.github.io/Logging_2582/klagomål/A 29875-2026 FSC-klagomål.docx", "A 29875-2026")</f>
        <v/>
      </c>
      <c r="AB146">
        <f>HYPERLINK("https://klasma.github.io/Logging_2582/klagomålsmail/A 29875-2026 FSC-klagomål mail.docx", "A 29875-2026")</f>
        <v/>
      </c>
      <c r="AC146">
        <f>HYPERLINK("https://klasma.github.io/Logging_2582/tillsyn/A 29875-2026 tillsynsbegäran.docx", "A 29875-2026")</f>
        <v/>
      </c>
      <c r="AD146">
        <f>HYPERLINK("https://klasma.github.io/Logging_2582/tillsynsmail/A 29875-2026 tillsynsbegäran mail.docx", "A 29875-2026")</f>
        <v/>
      </c>
    </row>
    <row r="147" ht="15" customHeight="1">
      <c r="A147" t="inlineStr">
        <is>
          <t>A 4878-2026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46048</v>
      </c>
      <c r="E147" s="1" t="n">
        <v>46323</v>
      </c>
      <c r="F147" t="inlineStr">
        <is>
          <t>NORRBOTTENS LÄN</t>
        </is>
      </c>
      <c r="G147" t="inlineStr">
        <is>
          <t>BODEN</t>
        </is>
      </c>
      <c r="I147" t="n">
        <v>1.8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s="2" t="inlineStr">
        <is>
          <t>Vanlig padda</t>
        </is>
      </c>
      <c r="W147">
        <f>HYPERLINK("https://klasma.github.io/Logging_2582/artfynd/A 4878-2026 artfynd.xlsx", "A 4878-2026")</f>
        <v/>
      </c>
      <c r="X147">
        <f>HYPERLINK("https://klasma.github.io/Logging_2582/kartor/A 4878-2026 karta.png", "A 4878-2026")</f>
        <v/>
      </c>
      <c r="Y147">
        <f>HYPERLINK("https://klasma.github.io/Logging_2582/kartor_geotiff/A 4878-2026 georefererad karta.tif", "A 4878-2026")</f>
        <v/>
      </c>
      <c r="AA147">
        <f>HYPERLINK("https://klasma.github.io/Logging_2582/klagomål/A 4878-2026 FSC-klagomål.docx", "A 4878-2026")</f>
        <v/>
      </c>
      <c r="AB147">
        <f>HYPERLINK("https://klasma.github.io/Logging_2582/klagomålsmail/A 4878-2026 FSC-klagomål mail.docx", "A 4878-2026")</f>
        <v/>
      </c>
      <c r="AC147">
        <f>HYPERLINK("https://klasma.github.io/Logging_2582/tillsyn/A 4878-2026 tillsynsbegäran.docx", "A 4878-2026")</f>
        <v/>
      </c>
      <c r="AD147">
        <f>HYPERLINK("https://klasma.github.io/Logging_2582/tillsynsmail/A 4878-2026 tillsynsbegäran mail.docx", "A 4878-2026")</f>
        <v/>
      </c>
    </row>
    <row r="148" ht="15" customHeight="1">
      <c r="A148" t="inlineStr">
        <is>
          <t>A 16217-2024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45406</v>
      </c>
      <c r="E148" s="1" t="n">
        <v>46323</v>
      </c>
      <c r="F148" t="inlineStr">
        <is>
          <t>NORRBOTTENS LÄN</t>
        </is>
      </c>
      <c r="G148" t="inlineStr">
        <is>
          <t>BODEN</t>
        </is>
      </c>
      <c r="I148" t="n">
        <v>7.2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1</v>
      </c>
      <c r="U148" t="n">
        <v>1</v>
      </c>
      <c r="V148" s="2" t="inlineStr">
        <is>
          <t>Videsparv</t>
        </is>
      </c>
      <c r="W148">
        <f>HYPERLINK("https://klasma.github.io/Logging_2582/artfynd/A 16217-2024 artfynd.xlsx", "A 16217-2024")</f>
        <v/>
      </c>
      <c r="X148">
        <f>HYPERLINK("https://klasma.github.io/Logging_2582/kartor/A 16217-2024 karta.png", "A 16217-2024")</f>
        <v/>
      </c>
      <c r="Y148">
        <f>HYPERLINK("https://klasma.github.io/Logging_2582/kartor_geotiff/A 16217-2024 georefererad karta.tif", "A 16217-2024")</f>
        <v/>
      </c>
      <c r="AA148">
        <f>HYPERLINK("https://klasma.github.io/Logging_2582/klagomål/A 16217-2024 FSC-klagomål.docx", "A 16217-2024")</f>
        <v/>
      </c>
      <c r="AB148">
        <f>HYPERLINK("https://klasma.github.io/Logging_2582/klagomålsmail/A 16217-2024 FSC-klagomål mail.docx", "A 16217-2024")</f>
        <v/>
      </c>
      <c r="AC148">
        <f>HYPERLINK("https://klasma.github.io/Logging_2582/tillsyn/A 16217-2024 tillsynsbegäran.docx", "A 16217-2024")</f>
        <v/>
      </c>
      <c r="AD148">
        <f>HYPERLINK("https://klasma.github.io/Logging_2582/tillsynsmail/A 16217-2024 tillsynsbegäran mail.docx", "A 16217-2024")</f>
        <v/>
      </c>
      <c r="AE148">
        <f>HYPERLINK("https://klasma.github.io/Logging_2582/fåglar/A 16217-2024 prioriterade fågelarter.docx", "A 16217-2024")</f>
        <v/>
      </c>
    </row>
    <row r="149" ht="15" customHeight="1">
      <c r="A149" t="inlineStr">
        <is>
          <t>A 38511-2025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45884</v>
      </c>
      <c r="E149" s="1" t="n">
        <v>46323</v>
      </c>
      <c r="F149" t="inlineStr">
        <is>
          <t>NORRBOTTENS LÄN</t>
        </is>
      </c>
      <c r="G149" t="inlineStr">
        <is>
          <t>BODEN</t>
        </is>
      </c>
      <c r="H149" t="inlineStr">
        <is>
          <t>Sveaskog</t>
        </is>
      </c>
      <c r="I149" t="n">
        <v>5.3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s="2" t="inlineStr">
        <is>
          <t>Knärot</t>
        </is>
      </c>
      <c r="W149">
        <f>HYPERLINK("https://klasma.github.io/Logging_2582/artfynd/A 38511-2025 artfynd.xlsx", "A 38511-2025")</f>
        <v/>
      </c>
      <c r="X149">
        <f>HYPERLINK("https://klasma.github.io/Logging_2582/kartor/A 38511-2025 karta.png", "A 38511-2025")</f>
        <v/>
      </c>
      <c r="Y149">
        <f>HYPERLINK("https://klasma.github.io/Logging_2582/kartor_geotiff/A 38511-2025 georefererad karta.tif", "A 38511-2025")</f>
        <v/>
      </c>
      <c r="Z149">
        <f>HYPERLINK("https://klasma.github.io/Logging_2582/knärot/A 38511-2025 karta knärot.png", "A 38511-2025")</f>
        <v/>
      </c>
      <c r="AA149">
        <f>HYPERLINK("https://klasma.github.io/Logging_2582/klagomål/A 38511-2025 FSC-klagomål.docx", "A 38511-2025")</f>
        <v/>
      </c>
      <c r="AB149">
        <f>HYPERLINK("https://klasma.github.io/Logging_2582/klagomålsmail/A 38511-2025 FSC-klagomål mail.docx", "A 38511-2025")</f>
        <v/>
      </c>
      <c r="AC149">
        <f>HYPERLINK("https://klasma.github.io/Logging_2582/tillsyn/A 38511-2025 tillsynsbegäran.docx", "A 38511-2025")</f>
        <v/>
      </c>
      <c r="AD149">
        <f>HYPERLINK("https://klasma.github.io/Logging_2582/tillsynsmail/A 38511-2025 tillsynsbegäran mail.docx", "A 38511-2025")</f>
        <v/>
      </c>
    </row>
    <row r="150" ht="15" customHeight="1">
      <c r="A150" t="inlineStr">
        <is>
          <t>A 32159-2026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46236</v>
      </c>
      <c r="E150" s="1" t="n">
        <v>46323</v>
      </c>
      <c r="F150" t="inlineStr">
        <is>
          <t>NORRBOTTENS LÄN</t>
        </is>
      </c>
      <c r="G150" t="inlineStr">
        <is>
          <t>BODEN</t>
        </is>
      </c>
      <c r="I150" t="n">
        <v>5.8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1</v>
      </c>
      <c r="U150" t="n">
        <v>0</v>
      </c>
      <c r="V150" s="2" t="inlineStr">
        <is>
          <t>Vanlig padda</t>
        </is>
      </c>
      <c r="W150">
        <f>HYPERLINK("https://klasma.github.io/Logging_2582/artfynd/A 32159-2026 artfynd.xlsx", "A 32159-2026")</f>
        <v/>
      </c>
      <c r="X150">
        <f>HYPERLINK("https://klasma.github.io/Logging_2582/kartor/A 32159-2026 karta.png", "A 32159-2026")</f>
        <v/>
      </c>
      <c r="Y150">
        <f>HYPERLINK("https://klasma.github.io/Logging_2582/kartor_geotiff/A 32159-2026 georefererad karta.tif", "A 32159-2026")</f>
        <v/>
      </c>
      <c r="AA150">
        <f>HYPERLINK("https://klasma.github.io/Logging_2582/klagomål/A 32159-2026 FSC-klagomål.docx", "A 32159-2026")</f>
        <v/>
      </c>
      <c r="AB150">
        <f>HYPERLINK("https://klasma.github.io/Logging_2582/klagomålsmail/A 32159-2026 FSC-klagomål mail.docx", "A 32159-2026")</f>
        <v/>
      </c>
      <c r="AC150">
        <f>HYPERLINK("https://klasma.github.io/Logging_2582/tillsyn/A 32159-2026 tillsynsbegäran.docx", "A 32159-2026")</f>
        <v/>
      </c>
      <c r="AD150">
        <f>HYPERLINK("https://klasma.github.io/Logging_2582/tillsynsmail/A 32159-2026 tillsynsbegäran mail.docx", "A 32159-2026")</f>
        <v/>
      </c>
    </row>
    <row r="151" ht="15" customHeight="1">
      <c r="A151" t="inlineStr">
        <is>
          <t>A 38395-2026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46282</v>
      </c>
      <c r="E151" s="1" t="n">
        <v>46323</v>
      </c>
      <c r="F151" t="inlineStr">
        <is>
          <t>NORRBOTTENS LÄN</t>
        </is>
      </c>
      <c r="G151" t="inlineStr">
        <is>
          <t>BODEN</t>
        </is>
      </c>
      <c r="H151" t="inlineStr">
        <is>
          <t>Sveaskog</t>
        </is>
      </c>
      <c r="I151" t="n">
        <v>8.699999999999999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1</v>
      </c>
      <c r="U151" t="n">
        <v>0</v>
      </c>
      <c r="V151" s="2" t="inlineStr">
        <is>
          <t>Lunglav</t>
        </is>
      </c>
      <c r="W151">
        <f>HYPERLINK("https://klasma.github.io/Logging_2582/artfynd/A 38395-2026 artfynd.xlsx", "A 38395-2026")</f>
        <v/>
      </c>
      <c r="X151">
        <f>HYPERLINK("https://klasma.github.io/Logging_2582/kartor/A 38395-2026 karta.png", "A 38395-2026")</f>
        <v/>
      </c>
      <c r="Y151">
        <f>HYPERLINK("https://klasma.github.io/Logging_2582/kartor_geotiff/A 38395-2026 georefererad karta.tif", "A 38395-2026")</f>
        <v/>
      </c>
      <c r="AA151">
        <f>HYPERLINK("https://klasma.github.io/Logging_2582/klagomål/A 38395-2026 FSC-klagomål.docx", "A 38395-2026")</f>
        <v/>
      </c>
      <c r="AB151">
        <f>HYPERLINK("https://klasma.github.io/Logging_2582/klagomålsmail/A 38395-2026 FSC-klagomål mail.docx", "A 38395-2026")</f>
        <v/>
      </c>
      <c r="AC151">
        <f>HYPERLINK("https://klasma.github.io/Logging_2582/tillsyn/A 38395-2026 tillsynsbegäran.docx", "A 38395-2026")</f>
        <v/>
      </c>
      <c r="AD151">
        <f>HYPERLINK("https://klasma.github.io/Logging_2582/tillsynsmail/A 38395-2026 tillsynsbegäran mail.docx", "A 38395-2026")</f>
        <v/>
      </c>
    </row>
    <row r="152" ht="15" customHeight="1">
      <c r="A152" t="inlineStr">
        <is>
          <t>A 32664-2026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46240</v>
      </c>
      <c r="E152" s="1" t="n">
        <v>46323</v>
      </c>
      <c r="F152" t="inlineStr">
        <is>
          <t>NORRBOTTENS LÄN</t>
        </is>
      </c>
      <c r="G152" t="inlineStr">
        <is>
          <t>BODEN</t>
        </is>
      </c>
      <c r="H152" t="inlineStr">
        <is>
          <t>Sveaskog</t>
        </is>
      </c>
      <c r="I152" t="n">
        <v>14.3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4</v>
      </c>
      <c r="U152" t="n">
        <v>0</v>
      </c>
      <c r="V152" s="2" t="inlineStr">
        <is>
          <t>Lunglav</t>
        </is>
      </c>
      <c r="W152">
        <f>HYPERLINK("https://klasma.github.io/Logging_2582/artfynd/A 32664-2026 artfynd.xlsx", "A 32664-2026")</f>
        <v/>
      </c>
      <c r="X152">
        <f>HYPERLINK("https://klasma.github.io/Logging_2582/kartor/A 32664-2026 karta.png", "A 32664-2026")</f>
        <v/>
      </c>
      <c r="Y152">
        <f>HYPERLINK("https://klasma.github.io/Logging_2582/kartor_geotiff/A 32664-2026 georefererad karta.tif", "A 32664-2026")</f>
        <v/>
      </c>
      <c r="AA152">
        <f>HYPERLINK("https://klasma.github.io/Logging_2582/klagomål/A 32664-2026 FSC-klagomål.docx", "A 32664-2026")</f>
        <v/>
      </c>
      <c r="AB152">
        <f>HYPERLINK("https://klasma.github.io/Logging_2582/klagomålsmail/A 32664-2026 FSC-klagomål mail.docx", "A 32664-2026")</f>
        <v/>
      </c>
      <c r="AC152">
        <f>HYPERLINK("https://klasma.github.io/Logging_2582/tillsyn/A 32664-2026 tillsynsbegäran.docx", "A 32664-2026")</f>
        <v/>
      </c>
      <c r="AD152">
        <f>HYPERLINK("https://klasma.github.io/Logging_2582/tillsynsmail/A 32664-2026 tillsynsbegäran mail.docx", "A 32664-2026")</f>
        <v/>
      </c>
    </row>
    <row r="153" ht="15" customHeight="1">
      <c r="A153" t="inlineStr">
        <is>
          <t>A 19396-2022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44692</v>
      </c>
      <c r="E153" s="1" t="n">
        <v>46323</v>
      </c>
      <c r="F153" t="inlineStr">
        <is>
          <t>NORRBOTTENS LÄN</t>
        </is>
      </c>
      <c r="G153" t="inlineStr">
        <is>
          <t>BODEN</t>
        </is>
      </c>
      <c r="H153" t="inlineStr">
        <is>
          <t>SCA</t>
        </is>
      </c>
      <c r="I153" t="n">
        <v>13.1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1</v>
      </c>
      <c r="U153" t="n">
        <v>0</v>
      </c>
      <c r="V153" s="2" t="inlineStr">
        <is>
          <t>Tallticka</t>
        </is>
      </c>
      <c r="W153">
        <f>HYPERLINK("https://klasma.github.io/Logging_2582/artfynd/A 19396-2022 artfynd.xlsx", "A 19396-2022")</f>
        <v/>
      </c>
      <c r="X153">
        <f>HYPERLINK("https://klasma.github.io/Logging_2582/kartor/A 19396-2022 karta.png", "A 19396-2022")</f>
        <v/>
      </c>
      <c r="Y153">
        <f>HYPERLINK("https://klasma.github.io/Logging_2582/kartor_geotiff/A 19396-2022 georefererad karta.tif", "A 19396-2022")</f>
        <v/>
      </c>
      <c r="AA153">
        <f>HYPERLINK("https://klasma.github.io/Logging_2582/klagomål/A 19396-2022 FSC-klagomål.docx", "A 19396-2022")</f>
        <v/>
      </c>
      <c r="AB153">
        <f>HYPERLINK("https://klasma.github.io/Logging_2582/klagomålsmail/A 19396-2022 FSC-klagomål mail.docx", "A 19396-2022")</f>
        <v/>
      </c>
      <c r="AC153">
        <f>HYPERLINK("https://klasma.github.io/Logging_2582/tillsyn/A 19396-2022 tillsynsbegäran.docx", "A 19396-2022")</f>
        <v/>
      </c>
      <c r="AD153">
        <f>HYPERLINK("https://klasma.github.io/Logging_2582/tillsynsmail/A 19396-2022 tillsynsbegäran mail.docx", "A 19396-2022")</f>
        <v/>
      </c>
    </row>
    <row r="154" ht="15" customHeight="1">
      <c r="A154" t="inlineStr">
        <is>
          <t>A 54833-2025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45966</v>
      </c>
      <c r="E154" s="1" t="n">
        <v>46323</v>
      </c>
      <c r="F154" t="inlineStr">
        <is>
          <t>NORRBOTTENS LÄN</t>
        </is>
      </c>
      <c r="G154" t="inlineStr">
        <is>
          <t>BODEN</t>
        </is>
      </c>
      <c r="I154" t="n">
        <v>2.5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s="2" t="inlineStr">
        <is>
          <t>Utter</t>
        </is>
      </c>
      <c r="W154">
        <f>HYPERLINK("https://klasma.github.io/Logging_2582/artfynd/A 54833-2025 artfynd.xlsx", "A 54833-2025")</f>
        <v/>
      </c>
      <c r="X154">
        <f>HYPERLINK("https://klasma.github.io/Logging_2582/kartor/A 54833-2025 karta.png", "A 54833-2025")</f>
        <v/>
      </c>
      <c r="Y154">
        <f>HYPERLINK("https://klasma.github.io/Logging_2582/kartor_geotiff/A 54833-2025 georefererad karta.tif", "A 54833-2025")</f>
        <v/>
      </c>
      <c r="AA154">
        <f>HYPERLINK("https://klasma.github.io/Logging_2582/klagomål/A 54833-2025 FSC-klagomål.docx", "A 54833-2025")</f>
        <v/>
      </c>
      <c r="AB154">
        <f>HYPERLINK("https://klasma.github.io/Logging_2582/klagomålsmail/A 54833-2025 FSC-klagomål mail.docx", "A 54833-2025")</f>
        <v/>
      </c>
      <c r="AC154">
        <f>HYPERLINK("https://klasma.github.io/Logging_2582/tillsyn/A 54833-2025 tillsynsbegäran.docx", "A 54833-2025")</f>
        <v/>
      </c>
      <c r="AD154">
        <f>HYPERLINK("https://klasma.github.io/Logging_2582/tillsynsmail/A 54833-2025 tillsynsbegäran mail.docx", "A 54833-2025")</f>
        <v/>
      </c>
    </row>
    <row r="155" ht="15" customHeight="1">
      <c r="A155" t="inlineStr">
        <is>
          <t>A 32708-2026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46241</v>
      </c>
      <c r="E155" s="1" t="n">
        <v>46323</v>
      </c>
      <c r="F155" t="inlineStr">
        <is>
          <t>NORRBOTTENS LÄN</t>
        </is>
      </c>
      <c r="G155" t="inlineStr">
        <is>
          <t>BODEN</t>
        </is>
      </c>
      <c r="H155" t="inlineStr">
        <is>
          <t>SCA</t>
        </is>
      </c>
      <c r="I155" t="n">
        <v>12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2</v>
      </c>
      <c r="U155" t="n">
        <v>0</v>
      </c>
      <c r="V155" s="2" t="inlineStr">
        <is>
          <t>Lunglav</t>
        </is>
      </c>
      <c r="W155">
        <f>HYPERLINK("https://klasma.github.io/Logging_2582/artfynd/A 32708-2026 artfynd.xlsx", "A 32708-2026")</f>
        <v/>
      </c>
      <c r="X155">
        <f>HYPERLINK("https://klasma.github.io/Logging_2582/kartor/A 32708-2026 karta.png", "A 32708-2026")</f>
        <v/>
      </c>
      <c r="Y155">
        <f>HYPERLINK("https://klasma.github.io/Logging_2582/kartor_geotiff/A 32708-2026 georefererad karta.tif", "A 32708-2026")</f>
        <v/>
      </c>
      <c r="AA155">
        <f>HYPERLINK("https://klasma.github.io/Logging_2582/klagomål/A 32708-2026 FSC-klagomål.docx", "A 32708-2026")</f>
        <v/>
      </c>
      <c r="AB155">
        <f>HYPERLINK("https://klasma.github.io/Logging_2582/klagomålsmail/A 32708-2026 FSC-klagomål mail.docx", "A 32708-2026")</f>
        <v/>
      </c>
      <c r="AC155">
        <f>HYPERLINK("https://klasma.github.io/Logging_2582/tillsyn/A 32708-2026 tillsynsbegäran.docx", "A 32708-2026")</f>
        <v/>
      </c>
      <c r="AD155">
        <f>HYPERLINK("https://klasma.github.io/Logging_2582/tillsynsmail/A 32708-2026 tillsynsbegäran mail.docx", "A 32708-2026")</f>
        <v/>
      </c>
    </row>
    <row r="156" ht="15" customHeight="1">
      <c r="A156" t="inlineStr">
        <is>
          <t>A 19580-2026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46134</v>
      </c>
      <c r="E156" s="1" t="n">
        <v>46323</v>
      </c>
      <c r="F156" t="inlineStr">
        <is>
          <t>NORRBOTTENS LÄN</t>
        </is>
      </c>
      <c r="G156" t="inlineStr">
        <is>
          <t>BODEN</t>
        </is>
      </c>
      <c r="I156" t="n">
        <v>6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2</v>
      </c>
      <c r="U156" t="n">
        <v>0</v>
      </c>
      <c r="V156" s="2" t="inlineStr">
        <is>
          <t>Dropptaggsvamp</t>
        </is>
      </c>
      <c r="W156">
        <f>HYPERLINK("https://klasma.github.io/Logging_2582/artfynd/A 19580-2026 artfynd.xlsx", "A 19580-2026")</f>
        <v/>
      </c>
      <c r="X156">
        <f>HYPERLINK("https://klasma.github.io/Logging_2582/kartor/A 19580-2026 karta.png", "A 19580-2026")</f>
        <v/>
      </c>
      <c r="Y156">
        <f>HYPERLINK("https://klasma.github.io/Logging_2582/kartor_geotiff/A 19580-2026 georefererad karta.tif", "A 19580-2026")</f>
        <v/>
      </c>
      <c r="AA156">
        <f>HYPERLINK("https://klasma.github.io/Logging_2582/klagomål/A 19580-2026 FSC-klagomål.docx", "A 19580-2026")</f>
        <v/>
      </c>
      <c r="AB156">
        <f>HYPERLINK("https://klasma.github.io/Logging_2582/klagomålsmail/A 19580-2026 FSC-klagomål mail.docx", "A 19580-2026")</f>
        <v/>
      </c>
      <c r="AC156">
        <f>HYPERLINK("https://klasma.github.io/Logging_2582/tillsyn/A 19580-2026 tillsynsbegäran.docx", "A 19580-2026")</f>
        <v/>
      </c>
      <c r="AD156">
        <f>HYPERLINK("https://klasma.github.io/Logging_2582/tillsynsmail/A 19580-2026 tillsynsbegäran mail.docx", "A 19580-2026")</f>
        <v/>
      </c>
    </row>
    <row r="157" ht="15" customHeight="1">
      <c r="A157" t="inlineStr">
        <is>
          <t>A 14329-2026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46100</v>
      </c>
      <c r="E157" s="1" t="n">
        <v>46323</v>
      </c>
      <c r="F157" t="inlineStr">
        <is>
          <t>NORRBOTTENS LÄN</t>
        </is>
      </c>
      <c r="G157" t="inlineStr">
        <is>
          <t>BODEN</t>
        </is>
      </c>
      <c r="I157" t="n">
        <v>1.1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1</v>
      </c>
      <c r="U157" t="n">
        <v>0</v>
      </c>
      <c r="V157" s="2" t="inlineStr">
        <is>
          <t>Tjäder</t>
        </is>
      </c>
      <c r="W157">
        <f>HYPERLINK("https://klasma.github.io/Logging_2582/artfynd/A 14329-2026 artfynd.xlsx", "A 14329-2026")</f>
        <v/>
      </c>
      <c r="X157">
        <f>HYPERLINK("https://klasma.github.io/Logging_2582/kartor/A 14329-2026 karta.png", "A 14329-2026")</f>
        <v/>
      </c>
      <c r="Y157">
        <f>HYPERLINK("https://klasma.github.io/Logging_2582/kartor_geotiff/A 14329-2026 georefererad karta.tif", "A 14329-2026")</f>
        <v/>
      </c>
      <c r="AA157">
        <f>HYPERLINK("https://klasma.github.io/Logging_2582/klagomål/A 14329-2026 FSC-klagomål.docx", "A 14329-2026")</f>
        <v/>
      </c>
      <c r="AB157">
        <f>HYPERLINK("https://klasma.github.io/Logging_2582/klagomålsmail/A 14329-2026 FSC-klagomål mail.docx", "A 14329-2026")</f>
        <v/>
      </c>
      <c r="AC157">
        <f>HYPERLINK("https://klasma.github.io/Logging_2582/tillsyn/A 14329-2026 tillsynsbegäran.docx", "A 14329-2026")</f>
        <v/>
      </c>
      <c r="AD157">
        <f>HYPERLINK("https://klasma.github.io/Logging_2582/tillsynsmail/A 14329-2026 tillsynsbegäran mail.docx", "A 14329-2026")</f>
        <v/>
      </c>
      <c r="AE157">
        <f>HYPERLINK("https://klasma.github.io/Logging_2582/fåglar/A 14329-2026 prioriterade fågelarter.docx", "A 14329-2026")</f>
        <v/>
      </c>
    </row>
    <row r="158" ht="15" customHeight="1">
      <c r="A158" t="inlineStr">
        <is>
          <t>A 33756-2026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46251</v>
      </c>
      <c r="E158" s="1" t="n">
        <v>46323</v>
      </c>
      <c r="F158" t="inlineStr">
        <is>
          <t>NORRBOTTENS LÄN</t>
        </is>
      </c>
      <c r="G158" t="inlineStr">
        <is>
          <t>BODEN</t>
        </is>
      </c>
      <c r="H158" t="inlineStr">
        <is>
          <t>Sveaskog</t>
        </is>
      </c>
      <c r="I158" t="n">
        <v>5.5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1</v>
      </c>
      <c r="U158" t="n">
        <v>1</v>
      </c>
      <c r="V158" s="2" t="inlineStr">
        <is>
          <t>Bollvitmossa</t>
        </is>
      </c>
      <c r="W158">
        <f>HYPERLINK("https://klasma.github.io/Logging_2582/artfynd/A 33756-2026 artfynd.xlsx", "A 33756-2026")</f>
        <v/>
      </c>
      <c r="X158">
        <f>HYPERLINK("https://klasma.github.io/Logging_2582/kartor/A 33756-2026 karta.png", "A 33756-2026")</f>
        <v/>
      </c>
      <c r="Y158">
        <f>HYPERLINK("https://klasma.github.io/Logging_2582/kartor_geotiff/A 33756-2026 georefererad karta.tif", "A 33756-2026")</f>
        <v/>
      </c>
      <c r="AA158">
        <f>HYPERLINK("https://klasma.github.io/Logging_2582/klagomål/A 33756-2026 FSC-klagomål.docx", "A 33756-2026")</f>
        <v/>
      </c>
      <c r="AB158">
        <f>HYPERLINK("https://klasma.github.io/Logging_2582/klagomålsmail/A 33756-2026 FSC-klagomål mail.docx", "A 33756-2026")</f>
        <v/>
      </c>
      <c r="AC158">
        <f>HYPERLINK("https://klasma.github.io/Logging_2582/tillsyn/A 33756-2026 tillsynsbegäran.docx", "A 33756-2026")</f>
        <v/>
      </c>
      <c r="AD158">
        <f>HYPERLINK("https://klasma.github.io/Logging_2582/tillsynsmail/A 33756-2026 tillsynsbegäran mail.docx", "A 33756-2026")</f>
        <v/>
      </c>
    </row>
    <row r="159" ht="15" customHeight="1">
      <c r="A159" t="inlineStr">
        <is>
          <t>A 2565-2026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46037</v>
      </c>
      <c r="E159" s="1" t="n">
        <v>46323</v>
      </c>
      <c r="F159" t="inlineStr">
        <is>
          <t>NORRBOTTENS LÄN</t>
        </is>
      </c>
      <c r="G159" t="inlineStr">
        <is>
          <t>BODEN</t>
        </is>
      </c>
      <c r="H159" t="inlineStr">
        <is>
          <t>Naturvårdsverket</t>
        </is>
      </c>
      <c r="I159" t="n">
        <v>4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1</v>
      </c>
      <c r="S159" t="n">
        <v>1</v>
      </c>
      <c r="T159" t="n">
        <v>2</v>
      </c>
      <c r="U159" t="n">
        <v>2</v>
      </c>
      <c r="V159" s="2" t="inlineStr">
        <is>
          <t>Garnlav</t>
        </is>
      </c>
      <c r="W159">
        <f>HYPERLINK("https://klasma.github.io/Logging_2582/artfynd/A 2565-2026 artfynd.xlsx", "A 2565-2026")</f>
        <v/>
      </c>
      <c r="X159">
        <f>HYPERLINK("https://klasma.github.io/Logging_2582/kartor/A 2565-2026 karta.png", "A 2565-2026")</f>
        <v/>
      </c>
      <c r="Y159">
        <f>HYPERLINK("https://klasma.github.io/Logging_2582/kartor_geotiff/A 2565-2026 georefererad karta.tif", "A 2565-2026")</f>
        <v/>
      </c>
      <c r="AA159">
        <f>HYPERLINK("https://klasma.github.io/Logging_2582/klagomål/A 2565-2026 FSC-klagomål.docx", "A 2565-2026")</f>
        <v/>
      </c>
      <c r="AB159">
        <f>HYPERLINK("https://klasma.github.io/Logging_2582/klagomålsmail/A 2565-2026 FSC-klagomål mail.docx", "A 2565-2026")</f>
        <v/>
      </c>
      <c r="AC159">
        <f>HYPERLINK("https://klasma.github.io/Logging_2582/tillsyn/A 2565-2026 tillsynsbegäran.docx", "A 2565-2026")</f>
        <v/>
      </c>
      <c r="AD159">
        <f>HYPERLINK("https://klasma.github.io/Logging_2582/tillsynsmail/A 2565-2026 tillsynsbegäran mail.docx", "A 2565-2026")</f>
        <v/>
      </c>
    </row>
    <row r="160" ht="15" customHeight="1">
      <c r="A160" t="inlineStr">
        <is>
          <t>A 34512-2026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46255</v>
      </c>
      <c r="E160" s="1" t="n">
        <v>46323</v>
      </c>
      <c r="F160" t="inlineStr">
        <is>
          <t>NORRBOTTENS LÄN</t>
        </is>
      </c>
      <c r="G160" t="inlineStr">
        <is>
          <t>BODEN</t>
        </is>
      </c>
      <c r="H160" t="inlineStr">
        <is>
          <t>Sveaskog</t>
        </is>
      </c>
      <c r="I160" t="n">
        <v>9.300000000000001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1</v>
      </c>
      <c r="U160" t="n">
        <v>0</v>
      </c>
      <c r="V160" s="2" t="inlineStr">
        <is>
          <t>Skarp dropptaggsvamp</t>
        </is>
      </c>
      <c r="W160">
        <f>HYPERLINK("https://klasma.github.io/Logging_2582/artfynd/A 34512-2026 artfynd.xlsx", "A 34512-2026")</f>
        <v/>
      </c>
      <c r="X160">
        <f>HYPERLINK("https://klasma.github.io/Logging_2582/kartor/A 34512-2026 karta.png", "A 34512-2026")</f>
        <v/>
      </c>
      <c r="Y160">
        <f>HYPERLINK("https://klasma.github.io/Logging_2582/kartor_geotiff/A 34512-2026 georefererad karta.tif", "A 34512-2026")</f>
        <v/>
      </c>
      <c r="AA160">
        <f>HYPERLINK("https://klasma.github.io/Logging_2582/klagomål/A 34512-2026 FSC-klagomål.docx", "A 34512-2026")</f>
        <v/>
      </c>
      <c r="AB160">
        <f>HYPERLINK("https://klasma.github.io/Logging_2582/klagomålsmail/A 34512-2026 FSC-klagomål mail.docx", "A 34512-2026")</f>
        <v/>
      </c>
      <c r="AC160">
        <f>HYPERLINK("https://klasma.github.io/Logging_2582/tillsyn/A 34512-2026 tillsynsbegäran.docx", "A 34512-2026")</f>
        <v/>
      </c>
      <c r="AD160">
        <f>HYPERLINK("https://klasma.github.io/Logging_2582/tillsynsmail/A 34512-2026 tillsynsbegäran mail.docx", "A 34512-2026")</f>
        <v/>
      </c>
    </row>
    <row r="161" ht="15" customHeight="1">
      <c r="A161" t="inlineStr">
        <is>
          <t>A 665-2023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44925</v>
      </c>
      <c r="E161" s="1" t="n">
        <v>46323</v>
      </c>
      <c r="F161" t="inlineStr">
        <is>
          <t>NORRBOTTENS LÄN</t>
        </is>
      </c>
      <c r="G161" t="inlineStr">
        <is>
          <t>BODEN</t>
        </is>
      </c>
      <c r="I161" t="n">
        <v>0.9</v>
      </c>
      <c r="J161" t="n">
        <v>1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1</v>
      </c>
      <c r="U161" t="n">
        <v>1</v>
      </c>
      <c r="V161" s="2" t="inlineStr">
        <is>
          <t>Duvhök</t>
        </is>
      </c>
      <c r="W161">
        <f>HYPERLINK("https://klasma.github.io/Logging_2582/artfynd/A 665-2023 artfynd.xlsx", "A 665-2023")</f>
        <v/>
      </c>
      <c r="X161">
        <f>HYPERLINK("https://klasma.github.io/Logging_2582/kartor/A 665-2023 karta.png", "A 665-2023")</f>
        <v/>
      </c>
      <c r="Y161">
        <f>HYPERLINK("https://klasma.github.io/Logging_2582/kartor_geotiff/A 665-2023 georefererad karta.tif", "A 665-2023")</f>
        <v/>
      </c>
      <c r="AA161">
        <f>HYPERLINK("https://klasma.github.io/Logging_2582/klagomål/A 665-2023 FSC-klagomål.docx", "A 665-2023")</f>
        <v/>
      </c>
      <c r="AB161">
        <f>HYPERLINK("https://klasma.github.io/Logging_2582/klagomålsmail/A 665-2023 FSC-klagomål mail.docx", "A 665-2023")</f>
        <v/>
      </c>
      <c r="AC161">
        <f>HYPERLINK("https://klasma.github.io/Logging_2582/tillsyn/A 665-2023 tillsynsbegäran.docx", "A 665-2023")</f>
        <v/>
      </c>
      <c r="AD161">
        <f>HYPERLINK("https://klasma.github.io/Logging_2582/tillsynsmail/A 665-2023 tillsynsbegäran mail.docx", "A 665-2023")</f>
        <v/>
      </c>
      <c r="AE161">
        <f>HYPERLINK("https://klasma.github.io/Logging_2582/fåglar/A 665-2023 prioriterade fågelarter.docx", "A 665-2023")</f>
        <v/>
      </c>
    </row>
    <row r="162" ht="15" customHeight="1">
      <c r="A162" t="inlineStr">
        <is>
          <t>A 2568-2024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45313</v>
      </c>
      <c r="E162" s="1" t="n">
        <v>46323</v>
      </c>
      <c r="F162" t="inlineStr">
        <is>
          <t>NORRBOTTENS LÄN</t>
        </is>
      </c>
      <c r="G162" t="inlineStr">
        <is>
          <t>BODEN</t>
        </is>
      </c>
      <c r="I162" t="n">
        <v>1.6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1</v>
      </c>
      <c r="U162" t="n">
        <v>1</v>
      </c>
      <c r="V162" s="2" t="inlineStr">
        <is>
          <t>Blå taggsvamp</t>
        </is>
      </c>
      <c r="W162">
        <f>HYPERLINK("https://klasma.github.io/Logging_2582/artfynd/A 2568-2024 artfynd.xlsx", "A 2568-2024")</f>
        <v/>
      </c>
      <c r="X162">
        <f>HYPERLINK("https://klasma.github.io/Logging_2582/kartor/A 2568-2024 karta.png", "A 2568-2024")</f>
        <v/>
      </c>
      <c r="Y162">
        <f>HYPERLINK("https://klasma.github.io/Logging_2582/kartor_geotiff/A 2568-2024 georefererad karta.tif", "A 2568-2024")</f>
        <v/>
      </c>
      <c r="AA162">
        <f>HYPERLINK("https://klasma.github.io/Logging_2582/klagomål/A 2568-2024 FSC-klagomål.docx", "A 2568-2024")</f>
        <v/>
      </c>
      <c r="AB162">
        <f>HYPERLINK("https://klasma.github.io/Logging_2582/klagomålsmail/A 2568-2024 FSC-klagomål mail.docx", "A 2568-2024")</f>
        <v/>
      </c>
      <c r="AC162">
        <f>HYPERLINK("https://klasma.github.io/Logging_2582/tillsyn/A 2568-2024 tillsynsbegäran.docx", "A 2568-2024")</f>
        <v/>
      </c>
      <c r="AD162">
        <f>HYPERLINK("https://klasma.github.io/Logging_2582/tillsynsmail/A 2568-2024 tillsynsbegäran mail.docx", "A 2568-2024")</f>
        <v/>
      </c>
    </row>
    <row r="163" ht="15" customHeight="1">
      <c r="A163" t="inlineStr">
        <is>
          <t>A 41589-2026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46302</v>
      </c>
      <c r="E163" s="1" t="n">
        <v>46323</v>
      </c>
      <c r="F163" t="inlineStr">
        <is>
          <t>NORRBOTTENS LÄN</t>
        </is>
      </c>
      <c r="G163" t="inlineStr">
        <is>
          <t>BODEN</t>
        </is>
      </c>
      <c r="H163" t="inlineStr">
        <is>
          <t>SCA</t>
        </is>
      </c>
      <c r="I163" t="n">
        <v>2.8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1</v>
      </c>
      <c r="U163" t="n">
        <v>0</v>
      </c>
      <c r="V163" s="2" t="inlineStr">
        <is>
          <t>Reliktbock</t>
        </is>
      </c>
      <c r="W163">
        <f>HYPERLINK("https://klasma.github.io/Logging_2582/artfynd/A 41589-2026 artfynd.xlsx", "A 41589-2026")</f>
        <v/>
      </c>
      <c r="X163">
        <f>HYPERLINK("https://klasma.github.io/Logging_2582/kartor/A 41589-2026 karta.png", "A 41589-2026")</f>
        <v/>
      </c>
      <c r="Y163">
        <f>HYPERLINK("https://klasma.github.io/Logging_2582/kartor_geotiff/A 41589-2026 georefererad karta.tif", "A 41589-2026")</f>
        <v/>
      </c>
      <c r="AA163">
        <f>HYPERLINK("https://klasma.github.io/Logging_2582/klagomål/A 41589-2026 FSC-klagomål.docx", "A 41589-2026")</f>
        <v/>
      </c>
      <c r="AB163">
        <f>HYPERLINK("https://klasma.github.io/Logging_2582/klagomålsmail/A 41589-2026 FSC-klagomål mail.docx", "A 41589-2026")</f>
        <v/>
      </c>
      <c r="AC163">
        <f>HYPERLINK("https://klasma.github.io/Logging_2582/tillsyn/A 41589-2026 tillsynsbegäran.docx", "A 41589-2026")</f>
        <v/>
      </c>
      <c r="AD163">
        <f>HYPERLINK("https://klasma.github.io/Logging_2582/tillsynsmail/A 41589-2026 tillsynsbegäran mail.docx", "A 41589-2026")</f>
        <v/>
      </c>
    </row>
    <row r="164" ht="15" customHeight="1">
      <c r="A164" t="inlineStr">
        <is>
          <t>A 35292-2026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46261</v>
      </c>
      <c r="E164" s="1" t="n">
        <v>46323</v>
      </c>
      <c r="F164" t="inlineStr">
        <is>
          <t>NORRBOTTENS LÄN</t>
        </is>
      </c>
      <c r="G164" t="inlineStr">
        <is>
          <t>BODEN</t>
        </is>
      </c>
      <c r="I164" t="n">
        <v>4.9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1</v>
      </c>
      <c r="U164" t="n">
        <v>0</v>
      </c>
      <c r="V164" s="2" t="inlineStr">
        <is>
          <t>Tretåig hackspett</t>
        </is>
      </c>
      <c r="W164">
        <f>HYPERLINK("https://klasma.github.io/Logging_2582/artfynd/A 35292-2026 artfynd.xlsx", "A 35292-2026")</f>
        <v/>
      </c>
      <c r="X164">
        <f>HYPERLINK("https://klasma.github.io/Logging_2582/kartor/A 35292-2026 karta.png", "A 35292-2026")</f>
        <v/>
      </c>
      <c r="Y164">
        <f>HYPERLINK("https://klasma.github.io/Logging_2582/kartor_geotiff/A 35292-2026 georefererad karta.tif", "A 35292-2026")</f>
        <v/>
      </c>
      <c r="AA164">
        <f>HYPERLINK("https://klasma.github.io/Logging_2582/klagomål/A 35292-2026 FSC-klagomål.docx", "A 35292-2026")</f>
        <v/>
      </c>
      <c r="AB164">
        <f>HYPERLINK("https://klasma.github.io/Logging_2582/klagomålsmail/A 35292-2026 FSC-klagomål mail.docx", "A 35292-2026")</f>
        <v/>
      </c>
      <c r="AC164">
        <f>HYPERLINK("https://klasma.github.io/Logging_2582/tillsyn/A 35292-2026 tillsynsbegäran.docx", "A 35292-2026")</f>
        <v/>
      </c>
      <c r="AD164">
        <f>HYPERLINK("https://klasma.github.io/Logging_2582/tillsynsmail/A 35292-2026 tillsynsbegäran mail.docx", "A 35292-2026")</f>
        <v/>
      </c>
      <c r="AE164">
        <f>HYPERLINK("https://klasma.github.io/Logging_2582/fåglar/A 35292-2026 prioriterade fågelarter.docx", "A 35292-2026")</f>
        <v/>
      </c>
    </row>
    <row r="165" ht="15" customHeight="1">
      <c r="A165" t="inlineStr">
        <is>
          <t>A 35299-2026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46261</v>
      </c>
      <c r="E165" s="1" t="n">
        <v>46323</v>
      </c>
      <c r="F165" t="inlineStr">
        <is>
          <t>NORRBOTTENS LÄN</t>
        </is>
      </c>
      <c r="G165" t="inlineStr">
        <is>
          <t>BODEN</t>
        </is>
      </c>
      <c r="I165" t="n">
        <v>3.3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1</v>
      </c>
      <c r="S165" t="n">
        <v>1</v>
      </c>
      <c r="T165" t="n">
        <v>1</v>
      </c>
      <c r="U165" t="n">
        <v>0</v>
      </c>
      <c r="V165" s="2" t="inlineStr">
        <is>
          <t>Knärot</t>
        </is>
      </c>
      <c r="W165">
        <f>HYPERLINK("https://klasma.github.io/Logging_2582/artfynd/A 35299-2026 artfynd.xlsx", "A 35299-2026")</f>
        <v/>
      </c>
      <c r="X165">
        <f>HYPERLINK("https://klasma.github.io/Logging_2582/kartor/A 35299-2026 karta.png", "A 35299-2026")</f>
        <v/>
      </c>
      <c r="Y165">
        <f>HYPERLINK("https://klasma.github.io/Logging_2582/kartor_geotiff/A 35299-2026 georefererad karta.tif", "A 35299-2026")</f>
        <v/>
      </c>
      <c r="Z165">
        <f>HYPERLINK("https://klasma.github.io/Logging_2582/knärot/A 35299-2026 karta knärot.png", "A 35299-2026")</f>
        <v/>
      </c>
      <c r="AA165">
        <f>HYPERLINK("https://klasma.github.io/Logging_2582/klagomål/A 35299-2026 FSC-klagomål.docx", "A 35299-2026")</f>
        <v/>
      </c>
      <c r="AB165">
        <f>HYPERLINK("https://klasma.github.io/Logging_2582/klagomålsmail/A 35299-2026 FSC-klagomål mail.docx", "A 35299-2026")</f>
        <v/>
      </c>
      <c r="AC165">
        <f>HYPERLINK("https://klasma.github.io/Logging_2582/tillsyn/A 35299-2026 tillsynsbegäran.docx", "A 35299-2026")</f>
        <v/>
      </c>
      <c r="AD165">
        <f>HYPERLINK("https://klasma.github.io/Logging_2582/tillsynsmail/A 35299-2026 tillsynsbegäran mail.docx", "A 35299-2026")</f>
        <v/>
      </c>
    </row>
    <row r="166" ht="15" customHeight="1">
      <c r="A166" t="inlineStr">
        <is>
          <t>A 35415-2026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46261</v>
      </c>
      <c r="E166" s="1" t="n">
        <v>46323</v>
      </c>
      <c r="F166" t="inlineStr">
        <is>
          <t>NORRBOTTENS LÄN</t>
        </is>
      </c>
      <c r="G166" t="inlineStr">
        <is>
          <t>BODEN</t>
        </is>
      </c>
      <c r="H166" t="inlineStr">
        <is>
          <t>Sveaskog</t>
        </is>
      </c>
      <c r="I166" t="n">
        <v>2.6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1</v>
      </c>
      <c r="S166" t="n">
        <v>1</v>
      </c>
      <c r="T166" t="n">
        <v>2</v>
      </c>
      <c r="U166" t="n">
        <v>2</v>
      </c>
      <c r="V166" s="2" t="inlineStr">
        <is>
          <t>Knärot</t>
        </is>
      </c>
      <c r="W166">
        <f>HYPERLINK("https://klasma.github.io/Logging_2582/artfynd/A 35415-2026 artfynd.xlsx", "A 35415-2026")</f>
        <v/>
      </c>
      <c r="X166">
        <f>HYPERLINK("https://klasma.github.io/Logging_2582/kartor/A 35415-2026 karta.png", "A 35415-2026")</f>
        <v/>
      </c>
      <c r="Y166">
        <f>HYPERLINK("https://klasma.github.io/Logging_2582/kartor_geotiff/A 35415-2026 georefererad karta.tif", "A 35415-2026")</f>
        <v/>
      </c>
      <c r="Z166">
        <f>HYPERLINK("https://klasma.github.io/Logging_2582/knärot/A 35415-2026 karta knärot.png", "A 35415-2026")</f>
        <v/>
      </c>
      <c r="AA166">
        <f>HYPERLINK("https://klasma.github.io/Logging_2582/klagomål/A 35415-2026 FSC-klagomål.docx", "A 35415-2026")</f>
        <v/>
      </c>
      <c r="AB166">
        <f>HYPERLINK("https://klasma.github.io/Logging_2582/klagomålsmail/A 35415-2026 FSC-klagomål mail.docx", "A 35415-2026")</f>
        <v/>
      </c>
      <c r="AC166">
        <f>HYPERLINK("https://klasma.github.io/Logging_2582/tillsyn/A 35415-2026 tillsynsbegäran.docx", "A 35415-2026")</f>
        <v/>
      </c>
      <c r="AD166">
        <f>HYPERLINK("https://klasma.github.io/Logging_2582/tillsynsmail/A 35415-2026 tillsynsbegäran mail.docx", "A 35415-2026")</f>
        <v/>
      </c>
    </row>
    <row r="167" ht="15" customHeight="1">
      <c r="A167" t="inlineStr">
        <is>
          <t>A 35410-2026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46261</v>
      </c>
      <c r="E167" s="1" t="n">
        <v>46323</v>
      </c>
      <c r="F167" t="inlineStr">
        <is>
          <t>NORRBOTTENS LÄN</t>
        </is>
      </c>
      <c r="G167" t="inlineStr">
        <is>
          <t>BODEN</t>
        </is>
      </c>
      <c r="H167" t="inlineStr">
        <is>
          <t>Sveaskog</t>
        </is>
      </c>
      <c r="I167" t="n">
        <v>1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1</v>
      </c>
      <c r="S167" t="n">
        <v>1</v>
      </c>
      <c r="T167" t="n">
        <v>9</v>
      </c>
      <c r="U167" t="n">
        <v>9</v>
      </c>
      <c r="V167" s="2" t="inlineStr">
        <is>
          <t>Knärot</t>
        </is>
      </c>
      <c r="W167">
        <f>HYPERLINK("https://klasma.github.io/Logging_2582/artfynd/A 35410-2026 artfynd.xlsx", "A 35410-2026")</f>
        <v/>
      </c>
      <c r="X167">
        <f>HYPERLINK("https://klasma.github.io/Logging_2582/kartor/A 35410-2026 karta.png", "A 35410-2026")</f>
        <v/>
      </c>
      <c r="Y167">
        <f>HYPERLINK("https://klasma.github.io/Logging_2582/kartor_geotiff/A 35410-2026 georefererad karta.tif", "A 35410-2026")</f>
        <v/>
      </c>
      <c r="Z167">
        <f>HYPERLINK("https://klasma.github.io/Logging_2582/knärot/A 35410-2026 karta knärot.png", "A 35410-2026")</f>
        <v/>
      </c>
      <c r="AA167">
        <f>HYPERLINK("https://klasma.github.io/Logging_2582/klagomål/A 35410-2026 FSC-klagomål.docx", "A 35410-2026")</f>
        <v/>
      </c>
      <c r="AB167">
        <f>HYPERLINK("https://klasma.github.io/Logging_2582/klagomålsmail/A 35410-2026 FSC-klagomål mail.docx", "A 35410-2026")</f>
        <v/>
      </c>
      <c r="AC167">
        <f>HYPERLINK("https://klasma.github.io/Logging_2582/tillsyn/A 35410-2026 tillsynsbegäran.docx", "A 35410-2026")</f>
        <v/>
      </c>
      <c r="AD167">
        <f>HYPERLINK("https://klasma.github.io/Logging_2582/tillsynsmail/A 35410-2026 tillsynsbegäran mail.docx", "A 35410-2026")</f>
        <v/>
      </c>
    </row>
    <row r="168" ht="15" customHeight="1">
      <c r="A168" t="inlineStr">
        <is>
          <t>A 36743-2024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45538</v>
      </c>
      <c r="E168" s="1" t="n">
        <v>46323</v>
      </c>
      <c r="F168" t="inlineStr">
        <is>
          <t>NORRBOTTENS LÄN</t>
        </is>
      </c>
      <c r="G168" t="inlineStr">
        <is>
          <t>BODEN</t>
        </is>
      </c>
      <c r="H168" t="inlineStr">
        <is>
          <t>Sveaskog</t>
        </is>
      </c>
      <c r="I168" t="n">
        <v>1.7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1</v>
      </c>
      <c r="U168" t="n">
        <v>1</v>
      </c>
      <c r="V168" s="2" t="inlineStr">
        <is>
          <t>Lunglav</t>
        </is>
      </c>
      <c r="W168">
        <f>HYPERLINK("https://klasma.github.io/Logging_2582/artfynd/A 36743-2024 artfynd.xlsx", "A 36743-2024")</f>
        <v/>
      </c>
      <c r="X168">
        <f>HYPERLINK("https://klasma.github.io/Logging_2582/kartor/A 36743-2024 karta.png", "A 36743-2024")</f>
        <v/>
      </c>
      <c r="Y168">
        <f>HYPERLINK("https://klasma.github.io/Logging_2582/kartor_geotiff/A 36743-2024 georefererad karta.tif", "A 36743-2024")</f>
        <v/>
      </c>
      <c r="AA168">
        <f>HYPERLINK("https://klasma.github.io/Logging_2582/klagomål/A 36743-2024 FSC-klagomål.docx", "A 36743-2024")</f>
        <v/>
      </c>
      <c r="AB168">
        <f>HYPERLINK("https://klasma.github.io/Logging_2582/klagomålsmail/A 36743-2024 FSC-klagomål mail.docx", "A 36743-2024")</f>
        <v/>
      </c>
      <c r="AC168">
        <f>HYPERLINK("https://klasma.github.io/Logging_2582/tillsyn/A 36743-2024 tillsynsbegäran.docx", "A 36743-2024")</f>
        <v/>
      </c>
      <c r="AD168">
        <f>HYPERLINK("https://klasma.github.io/Logging_2582/tillsynsmail/A 36743-2024 tillsynsbegäran mail.docx", "A 36743-2024")</f>
        <v/>
      </c>
    </row>
    <row r="169" ht="15" customHeight="1">
      <c r="A169" t="inlineStr">
        <is>
          <t>A 36130-2026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46267</v>
      </c>
      <c r="E169" s="1" t="n">
        <v>46323</v>
      </c>
      <c r="F169" t="inlineStr">
        <is>
          <t>NORRBOTTENS LÄN</t>
        </is>
      </c>
      <c r="G169" t="inlineStr">
        <is>
          <t>BODEN</t>
        </is>
      </c>
      <c r="H169" t="inlineStr">
        <is>
          <t>Sveaskog</t>
        </is>
      </c>
      <c r="I169" t="n">
        <v>3.8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1</v>
      </c>
      <c r="U169" t="n">
        <v>0</v>
      </c>
      <c r="V169" s="2" t="inlineStr">
        <is>
          <t>Vedflamlav</t>
        </is>
      </c>
      <c r="W169">
        <f>HYPERLINK("https://klasma.github.io/Logging_2582/artfynd/A 36130-2026 artfynd.xlsx", "A 36130-2026")</f>
        <v/>
      </c>
      <c r="X169">
        <f>HYPERLINK("https://klasma.github.io/Logging_2582/kartor/A 36130-2026 karta.png", "A 36130-2026")</f>
        <v/>
      </c>
      <c r="Y169">
        <f>HYPERLINK("https://klasma.github.io/Logging_2582/kartor_geotiff/A 36130-2026 georefererad karta.tif", "A 36130-2026")</f>
        <v/>
      </c>
      <c r="AA169">
        <f>HYPERLINK("https://klasma.github.io/Logging_2582/klagomål/A 36130-2026 FSC-klagomål.docx", "A 36130-2026")</f>
        <v/>
      </c>
      <c r="AB169">
        <f>HYPERLINK("https://klasma.github.io/Logging_2582/klagomålsmail/A 36130-2026 FSC-klagomål mail.docx", "A 36130-2026")</f>
        <v/>
      </c>
      <c r="AC169">
        <f>HYPERLINK("https://klasma.github.io/Logging_2582/tillsyn/A 36130-2026 tillsynsbegäran.docx", "A 36130-2026")</f>
        <v/>
      </c>
      <c r="AD169">
        <f>HYPERLINK("https://klasma.github.io/Logging_2582/tillsynsmail/A 36130-2026 tillsynsbegäran mail.docx", "A 36130-2026")</f>
        <v/>
      </c>
    </row>
    <row r="170" ht="15" customHeight="1">
      <c r="A170" t="inlineStr">
        <is>
          <t>A 43166-2026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46311</v>
      </c>
      <c r="E170" s="1" t="n">
        <v>46323</v>
      </c>
      <c r="F170" t="inlineStr">
        <is>
          <t>NORRBOTTENS LÄN</t>
        </is>
      </c>
      <c r="G170" t="inlineStr">
        <is>
          <t>BODEN</t>
        </is>
      </c>
      <c r="I170" t="n">
        <v>10.6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1</v>
      </c>
      <c r="U170" t="n">
        <v>0</v>
      </c>
      <c r="V170" s="2" t="inlineStr">
        <is>
          <t>Tofsmes</t>
        </is>
      </c>
      <c r="W170">
        <f>HYPERLINK("https://klasma.github.io/Logging_2582/artfynd/A 43166-2026 artfynd.xlsx", "A 43166-2026")</f>
        <v/>
      </c>
      <c r="X170">
        <f>HYPERLINK("https://klasma.github.io/Logging_2582/kartor/A 43166-2026 karta.png", "A 43166-2026")</f>
        <v/>
      </c>
      <c r="Y170">
        <f>HYPERLINK("https://klasma.github.io/Logging_2582/kartor_geotiff/A 43166-2026 georefererad karta.tif", "A 43166-2026")</f>
        <v/>
      </c>
      <c r="AA170">
        <f>HYPERLINK("https://klasma.github.io/Logging_2582/klagomål/A 43166-2026 FSC-klagomål.docx", "A 43166-2026")</f>
        <v/>
      </c>
      <c r="AB170">
        <f>HYPERLINK("https://klasma.github.io/Logging_2582/klagomålsmail/A 43166-2026 FSC-klagomål mail.docx", "A 43166-2026")</f>
        <v/>
      </c>
      <c r="AC170">
        <f>HYPERLINK("https://klasma.github.io/Logging_2582/tillsyn/A 43166-2026 tillsynsbegäran.docx", "A 43166-2026")</f>
        <v/>
      </c>
      <c r="AD170">
        <f>HYPERLINK("https://klasma.github.io/Logging_2582/tillsynsmail/A 43166-2026 tillsynsbegäran mail.docx", "A 43166-2026")</f>
        <v/>
      </c>
    </row>
    <row r="171" ht="15" customHeight="1">
      <c r="A171" t="inlineStr">
        <is>
          <t>A 36734-2026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46272</v>
      </c>
      <c r="E171" s="1" t="n">
        <v>46323</v>
      </c>
      <c r="F171" t="inlineStr">
        <is>
          <t>NORRBOTTENS LÄN</t>
        </is>
      </c>
      <c r="G171" t="inlineStr">
        <is>
          <t>BODEN</t>
        </is>
      </c>
      <c r="H171" t="inlineStr">
        <is>
          <t>Sveaskog</t>
        </is>
      </c>
      <c r="I171" t="n">
        <v>10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2</v>
      </c>
      <c r="U171" t="n">
        <v>0</v>
      </c>
      <c r="V171" s="2" t="inlineStr">
        <is>
          <t>Fläcknycklar</t>
        </is>
      </c>
      <c r="W171">
        <f>HYPERLINK("https://klasma.github.io/Logging_2582/artfynd/A 36734-2026 artfynd.xlsx", "A 36734-2026")</f>
        <v/>
      </c>
      <c r="X171">
        <f>HYPERLINK("https://klasma.github.io/Logging_2582/kartor/A 36734-2026 karta.png", "A 36734-2026")</f>
        <v/>
      </c>
      <c r="Y171">
        <f>HYPERLINK("https://klasma.github.io/Logging_2582/kartor_geotiff/A 36734-2026 georefererad karta.tif", "A 36734-2026")</f>
        <v/>
      </c>
      <c r="AA171">
        <f>HYPERLINK("https://klasma.github.io/Logging_2582/klagomål/A 36734-2026 FSC-klagomål.docx", "A 36734-2026")</f>
        <v/>
      </c>
      <c r="AB171">
        <f>HYPERLINK("https://klasma.github.io/Logging_2582/klagomålsmail/A 36734-2026 FSC-klagomål mail.docx", "A 36734-2026")</f>
        <v/>
      </c>
      <c r="AC171">
        <f>HYPERLINK("https://klasma.github.io/Logging_2582/tillsyn/A 36734-2026 tillsynsbegäran.docx", "A 36734-2026")</f>
        <v/>
      </c>
      <c r="AD171">
        <f>HYPERLINK("https://klasma.github.io/Logging_2582/tillsynsmail/A 36734-2026 tillsynsbegäran mail.docx", "A 36734-2026")</f>
        <v/>
      </c>
    </row>
    <row r="172" ht="15" customHeight="1">
      <c r="A172" t="inlineStr">
        <is>
          <t>A 36749-2026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46272</v>
      </c>
      <c r="E172" s="1" t="n">
        <v>46323</v>
      </c>
      <c r="F172" t="inlineStr">
        <is>
          <t>NORRBOTTENS LÄN</t>
        </is>
      </c>
      <c r="G172" t="inlineStr">
        <is>
          <t>BODEN</t>
        </is>
      </c>
      <c r="H172" t="inlineStr">
        <is>
          <t>Sveaskog</t>
        </is>
      </c>
      <c r="I172" t="n">
        <v>8.699999999999999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2</v>
      </c>
      <c r="U172" t="n">
        <v>0</v>
      </c>
      <c r="V172" s="2" t="inlineStr">
        <is>
          <t>Vedflamlav</t>
        </is>
      </c>
      <c r="W172">
        <f>HYPERLINK("https://klasma.github.io/Logging_2582/artfynd/A 36749-2026 artfynd.xlsx", "A 36749-2026")</f>
        <v/>
      </c>
      <c r="X172">
        <f>HYPERLINK("https://klasma.github.io/Logging_2582/kartor/A 36749-2026 karta.png", "A 36749-2026")</f>
        <v/>
      </c>
      <c r="Y172">
        <f>HYPERLINK("https://klasma.github.io/Logging_2582/kartor_geotiff/A 36749-2026 georefererad karta.tif", "A 36749-2026")</f>
        <v/>
      </c>
      <c r="AA172">
        <f>HYPERLINK("https://klasma.github.io/Logging_2582/klagomål/A 36749-2026 FSC-klagomål.docx", "A 36749-2026")</f>
        <v/>
      </c>
      <c r="AB172">
        <f>HYPERLINK("https://klasma.github.io/Logging_2582/klagomålsmail/A 36749-2026 FSC-klagomål mail.docx", "A 36749-2026")</f>
        <v/>
      </c>
      <c r="AC172">
        <f>HYPERLINK("https://klasma.github.io/Logging_2582/tillsyn/A 36749-2026 tillsynsbegäran.docx", "A 36749-2026")</f>
        <v/>
      </c>
      <c r="AD172">
        <f>HYPERLINK("https://klasma.github.io/Logging_2582/tillsynsmail/A 36749-2026 tillsynsbegäran mail.docx", "A 36749-2026")</f>
        <v/>
      </c>
    </row>
    <row r="173" ht="15" customHeight="1">
      <c r="A173" t="inlineStr">
        <is>
          <t>A 68514-2021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44529</v>
      </c>
      <c r="E173" s="1" t="n">
        <v>46323</v>
      </c>
      <c r="F173" t="inlineStr">
        <is>
          <t>NORRBOTTENS LÄN</t>
        </is>
      </c>
      <c r="G173" t="inlineStr">
        <is>
          <t>BODEN</t>
        </is>
      </c>
      <c r="I173" t="n">
        <v>6.2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1</v>
      </c>
      <c r="U173" t="n">
        <v>1</v>
      </c>
      <c r="V173" s="2" t="inlineStr">
        <is>
          <t>Spillkråka</t>
        </is>
      </c>
      <c r="W173">
        <f>HYPERLINK("https://klasma.github.io/Logging_2582/artfynd/A 68514-2021 artfynd.xlsx", "A 68514-2021")</f>
        <v/>
      </c>
      <c r="X173">
        <f>HYPERLINK("https://klasma.github.io/Logging_2582/kartor/A 68514-2021 karta.png", "A 68514-2021")</f>
        <v/>
      </c>
      <c r="Y173">
        <f>HYPERLINK("https://klasma.github.io/Logging_2582/kartor_geotiff/A 68514-2021 georefererad karta.tif", "A 68514-2021")</f>
        <v/>
      </c>
      <c r="Z173">
        <f>HYPERLINK("https://klasma.github.io/Logging_2582/knärot/A 68514-2021 karta knärot.png", "A 68514-2021")</f>
        <v/>
      </c>
      <c r="AA173">
        <f>HYPERLINK("https://klasma.github.io/Logging_2582/klagomål/A 68514-2021 FSC-klagomål.docx", "A 68514-2021")</f>
        <v/>
      </c>
      <c r="AB173">
        <f>HYPERLINK("https://klasma.github.io/Logging_2582/klagomålsmail/A 68514-2021 FSC-klagomål mail.docx", "A 68514-2021")</f>
        <v/>
      </c>
      <c r="AC173">
        <f>HYPERLINK("https://klasma.github.io/Logging_2582/tillsyn/A 68514-2021 tillsynsbegäran.docx", "A 68514-2021")</f>
        <v/>
      </c>
      <c r="AD173">
        <f>HYPERLINK("https://klasma.github.io/Logging_2582/tillsynsmail/A 68514-2021 tillsynsbegäran mail.docx", "A 68514-2021")</f>
        <v/>
      </c>
      <c r="AE173">
        <f>HYPERLINK("https://klasma.github.io/Logging_2582/fåglar/A 68514-2021 prioriterade fågelarter.docx", "A 68514-2021")</f>
        <v/>
      </c>
    </row>
    <row r="174" ht="15" customHeight="1">
      <c r="A174" t="inlineStr">
        <is>
          <t>A 21310-2026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46147</v>
      </c>
      <c r="E174" s="1" t="n">
        <v>46323</v>
      </c>
      <c r="F174" t="inlineStr">
        <is>
          <t>NORRBOTTENS LÄN</t>
        </is>
      </c>
      <c r="G174" t="inlineStr">
        <is>
          <t>BODEN</t>
        </is>
      </c>
      <c r="I174" t="n">
        <v>1.9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1</v>
      </c>
      <c r="U174" t="n">
        <v>0</v>
      </c>
      <c r="V174" s="2" t="inlineStr">
        <is>
          <t>Revlummer</t>
        </is>
      </c>
      <c r="W174">
        <f>HYPERLINK("https://klasma.github.io/Logging_2582/artfynd/A 21310-2026 artfynd.xlsx", "A 21310-2026")</f>
        <v/>
      </c>
      <c r="X174">
        <f>HYPERLINK("https://klasma.github.io/Logging_2582/kartor/A 21310-2026 karta.png", "A 21310-2026")</f>
        <v/>
      </c>
      <c r="Y174">
        <f>HYPERLINK("https://klasma.github.io/Logging_2582/kartor_geotiff/A 21310-2026 georefererad karta.tif", "A 21310-2026")</f>
        <v/>
      </c>
      <c r="AA174">
        <f>HYPERLINK("https://klasma.github.io/Logging_2582/klagomål/A 21310-2026 FSC-klagomål.docx", "A 21310-2026")</f>
        <v/>
      </c>
      <c r="AB174">
        <f>HYPERLINK("https://klasma.github.io/Logging_2582/klagomålsmail/A 21310-2026 FSC-klagomål mail.docx", "A 21310-2026")</f>
        <v/>
      </c>
      <c r="AC174">
        <f>HYPERLINK("https://klasma.github.io/Logging_2582/tillsyn/A 21310-2026 tillsynsbegäran.docx", "A 21310-2026")</f>
        <v/>
      </c>
      <c r="AD174">
        <f>HYPERLINK("https://klasma.github.io/Logging_2582/tillsynsmail/A 21310-2026 tillsynsbegäran mail.docx", "A 21310-2026")</f>
        <v/>
      </c>
    </row>
    <row r="175" ht="15" customHeight="1">
      <c r="A175" t="inlineStr">
        <is>
          <t>A 24429-2026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46168</v>
      </c>
      <c r="E175" s="1" t="n">
        <v>46323</v>
      </c>
      <c r="F175" t="inlineStr">
        <is>
          <t>NORRBOTTENS LÄN</t>
        </is>
      </c>
      <c r="G175" t="inlineStr">
        <is>
          <t>BODEN</t>
        </is>
      </c>
      <c r="I175" t="n">
        <v>0.5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1</v>
      </c>
      <c r="U175" t="n">
        <v>0</v>
      </c>
      <c r="V175" s="2" t="inlineStr">
        <is>
          <t>Fläcknycklar</t>
        </is>
      </c>
      <c r="W175">
        <f>HYPERLINK("https://klasma.github.io/Logging_2582/artfynd/A 24429-2026 artfynd.xlsx", "A 24429-2026")</f>
        <v/>
      </c>
      <c r="X175">
        <f>HYPERLINK("https://klasma.github.io/Logging_2582/kartor/A 24429-2026 karta.png", "A 24429-2026")</f>
        <v/>
      </c>
      <c r="Y175">
        <f>HYPERLINK("https://klasma.github.io/Logging_2582/kartor_geotiff/A 24429-2026 georefererad karta.tif", "A 24429-2026")</f>
        <v/>
      </c>
      <c r="AA175">
        <f>HYPERLINK("https://klasma.github.io/Logging_2582/klagomål/A 24429-2026 FSC-klagomål.docx", "A 24429-2026")</f>
        <v/>
      </c>
      <c r="AB175">
        <f>HYPERLINK("https://klasma.github.io/Logging_2582/klagomålsmail/A 24429-2026 FSC-klagomål mail.docx", "A 24429-2026")</f>
        <v/>
      </c>
      <c r="AC175">
        <f>HYPERLINK("https://klasma.github.io/Logging_2582/tillsyn/A 24429-2026 tillsynsbegäran.docx", "A 24429-2026")</f>
        <v/>
      </c>
      <c r="AD175">
        <f>HYPERLINK("https://klasma.github.io/Logging_2582/tillsynsmail/A 24429-2026 tillsynsbegäran mail.docx", "A 24429-2026")</f>
        <v/>
      </c>
    </row>
    <row r="176" ht="15" customHeight="1">
      <c r="A176" t="inlineStr">
        <is>
          <t>A 25805-2026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46178</v>
      </c>
      <c r="E176" s="1" t="n">
        <v>46323</v>
      </c>
      <c r="F176" t="inlineStr">
        <is>
          <t>NORRBOTTENS LÄN</t>
        </is>
      </c>
      <c r="G176" t="inlineStr">
        <is>
          <t>BODEN</t>
        </is>
      </c>
      <c r="H176" t="inlineStr">
        <is>
          <t>Sveaskog</t>
        </is>
      </c>
      <c r="I176" t="n">
        <v>3.6</v>
      </c>
      <c r="J176" t="n">
        <v>1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1</v>
      </c>
      <c r="U176" t="n">
        <v>0</v>
      </c>
      <c r="V176" s="2" t="inlineStr">
        <is>
          <t>Plattlummer</t>
        </is>
      </c>
      <c r="W176">
        <f>HYPERLINK("https://klasma.github.io/Logging_2582/artfynd/A 25805-2026 artfynd.xlsx", "A 25805-2026")</f>
        <v/>
      </c>
      <c r="X176">
        <f>HYPERLINK("https://klasma.github.io/Logging_2582/kartor/A 25805-2026 karta.png", "A 25805-2026")</f>
        <v/>
      </c>
      <c r="Y176">
        <f>HYPERLINK("https://klasma.github.io/Logging_2582/kartor_geotiff/A 25805-2026 georefererad karta.tif", "A 25805-2026")</f>
        <v/>
      </c>
      <c r="AA176">
        <f>HYPERLINK("https://klasma.github.io/Logging_2582/klagomål/A 25805-2026 FSC-klagomål.docx", "A 25805-2026")</f>
        <v/>
      </c>
      <c r="AB176">
        <f>HYPERLINK("https://klasma.github.io/Logging_2582/klagomålsmail/A 25805-2026 FSC-klagomål mail.docx", "A 25805-2026")</f>
        <v/>
      </c>
      <c r="AC176">
        <f>HYPERLINK("https://klasma.github.io/Logging_2582/tillsyn/A 25805-2026 tillsynsbegäran.docx", "A 25805-2026")</f>
        <v/>
      </c>
      <c r="AD176">
        <f>HYPERLINK("https://klasma.github.io/Logging_2582/tillsynsmail/A 25805-2026 tillsynsbegäran mail.docx", "A 25805-2026")</f>
        <v/>
      </c>
    </row>
    <row r="177" ht="15" customHeight="1">
      <c r="A177" t="inlineStr">
        <is>
          <t>A 25801-2026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46178</v>
      </c>
      <c r="E177" s="1" t="n">
        <v>46323</v>
      </c>
      <c r="F177" t="inlineStr">
        <is>
          <t>NORRBOTTENS LÄN</t>
        </is>
      </c>
      <c r="G177" t="inlineStr">
        <is>
          <t>BODEN</t>
        </is>
      </c>
      <c r="H177" t="inlineStr">
        <is>
          <t>Sveaskog</t>
        </is>
      </c>
      <c r="I177" t="n">
        <v>1.9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1</v>
      </c>
      <c r="S177" t="n">
        <v>1</v>
      </c>
      <c r="T177" t="n">
        <v>1</v>
      </c>
      <c r="U177" t="n">
        <v>0</v>
      </c>
      <c r="V177" s="2" t="inlineStr">
        <is>
          <t>Knärot</t>
        </is>
      </c>
      <c r="W177">
        <f>HYPERLINK("https://klasma.github.io/Logging_2582/artfynd/A 25801-2026 artfynd.xlsx", "A 25801-2026")</f>
        <v/>
      </c>
      <c r="X177">
        <f>HYPERLINK("https://klasma.github.io/Logging_2582/kartor/A 25801-2026 karta.png", "A 25801-2026")</f>
        <v/>
      </c>
      <c r="Y177">
        <f>HYPERLINK("https://klasma.github.io/Logging_2582/kartor_geotiff/A 25801-2026 georefererad karta.tif", "A 25801-2026")</f>
        <v/>
      </c>
      <c r="Z177">
        <f>HYPERLINK("https://klasma.github.io/Logging_2582/knärot/A 25801-2026 karta knärot.png", "A 25801-2026")</f>
        <v/>
      </c>
      <c r="AA177">
        <f>HYPERLINK("https://klasma.github.io/Logging_2582/klagomål/A 25801-2026 FSC-klagomål.docx", "A 25801-2026")</f>
        <v/>
      </c>
      <c r="AB177">
        <f>HYPERLINK("https://klasma.github.io/Logging_2582/klagomålsmail/A 25801-2026 FSC-klagomål mail.docx", "A 25801-2026")</f>
        <v/>
      </c>
      <c r="AC177">
        <f>HYPERLINK("https://klasma.github.io/Logging_2582/tillsyn/A 25801-2026 tillsynsbegäran.docx", "A 25801-2026")</f>
        <v/>
      </c>
      <c r="AD177">
        <f>HYPERLINK("https://klasma.github.io/Logging_2582/tillsynsmail/A 25801-2026 tillsynsbegäran mail.docx", "A 25801-2026")</f>
        <v/>
      </c>
    </row>
    <row r="178" ht="15" customHeight="1">
      <c r="A178" t="inlineStr">
        <is>
          <t>A 25803-2026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46178</v>
      </c>
      <c r="E178" s="1" t="n">
        <v>46323</v>
      </c>
      <c r="F178" t="inlineStr">
        <is>
          <t>NORRBOTTENS LÄN</t>
        </is>
      </c>
      <c r="G178" t="inlineStr">
        <is>
          <t>BODEN</t>
        </is>
      </c>
      <c r="H178" t="inlineStr">
        <is>
          <t>Sveaskog</t>
        </is>
      </c>
      <c r="I178" t="n">
        <v>9.9</v>
      </c>
      <c r="J178" t="n">
        <v>1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1</v>
      </c>
      <c r="U178" t="n">
        <v>0</v>
      </c>
      <c r="V178" s="2" t="inlineStr">
        <is>
          <t>Spindelblomster</t>
        </is>
      </c>
      <c r="W178">
        <f>HYPERLINK("https://klasma.github.io/Logging_2582/artfynd/A 25803-2026 artfynd.xlsx", "A 25803-2026")</f>
        <v/>
      </c>
      <c r="X178">
        <f>HYPERLINK("https://klasma.github.io/Logging_2582/kartor/A 25803-2026 karta.png", "A 25803-2026")</f>
        <v/>
      </c>
      <c r="Y178">
        <f>HYPERLINK("https://klasma.github.io/Logging_2582/kartor_geotiff/A 25803-2026 georefererad karta.tif", "A 25803-2026")</f>
        <v/>
      </c>
      <c r="AA178">
        <f>HYPERLINK("https://klasma.github.io/Logging_2582/klagomål/A 25803-2026 FSC-klagomål.docx", "A 25803-2026")</f>
        <v/>
      </c>
      <c r="AB178">
        <f>HYPERLINK("https://klasma.github.io/Logging_2582/klagomålsmail/A 25803-2026 FSC-klagomål mail.docx", "A 25803-2026")</f>
        <v/>
      </c>
      <c r="AC178">
        <f>HYPERLINK("https://klasma.github.io/Logging_2582/tillsyn/A 25803-2026 tillsynsbegäran.docx", "A 25803-2026")</f>
        <v/>
      </c>
      <c r="AD178">
        <f>HYPERLINK("https://klasma.github.io/Logging_2582/tillsynsmail/A 25803-2026 tillsynsbegäran mail.docx", "A 25803-2026")</f>
        <v/>
      </c>
    </row>
    <row r="179" ht="15" customHeight="1">
      <c r="A179" t="inlineStr">
        <is>
          <t>A 26438-2026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46183</v>
      </c>
      <c r="E179" s="1" t="n">
        <v>46323</v>
      </c>
      <c r="F179" t="inlineStr">
        <is>
          <t>NORRBOTTENS LÄN</t>
        </is>
      </c>
      <c r="G179" t="inlineStr">
        <is>
          <t>BODEN</t>
        </is>
      </c>
      <c r="H179" t="inlineStr">
        <is>
          <t>Sveaskog</t>
        </is>
      </c>
      <c r="I179" t="n">
        <v>15.9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2</v>
      </c>
      <c r="U179" t="n">
        <v>0</v>
      </c>
      <c r="V179" s="2" t="inlineStr">
        <is>
          <t>Kolflarnlav</t>
        </is>
      </c>
      <c r="W179">
        <f>HYPERLINK("https://klasma.github.io/Logging_2582/artfynd/A 26438-2026 artfynd.xlsx", "A 26438-2026")</f>
        <v/>
      </c>
      <c r="X179">
        <f>HYPERLINK("https://klasma.github.io/Logging_2582/kartor/A 26438-2026 karta.png", "A 26438-2026")</f>
        <v/>
      </c>
      <c r="Y179">
        <f>HYPERLINK("https://klasma.github.io/Logging_2582/kartor_geotiff/A 26438-2026 georefererad karta.tif", "A 26438-2026")</f>
        <v/>
      </c>
      <c r="AA179">
        <f>HYPERLINK("https://klasma.github.io/Logging_2582/klagomål/A 26438-2026 FSC-klagomål.docx", "A 26438-2026")</f>
        <v/>
      </c>
      <c r="AB179">
        <f>HYPERLINK("https://klasma.github.io/Logging_2582/klagomålsmail/A 26438-2026 FSC-klagomål mail.docx", "A 26438-2026")</f>
        <v/>
      </c>
      <c r="AC179">
        <f>HYPERLINK("https://klasma.github.io/Logging_2582/tillsyn/A 26438-2026 tillsynsbegäran.docx", "A 26438-2026")</f>
        <v/>
      </c>
      <c r="AD179">
        <f>HYPERLINK("https://klasma.github.io/Logging_2582/tillsynsmail/A 26438-2026 tillsynsbegäran mail.docx", "A 26438-2026")</f>
        <v/>
      </c>
    </row>
    <row r="180" ht="15" customHeight="1">
      <c r="A180" t="inlineStr">
        <is>
          <t>A 26690-2026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46184</v>
      </c>
      <c r="E180" s="1" t="n">
        <v>46323</v>
      </c>
      <c r="F180" t="inlineStr">
        <is>
          <t>NORRBOTTENS LÄN</t>
        </is>
      </c>
      <c r="G180" t="inlineStr">
        <is>
          <t>BODEN</t>
        </is>
      </c>
      <c r="H180" t="inlineStr">
        <is>
          <t>Sveaskog</t>
        </is>
      </c>
      <c r="I180" t="n">
        <v>11.9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1</v>
      </c>
      <c r="S180" t="n">
        <v>1</v>
      </c>
      <c r="T180" t="n">
        <v>1</v>
      </c>
      <c r="U180" t="n">
        <v>0</v>
      </c>
      <c r="V180" s="2" t="inlineStr">
        <is>
          <t>Knärot</t>
        </is>
      </c>
      <c r="W180">
        <f>HYPERLINK("https://klasma.github.io/Logging_2582/artfynd/A 26690-2026 artfynd.xlsx", "A 26690-2026")</f>
        <v/>
      </c>
      <c r="X180">
        <f>HYPERLINK("https://klasma.github.io/Logging_2582/kartor/A 26690-2026 karta.png", "A 26690-2026")</f>
        <v/>
      </c>
      <c r="Y180">
        <f>HYPERLINK("https://klasma.github.io/Logging_2582/kartor_geotiff/A 26690-2026 georefererad karta.tif", "A 26690-2026")</f>
        <v/>
      </c>
      <c r="Z180">
        <f>HYPERLINK("https://klasma.github.io/Logging_2582/knärot/A 26690-2026 karta knärot.png", "A 26690-2026")</f>
        <v/>
      </c>
      <c r="AA180">
        <f>HYPERLINK("https://klasma.github.io/Logging_2582/klagomål/A 26690-2026 FSC-klagomål.docx", "A 26690-2026")</f>
        <v/>
      </c>
      <c r="AB180">
        <f>HYPERLINK("https://klasma.github.io/Logging_2582/klagomålsmail/A 26690-2026 FSC-klagomål mail.docx", "A 26690-2026")</f>
        <v/>
      </c>
      <c r="AC180">
        <f>HYPERLINK("https://klasma.github.io/Logging_2582/tillsyn/A 26690-2026 tillsynsbegäran.docx", "A 26690-2026")</f>
        <v/>
      </c>
      <c r="AD180">
        <f>HYPERLINK("https://klasma.github.io/Logging_2582/tillsynsmail/A 26690-2026 tillsynsbegäran mail.docx", "A 26690-2026")</f>
        <v/>
      </c>
    </row>
    <row r="181" ht="15" customHeight="1">
      <c r="A181" t="inlineStr">
        <is>
          <t>S 187-2023</t>
        </is>
      </c>
      <c r="B181" t="inlineStr">
        <is>
          <t>samrådsanmälan</t>
        </is>
      </c>
      <c r="C181" t="inlineStr">
        <is>
          <t>Skogsgödsling</t>
        </is>
      </c>
      <c r="D181" s="1" t="n">
        <v>44944</v>
      </c>
      <c r="E181" s="1" t="n">
        <v>46323</v>
      </c>
      <c r="F181" t="inlineStr">
        <is>
          <t>NORRBOTTENS LÄN</t>
        </is>
      </c>
      <c r="G181" t="inlineStr">
        <is>
          <t>BODEN</t>
        </is>
      </c>
      <c r="H181" t="inlineStr">
        <is>
          <t>SCA</t>
        </is>
      </c>
      <c r="I181" t="n">
        <v>407.1</v>
      </c>
      <c r="J181" t="n">
        <v>1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1</v>
      </c>
      <c r="U181" t="n">
        <v>1</v>
      </c>
      <c r="V181" s="2" t="inlineStr">
        <is>
          <t>Duvhök</t>
        </is>
      </c>
      <c r="W181">
        <f>HYPERLINK("https://klasma.github.io/Logging_2582/artfynd/S 187-2023 artfynd.xlsx", "S 187-2023")</f>
        <v/>
      </c>
      <c r="X181">
        <f>HYPERLINK("https://klasma.github.io/Logging_2582/kartor/S 187-2023 karta.png", "S 187-2023")</f>
        <v/>
      </c>
      <c r="Y181">
        <f>HYPERLINK("https://klasma.github.io/Logging_2582/kartor_geotiff/S 187-2023 georefererad karta.tif", "S 187-2023")</f>
        <v/>
      </c>
      <c r="AA181">
        <f>HYPERLINK("https://klasma.github.io/Logging_2582/klagomål/S 187-2023 FSC-klagomål.docx", "S 187-2023")</f>
        <v/>
      </c>
      <c r="AB181">
        <f>HYPERLINK("https://klasma.github.io/Logging_2582/klagomålsmail/S 187-2023 FSC-klagomål mail.docx", "S 187-2023")</f>
        <v/>
      </c>
      <c r="AC181">
        <f>HYPERLINK("https://klasma.github.io/Logging_2582/tillsyn/S 187-2023 tillsynsbegäran.docx", "S 187-2023")</f>
        <v/>
      </c>
      <c r="AD181">
        <f>HYPERLINK("https://klasma.github.io/Logging_2582/tillsynsmail/S 187-2023 tillsynsbegäran mail.docx", "S 187-2023")</f>
        <v/>
      </c>
      <c r="AE181">
        <f>HYPERLINK("https://klasma.github.io/Logging_2582/fåglar/S 187-2023 prioriterade fågelarter.docx", "S 187-2023")</f>
        <v/>
      </c>
    </row>
    <row r="182" ht="15" customHeight="1">
      <c r="A182" t="inlineStr">
        <is>
          <t>S 1448-2024</t>
        </is>
      </c>
      <c r="B182" t="inlineStr">
        <is>
          <t>samrådsanmälan</t>
        </is>
      </c>
      <c r="C182" t="inlineStr">
        <is>
          <t>Annan skogsbruksåtgärd</t>
        </is>
      </c>
      <c r="D182" s="1" t="n">
        <v>45418</v>
      </c>
      <c r="E182" s="1" t="n">
        <v>46323</v>
      </c>
      <c r="F182" t="inlineStr">
        <is>
          <t>NORRBOTTENS LÄN</t>
        </is>
      </c>
      <c r="G182" t="inlineStr">
        <is>
          <t>BODEN</t>
        </is>
      </c>
      <c r="H182" t="inlineStr">
        <is>
          <t>Sveaskog</t>
        </is>
      </c>
      <c r="I182" t="n">
        <v>5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1</v>
      </c>
      <c r="U182" t="n">
        <v>0</v>
      </c>
      <c r="V182" s="2" t="inlineStr">
        <is>
          <t>Tallticka</t>
        </is>
      </c>
      <c r="W182">
        <f>HYPERLINK("https://klasma.github.io/Logging_2582/artfynd/S 1448-2024 artfynd.xlsx", "S 1448-2024")</f>
        <v/>
      </c>
      <c r="X182">
        <f>HYPERLINK("https://klasma.github.io/Logging_2582/kartor/S 1448-2024 karta.png", "S 1448-2024")</f>
        <v/>
      </c>
      <c r="Y182">
        <f>HYPERLINK("https://klasma.github.io/Logging_2582/kartor_geotiff/S 1448-2024 georefererad karta.tif", "S 1448-2024")</f>
        <v/>
      </c>
      <c r="AA182">
        <f>HYPERLINK("https://klasma.github.io/Logging_2582/klagomål/S 1448-2024 FSC-klagomål.docx", "S 1448-2024")</f>
        <v/>
      </c>
      <c r="AB182">
        <f>HYPERLINK("https://klasma.github.io/Logging_2582/klagomålsmail/S 1448-2024 FSC-klagomål mail.docx", "S 1448-2024")</f>
        <v/>
      </c>
      <c r="AC182">
        <f>HYPERLINK("https://klasma.github.io/Logging_2582/tillsyn/S 1448-2024 tillsynsbegäran.docx", "S 1448-2024")</f>
        <v/>
      </c>
      <c r="AD182">
        <f>HYPERLINK("https://klasma.github.io/Logging_2582/tillsynsmail/S 1448-2024 tillsynsbegäran mail.docx", "S 1448-2024")</f>
        <v/>
      </c>
    </row>
    <row r="183" ht="15" customHeight="1">
      <c r="A183" t="inlineStr">
        <is>
          <t>S 1234-2023</t>
        </is>
      </c>
      <c r="B183" t="inlineStr">
        <is>
          <t>samrådsanmälan</t>
        </is>
      </c>
      <c r="C183" t="inlineStr">
        <is>
          <t>Skogsgödsling</t>
        </is>
      </c>
      <c r="D183" s="1" t="n">
        <v>45028</v>
      </c>
      <c r="E183" s="1" t="n">
        <v>46323</v>
      </c>
      <c r="F183" t="inlineStr">
        <is>
          <t>NORRBOTTENS LÄN</t>
        </is>
      </c>
      <c r="G183" t="inlineStr">
        <is>
          <t>BODEN</t>
        </is>
      </c>
      <c r="H183" t="inlineStr">
        <is>
          <t>SCA</t>
        </is>
      </c>
      <c r="I183" t="n">
        <v>100.1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1</v>
      </c>
      <c r="U183" t="n">
        <v>1</v>
      </c>
      <c r="V183" s="2" t="inlineStr">
        <is>
          <t>Lunglav</t>
        </is>
      </c>
      <c r="W183">
        <f>HYPERLINK("https://klasma.github.io/Logging_2582/artfynd/S 1234-2023 artfynd.xlsx", "S 1234-2023")</f>
        <v/>
      </c>
      <c r="X183">
        <f>HYPERLINK("https://klasma.github.io/Logging_2582/kartor/S 1234-2023 karta.png", "S 1234-2023")</f>
        <v/>
      </c>
      <c r="Y183">
        <f>HYPERLINK("https://klasma.github.io/Logging_2582/kartor_geotiff/S 1234-2023 georefererad karta.tif", "S 1234-2023")</f>
        <v/>
      </c>
      <c r="AA183">
        <f>HYPERLINK("https://klasma.github.io/Logging_2582/klagomål/S 1234-2023 FSC-klagomål.docx", "S 1234-2023")</f>
        <v/>
      </c>
      <c r="AB183">
        <f>HYPERLINK("https://klasma.github.io/Logging_2582/klagomålsmail/S 1234-2023 FSC-klagomål mail.docx", "S 1234-2023")</f>
        <v/>
      </c>
      <c r="AC183">
        <f>HYPERLINK("https://klasma.github.io/Logging_2582/tillsyn/S 1234-2023 tillsynsbegäran.docx", "S 1234-2023")</f>
        <v/>
      </c>
      <c r="AD183">
        <f>HYPERLINK("https://klasma.github.io/Logging_2582/tillsynsmail/S 1234-2023 tillsynsbegäran mail.docx", "S 1234-2023")</f>
        <v/>
      </c>
    </row>
    <row r="184" ht="15" customHeight="1">
      <c r="A184" t="inlineStr">
        <is>
          <t>S 5116-2024</t>
        </is>
      </c>
      <c r="B184" t="inlineStr">
        <is>
          <t>samrådsanmälan</t>
        </is>
      </c>
      <c r="C184" t="inlineStr">
        <is>
          <t>Annan skogsbruksåtgärd</t>
        </is>
      </c>
      <c r="D184" s="1" t="n">
        <v>45643</v>
      </c>
      <c r="E184" s="1" t="n">
        <v>46323</v>
      </c>
      <c r="F184" t="inlineStr">
        <is>
          <t>NORRBOTTENS LÄN</t>
        </is>
      </c>
      <c r="G184" t="inlineStr">
        <is>
          <t>BODEN</t>
        </is>
      </c>
      <c r="I184" t="n">
        <v>9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s="2" t="inlineStr">
        <is>
          <t>Mattlummer</t>
        </is>
      </c>
      <c r="W184">
        <f>HYPERLINK("https://klasma.github.io/Logging_2582/artfynd/S 5116-2024 artfynd.xlsx", "S 5116-2024")</f>
        <v/>
      </c>
      <c r="X184">
        <f>HYPERLINK("https://klasma.github.io/Logging_2582/kartor/S 5116-2024 karta.png", "S 5116-2024")</f>
        <v/>
      </c>
      <c r="Y184">
        <f>HYPERLINK("https://klasma.github.io/Logging_2582/kartor_geotiff/S 5116-2024 georefererad karta.tif", "S 5116-2024")</f>
        <v/>
      </c>
      <c r="AA184">
        <f>HYPERLINK("https://klasma.github.io/Logging_2582/klagomål/S 5116-2024 FSC-klagomål.docx", "S 5116-2024")</f>
        <v/>
      </c>
      <c r="AB184">
        <f>HYPERLINK("https://klasma.github.io/Logging_2582/klagomålsmail/S 5116-2024 FSC-klagomål mail.docx", "S 5116-2024")</f>
        <v/>
      </c>
      <c r="AC184">
        <f>HYPERLINK("https://klasma.github.io/Logging_2582/tillsyn/S 5116-2024 tillsynsbegäran.docx", "S 5116-2024")</f>
        <v/>
      </c>
      <c r="AD184">
        <f>HYPERLINK("https://klasma.github.io/Logging_2582/tillsynsmail/S 5116-2024 tillsynsbegäran mail.docx", "S 5116-2024")</f>
        <v/>
      </c>
    </row>
    <row r="185" ht="15" customHeight="1">
      <c r="A185" t="inlineStr">
        <is>
          <t>S 1634-2025</t>
        </is>
      </c>
      <c r="B185" t="inlineStr">
        <is>
          <t>samrådsanmälan</t>
        </is>
      </c>
      <c r="C185" t="inlineStr">
        <is>
          <t>Annan skogsbruksåtgärd</t>
        </is>
      </c>
      <c r="D185" s="1" t="n">
        <v>45799</v>
      </c>
      <c r="E185" s="1" t="n">
        <v>46323</v>
      </c>
      <c r="F185" t="inlineStr">
        <is>
          <t>NORRBOTTENS LÄN</t>
        </is>
      </c>
      <c r="G185" t="inlineStr">
        <is>
          <t>BODEN</t>
        </is>
      </c>
      <c r="H185" t="inlineStr">
        <is>
          <t>Sveaskog</t>
        </is>
      </c>
      <c r="I185" t="n">
        <v>1.9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s="2" t="inlineStr">
        <is>
          <t>Knärot</t>
        </is>
      </c>
      <c r="W185">
        <f>HYPERLINK("https://klasma.github.io/Logging_2582/artfynd/S 1634-2025 artfynd.xlsx", "S 1634-2025")</f>
        <v/>
      </c>
      <c r="X185">
        <f>HYPERLINK("https://klasma.github.io/Logging_2582/kartor/S 1634-2025 karta.png", "S 1634-2025")</f>
        <v/>
      </c>
      <c r="Y185">
        <f>HYPERLINK("https://klasma.github.io/Logging_2582/kartor_geotiff/S 1634-2025 georefererad karta.tif", "S 1634-2025")</f>
        <v/>
      </c>
      <c r="Z185">
        <f>HYPERLINK("https://klasma.github.io/Logging_2582/knärot/S 1634-2025 karta knärot.png", "S 1634-2025")</f>
        <v/>
      </c>
      <c r="AA185">
        <f>HYPERLINK("https://klasma.github.io/Logging_2582/klagomål/S 1634-2025 FSC-klagomål.docx", "S 1634-2025")</f>
        <v/>
      </c>
      <c r="AB185">
        <f>HYPERLINK("https://klasma.github.io/Logging_2582/klagomålsmail/S 1634-2025 FSC-klagomål mail.docx", "S 1634-2025")</f>
        <v/>
      </c>
      <c r="AC185">
        <f>HYPERLINK("https://klasma.github.io/Logging_2582/tillsyn/S 1634-2025 tillsynsbegäran.docx", "S 1634-2025")</f>
        <v/>
      </c>
      <c r="AD185">
        <f>HYPERLINK("https://klasma.github.io/Logging_2582/tillsynsmail/S 1634-2025 tillsynsbegäran mail.docx", "S 1634-2025")</f>
        <v/>
      </c>
    </row>
    <row r="186" ht="15" customHeight="1">
      <c r="A186" t="inlineStr">
        <is>
          <t>S 2450-2025</t>
        </is>
      </c>
      <c r="B186" t="inlineStr">
        <is>
          <t>samrådsanmälan</t>
        </is>
      </c>
      <c r="C186" t="inlineStr">
        <is>
          <t>Annan skogsbruksåtgärd</t>
        </is>
      </c>
      <c r="D186" s="1" t="n">
        <v>45901</v>
      </c>
      <c r="E186" s="1" t="n">
        <v>46323</v>
      </c>
      <c r="F186" t="inlineStr">
        <is>
          <t>NORRBOTTENS LÄN</t>
        </is>
      </c>
      <c r="G186" t="inlineStr">
        <is>
          <t>BODEN</t>
        </is>
      </c>
      <c r="H186" t="inlineStr">
        <is>
          <t>Sveaskog</t>
        </is>
      </c>
      <c r="I186" t="n">
        <v>1.7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1</v>
      </c>
      <c r="U186" t="n">
        <v>0</v>
      </c>
      <c r="V186" s="2" t="inlineStr">
        <is>
          <t>Kolflarnlav</t>
        </is>
      </c>
      <c r="W186">
        <f>HYPERLINK("https://klasma.github.io/Logging_2582/artfynd/S 2450-2025 artfynd.xlsx", "S 2450-2025")</f>
        <v/>
      </c>
      <c r="X186">
        <f>HYPERLINK("https://klasma.github.io/Logging_2582/kartor/S 2450-2025 karta.png", "S 2450-2025")</f>
        <v/>
      </c>
      <c r="Y186">
        <f>HYPERLINK("https://klasma.github.io/Logging_2582/kartor_geotiff/S 2450-2025 georefererad karta.tif", "S 2450-2025")</f>
        <v/>
      </c>
      <c r="AA186">
        <f>HYPERLINK("https://klasma.github.io/Logging_2582/klagomål/S 2450-2025 FSC-klagomål.docx", "S 2450-2025")</f>
        <v/>
      </c>
      <c r="AB186">
        <f>HYPERLINK("https://klasma.github.io/Logging_2582/klagomålsmail/S 2450-2025 FSC-klagomål mail.docx", "S 2450-2025")</f>
        <v/>
      </c>
      <c r="AC186">
        <f>HYPERLINK("https://klasma.github.io/Logging_2582/tillsyn/S 2450-2025 tillsynsbegäran.docx", "S 2450-2025")</f>
        <v/>
      </c>
      <c r="AD186">
        <f>HYPERLINK("https://klasma.github.io/Logging_2582/tillsynsmail/S 2450-2025 tillsynsbegäran mail.docx", "S 2450-2025")</f>
        <v/>
      </c>
    </row>
    <row r="187" ht="15" customHeight="1">
      <c r="A187" t="inlineStr">
        <is>
          <t>S 2940-2025</t>
        </is>
      </c>
      <c r="B187" t="inlineStr">
        <is>
          <t>samrådsanmälan</t>
        </is>
      </c>
      <c r="C187" t="inlineStr">
        <is>
          <t>Annan skogsbruksåtgärd</t>
        </is>
      </c>
      <c r="D187" s="1" t="n">
        <v>45952</v>
      </c>
      <c r="E187" s="1" t="n">
        <v>46323</v>
      </c>
      <c r="F187" t="inlineStr">
        <is>
          <t>NORRBOTTENS LÄN</t>
        </is>
      </c>
      <c r="G187" t="inlineStr">
        <is>
          <t>BODEN</t>
        </is>
      </c>
      <c r="H187" t="inlineStr">
        <is>
          <t>Sveaskog</t>
        </is>
      </c>
      <c r="I187" t="n">
        <v>0.7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1</v>
      </c>
      <c r="V187" s="2" t="inlineStr">
        <is>
          <t>Skinnlav</t>
        </is>
      </c>
      <c r="W187">
        <f>HYPERLINK("https://klasma.github.io/Logging_2582/artfynd/S 2940-2025 artfynd.xlsx", "S 2940-2025")</f>
        <v/>
      </c>
      <c r="X187">
        <f>HYPERLINK("https://klasma.github.io/Logging_2582/kartor/S 2940-2025 karta.png", "S 2940-2025")</f>
        <v/>
      </c>
      <c r="Y187">
        <f>HYPERLINK("https://klasma.github.io/Logging_2582/kartor_geotiff/S 2940-2025 georefererad karta.tif", "S 2940-2025")</f>
        <v/>
      </c>
      <c r="AA187">
        <f>HYPERLINK("https://klasma.github.io/Logging_2582/klagomål/S 2940-2025 FSC-klagomål.docx", "S 2940-2025")</f>
        <v/>
      </c>
      <c r="AB187">
        <f>HYPERLINK("https://klasma.github.io/Logging_2582/klagomålsmail/S 2940-2025 FSC-klagomål mail.docx", "S 2940-2025")</f>
        <v/>
      </c>
      <c r="AC187">
        <f>HYPERLINK("https://klasma.github.io/Logging_2582/tillsyn/S 2940-2025 tillsynsbegäran.docx", "S 2940-2025")</f>
        <v/>
      </c>
      <c r="AD187">
        <f>HYPERLINK("https://klasma.github.io/Logging_2582/tillsynsmail/S 2940-2025 tillsynsbegäran mail.docx", "S 2940-2025")</f>
        <v/>
      </c>
    </row>
    <row r="188" ht="15" customHeight="1">
      <c r="A188" t="inlineStr">
        <is>
          <t>A 63790-2021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44509</v>
      </c>
      <c r="E188" s="1" t="n">
        <v>46323</v>
      </c>
      <c r="F188" t="inlineStr">
        <is>
          <t>NORRBOTTENS LÄN</t>
        </is>
      </c>
      <c r="G188" t="inlineStr">
        <is>
          <t>BODEN</t>
        </is>
      </c>
      <c r="I188" t="n">
        <v>1.1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17121-2022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44677</v>
      </c>
      <c r="E189" s="1" t="n">
        <v>46323</v>
      </c>
      <c r="F189" t="inlineStr">
        <is>
          <t>NORRBOTTENS LÄN</t>
        </is>
      </c>
      <c r="G189" t="inlineStr">
        <is>
          <t>BODEN</t>
        </is>
      </c>
      <c r="I189" t="n">
        <v>0.5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2100-2022</t>
        </is>
      </c>
      <c r="B190" t="inlineStr">
        <is>
          <t>avverkningsanmälan</t>
        </is>
      </c>
      <c r="C190" t="inlineStr">
        <is>
          <t>Avverkning för annat ändamål</t>
        </is>
      </c>
      <c r="D190" s="1" t="n">
        <v>44577</v>
      </c>
      <c r="E190" s="1" t="n">
        <v>46323</v>
      </c>
      <c r="F190" t="inlineStr">
        <is>
          <t>NORRBOTTENS LÄN</t>
        </is>
      </c>
      <c r="G190" t="inlineStr">
        <is>
          <t>BODEN</t>
        </is>
      </c>
      <c r="I190" t="n">
        <v>1.3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15406-2022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44659</v>
      </c>
      <c r="E191" s="1" t="n">
        <v>46323</v>
      </c>
      <c r="F191" t="inlineStr">
        <is>
          <t>NORRBOTTENS LÄN</t>
        </is>
      </c>
      <c r="G191" t="inlineStr">
        <is>
          <t>BODEN</t>
        </is>
      </c>
      <c r="I191" t="n">
        <v>11.2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16530-2022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44671</v>
      </c>
      <c r="E192" s="1" t="n">
        <v>46323</v>
      </c>
      <c r="F192" t="inlineStr">
        <is>
          <t>NORRBOTTENS LÄN</t>
        </is>
      </c>
      <c r="G192" t="inlineStr">
        <is>
          <t>BODEN</t>
        </is>
      </c>
      <c r="I192" t="n">
        <v>8.9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47277-2022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44852</v>
      </c>
      <c r="E193" s="1" t="n">
        <v>46323</v>
      </c>
      <c r="F193" t="inlineStr">
        <is>
          <t>NORRBOTTENS LÄN</t>
        </is>
      </c>
      <c r="G193" t="inlineStr">
        <is>
          <t>BODEN</t>
        </is>
      </c>
      <c r="H193" t="inlineStr">
        <is>
          <t>SCA</t>
        </is>
      </c>
      <c r="I193" t="n">
        <v>2.4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38722-2022</t>
        </is>
      </c>
      <c r="B194" t="inlineStr">
        <is>
          <t>avverkningsanmälan</t>
        </is>
      </c>
      <c r="C194" t="inlineStr">
        <is>
          <t>Avverkning för annat ändamål</t>
        </is>
      </c>
      <c r="D194" s="1" t="n">
        <v>44815</v>
      </c>
      <c r="E194" s="1" t="n">
        <v>46323</v>
      </c>
      <c r="F194" t="inlineStr">
        <is>
          <t>NORRBOTTENS LÄN</t>
        </is>
      </c>
      <c r="G194" t="inlineStr">
        <is>
          <t>BODEN</t>
        </is>
      </c>
      <c r="H194" t="inlineStr">
        <is>
          <t>Övriga statliga verk och myndigheter</t>
        </is>
      </c>
      <c r="I194" t="n">
        <v>8.5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13577-2022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44648</v>
      </c>
      <c r="E195" s="1" t="n">
        <v>46323</v>
      </c>
      <c r="F195" t="inlineStr">
        <is>
          <t>NORRBOTTENS LÄN</t>
        </is>
      </c>
      <c r="G195" t="inlineStr">
        <is>
          <t>BODEN</t>
        </is>
      </c>
      <c r="H195" t="inlineStr">
        <is>
          <t>Sveaskog</t>
        </is>
      </c>
      <c r="I195" t="n">
        <v>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9527-2022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44617</v>
      </c>
      <c r="E196" s="1" t="n">
        <v>46323</v>
      </c>
      <c r="F196" t="inlineStr">
        <is>
          <t>NORRBOTTENS LÄN</t>
        </is>
      </c>
      <c r="G196" t="inlineStr">
        <is>
          <t>BODEN</t>
        </is>
      </c>
      <c r="I196" t="n">
        <v>1.3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13592-2022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44648</v>
      </c>
      <c r="E197" s="1" t="n">
        <v>46323</v>
      </c>
      <c r="F197" t="inlineStr">
        <is>
          <t>NORRBOTTENS LÄN</t>
        </is>
      </c>
      <c r="G197" t="inlineStr">
        <is>
          <t>BODEN</t>
        </is>
      </c>
      <c r="H197" t="inlineStr">
        <is>
          <t>Sveaskog</t>
        </is>
      </c>
      <c r="I197" t="n">
        <v>4.7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50322-2022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44865</v>
      </c>
      <c r="E198" s="1" t="n">
        <v>46323</v>
      </c>
      <c r="F198" t="inlineStr">
        <is>
          <t>NORRBOTTENS LÄN</t>
        </is>
      </c>
      <c r="G198" t="inlineStr">
        <is>
          <t>BODEN</t>
        </is>
      </c>
      <c r="H198" t="inlineStr">
        <is>
          <t>SCA</t>
        </is>
      </c>
      <c r="I198" t="n">
        <v>3.8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8112-2022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44609</v>
      </c>
      <c r="E199" s="1" t="n">
        <v>46323</v>
      </c>
      <c r="F199" t="inlineStr">
        <is>
          <t>NORRBOTTENS LÄN</t>
        </is>
      </c>
      <c r="G199" t="inlineStr">
        <is>
          <t>BODEN</t>
        </is>
      </c>
      <c r="I199" t="n">
        <v>0.5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8125-2022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44609</v>
      </c>
      <c r="E200" s="1" t="n">
        <v>46323</v>
      </c>
      <c r="F200" t="inlineStr">
        <is>
          <t>NORRBOTTENS LÄN</t>
        </is>
      </c>
      <c r="G200" t="inlineStr">
        <is>
          <t>BODEN</t>
        </is>
      </c>
      <c r="I200" t="n">
        <v>2.9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16478-2022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44671</v>
      </c>
      <c r="E201" s="1" t="n">
        <v>46323</v>
      </c>
      <c r="F201" t="inlineStr">
        <is>
          <t>NORRBOTTENS LÄN</t>
        </is>
      </c>
      <c r="G201" t="inlineStr">
        <is>
          <t>BODEN</t>
        </is>
      </c>
      <c r="I201" t="n">
        <v>1.9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55536-2022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44887</v>
      </c>
      <c r="E202" s="1" t="n">
        <v>46323</v>
      </c>
      <c r="F202" t="inlineStr">
        <is>
          <t>NORRBOTTENS LÄN</t>
        </is>
      </c>
      <c r="G202" t="inlineStr">
        <is>
          <t>BODEN</t>
        </is>
      </c>
      <c r="H202" t="inlineStr">
        <is>
          <t>SCA</t>
        </is>
      </c>
      <c r="I202" t="n">
        <v>1.6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23546-2022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44721</v>
      </c>
      <c r="E203" s="1" t="n">
        <v>46323</v>
      </c>
      <c r="F203" t="inlineStr">
        <is>
          <t>NORRBOTTENS LÄN</t>
        </is>
      </c>
      <c r="G203" t="inlineStr">
        <is>
          <t>BODEN</t>
        </is>
      </c>
      <c r="I203" t="n">
        <v>6.7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71833-2021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44543</v>
      </c>
      <c r="E204" s="1" t="n">
        <v>46323</v>
      </c>
      <c r="F204" t="inlineStr">
        <is>
          <t>NORRBOTTENS LÄN</t>
        </is>
      </c>
      <c r="G204" t="inlineStr">
        <is>
          <t>BODEN</t>
        </is>
      </c>
      <c r="I204" t="n">
        <v>0.8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68914-2021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44530</v>
      </c>
      <c r="E205" s="1" t="n">
        <v>46323</v>
      </c>
      <c r="F205" t="inlineStr">
        <is>
          <t>NORRBOTTENS LÄN</t>
        </is>
      </c>
      <c r="G205" t="inlineStr">
        <is>
          <t>BODEN</t>
        </is>
      </c>
      <c r="I205" t="n">
        <v>1.2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13552-2022</t>
        </is>
      </c>
      <c r="B206" t="inlineStr">
        <is>
          <t>avverkningsanmälan</t>
        </is>
      </c>
      <c r="C206" t="inlineStr">
        <is>
          <t>Avverkning för annat ändamål</t>
        </is>
      </c>
      <c r="D206" s="1" t="n">
        <v>44648</v>
      </c>
      <c r="E206" s="1" t="n">
        <v>46323</v>
      </c>
      <c r="F206" t="inlineStr">
        <is>
          <t>NORRBOTTENS LÄN</t>
        </is>
      </c>
      <c r="G206" t="inlineStr">
        <is>
          <t>BODEN</t>
        </is>
      </c>
      <c r="H206" t="inlineStr">
        <is>
          <t>Sveaskog</t>
        </is>
      </c>
      <c r="I206" t="n">
        <v>4.1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710-2022</t>
        </is>
      </c>
      <c r="B207" t="inlineStr">
        <is>
          <t>avverkningsanmälan</t>
        </is>
      </c>
      <c r="C207" t="inlineStr">
        <is>
          <t>Avverkning för att bevara och utveckla /försöksver</t>
        </is>
      </c>
      <c r="D207" s="1" t="n">
        <v>44566</v>
      </c>
      <c r="E207" s="1" t="n">
        <v>46323</v>
      </c>
      <c r="F207" t="inlineStr">
        <is>
          <t>NORRBOTTENS LÄN</t>
        </is>
      </c>
      <c r="G207" t="inlineStr">
        <is>
          <t>BODEN</t>
        </is>
      </c>
      <c r="I207" t="n">
        <v>4.6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26013-2022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44734</v>
      </c>
      <c r="E208" s="1" t="n">
        <v>46323</v>
      </c>
      <c r="F208" t="inlineStr">
        <is>
          <t>NORRBOTTENS LÄN</t>
        </is>
      </c>
      <c r="G208" t="inlineStr">
        <is>
          <t>BODEN</t>
        </is>
      </c>
      <c r="I208" t="n">
        <v>9.1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714-2022</t>
        </is>
      </c>
      <c r="B209" t="inlineStr">
        <is>
          <t>avverkningsanmälan</t>
        </is>
      </c>
      <c r="C209" t="inlineStr">
        <is>
          <t>Avverkning för att bevara och utveckla /försöksver</t>
        </is>
      </c>
      <c r="D209" s="1" t="n">
        <v>44566</v>
      </c>
      <c r="E209" s="1" t="n">
        <v>46323</v>
      </c>
      <c r="F209" t="inlineStr">
        <is>
          <t>NORRBOTTENS LÄN</t>
        </is>
      </c>
      <c r="G209" t="inlineStr">
        <is>
          <t>BODEN</t>
        </is>
      </c>
      <c r="I209" t="n">
        <v>5.6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6181-2022</t>
        </is>
      </c>
      <c r="B210" t="inlineStr">
        <is>
          <t>avverkningsanmälan</t>
        </is>
      </c>
      <c r="C210" t="inlineStr">
        <is>
          <t>Avverkning för att bevara och utveckla /försöksver</t>
        </is>
      </c>
      <c r="D210" s="1" t="n">
        <v>44600</v>
      </c>
      <c r="E210" s="1" t="n">
        <v>46323</v>
      </c>
      <c r="F210" t="inlineStr">
        <is>
          <t>NORRBOTTENS LÄN</t>
        </is>
      </c>
      <c r="G210" t="inlineStr">
        <is>
          <t>BODEN</t>
        </is>
      </c>
      <c r="H210" t="inlineStr">
        <is>
          <t>Sveaskog</t>
        </is>
      </c>
      <c r="I210" t="n">
        <v>7.7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29119-2022</t>
        </is>
      </c>
      <c r="B211" t="inlineStr">
        <is>
          <t>avverkningsanmälan</t>
        </is>
      </c>
      <c r="C211" t="inlineStr">
        <is>
          <t>Avverkning för att bevara och utveckla /försöksver</t>
        </is>
      </c>
      <c r="D211" s="1" t="n">
        <v>44749</v>
      </c>
      <c r="E211" s="1" t="n">
        <v>46323</v>
      </c>
      <c r="F211" t="inlineStr">
        <is>
          <t>NORRBOTTENS LÄN</t>
        </is>
      </c>
      <c r="G211" t="inlineStr">
        <is>
          <t>BODEN</t>
        </is>
      </c>
      <c r="I211" t="n">
        <v>10.4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23871-2022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44722</v>
      </c>
      <c r="E212" s="1" t="n">
        <v>46323</v>
      </c>
      <c r="F212" t="inlineStr">
        <is>
          <t>NORRBOTTENS LÄN</t>
        </is>
      </c>
      <c r="G212" t="inlineStr">
        <is>
          <t>BODEN</t>
        </is>
      </c>
      <c r="I212" t="n">
        <v>4.8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69124-2021</t>
        </is>
      </c>
      <c r="B213" t="inlineStr">
        <is>
          <t>avverkningsanmälan</t>
        </is>
      </c>
      <c r="C213" t="inlineStr">
        <is>
          <t>Avverkning för annat ändamål</t>
        </is>
      </c>
      <c r="D213" s="1" t="n">
        <v>44530</v>
      </c>
      <c r="E213" s="1" t="n">
        <v>46323</v>
      </c>
      <c r="F213" t="inlineStr">
        <is>
          <t>NORRBOTTENS LÄN</t>
        </is>
      </c>
      <c r="G213" t="inlineStr">
        <is>
          <t>BODEN</t>
        </is>
      </c>
      <c r="I213" t="n">
        <v>3.7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446-2022</t>
        </is>
      </c>
      <c r="B214" t="inlineStr">
        <is>
          <t>avverkningsanmälan</t>
        </is>
      </c>
      <c r="C214" t="inlineStr">
        <is>
          <t>Avverkning för att bevara och utveckla /försöksver</t>
        </is>
      </c>
      <c r="D214" s="1" t="n">
        <v>44565</v>
      </c>
      <c r="E214" s="1" t="n">
        <v>46323</v>
      </c>
      <c r="F214" t="inlineStr">
        <is>
          <t>NORRBOTTENS LÄN</t>
        </is>
      </c>
      <c r="G214" t="inlineStr">
        <is>
          <t>BODEN</t>
        </is>
      </c>
      <c r="I214" t="n">
        <v>2.1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1447-2022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44573</v>
      </c>
      <c r="E215" s="1" t="n">
        <v>46323</v>
      </c>
      <c r="F215" t="inlineStr">
        <is>
          <t>NORRBOTTENS LÄN</t>
        </is>
      </c>
      <c r="G215" t="inlineStr">
        <is>
          <t>BODEN</t>
        </is>
      </c>
      <c r="H215" t="inlineStr">
        <is>
          <t>Sveaskog</t>
        </is>
      </c>
      <c r="I215" t="n">
        <v>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711-2022</t>
        </is>
      </c>
      <c r="B216" t="inlineStr">
        <is>
          <t>avverkningsanmälan</t>
        </is>
      </c>
      <c r="C216" t="inlineStr">
        <is>
          <t>Avverkning för att bevara och utveckla /försöksver</t>
        </is>
      </c>
      <c r="D216" s="1" t="n">
        <v>44566</v>
      </c>
      <c r="E216" s="1" t="n">
        <v>46323</v>
      </c>
      <c r="F216" t="inlineStr">
        <is>
          <t>NORRBOTTENS LÄN</t>
        </is>
      </c>
      <c r="G216" t="inlineStr">
        <is>
          <t>BODEN</t>
        </is>
      </c>
      <c r="I216" t="n">
        <v>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9530-2022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44617</v>
      </c>
      <c r="E217" s="1" t="n">
        <v>46323</v>
      </c>
      <c r="F217" t="inlineStr">
        <is>
          <t>NORRBOTTENS LÄN</t>
        </is>
      </c>
      <c r="G217" t="inlineStr">
        <is>
          <t>BODEN</t>
        </is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39971-2022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44820</v>
      </c>
      <c r="E218" s="1" t="n">
        <v>46323</v>
      </c>
      <c r="F218" t="inlineStr">
        <is>
          <t>NORRBOTTENS LÄN</t>
        </is>
      </c>
      <c r="G218" t="inlineStr">
        <is>
          <t>BODEN</t>
        </is>
      </c>
      <c r="H218" t="inlineStr">
        <is>
          <t>Sveaskog</t>
        </is>
      </c>
      <c r="I218" t="n">
        <v>11.3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10709-2022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44625</v>
      </c>
      <c r="E219" s="1" t="n">
        <v>46323</v>
      </c>
      <c r="F219" t="inlineStr">
        <is>
          <t>NORRBOTTENS LÄN</t>
        </is>
      </c>
      <c r="G219" t="inlineStr">
        <is>
          <t>BODEN</t>
        </is>
      </c>
      <c r="I219" t="n">
        <v>0.4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5733-2022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44596</v>
      </c>
      <c r="E220" s="1" t="n">
        <v>46323</v>
      </c>
      <c r="F220" t="inlineStr">
        <is>
          <t>NORRBOTTENS LÄN</t>
        </is>
      </c>
      <c r="G220" t="inlineStr">
        <is>
          <t>BODEN</t>
        </is>
      </c>
      <c r="H220" t="inlineStr">
        <is>
          <t>Övriga statliga verk och myndigheter</t>
        </is>
      </c>
      <c r="I220" t="n">
        <v>7.3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35044-2022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44796</v>
      </c>
      <c r="E221" s="1" t="n">
        <v>46323</v>
      </c>
      <c r="F221" t="inlineStr">
        <is>
          <t>NORRBOTTENS LÄN</t>
        </is>
      </c>
      <c r="G221" t="inlineStr">
        <is>
          <t>BODEN</t>
        </is>
      </c>
      <c r="I221" t="n">
        <v>0.4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35046-2022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44796</v>
      </c>
      <c r="E222" s="1" t="n">
        <v>46323</v>
      </c>
      <c r="F222" t="inlineStr">
        <is>
          <t>NORRBOTTENS LÄN</t>
        </is>
      </c>
      <c r="G222" t="inlineStr">
        <is>
          <t>BODEN</t>
        </is>
      </c>
      <c r="I222" t="n">
        <v>1.2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8028-2024</t>
        </is>
      </c>
      <c r="B223" t="inlineStr">
        <is>
          <t>avverkningsanmälan</t>
        </is>
      </c>
      <c r="C223" t="inlineStr">
        <is>
          <t>Avverkning för annat ändamål</t>
        </is>
      </c>
      <c r="D223" s="1" t="n">
        <v>45350</v>
      </c>
      <c r="E223" s="1" t="n">
        <v>46323</v>
      </c>
      <c r="F223" t="inlineStr">
        <is>
          <t>NORRBOTTENS LÄN</t>
        </is>
      </c>
      <c r="G223" t="inlineStr">
        <is>
          <t>BODEN</t>
        </is>
      </c>
      <c r="I223" t="n">
        <v>1.3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42632-2022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44831</v>
      </c>
      <c r="E224" s="1" t="n">
        <v>46323</v>
      </c>
      <c r="F224" t="inlineStr">
        <is>
          <t>NORRBOTTENS LÄN</t>
        </is>
      </c>
      <c r="G224" t="inlineStr">
        <is>
          <t>BODEN</t>
        </is>
      </c>
      <c r="H224" t="inlineStr">
        <is>
          <t>SCA</t>
        </is>
      </c>
      <c r="I224" t="n">
        <v>2.3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12562-2024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45379</v>
      </c>
      <c r="E225" s="1" t="n">
        <v>46323</v>
      </c>
      <c r="F225" t="inlineStr">
        <is>
          <t>NORRBOTTENS LÄN</t>
        </is>
      </c>
      <c r="G225" t="inlineStr">
        <is>
          <t>BODEN</t>
        </is>
      </c>
      <c r="I225" t="n">
        <v>3.4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19051-2025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45764</v>
      </c>
      <c r="E226" s="1" t="n">
        <v>46323</v>
      </c>
      <c r="F226" t="inlineStr">
        <is>
          <t>NORRBOTTENS LÄN</t>
        </is>
      </c>
      <c r="G226" t="inlineStr">
        <is>
          <t>BODEN</t>
        </is>
      </c>
      <c r="I226" t="n">
        <v>2.6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18866-2025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45764</v>
      </c>
      <c r="E227" s="1" t="n">
        <v>46323</v>
      </c>
      <c r="F227" t="inlineStr">
        <is>
          <t>NORRBOTTENS LÄN</t>
        </is>
      </c>
      <c r="G227" t="inlineStr">
        <is>
          <t>BODEN</t>
        </is>
      </c>
      <c r="I227" t="n">
        <v>1.9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19584-2025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45770</v>
      </c>
      <c r="E228" s="1" t="n">
        <v>46323</v>
      </c>
      <c r="F228" t="inlineStr">
        <is>
          <t>NORRBOTTENS LÄN</t>
        </is>
      </c>
      <c r="G228" t="inlineStr">
        <is>
          <t>BODEN</t>
        </is>
      </c>
      <c r="I228" t="n">
        <v>1.7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14995-2022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44657</v>
      </c>
      <c r="E229" s="1" t="n">
        <v>46323</v>
      </c>
      <c r="F229" t="inlineStr">
        <is>
          <t>NORRBOTTENS LÄN</t>
        </is>
      </c>
      <c r="G229" t="inlineStr">
        <is>
          <t>BODEN</t>
        </is>
      </c>
      <c r="I229" t="n">
        <v>1.3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15000-2022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44657</v>
      </c>
      <c r="E230" s="1" t="n">
        <v>46323</v>
      </c>
      <c r="F230" t="inlineStr">
        <is>
          <t>NORRBOTTENS LÄN</t>
        </is>
      </c>
      <c r="G230" t="inlineStr">
        <is>
          <t>BODEN</t>
        </is>
      </c>
      <c r="I230" t="n">
        <v>2.6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11647-2023</t>
        </is>
      </c>
      <c r="B231" t="inlineStr">
        <is>
          <t>avverkningsanmälan</t>
        </is>
      </c>
      <c r="C231" t="inlineStr">
        <is>
          <t>Avverkning för annat ändamål</t>
        </is>
      </c>
      <c r="D231" s="1" t="n">
        <v>44994</v>
      </c>
      <c r="E231" s="1" t="n">
        <v>46323</v>
      </c>
      <c r="F231" t="inlineStr">
        <is>
          <t>NORRBOTTENS LÄN</t>
        </is>
      </c>
      <c r="G231" t="inlineStr">
        <is>
          <t>BODEN</t>
        </is>
      </c>
      <c r="I231" t="n">
        <v>0.3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16741-2022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44673</v>
      </c>
      <c r="E232" s="1" t="n">
        <v>46323</v>
      </c>
      <c r="F232" t="inlineStr">
        <is>
          <t>NORRBOTTENS LÄN</t>
        </is>
      </c>
      <c r="G232" t="inlineStr">
        <is>
          <t>BODEN</t>
        </is>
      </c>
      <c r="I232" t="n">
        <v>2.5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35752-2022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44799</v>
      </c>
      <c r="E233" s="1" t="n">
        <v>46323</v>
      </c>
      <c r="F233" t="inlineStr">
        <is>
          <t>NORRBOTTENS LÄN</t>
        </is>
      </c>
      <c r="G233" t="inlineStr">
        <is>
          <t>BODEN</t>
        </is>
      </c>
      <c r="H233" t="inlineStr">
        <is>
          <t>SCA</t>
        </is>
      </c>
      <c r="I233" t="n">
        <v>2.8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35753-2022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44799</v>
      </c>
      <c r="E234" s="1" t="n">
        <v>46323</v>
      </c>
      <c r="F234" t="inlineStr">
        <is>
          <t>NORRBOTTENS LÄN</t>
        </is>
      </c>
      <c r="G234" t="inlineStr">
        <is>
          <t>BODEN</t>
        </is>
      </c>
      <c r="H234" t="inlineStr">
        <is>
          <t>SCA</t>
        </is>
      </c>
      <c r="I234" t="n">
        <v>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42196-2024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45562</v>
      </c>
      <c r="E235" s="1" t="n">
        <v>46323</v>
      </c>
      <c r="F235" t="inlineStr">
        <is>
          <t>NORRBOTTENS LÄN</t>
        </is>
      </c>
      <c r="G235" t="inlineStr">
        <is>
          <t>BODEN</t>
        </is>
      </c>
      <c r="H235" t="inlineStr">
        <is>
          <t>SCA</t>
        </is>
      </c>
      <c r="I235" t="n">
        <v>1.7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48129-2023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45205</v>
      </c>
      <c r="E236" s="1" t="n">
        <v>46323</v>
      </c>
      <c r="F236" t="inlineStr">
        <is>
          <t>NORRBOTTENS LÄN</t>
        </is>
      </c>
      <c r="G236" t="inlineStr">
        <is>
          <t>BODEN</t>
        </is>
      </c>
      <c r="I236" t="n">
        <v>7.1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47922-2024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45589</v>
      </c>
      <c r="E237" s="1" t="n">
        <v>46323</v>
      </c>
      <c r="F237" t="inlineStr">
        <is>
          <t>NORRBOTTENS LÄN</t>
        </is>
      </c>
      <c r="G237" t="inlineStr">
        <is>
          <t>BODEN</t>
        </is>
      </c>
      <c r="H237" t="inlineStr">
        <is>
          <t>Naturvårdsverket</t>
        </is>
      </c>
      <c r="I237" t="n">
        <v>4.9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47924-2024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45589</v>
      </c>
      <c r="E238" s="1" t="n">
        <v>46323</v>
      </c>
      <c r="F238" t="inlineStr">
        <is>
          <t>NORRBOTTENS LÄN</t>
        </is>
      </c>
      <c r="G238" t="inlineStr">
        <is>
          <t>BODEN</t>
        </is>
      </c>
      <c r="H238" t="inlineStr">
        <is>
          <t>SCA</t>
        </is>
      </c>
      <c r="I238" t="n">
        <v>0.9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27688-2022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44743</v>
      </c>
      <c r="E239" s="1" t="n">
        <v>46323</v>
      </c>
      <c r="F239" t="inlineStr">
        <is>
          <t>NORRBOTTENS LÄN</t>
        </is>
      </c>
      <c r="G239" t="inlineStr">
        <is>
          <t>BODEN</t>
        </is>
      </c>
      <c r="I239" t="n">
        <v>13.5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34789-2022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44795</v>
      </c>
      <c r="E240" s="1" t="n">
        <v>46323</v>
      </c>
      <c r="F240" t="inlineStr">
        <is>
          <t>NORRBOTTENS LÄN</t>
        </is>
      </c>
      <c r="G240" t="inlineStr">
        <is>
          <t>BODEN</t>
        </is>
      </c>
      <c r="H240" t="inlineStr">
        <is>
          <t>SCA</t>
        </is>
      </c>
      <c r="I240" t="n">
        <v>3.5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68569-2021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44529</v>
      </c>
      <c r="E241" s="1" t="n">
        <v>46323</v>
      </c>
      <c r="F241" t="inlineStr">
        <is>
          <t>NORRBOTTENS LÄN</t>
        </is>
      </c>
      <c r="G241" t="inlineStr">
        <is>
          <t>BODEN</t>
        </is>
      </c>
      <c r="I241" t="n">
        <v>0.8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38213-2022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44812</v>
      </c>
      <c r="E242" s="1" t="n">
        <v>46323</v>
      </c>
      <c r="F242" t="inlineStr">
        <is>
          <t>NORRBOTTENS LÄN</t>
        </is>
      </c>
      <c r="G242" t="inlineStr">
        <is>
          <t>BODEN</t>
        </is>
      </c>
      <c r="I242" t="n">
        <v>0.8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16531-2022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44671</v>
      </c>
      <c r="E243" s="1" t="n">
        <v>46323</v>
      </c>
      <c r="F243" t="inlineStr">
        <is>
          <t>NORRBOTTENS LÄN</t>
        </is>
      </c>
      <c r="G243" t="inlineStr">
        <is>
          <t>BODEN</t>
        </is>
      </c>
      <c r="I243" t="n">
        <v>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452-2022</t>
        </is>
      </c>
      <c r="B244" t="inlineStr">
        <is>
          <t>avverkningsanmälan</t>
        </is>
      </c>
      <c r="C244" t="inlineStr">
        <is>
          <t>Avverkning för att bevara och utveckla /försöksver</t>
        </is>
      </c>
      <c r="D244" s="1" t="n">
        <v>44565</v>
      </c>
      <c r="E244" s="1" t="n">
        <v>46323</v>
      </c>
      <c r="F244" t="inlineStr">
        <is>
          <t>NORRBOTTENS LÄN</t>
        </is>
      </c>
      <c r="G244" t="inlineStr">
        <is>
          <t>BODEN</t>
        </is>
      </c>
      <c r="I244" t="n">
        <v>3.7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11935-2022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44635</v>
      </c>
      <c r="E245" s="1" t="n">
        <v>46323</v>
      </c>
      <c r="F245" t="inlineStr">
        <is>
          <t>NORRBOTTENS LÄN</t>
        </is>
      </c>
      <c r="G245" t="inlineStr">
        <is>
          <t>BODEN</t>
        </is>
      </c>
      <c r="H245" t="inlineStr">
        <is>
          <t>Kyrkan</t>
        </is>
      </c>
      <c r="I245" t="n">
        <v>16.5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35069-2022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44797</v>
      </c>
      <c r="E246" s="1" t="n">
        <v>46323</v>
      </c>
      <c r="F246" t="inlineStr">
        <is>
          <t>NORRBOTTENS LÄN</t>
        </is>
      </c>
      <c r="G246" t="inlineStr">
        <is>
          <t>BODEN</t>
        </is>
      </c>
      <c r="I246" t="n">
        <v>9.1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17417-2023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45035</v>
      </c>
      <c r="E247" s="1" t="n">
        <v>46323</v>
      </c>
      <c r="F247" t="inlineStr">
        <is>
          <t>NORRBOTTENS LÄN</t>
        </is>
      </c>
      <c r="G247" t="inlineStr">
        <is>
          <t>BODEN</t>
        </is>
      </c>
      <c r="I247" t="n">
        <v>3.8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56457-2024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45625</v>
      </c>
      <c r="E248" s="1" t="n">
        <v>46323</v>
      </c>
      <c r="F248" t="inlineStr">
        <is>
          <t>NORRBOTTENS LÄN</t>
        </is>
      </c>
      <c r="G248" t="inlineStr">
        <is>
          <t>BODEN</t>
        </is>
      </c>
      <c r="H248" t="inlineStr">
        <is>
          <t>SCA</t>
        </is>
      </c>
      <c r="I248" t="n">
        <v>1.3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38584-2025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45884</v>
      </c>
      <c r="E249" s="1" t="n">
        <v>46323</v>
      </c>
      <c r="F249" t="inlineStr">
        <is>
          <t>NORRBOTTENS LÄN</t>
        </is>
      </c>
      <c r="G249" t="inlineStr">
        <is>
          <t>BODEN</t>
        </is>
      </c>
      <c r="H249" t="inlineStr">
        <is>
          <t>SCA</t>
        </is>
      </c>
      <c r="I249" t="n">
        <v>1.2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22447-2024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45446</v>
      </c>
      <c r="E250" s="1" t="n">
        <v>46323</v>
      </c>
      <c r="F250" t="inlineStr">
        <is>
          <t>NORRBOTTENS LÄN</t>
        </is>
      </c>
      <c r="G250" t="inlineStr">
        <is>
          <t>BODEN</t>
        </is>
      </c>
      <c r="I250" t="n">
        <v>6.7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59029-2022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44903</v>
      </c>
      <c r="E251" s="1" t="n">
        <v>46323</v>
      </c>
      <c r="F251" t="inlineStr">
        <is>
          <t>NORRBOTTENS LÄN</t>
        </is>
      </c>
      <c r="G251" t="inlineStr">
        <is>
          <t>BODEN</t>
        </is>
      </c>
      <c r="I251" t="n">
        <v>7.3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6638-2024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45341</v>
      </c>
      <c r="E252" s="1" t="n">
        <v>46323</v>
      </c>
      <c r="F252" t="inlineStr">
        <is>
          <t>NORRBOTTENS LÄN</t>
        </is>
      </c>
      <c r="G252" t="inlineStr">
        <is>
          <t>BODEN</t>
        </is>
      </c>
      <c r="H252" t="inlineStr">
        <is>
          <t>Övriga statliga verk och myndigheter</t>
        </is>
      </c>
      <c r="I252" t="n">
        <v>12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51193-2023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45212</v>
      </c>
      <c r="E253" s="1" t="n">
        <v>46323</v>
      </c>
      <c r="F253" t="inlineStr">
        <is>
          <t>NORRBOTTENS LÄN</t>
        </is>
      </c>
      <c r="G253" t="inlineStr">
        <is>
          <t>BODEN</t>
        </is>
      </c>
      <c r="I253" t="n">
        <v>1.1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43969-2024</t>
        </is>
      </c>
      <c r="B254" t="inlineStr">
        <is>
          <t>avverkningsanmälan</t>
        </is>
      </c>
      <c r="C254" t="inlineStr">
        <is>
          <t>Avverkning för annat ändamål</t>
        </is>
      </c>
      <c r="D254" s="1" t="n">
        <v>45572</v>
      </c>
      <c r="E254" s="1" t="n">
        <v>46323</v>
      </c>
      <c r="F254" t="inlineStr">
        <is>
          <t>NORRBOTTENS LÄN</t>
        </is>
      </c>
      <c r="G254" t="inlineStr">
        <is>
          <t>BODEN</t>
        </is>
      </c>
      <c r="H254" t="inlineStr">
        <is>
          <t>Sveaskog</t>
        </is>
      </c>
      <c r="I254" t="n">
        <v>1.5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26022-2022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44734</v>
      </c>
      <c r="E255" s="1" t="n">
        <v>46323</v>
      </c>
      <c r="F255" t="inlineStr">
        <is>
          <t>NORRBOTTENS LÄN</t>
        </is>
      </c>
      <c r="G255" t="inlineStr">
        <is>
          <t>BODEN</t>
        </is>
      </c>
      <c r="I255" t="n">
        <v>1.9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38370-2023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45161</v>
      </c>
      <c r="E256" s="1" t="n">
        <v>46323</v>
      </c>
      <c r="F256" t="inlineStr">
        <is>
          <t>NORRBOTTENS LÄN</t>
        </is>
      </c>
      <c r="G256" t="inlineStr">
        <is>
          <t>BODEN</t>
        </is>
      </c>
      <c r="H256" t="inlineStr">
        <is>
          <t>SCA</t>
        </is>
      </c>
      <c r="I256" t="n">
        <v>6.2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61932-2024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45653</v>
      </c>
      <c r="E257" s="1" t="n">
        <v>46323</v>
      </c>
      <c r="F257" t="inlineStr">
        <is>
          <t>NORRBOTTENS LÄN</t>
        </is>
      </c>
      <c r="G257" t="inlineStr">
        <is>
          <t>BODEN</t>
        </is>
      </c>
      <c r="I257" t="n">
        <v>0.8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41212-2023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45174</v>
      </c>
      <c r="E258" s="1" t="n">
        <v>46323</v>
      </c>
      <c r="F258" t="inlineStr">
        <is>
          <t>NORRBOTTENS LÄN</t>
        </is>
      </c>
      <c r="G258" t="inlineStr">
        <is>
          <t>BODEN</t>
        </is>
      </c>
      <c r="I258" t="n">
        <v>2.4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11930-2023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44994</v>
      </c>
      <c r="E259" s="1" t="n">
        <v>46323</v>
      </c>
      <c r="F259" t="inlineStr">
        <is>
          <t>NORRBOTTENS LÄN</t>
        </is>
      </c>
      <c r="G259" t="inlineStr">
        <is>
          <t>BODEN</t>
        </is>
      </c>
      <c r="I259" t="n">
        <v>1.1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42995-2022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44833</v>
      </c>
      <c r="E260" s="1" t="n">
        <v>46323</v>
      </c>
      <c r="F260" t="inlineStr">
        <is>
          <t>NORRBOTTENS LÄN</t>
        </is>
      </c>
      <c r="G260" t="inlineStr">
        <is>
          <t>BODEN</t>
        </is>
      </c>
      <c r="I260" t="n">
        <v>4.2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59893-2023</t>
        </is>
      </c>
      <c r="B261" t="inlineStr">
        <is>
          <t>avverkningsanmälan</t>
        </is>
      </c>
      <c r="C261" t="inlineStr">
        <is>
          <t>Avverkning för att bevara och utveckla /försöksver</t>
        </is>
      </c>
      <c r="D261" s="1" t="n">
        <v>45254</v>
      </c>
      <c r="E261" s="1" t="n">
        <v>46323</v>
      </c>
      <c r="F261" t="inlineStr">
        <is>
          <t>NORRBOTTENS LÄN</t>
        </is>
      </c>
      <c r="G261" t="inlineStr">
        <is>
          <t>BODEN</t>
        </is>
      </c>
      <c r="I261" t="n">
        <v>1.6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45929-2023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45195</v>
      </c>
      <c r="E262" s="1" t="n">
        <v>46323</v>
      </c>
      <c r="F262" t="inlineStr">
        <is>
          <t>NORRBOTTENS LÄN</t>
        </is>
      </c>
      <c r="G262" t="inlineStr">
        <is>
          <t>BODEN</t>
        </is>
      </c>
      <c r="H262" t="inlineStr">
        <is>
          <t>SCA</t>
        </is>
      </c>
      <c r="I262" t="n">
        <v>0.8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38583-2025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45884</v>
      </c>
      <c r="E263" s="1" t="n">
        <v>46323</v>
      </c>
      <c r="F263" t="inlineStr">
        <is>
          <t>NORRBOTTENS LÄN</t>
        </is>
      </c>
      <c r="G263" t="inlineStr">
        <is>
          <t>BODEN</t>
        </is>
      </c>
      <c r="H263" t="inlineStr">
        <is>
          <t>SCA</t>
        </is>
      </c>
      <c r="I263" t="n">
        <v>1.2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1017-2023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44935</v>
      </c>
      <c r="E264" s="1" t="n">
        <v>46323</v>
      </c>
      <c r="F264" t="inlineStr">
        <is>
          <t>NORRBOTTENS LÄN</t>
        </is>
      </c>
      <c r="G264" t="inlineStr">
        <is>
          <t>BODEN</t>
        </is>
      </c>
      <c r="I264" t="n">
        <v>4.4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9322-2024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45358</v>
      </c>
      <c r="E265" s="1" t="n">
        <v>46323</v>
      </c>
      <c r="F265" t="inlineStr">
        <is>
          <t>NORRBOTTENS LÄN</t>
        </is>
      </c>
      <c r="G265" t="inlineStr">
        <is>
          <t>BODEN</t>
        </is>
      </c>
      <c r="I265" t="n">
        <v>0.6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8782-2024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45356</v>
      </c>
      <c r="E266" s="1" t="n">
        <v>46323</v>
      </c>
      <c r="F266" t="inlineStr">
        <is>
          <t>NORRBOTTENS LÄN</t>
        </is>
      </c>
      <c r="G266" t="inlineStr">
        <is>
          <t>BODEN</t>
        </is>
      </c>
      <c r="I266" t="n">
        <v>3.4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35040-2022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44796</v>
      </c>
      <c r="E267" s="1" t="n">
        <v>46323</v>
      </c>
      <c r="F267" t="inlineStr">
        <is>
          <t>NORRBOTTENS LÄN</t>
        </is>
      </c>
      <c r="G267" t="inlineStr">
        <is>
          <t>BODEN</t>
        </is>
      </c>
      <c r="I267" t="n">
        <v>1.4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18679-2025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45763</v>
      </c>
      <c r="E268" s="1" t="n">
        <v>46323</v>
      </c>
      <c r="F268" t="inlineStr">
        <is>
          <t>NORRBOTTENS LÄN</t>
        </is>
      </c>
      <c r="G268" t="inlineStr">
        <is>
          <t>BODEN</t>
        </is>
      </c>
      <c r="I268" t="n">
        <v>1.8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25916-2023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45085</v>
      </c>
      <c r="E269" s="1" t="n">
        <v>46323</v>
      </c>
      <c r="F269" t="inlineStr">
        <is>
          <t>NORRBOTTENS LÄN</t>
        </is>
      </c>
      <c r="G269" t="inlineStr">
        <is>
          <t>BODEN</t>
        </is>
      </c>
      <c r="I269" t="n">
        <v>0.5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36915-2023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45153</v>
      </c>
      <c r="E270" s="1" t="n">
        <v>46323</v>
      </c>
      <c r="F270" t="inlineStr">
        <is>
          <t>NORRBOTTENS LÄN</t>
        </is>
      </c>
      <c r="G270" t="inlineStr">
        <is>
          <t>BODEN</t>
        </is>
      </c>
      <c r="I270" t="n">
        <v>7.5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56837-2023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45244</v>
      </c>
      <c r="E271" s="1" t="n">
        <v>46323</v>
      </c>
      <c r="F271" t="inlineStr">
        <is>
          <t>NORRBOTTENS LÄN</t>
        </is>
      </c>
      <c r="G271" t="inlineStr">
        <is>
          <t>BODEN</t>
        </is>
      </c>
      <c r="H271" t="inlineStr">
        <is>
          <t>Övriga statliga verk och myndigheter</t>
        </is>
      </c>
      <c r="I271" t="n">
        <v>5.4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61750-2024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45649</v>
      </c>
      <c r="E272" s="1" t="n">
        <v>46323</v>
      </c>
      <c r="F272" t="inlineStr">
        <is>
          <t>NORRBOTTENS LÄN</t>
        </is>
      </c>
      <c r="G272" t="inlineStr">
        <is>
          <t>BODEN</t>
        </is>
      </c>
      <c r="I272" t="n">
        <v>1.8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61969-2024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45653</v>
      </c>
      <c r="E273" s="1" t="n">
        <v>46323</v>
      </c>
      <c r="F273" t="inlineStr">
        <is>
          <t>NORRBOTTENS LÄN</t>
        </is>
      </c>
      <c r="G273" t="inlineStr">
        <is>
          <t>BODEN</t>
        </is>
      </c>
      <c r="I273" t="n">
        <v>9.699999999999999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36112-2023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45149</v>
      </c>
      <c r="E274" s="1" t="n">
        <v>46323</v>
      </c>
      <c r="F274" t="inlineStr">
        <is>
          <t>NORRBOTTENS LÄN</t>
        </is>
      </c>
      <c r="G274" t="inlineStr">
        <is>
          <t>BODEN</t>
        </is>
      </c>
      <c r="I274" t="n">
        <v>16.1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1023-2023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44935</v>
      </c>
      <c r="E275" s="1" t="n">
        <v>46323</v>
      </c>
      <c r="F275" t="inlineStr">
        <is>
          <t>NORRBOTTENS LÄN</t>
        </is>
      </c>
      <c r="G275" t="inlineStr">
        <is>
          <t>BODEN</t>
        </is>
      </c>
      <c r="I275" t="n">
        <v>3.1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1081-2024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45301</v>
      </c>
      <c r="E276" s="1" t="n">
        <v>46323</v>
      </c>
      <c r="F276" t="inlineStr">
        <is>
          <t>NORRBOTTENS LÄN</t>
        </is>
      </c>
      <c r="G276" t="inlineStr">
        <is>
          <t>BODEN</t>
        </is>
      </c>
      <c r="H276" t="inlineStr">
        <is>
          <t>Övriga statliga verk och myndigheter</t>
        </is>
      </c>
      <c r="I276" t="n">
        <v>10.4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59584-2023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45254</v>
      </c>
      <c r="E277" s="1" t="n">
        <v>46323</v>
      </c>
      <c r="F277" t="inlineStr">
        <is>
          <t>NORRBOTTENS LÄN</t>
        </is>
      </c>
      <c r="G277" t="inlineStr">
        <is>
          <t>BODEN</t>
        </is>
      </c>
      <c r="I277" t="n">
        <v>0.9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25575-2024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45463</v>
      </c>
      <c r="E278" s="1" t="n">
        <v>46323</v>
      </c>
      <c r="F278" t="inlineStr">
        <is>
          <t>NORRBOTTENS LÄN</t>
        </is>
      </c>
      <c r="G278" t="inlineStr">
        <is>
          <t>BODEN</t>
        </is>
      </c>
      <c r="I278" t="n">
        <v>0.6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48107-2022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44856</v>
      </c>
      <c r="E279" s="1" t="n">
        <v>46323</v>
      </c>
      <c r="F279" t="inlineStr">
        <is>
          <t>NORRBOTTENS LÄN</t>
        </is>
      </c>
      <c r="G279" t="inlineStr">
        <is>
          <t>BODEN</t>
        </is>
      </c>
      <c r="I279" t="n">
        <v>3.3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26964-2023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45093</v>
      </c>
      <c r="E280" s="1" t="n">
        <v>46323</v>
      </c>
      <c r="F280" t="inlineStr">
        <is>
          <t>NORRBOTTENS LÄN</t>
        </is>
      </c>
      <c r="G280" t="inlineStr">
        <is>
          <t>BODEN</t>
        </is>
      </c>
      <c r="H280" t="inlineStr">
        <is>
          <t>Sveaskog</t>
        </is>
      </c>
      <c r="I280" t="n">
        <v>2.3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61771-2024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45649</v>
      </c>
      <c r="E281" s="1" t="n">
        <v>46323</v>
      </c>
      <c r="F281" t="inlineStr">
        <is>
          <t>NORRBOTTENS LÄN</t>
        </is>
      </c>
      <c r="G281" t="inlineStr">
        <is>
          <t>BODEN</t>
        </is>
      </c>
      <c r="I281" t="n">
        <v>1.8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28745-2023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45103</v>
      </c>
      <c r="E282" s="1" t="n">
        <v>46323</v>
      </c>
      <c r="F282" t="inlineStr">
        <is>
          <t>NORRBOTTENS LÄN</t>
        </is>
      </c>
      <c r="G282" t="inlineStr">
        <is>
          <t>BODEN</t>
        </is>
      </c>
      <c r="I282" t="n">
        <v>0.8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40624-2022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44823</v>
      </c>
      <c r="E283" s="1" t="n">
        <v>46323</v>
      </c>
      <c r="F283" t="inlineStr">
        <is>
          <t>NORRBOTTENS LÄN</t>
        </is>
      </c>
      <c r="G283" t="inlineStr">
        <is>
          <t>BODEN</t>
        </is>
      </c>
      <c r="H283" t="inlineStr">
        <is>
          <t>SCA</t>
        </is>
      </c>
      <c r="I283" t="n">
        <v>6.4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61770-2024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45649</v>
      </c>
      <c r="E284" s="1" t="n">
        <v>46323</v>
      </c>
      <c r="F284" t="inlineStr">
        <is>
          <t>NORRBOTTENS LÄN</t>
        </is>
      </c>
      <c r="G284" t="inlineStr">
        <is>
          <t>BODEN</t>
        </is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60466-2024</t>
        </is>
      </c>
      <c r="B285" t="inlineStr">
        <is>
          <t>avverkningsanmälan</t>
        </is>
      </c>
      <c r="C285" t="inlineStr">
        <is>
          <t>Avverkning för annat ändamål</t>
        </is>
      </c>
      <c r="D285" s="1" t="n">
        <v>45643</v>
      </c>
      <c r="E285" s="1" t="n">
        <v>46323</v>
      </c>
      <c r="F285" t="inlineStr">
        <is>
          <t>NORRBOTTENS LÄN</t>
        </is>
      </c>
      <c r="G285" t="inlineStr">
        <is>
          <t>BODEN</t>
        </is>
      </c>
      <c r="H285" t="inlineStr">
        <is>
          <t>Sveaskog</t>
        </is>
      </c>
      <c r="I285" t="n">
        <v>4.1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718-2022</t>
        </is>
      </c>
      <c r="B286" t="inlineStr">
        <is>
          <t>avverkningsanmälan</t>
        </is>
      </c>
      <c r="C286" t="inlineStr">
        <is>
          <t>Avverkning för att bevara och utveckla /försöksver</t>
        </is>
      </c>
      <c r="D286" s="1" t="n">
        <v>44568</v>
      </c>
      <c r="E286" s="1" t="n">
        <v>46323</v>
      </c>
      <c r="F286" t="inlineStr">
        <is>
          <t>NORRBOTTENS LÄN</t>
        </is>
      </c>
      <c r="G286" t="inlineStr">
        <is>
          <t>BODEN</t>
        </is>
      </c>
      <c r="I286" t="n">
        <v>5.5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18900-2025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45764</v>
      </c>
      <c r="E287" s="1" t="n">
        <v>46323</v>
      </c>
      <c r="F287" t="inlineStr">
        <is>
          <t>NORRBOTTENS LÄN</t>
        </is>
      </c>
      <c r="G287" t="inlineStr">
        <is>
          <t>BODEN</t>
        </is>
      </c>
      <c r="I287" t="n">
        <v>2.8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1961-2025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45672</v>
      </c>
      <c r="E288" s="1" t="n">
        <v>46323</v>
      </c>
      <c r="F288" t="inlineStr">
        <is>
          <t>NORRBOTTENS LÄN</t>
        </is>
      </c>
      <c r="G288" t="inlineStr">
        <is>
          <t>BODEN</t>
        </is>
      </c>
      <c r="I288" t="n">
        <v>0.5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21335-2024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45429</v>
      </c>
      <c r="E289" s="1" t="n">
        <v>46323</v>
      </c>
      <c r="F289" t="inlineStr">
        <is>
          <t>NORRBOTTENS LÄN</t>
        </is>
      </c>
      <c r="G289" t="inlineStr">
        <is>
          <t>BODEN</t>
        </is>
      </c>
      <c r="I289" t="n">
        <v>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1205-2025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45667</v>
      </c>
      <c r="E290" s="1" t="n">
        <v>46323</v>
      </c>
      <c r="F290" t="inlineStr">
        <is>
          <t>NORRBOTTENS LÄN</t>
        </is>
      </c>
      <c r="G290" t="inlineStr">
        <is>
          <t>BODEN</t>
        </is>
      </c>
      <c r="I290" t="n">
        <v>1.4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18915-2025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45764</v>
      </c>
      <c r="E291" s="1" t="n">
        <v>46323</v>
      </c>
      <c r="F291" t="inlineStr">
        <is>
          <t>NORRBOTTENS LÄN</t>
        </is>
      </c>
      <c r="G291" t="inlineStr">
        <is>
          <t>BODEN</t>
        </is>
      </c>
      <c r="I291" t="n">
        <v>1.3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13714-2022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44648</v>
      </c>
      <c r="E292" s="1" t="n">
        <v>46323</v>
      </c>
      <c r="F292" t="inlineStr">
        <is>
          <t>NORRBOTTENS LÄN</t>
        </is>
      </c>
      <c r="G292" t="inlineStr">
        <is>
          <t>BODEN</t>
        </is>
      </c>
      <c r="H292" t="inlineStr">
        <is>
          <t>Sveaskog</t>
        </is>
      </c>
      <c r="I292" t="n">
        <v>4.5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18910-2025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45764</v>
      </c>
      <c r="E293" s="1" t="n">
        <v>46323</v>
      </c>
      <c r="F293" t="inlineStr">
        <is>
          <t>NORRBOTTENS LÄN</t>
        </is>
      </c>
      <c r="G293" t="inlineStr">
        <is>
          <t>BODEN</t>
        </is>
      </c>
      <c r="I293" t="n">
        <v>2.8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31007-2024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45499</v>
      </c>
      <c r="E294" s="1" t="n">
        <v>46323</v>
      </c>
      <c r="F294" t="inlineStr">
        <is>
          <t>NORRBOTTENS LÄN</t>
        </is>
      </c>
      <c r="G294" t="inlineStr">
        <is>
          <t>BODEN</t>
        </is>
      </c>
      <c r="I294" t="n">
        <v>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39717-2025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45891</v>
      </c>
      <c r="E295" s="1" t="n">
        <v>46323</v>
      </c>
      <c r="F295" t="inlineStr">
        <is>
          <t>NORRBOTTENS LÄN</t>
        </is>
      </c>
      <c r="G295" t="inlineStr">
        <is>
          <t>BODEN</t>
        </is>
      </c>
      <c r="I295" t="n">
        <v>13.9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32276-2024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45512</v>
      </c>
      <c r="E296" s="1" t="n">
        <v>46323</v>
      </c>
      <c r="F296" t="inlineStr">
        <is>
          <t>NORRBOTTENS LÄN</t>
        </is>
      </c>
      <c r="G296" t="inlineStr">
        <is>
          <t>BODEN</t>
        </is>
      </c>
      <c r="I296" t="n">
        <v>4.9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45446-2023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45194</v>
      </c>
      <c r="E297" s="1" t="n">
        <v>46323</v>
      </c>
      <c r="F297" t="inlineStr">
        <is>
          <t>NORRBOTTENS LÄN</t>
        </is>
      </c>
      <c r="G297" t="inlineStr">
        <is>
          <t>BODEN</t>
        </is>
      </c>
      <c r="H297" t="inlineStr">
        <is>
          <t>Sveaskog</t>
        </is>
      </c>
      <c r="I297" t="n">
        <v>2.2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61743-2024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45649</v>
      </c>
      <c r="E298" s="1" t="n">
        <v>46323</v>
      </c>
      <c r="F298" t="inlineStr">
        <is>
          <t>NORRBOTTENS LÄN</t>
        </is>
      </c>
      <c r="G298" t="inlineStr">
        <is>
          <t>BODEN</t>
        </is>
      </c>
      <c r="I298" t="n">
        <v>1.9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18871-2025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45764</v>
      </c>
      <c r="E299" s="1" t="n">
        <v>46323</v>
      </c>
      <c r="F299" t="inlineStr">
        <is>
          <t>NORRBOTTENS LÄN</t>
        </is>
      </c>
      <c r="G299" t="inlineStr">
        <is>
          <t>BODEN</t>
        </is>
      </c>
      <c r="I299" t="n">
        <v>2.5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74264-2021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44558</v>
      </c>
      <c r="E300" s="1" t="n">
        <v>46323</v>
      </c>
      <c r="F300" t="inlineStr">
        <is>
          <t>NORRBOTTENS LÄN</t>
        </is>
      </c>
      <c r="G300" t="inlineStr">
        <is>
          <t>BODEN</t>
        </is>
      </c>
      <c r="I300" t="n">
        <v>4.5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20260-2025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45773</v>
      </c>
      <c r="E301" s="1" t="n">
        <v>46323</v>
      </c>
      <c r="F301" t="inlineStr">
        <is>
          <t>NORRBOTTENS LÄN</t>
        </is>
      </c>
      <c r="G301" t="inlineStr">
        <is>
          <t>BODEN</t>
        </is>
      </c>
      <c r="H301" t="inlineStr">
        <is>
          <t>SCA</t>
        </is>
      </c>
      <c r="I301" t="n">
        <v>3.3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40814-2025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45897</v>
      </c>
      <c r="E302" s="1" t="n">
        <v>46323</v>
      </c>
      <c r="F302" t="inlineStr">
        <is>
          <t>NORRBOTTENS LÄN</t>
        </is>
      </c>
      <c r="G302" t="inlineStr">
        <is>
          <t>BODEN</t>
        </is>
      </c>
      <c r="I302" t="n">
        <v>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40816-2025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45897</v>
      </c>
      <c r="E303" s="1" t="n">
        <v>46323</v>
      </c>
      <c r="F303" t="inlineStr">
        <is>
          <t>NORRBOTTENS LÄN</t>
        </is>
      </c>
      <c r="G303" t="inlineStr">
        <is>
          <t>BODEN</t>
        </is>
      </c>
      <c r="I303" t="n">
        <v>3.3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41691-2025</t>
        </is>
      </c>
      <c r="B304" t="inlineStr">
        <is>
          <t>avverkningsanmälan</t>
        </is>
      </c>
      <c r="C304" t="inlineStr">
        <is>
          <t>Avverkning för annat ändamål</t>
        </is>
      </c>
      <c r="D304" s="1" t="n">
        <v>45902</v>
      </c>
      <c r="E304" s="1" t="n">
        <v>46323</v>
      </c>
      <c r="F304" t="inlineStr">
        <is>
          <t>NORRBOTTENS LÄN</t>
        </is>
      </c>
      <c r="G304" t="inlineStr">
        <is>
          <t>BODEN</t>
        </is>
      </c>
      <c r="H304" t="inlineStr">
        <is>
          <t>Sveaskog</t>
        </is>
      </c>
      <c r="I304" t="n">
        <v>0.2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54590-2022</t>
        </is>
      </c>
      <c r="B305" t="inlineStr">
        <is>
          <t>avverkningsanmälan</t>
        </is>
      </c>
      <c r="C305" t="inlineStr">
        <is>
          <t>Avverkning för att bevara och utveckla /försöksver</t>
        </is>
      </c>
      <c r="D305" s="1" t="n">
        <v>44883</v>
      </c>
      <c r="E305" s="1" t="n">
        <v>46323</v>
      </c>
      <c r="F305" t="inlineStr">
        <is>
          <t>NORRBOTTENS LÄN</t>
        </is>
      </c>
      <c r="G305" t="inlineStr">
        <is>
          <t>BODEN</t>
        </is>
      </c>
      <c r="H305" t="inlineStr">
        <is>
          <t>Sveaskog</t>
        </is>
      </c>
      <c r="I305" t="n">
        <v>4.3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1962-2025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45672</v>
      </c>
      <c r="E306" s="1" t="n">
        <v>46323</v>
      </c>
      <c r="F306" t="inlineStr">
        <is>
          <t>NORRBOTTENS LÄN</t>
        </is>
      </c>
      <c r="G306" t="inlineStr">
        <is>
          <t>BODEN</t>
        </is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41601-2025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45901</v>
      </c>
      <c r="E307" s="1" t="n">
        <v>46323</v>
      </c>
      <c r="F307" t="inlineStr">
        <is>
          <t>NORRBOTTENS LÄN</t>
        </is>
      </c>
      <c r="G307" t="inlineStr">
        <is>
          <t>BODEN</t>
        </is>
      </c>
      <c r="H307" t="inlineStr">
        <is>
          <t>Sveaskog</t>
        </is>
      </c>
      <c r="I307" t="n">
        <v>3.1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19624-2025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45770</v>
      </c>
      <c r="E308" s="1" t="n">
        <v>46323</v>
      </c>
      <c r="F308" t="inlineStr">
        <is>
          <t>NORRBOTTENS LÄN</t>
        </is>
      </c>
      <c r="G308" t="inlineStr">
        <is>
          <t>BODEN</t>
        </is>
      </c>
      <c r="I308" t="n">
        <v>1.2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28079-2024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45476</v>
      </c>
      <c r="E309" s="1" t="n">
        <v>46323</v>
      </c>
      <c r="F309" t="inlineStr">
        <is>
          <t>NORRBOTTENS LÄN</t>
        </is>
      </c>
      <c r="G309" t="inlineStr">
        <is>
          <t>BODEN</t>
        </is>
      </c>
      <c r="I309" t="n">
        <v>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42656-2025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45907</v>
      </c>
      <c r="E310" s="1" t="n">
        <v>46323</v>
      </c>
      <c r="F310" t="inlineStr">
        <is>
          <t>NORRBOTTENS LÄN</t>
        </is>
      </c>
      <c r="G310" t="inlineStr">
        <is>
          <t>BODEN</t>
        </is>
      </c>
      <c r="H310" t="inlineStr">
        <is>
          <t>SCA</t>
        </is>
      </c>
      <c r="I310" t="n">
        <v>9.6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16020-2025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45748</v>
      </c>
      <c r="E311" s="1" t="n">
        <v>46323</v>
      </c>
      <c r="F311" t="inlineStr">
        <is>
          <t>NORRBOTTENS LÄN</t>
        </is>
      </c>
      <c r="G311" t="inlineStr">
        <is>
          <t>BODEN</t>
        </is>
      </c>
      <c r="I311" t="n">
        <v>2.5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17962-2024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45419</v>
      </c>
      <c r="E312" s="1" t="n">
        <v>46323</v>
      </c>
      <c r="F312" t="inlineStr">
        <is>
          <t>NORRBOTTENS LÄN</t>
        </is>
      </c>
      <c r="G312" t="inlineStr">
        <is>
          <t>BODEN</t>
        </is>
      </c>
      <c r="I312" t="n">
        <v>1.2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67438-2021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44524</v>
      </c>
      <c r="E313" s="1" t="n">
        <v>46323</v>
      </c>
      <c r="F313" t="inlineStr">
        <is>
          <t>NORRBOTTENS LÄN</t>
        </is>
      </c>
      <c r="G313" t="inlineStr">
        <is>
          <t>BODEN</t>
        </is>
      </c>
      <c r="I313" t="n">
        <v>3.2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43299-2025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45910</v>
      </c>
      <c r="E314" s="1" t="n">
        <v>46323</v>
      </c>
      <c r="F314" t="inlineStr">
        <is>
          <t>NORRBOTTENS LÄN</t>
        </is>
      </c>
      <c r="G314" t="inlineStr">
        <is>
          <t>BODEN</t>
        </is>
      </c>
      <c r="H314" t="inlineStr">
        <is>
          <t>Sveaskog</t>
        </is>
      </c>
      <c r="I314" t="n">
        <v>0.8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18173-2025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45761</v>
      </c>
      <c r="E315" s="1" t="n">
        <v>46323</v>
      </c>
      <c r="F315" t="inlineStr">
        <is>
          <t>NORRBOTTENS LÄN</t>
        </is>
      </c>
      <c r="G315" t="inlineStr">
        <is>
          <t>BODEN</t>
        </is>
      </c>
      <c r="I315" t="n">
        <v>7.2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54104-2022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44881</v>
      </c>
      <c r="E316" s="1" t="n">
        <v>46323</v>
      </c>
      <c r="F316" t="inlineStr">
        <is>
          <t>NORRBOTTENS LÄN</t>
        </is>
      </c>
      <c r="G316" t="inlineStr">
        <is>
          <t>BODEN</t>
        </is>
      </c>
      <c r="H316" t="inlineStr">
        <is>
          <t>Sveaskog</t>
        </is>
      </c>
      <c r="I316" t="n">
        <v>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43205-2025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45910</v>
      </c>
      <c r="E317" s="1" t="n">
        <v>46323</v>
      </c>
      <c r="F317" t="inlineStr">
        <is>
          <t>NORRBOTTENS LÄN</t>
        </is>
      </c>
      <c r="G317" t="inlineStr">
        <is>
          <t>BODEN</t>
        </is>
      </c>
      <c r="H317" t="inlineStr">
        <is>
          <t>SCA</t>
        </is>
      </c>
      <c r="I317" t="n">
        <v>5.5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43402-2025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45911</v>
      </c>
      <c r="E318" s="1" t="n">
        <v>46323</v>
      </c>
      <c r="F318" t="inlineStr">
        <is>
          <t>NORRBOTTENS LÄN</t>
        </is>
      </c>
      <c r="G318" t="inlineStr">
        <is>
          <t>BODEN</t>
        </is>
      </c>
      <c r="I318" t="n">
        <v>9.699999999999999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58099-2023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45248</v>
      </c>
      <c r="E319" s="1" t="n">
        <v>46323</v>
      </c>
      <c r="F319" t="inlineStr">
        <is>
          <t>NORRBOTTENS LÄN</t>
        </is>
      </c>
      <c r="G319" t="inlineStr">
        <is>
          <t>BODEN</t>
        </is>
      </c>
      <c r="I319" t="n">
        <v>0.7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43838-2025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45912</v>
      </c>
      <c r="E320" s="1" t="n">
        <v>46323</v>
      </c>
      <c r="F320" t="inlineStr">
        <is>
          <t>NORRBOTTENS LÄN</t>
        </is>
      </c>
      <c r="G320" t="inlineStr">
        <is>
          <t>BODEN</t>
        </is>
      </c>
      <c r="H320" t="inlineStr">
        <is>
          <t>Sveaskog</t>
        </is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32906-2024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45516</v>
      </c>
      <c r="E321" s="1" t="n">
        <v>46323</v>
      </c>
      <c r="F321" t="inlineStr">
        <is>
          <t>NORRBOTTENS LÄN</t>
        </is>
      </c>
      <c r="G321" t="inlineStr">
        <is>
          <t>BODEN</t>
        </is>
      </c>
      <c r="H321" t="inlineStr">
        <is>
          <t>SCA</t>
        </is>
      </c>
      <c r="I321" t="n">
        <v>1.1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32913-2024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45516</v>
      </c>
      <c r="E322" s="1" t="n">
        <v>46323</v>
      </c>
      <c r="F322" t="inlineStr">
        <is>
          <t>NORRBOTTENS LÄN</t>
        </is>
      </c>
      <c r="G322" t="inlineStr">
        <is>
          <t>BODEN</t>
        </is>
      </c>
      <c r="H322" t="inlineStr">
        <is>
          <t>SCA</t>
        </is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49127-2023</t>
        </is>
      </c>
      <c r="B323" t="inlineStr">
        <is>
          <t>avverkningsanmälan</t>
        </is>
      </c>
      <c r="C323" t="inlineStr">
        <is>
          <t>Avverkning för annat ändamål</t>
        </is>
      </c>
      <c r="D323" s="1" t="n">
        <v>45210</v>
      </c>
      <c r="E323" s="1" t="n">
        <v>46323</v>
      </c>
      <c r="F323" t="inlineStr">
        <is>
          <t>NORRBOTTENS LÄN</t>
        </is>
      </c>
      <c r="G323" t="inlineStr">
        <is>
          <t>BODEN</t>
        </is>
      </c>
      <c r="H323" t="inlineStr">
        <is>
          <t>Sveaskog</t>
        </is>
      </c>
      <c r="I323" t="n">
        <v>1.8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43973-2025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45915</v>
      </c>
      <c r="E324" s="1" t="n">
        <v>46323</v>
      </c>
      <c r="F324" t="inlineStr">
        <is>
          <t>NORRBOTTENS LÄN</t>
        </is>
      </c>
      <c r="G324" t="inlineStr">
        <is>
          <t>BODEN</t>
        </is>
      </c>
      <c r="H324" t="inlineStr">
        <is>
          <t>SCA</t>
        </is>
      </c>
      <c r="I324" t="n">
        <v>7.9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43993-2025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45915</v>
      </c>
      <c r="E325" s="1" t="n">
        <v>46323</v>
      </c>
      <c r="F325" t="inlineStr">
        <is>
          <t>NORRBOTTENS LÄN</t>
        </is>
      </c>
      <c r="G325" t="inlineStr">
        <is>
          <t>BODEN</t>
        </is>
      </c>
      <c r="I325" t="n">
        <v>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55540-2022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44887</v>
      </c>
      <c r="E326" s="1" t="n">
        <v>46323</v>
      </c>
      <c r="F326" t="inlineStr">
        <is>
          <t>NORRBOTTENS LÄN</t>
        </is>
      </c>
      <c r="G326" t="inlineStr">
        <is>
          <t>BODEN</t>
        </is>
      </c>
      <c r="H326" t="inlineStr">
        <is>
          <t>SCA</t>
        </is>
      </c>
      <c r="I326" t="n">
        <v>2.5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44249-2025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45915</v>
      </c>
      <c r="E327" s="1" t="n">
        <v>46323</v>
      </c>
      <c r="F327" t="inlineStr">
        <is>
          <t>NORRBOTTENS LÄN</t>
        </is>
      </c>
      <c r="G327" t="inlineStr">
        <is>
          <t>BODEN</t>
        </is>
      </c>
      <c r="H327" t="inlineStr">
        <is>
          <t>Sveaskog</t>
        </is>
      </c>
      <c r="I327" t="n">
        <v>4.4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467-2022</t>
        </is>
      </c>
      <c r="B328" t="inlineStr">
        <is>
          <t>avverkningsanmälan</t>
        </is>
      </c>
      <c r="C328" t="inlineStr">
        <is>
          <t>Avverkning för att bevara och utveckla /försöksver</t>
        </is>
      </c>
      <c r="D328" s="1" t="n">
        <v>44565</v>
      </c>
      <c r="E328" s="1" t="n">
        <v>46323</v>
      </c>
      <c r="F328" t="inlineStr">
        <is>
          <t>NORRBOTTENS LÄN</t>
        </is>
      </c>
      <c r="G328" t="inlineStr">
        <is>
          <t>BODEN</t>
        </is>
      </c>
      <c r="I328" t="n">
        <v>3.4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19048-2025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45764</v>
      </c>
      <c r="E329" s="1" t="n">
        <v>46323</v>
      </c>
      <c r="F329" t="inlineStr">
        <is>
          <t>NORRBOTTENS LÄN</t>
        </is>
      </c>
      <c r="G329" t="inlineStr">
        <is>
          <t>BODEN</t>
        </is>
      </c>
      <c r="I329" t="n">
        <v>5.7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19050-2025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45764</v>
      </c>
      <c r="E330" s="1" t="n">
        <v>46323</v>
      </c>
      <c r="F330" t="inlineStr">
        <is>
          <t>NORRBOTTENS LÄN</t>
        </is>
      </c>
      <c r="G330" t="inlineStr">
        <is>
          <t>BODEN</t>
        </is>
      </c>
      <c r="I330" t="n">
        <v>3.4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54616-2023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45233</v>
      </c>
      <c r="E331" s="1" t="n">
        <v>46323</v>
      </c>
      <c r="F331" t="inlineStr">
        <is>
          <t>NORRBOTTENS LÄN</t>
        </is>
      </c>
      <c r="G331" t="inlineStr">
        <is>
          <t>BODEN</t>
        </is>
      </c>
      <c r="H331" t="inlineStr">
        <is>
          <t>SCA</t>
        </is>
      </c>
      <c r="I331" t="n">
        <v>2.9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22460-2023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45070</v>
      </c>
      <c r="E332" s="1" t="n">
        <v>46323</v>
      </c>
      <c r="F332" t="inlineStr">
        <is>
          <t>NORRBOTTENS LÄN</t>
        </is>
      </c>
      <c r="G332" t="inlineStr">
        <is>
          <t>BODEN</t>
        </is>
      </c>
      <c r="I332" t="n">
        <v>1.4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25920-2023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45085</v>
      </c>
      <c r="E333" s="1" t="n">
        <v>46323</v>
      </c>
      <c r="F333" t="inlineStr">
        <is>
          <t>NORRBOTTENS LÄN</t>
        </is>
      </c>
      <c r="G333" t="inlineStr">
        <is>
          <t>BODEN</t>
        </is>
      </c>
      <c r="I333" t="n">
        <v>0.5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45209-2025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45919</v>
      </c>
      <c r="E334" s="1" t="n">
        <v>46323</v>
      </c>
      <c r="F334" t="inlineStr">
        <is>
          <t>NORRBOTTENS LÄN</t>
        </is>
      </c>
      <c r="G334" t="inlineStr">
        <is>
          <t>BODEN</t>
        </is>
      </c>
      <c r="H334" t="inlineStr">
        <is>
          <t>Sveaskog</t>
        </is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45211-2025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45919</v>
      </c>
      <c r="E335" s="1" t="n">
        <v>46323</v>
      </c>
      <c r="F335" t="inlineStr">
        <is>
          <t>NORRBOTTENS LÄN</t>
        </is>
      </c>
      <c r="G335" t="inlineStr">
        <is>
          <t>BODEN</t>
        </is>
      </c>
      <c r="H335" t="inlineStr">
        <is>
          <t>Sveaskog</t>
        </is>
      </c>
      <c r="I335" t="n">
        <v>0.8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68591-2021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44529</v>
      </c>
      <c r="E336" s="1" t="n">
        <v>46323</v>
      </c>
      <c r="F336" t="inlineStr">
        <is>
          <t>NORRBOTTENS LÄN</t>
        </is>
      </c>
      <c r="G336" t="inlineStr">
        <is>
          <t>BODEN</t>
        </is>
      </c>
      <c r="I336" t="n">
        <v>2.2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22458-2023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45070</v>
      </c>
      <c r="E337" s="1" t="n">
        <v>46323</v>
      </c>
      <c r="F337" t="inlineStr">
        <is>
          <t>NORRBOTTENS LÄN</t>
        </is>
      </c>
      <c r="G337" t="inlineStr">
        <is>
          <t>BODEN</t>
        </is>
      </c>
      <c r="I337" t="n">
        <v>2.4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45616-2025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45922</v>
      </c>
      <c r="E338" s="1" t="n">
        <v>46323</v>
      </c>
      <c r="F338" t="inlineStr">
        <is>
          <t>NORRBOTTENS LÄN</t>
        </is>
      </c>
      <c r="G338" t="inlineStr">
        <is>
          <t>BODEN</t>
        </is>
      </c>
      <c r="I338" t="n">
        <v>1.6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45617-2025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45922</v>
      </c>
      <c r="E339" s="1" t="n">
        <v>46323</v>
      </c>
      <c r="F339" t="inlineStr">
        <is>
          <t>NORRBOTTENS LÄN</t>
        </is>
      </c>
      <c r="G339" t="inlineStr">
        <is>
          <t>BODEN</t>
        </is>
      </c>
      <c r="I339" t="n">
        <v>0.3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45544-2025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45922</v>
      </c>
      <c r="E340" s="1" t="n">
        <v>46323</v>
      </c>
      <c r="F340" t="inlineStr">
        <is>
          <t>NORRBOTTENS LÄN</t>
        </is>
      </c>
      <c r="G340" t="inlineStr">
        <is>
          <t>BODEN</t>
        </is>
      </c>
      <c r="I340" t="n">
        <v>1.2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34969-2024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45527</v>
      </c>
      <c r="E341" s="1" t="n">
        <v>46323</v>
      </c>
      <c r="F341" t="inlineStr">
        <is>
          <t>NORRBOTTENS LÄN</t>
        </is>
      </c>
      <c r="G341" t="inlineStr">
        <is>
          <t>BODEN</t>
        </is>
      </c>
      <c r="I341" t="n">
        <v>6.7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45969-2025</t>
        </is>
      </c>
      <c r="B342" t="inlineStr">
        <is>
          <t>avverkningsanmälan</t>
        </is>
      </c>
      <c r="C342" t="inlineStr">
        <is>
          <t>Avverkning för annat ändamål</t>
        </is>
      </c>
      <c r="D342" s="1" t="n">
        <v>45924</v>
      </c>
      <c r="E342" s="1" t="n">
        <v>46323</v>
      </c>
      <c r="F342" t="inlineStr">
        <is>
          <t>NORRBOTTENS LÄN</t>
        </is>
      </c>
      <c r="G342" t="inlineStr">
        <is>
          <t>BODEN</t>
        </is>
      </c>
      <c r="I342" t="n">
        <v>1.4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54236-2022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44881</v>
      </c>
      <c r="E343" s="1" t="n">
        <v>46323</v>
      </c>
      <c r="F343" t="inlineStr">
        <is>
          <t>NORRBOTTENS LÄN</t>
        </is>
      </c>
      <c r="G343" t="inlineStr">
        <is>
          <t>BODEN</t>
        </is>
      </c>
      <c r="I343" t="n">
        <v>1.1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46700-2025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45926</v>
      </c>
      <c r="E344" s="1" t="n">
        <v>46323</v>
      </c>
      <c r="F344" t="inlineStr">
        <is>
          <t>NORRBOTTENS LÄN</t>
        </is>
      </c>
      <c r="G344" t="inlineStr">
        <is>
          <t>BODEN</t>
        </is>
      </c>
      <c r="H344" t="inlineStr">
        <is>
          <t>Övriga Aktiebolag</t>
        </is>
      </c>
      <c r="I344" t="n">
        <v>1.8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46585-2025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45926</v>
      </c>
      <c r="E345" s="1" t="n">
        <v>46323</v>
      </c>
      <c r="F345" t="inlineStr">
        <is>
          <t>NORRBOTTENS LÄN</t>
        </is>
      </c>
      <c r="G345" t="inlineStr">
        <is>
          <t>BODEN</t>
        </is>
      </c>
      <c r="I345" t="n">
        <v>6.4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14801-2024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45397</v>
      </c>
      <c r="E346" s="1" t="n">
        <v>46323</v>
      </c>
      <c r="F346" t="inlineStr">
        <is>
          <t>NORRBOTTENS LÄN</t>
        </is>
      </c>
      <c r="G346" t="inlineStr">
        <is>
          <t>BODEN</t>
        </is>
      </c>
      <c r="I346" t="n">
        <v>1.9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14802-2024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45397</v>
      </c>
      <c r="E347" s="1" t="n">
        <v>46323</v>
      </c>
      <c r="F347" t="inlineStr">
        <is>
          <t>NORRBOTTENS LÄN</t>
        </is>
      </c>
      <c r="G347" t="inlineStr">
        <is>
          <t>BODEN</t>
        </is>
      </c>
      <c r="I347" t="n">
        <v>1.6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47920-2024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45589</v>
      </c>
      <c r="E348" s="1" t="n">
        <v>46323</v>
      </c>
      <c r="F348" t="inlineStr">
        <is>
          <t>NORRBOTTENS LÄN</t>
        </is>
      </c>
      <c r="G348" t="inlineStr">
        <is>
          <t>BODEN</t>
        </is>
      </c>
      <c r="H348" t="inlineStr">
        <is>
          <t>Naturvårdsverket</t>
        </is>
      </c>
      <c r="I348" t="n">
        <v>1.6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46770-2025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45926</v>
      </c>
      <c r="E349" s="1" t="n">
        <v>46323</v>
      </c>
      <c r="F349" t="inlineStr">
        <is>
          <t>NORRBOTTENS LÄN</t>
        </is>
      </c>
      <c r="G349" t="inlineStr">
        <is>
          <t>BODEN</t>
        </is>
      </c>
      <c r="I349" t="n">
        <v>2.1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46454-2025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45925</v>
      </c>
      <c r="E350" s="1" t="n">
        <v>46323</v>
      </c>
      <c r="F350" t="inlineStr">
        <is>
          <t>NORRBOTTENS LÄN</t>
        </is>
      </c>
      <c r="G350" t="inlineStr">
        <is>
          <t>BODEN</t>
        </is>
      </c>
      <c r="I350" t="n">
        <v>0.7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46455-2025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45925</v>
      </c>
      <c r="E351" s="1" t="n">
        <v>46323</v>
      </c>
      <c r="F351" t="inlineStr">
        <is>
          <t>NORRBOTTENS LÄN</t>
        </is>
      </c>
      <c r="G351" t="inlineStr">
        <is>
          <t>BODEN</t>
        </is>
      </c>
      <c r="I351" t="n">
        <v>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13925-2024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45391</v>
      </c>
      <c r="E352" s="1" t="n">
        <v>46323</v>
      </c>
      <c r="F352" t="inlineStr">
        <is>
          <t>NORRBOTTENS LÄN</t>
        </is>
      </c>
      <c r="G352" t="inlineStr">
        <is>
          <t>BODEN</t>
        </is>
      </c>
      <c r="I352" t="n">
        <v>1.1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47204-2025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45930</v>
      </c>
      <c r="E353" s="1" t="n">
        <v>46323</v>
      </c>
      <c r="F353" t="inlineStr">
        <is>
          <t>NORRBOTTENS LÄN</t>
        </is>
      </c>
      <c r="G353" t="inlineStr">
        <is>
          <t>BODEN</t>
        </is>
      </c>
      <c r="H353" t="inlineStr">
        <is>
          <t>SCA</t>
        </is>
      </c>
      <c r="I353" t="n">
        <v>1.9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38219-2022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44812</v>
      </c>
      <c r="E354" s="1" t="n">
        <v>46323</v>
      </c>
      <c r="F354" t="inlineStr">
        <is>
          <t>NORRBOTTENS LÄN</t>
        </is>
      </c>
      <c r="G354" t="inlineStr">
        <is>
          <t>BODEN</t>
        </is>
      </c>
      <c r="I354" t="n">
        <v>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25387-2023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45079</v>
      </c>
      <c r="E355" s="1" t="n">
        <v>46323</v>
      </c>
      <c r="F355" t="inlineStr">
        <is>
          <t>NORRBOTTENS LÄN</t>
        </is>
      </c>
      <c r="G355" t="inlineStr">
        <is>
          <t>BODEN</t>
        </is>
      </c>
      <c r="I355" t="n">
        <v>6.7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28444-2023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45102</v>
      </c>
      <c r="E356" s="1" t="n">
        <v>46323</v>
      </c>
      <c r="F356" t="inlineStr">
        <is>
          <t>NORRBOTTENS LÄN</t>
        </is>
      </c>
      <c r="G356" t="inlineStr">
        <is>
          <t>BODEN</t>
        </is>
      </c>
      <c r="I356" t="n">
        <v>1.7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48592-2024</t>
        </is>
      </c>
      <c r="B357" t="inlineStr">
        <is>
          <t>avverkningsanmälan</t>
        </is>
      </c>
      <c r="C357" t="inlineStr">
        <is>
          <t>Avverkning för annat ändamål</t>
        </is>
      </c>
      <c r="D357" s="1" t="n">
        <v>45593</v>
      </c>
      <c r="E357" s="1" t="n">
        <v>46323</v>
      </c>
      <c r="F357" t="inlineStr">
        <is>
          <t>NORRBOTTENS LÄN</t>
        </is>
      </c>
      <c r="G357" t="inlineStr">
        <is>
          <t>BODEN</t>
        </is>
      </c>
      <c r="H357" t="inlineStr">
        <is>
          <t>Sveaskog</t>
        </is>
      </c>
      <c r="I357" t="n">
        <v>1.1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47483-2025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45930</v>
      </c>
      <c r="E358" s="1" t="n">
        <v>46323</v>
      </c>
      <c r="F358" t="inlineStr">
        <is>
          <t>NORRBOTTENS LÄN</t>
        </is>
      </c>
      <c r="G358" t="inlineStr">
        <is>
          <t>BODEN</t>
        </is>
      </c>
      <c r="H358" t="inlineStr">
        <is>
          <t>SCA</t>
        </is>
      </c>
      <c r="I358" t="n">
        <v>1.5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21128-2025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45778</v>
      </c>
      <c r="E359" s="1" t="n">
        <v>46323</v>
      </c>
      <c r="F359" t="inlineStr">
        <is>
          <t>NORRBOTTENS LÄN</t>
        </is>
      </c>
      <c r="G359" t="inlineStr">
        <is>
          <t>BODEN</t>
        </is>
      </c>
      <c r="H359" t="inlineStr">
        <is>
          <t>SCA</t>
        </is>
      </c>
      <c r="I359" t="n">
        <v>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47595-2025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45931</v>
      </c>
      <c r="E360" s="1" t="n">
        <v>46323</v>
      </c>
      <c r="F360" t="inlineStr">
        <is>
          <t>NORRBOTTENS LÄN</t>
        </is>
      </c>
      <c r="G360" t="inlineStr">
        <is>
          <t>BODEN</t>
        </is>
      </c>
      <c r="H360" t="inlineStr">
        <is>
          <t>Övriga Aktiebolag</t>
        </is>
      </c>
      <c r="I360" t="n">
        <v>7.2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48172-2025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45933</v>
      </c>
      <c r="E361" s="1" t="n">
        <v>46323</v>
      </c>
      <c r="F361" t="inlineStr">
        <is>
          <t>NORRBOTTENS LÄN</t>
        </is>
      </c>
      <c r="G361" t="inlineStr">
        <is>
          <t>BODEN</t>
        </is>
      </c>
      <c r="H361" t="inlineStr">
        <is>
          <t>Sveaskog</t>
        </is>
      </c>
      <c r="I361" t="n">
        <v>6.1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42653-2025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45906</v>
      </c>
      <c r="E362" s="1" t="n">
        <v>46323</v>
      </c>
      <c r="F362" t="inlineStr">
        <is>
          <t>NORRBOTTENS LÄN</t>
        </is>
      </c>
      <c r="G362" t="inlineStr">
        <is>
          <t>BODEN</t>
        </is>
      </c>
      <c r="I362" t="n">
        <v>0.8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61107-2022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44908</v>
      </c>
      <c r="E363" s="1" t="n">
        <v>46323</v>
      </c>
      <c r="F363" t="inlineStr">
        <is>
          <t>NORRBOTTENS LÄN</t>
        </is>
      </c>
      <c r="G363" t="inlineStr">
        <is>
          <t>BODEN</t>
        </is>
      </c>
      <c r="I363" t="n">
        <v>2.5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48173-2025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45933</v>
      </c>
      <c r="E364" s="1" t="n">
        <v>46323</v>
      </c>
      <c r="F364" t="inlineStr">
        <is>
          <t>NORRBOTTENS LÄN</t>
        </is>
      </c>
      <c r="G364" t="inlineStr">
        <is>
          <t>BODEN</t>
        </is>
      </c>
      <c r="H364" t="inlineStr">
        <is>
          <t>Sveaskog</t>
        </is>
      </c>
      <c r="I364" t="n">
        <v>3.2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48091-2025</t>
        </is>
      </c>
      <c r="B365" t="inlineStr">
        <is>
          <t>avverkningsanmälan</t>
        </is>
      </c>
      <c r="C365" t="inlineStr">
        <is>
          <t>Avverkning för annat ändamål</t>
        </is>
      </c>
      <c r="D365" s="1" t="n">
        <v>45933</v>
      </c>
      <c r="E365" s="1" t="n">
        <v>46323</v>
      </c>
      <c r="F365" t="inlineStr">
        <is>
          <t>NORRBOTTENS LÄN</t>
        </is>
      </c>
      <c r="G365" t="inlineStr">
        <is>
          <t>BODEN</t>
        </is>
      </c>
      <c r="H365" t="inlineStr">
        <is>
          <t>Sveaskog</t>
        </is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19528-2024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45429</v>
      </c>
      <c r="E366" s="1" t="n">
        <v>46323</v>
      </c>
      <c r="F366" t="inlineStr">
        <is>
          <t>NORRBOTTENS LÄN</t>
        </is>
      </c>
      <c r="G366" t="inlineStr">
        <is>
          <t>BODEN</t>
        </is>
      </c>
      <c r="I366" t="n">
        <v>3.9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19533-2024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45429</v>
      </c>
      <c r="E367" s="1" t="n">
        <v>46323</v>
      </c>
      <c r="F367" t="inlineStr">
        <is>
          <t>NORRBOTTENS LÄN</t>
        </is>
      </c>
      <c r="G367" t="inlineStr">
        <is>
          <t>BODEN</t>
        </is>
      </c>
      <c r="I367" t="n">
        <v>3.2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16222-2024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45406</v>
      </c>
      <c r="E368" s="1" t="n">
        <v>46323</v>
      </c>
      <c r="F368" t="inlineStr">
        <is>
          <t>NORRBOTTENS LÄN</t>
        </is>
      </c>
      <c r="G368" t="inlineStr">
        <is>
          <t>BODEN</t>
        </is>
      </c>
      <c r="I368" t="n">
        <v>5.2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48805-2025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45937</v>
      </c>
      <c r="E369" s="1" t="n">
        <v>46323</v>
      </c>
      <c r="F369" t="inlineStr">
        <is>
          <t>NORRBOTTENS LÄN</t>
        </is>
      </c>
      <c r="G369" t="inlineStr">
        <is>
          <t>BODEN</t>
        </is>
      </c>
      <c r="I369" t="n">
        <v>10.2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49379-2025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45938</v>
      </c>
      <c r="E370" s="1" t="n">
        <v>46323</v>
      </c>
      <c r="F370" t="inlineStr">
        <is>
          <t>NORRBOTTENS LÄN</t>
        </is>
      </c>
      <c r="G370" t="inlineStr">
        <is>
          <t>BODEN</t>
        </is>
      </c>
      <c r="H370" t="inlineStr">
        <is>
          <t>SCA</t>
        </is>
      </c>
      <c r="I370" t="n">
        <v>4.5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21349-2025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45782</v>
      </c>
      <c r="E371" s="1" t="n">
        <v>46323</v>
      </c>
      <c r="F371" t="inlineStr">
        <is>
          <t>NORRBOTTENS LÄN</t>
        </is>
      </c>
      <c r="G371" t="inlineStr">
        <is>
          <t>BODEN</t>
        </is>
      </c>
      <c r="I371" t="n">
        <v>5.2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49357-2025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45938</v>
      </c>
      <c r="E372" s="1" t="n">
        <v>46323</v>
      </c>
      <c r="F372" t="inlineStr">
        <is>
          <t>NORRBOTTENS LÄN</t>
        </is>
      </c>
      <c r="G372" t="inlineStr">
        <is>
          <t>BODEN</t>
        </is>
      </c>
      <c r="H372" t="inlineStr">
        <is>
          <t>SCA</t>
        </is>
      </c>
      <c r="I372" t="n">
        <v>5.1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49215-2025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45938</v>
      </c>
      <c r="E373" s="1" t="n">
        <v>46323</v>
      </c>
      <c r="F373" t="inlineStr">
        <is>
          <t>NORRBOTTENS LÄN</t>
        </is>
      </c>
      <c r="G373" t="inlineStr">
        <is>
          <t>BODEN</t>
        </is>
      </c>
      <c r="I373" t="n">
        <v>1.9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11651-2023</t>
        </is>
      </c>
      <c r="B374" t="inlineStr">
        <is>
          <t>avverkningsanmälan</t>
        </is>
      </c>
      <c r="C374" t="inlineStr">
        <is>
          <t>Avverkning för annat ändamål</t>
        </is>
      </c>
      <c r="D374" s="1" t="n">
        <v>44994</v>
      </c>
      <c r="E374" s="1" t="n">
        <v>46323</v>
      </c>
      <c r="F374" t="inlineStr">
        <is>
          <t>NORRBOTTENS LÄN</t>
        </is>
      </c>
      <c r="G374" t="inlineStr">
        <is>
          <t>BODEN</t>
        </is>
      </c>
      <c r="I374" t="n">
        <v>0.7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48415-2024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45590</v>
      </c>
      <c r="E375" s="1" t="n">
        <v>46323</v>
      </c>
      <c r="F375" t="inlineStr">
        <is>
          <t>NORRBOTTENS LÄN</t>
        </is>
      </c>
      <c r="G375" t="inlineStr">
        <is>
          <t>BODEN</t>
        </is>
      </c>
      <c r="H375" t="inlineStr">
        <is>
          <t>SCA</t>
        </is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49588-2025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45939</v>
      </c>
      <c r="E376" s="1" t="n">
        <v>46323</v>
      </c>
      <c r="F376" t="inlineStr">
        <is>
          <t>NORRBOTTENS LÄN</t>
        </is>
      </c>
      <c r="G376" t="inlineStr">
        <is>
          <t>BODEN</t>
        </is>
      </c>
      <c r="H376" t="inlineStr">
        <is>
          <t>SCA</t>
        </is>
      </c>
      <c r="I376" t="n">
        <v>1.8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50410-2025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45944</v>
      </c>
      <c r="E377" s="1" t="n">
        <v>46323</v>
      </c>
      <c r="F377" t="inlineStr">
        <is>
          <t>NORRBOTTENS LÄN</t>
        </is>
      </c>
      <c r="G377" t="inlineStr">
        <is>
          <t>BODEN</t>
        </is>
      </c>
      <c r="I377" t="n">
        <v>5.5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50419-2025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45944</v>
      </c>
      <c r="E378" s="1" t="n">
        <v>46323</v>
      </c>
      <c r="F378" t="inlineStr">
        <is>
          <t>NORRBOTTENS LÄN</t>
        </is>
      </c>
      <c r="G378" t="inlineStr">
        <is>
          <t>BODEN</t>
        </is>
      </c>
      <c r="I378" t="n">
        <v>2.1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50390-2025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45944</v>
      </c>
      <c r="E379" s="1" t="n">
        <v>46323</v>
      </c>
      <c r="F379" t="inlineStr">
        <is>
          <t>NORRBOTTENS LÄN</t>
        </is>
      </c>
      <c r="G379" t="inlineStr">
        <is>
          <t>BODEN</t>
        </is>
      </c>
      <c r="H379" t="inlineStr">
        <is>
          <t>Sveaskog</t>
        </is>
      </c>
      <c r="I379" t="n">
        <v>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49113-2023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45204</v>
      </c>
      <c r="E380" s="1" t="n">
        <v>46323</v>
      </c>
      <c r="F380" t="inlineStr">
        <is>
          <t>NORRBOTTENS LÄN</t>
        </is>
      </c>
      <c r="G380" t="inlineStr">
        <is>
          <t>BODEN</t>
        </is>
      </c>
      <c r="I380" t="n">
        <v>5.6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50387-2025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45944</v>
      </c>
      <c r="E381" s="1" t="n">
        <v>46323</v>
      </c>
      <c r="F381" t="inlineStr">
        <is>
          <t>NORRBOTTENS LÄN</t>
        </is>
      </c>
      <c r="G381" t="inlineStr">
        <is>
          <t>BODEN</t>
        </is>
      </c>
      <c r="H381" t="inlineStr">
        <is>
          <t>Sveaskog</t>
        </is>
      </c>
      <c r="I381" t="n">
        <v>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61103-2022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44908</v>
      </c>
      <c r="E382" s="1" t="n">
        <v>46323</v>
      </c>
      <c r="F382" t="inlineStr">
        <is>
          <t>NORRBOTTENS LÄN</t>
        </is>
      </c>
      <c r="G382" t="inlineStr">
        <is>
          <t>BODEN</t>
        </is>
      </c>
      <c r="I382" t="n">
        <v>1.4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50147-2025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45943</v>
      </c>
      <c r="E383" s="1" t="n">
        <v>46323</v>
      </c>
      <c r="F383" t="inlineStr">
        <is>
          <t>NORRBOTTENS LÄN</t>
        </is>
      </c>
      <c r="G383" t="inlineStr">
        <is>
          <t>BODEN</t>
        </is>
      </c>
      <c r="I383" t="n">
        <v>1.4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56163-2022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44889</v>
      </c>
      <c r="E384" s="1" t="n">
        <v>46323</v>
      </c>
      <c r="F384" t="inlineStr">
        <is>
          <t>NORRBOTTENS LÄN</t>
        </is>
      </c>
      <c r="G384" t="inlineStr">
        <is>
          <t>BODEN</t>
        </is>
      </c>
      <c r="I384" t="n">
        <v>6.1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50361-2025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45944</v>
      </c>
      <c r="E385" s="1" t="n">
        <v>46323</v>
      </c>
      <c r="F385" t="inlineStr">
        <is>
          <t>NORRBOTTENS LÄN</t>
        </is>
      </c>
      <c r="G385" t="inlineStr">
        <is>
          <t>BODEN</t>
        </is>
      </c>
      <c r="H385" t="inlineStr">
        <is>
          <t>Sveaskog</t>
        </is>
      </c>
      <c r="I385" t="n">
        <v>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28359-2023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45099</v>
      </c>
      <c r="E386" s="1" t="n">
        <v>46323</v>
      </c>
      <c r="F386" t="inlineStr">
        <is>
          <t>NORRBOTTENS LÄN</t>
        </is>
      </c>
      <c r="G386" t="inlineStr">
        <is>
          <t>BODEN</t>
        </is>
      </c>
      <c r="I386" t="n">
        <v>7.6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50471-2025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45945</v>
      </c>
      <c r="E387" s="1" t="n">
        <v>46323</v>
      </c>
      <c r="F387" t="inlineStr">
        <is>
          <t>NORRBOTTENS LÄN</t>
        </is>
      </c>
      <c r="G387" t="inlineStr">
        <is>
          <t>BODEN</t>
        </is>
      </c>
      <c r="I387" t="n">
        <v>1.5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58373-2022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44901</v>
      </c>
      <c r="E388" s="1" t="n">
        <v>46323</v>
      </c>
      <c r="F388" t="inlineStr">
        <is>
          <t>NORRBOTTENS LÄN</t>
        </is>
      </c>
      <c r="G388" t="inlineStr">
        <is>
          <t>BODEN</t>
        </is>
      </c>
      <c r="I388" t="n">
        <v>1.2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50479-2025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45945</v>
      </c>
      <c r="E389" s="1" t="n">
        <v>46323</v>
      </c>
      <c r="F389" t="inlineStr">
        <is>
          <t>NORRBOTTENS LÄN</t>
        </is>
      </c>
      <c r="G389" t="inlineStr">
        <is>
          <t>BODEN</t>
        </is>
      </c>
      <c r="I389" t="n">
        <v>0.8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59028-2022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44903</v>
      </c>
      <c r="E390" s="1" t="n">
        <v>46323</v>
      </c>
      <c r="F390" t="inlineStr">
        <is>
          <t>NORRBOTTENS LÄN</t>
        </is>
      </c>
      <c r="G390" t="inlineStr">
        <is>
          <t>BODEN</t>
        </is>
      </c>
      <c r="I390" t="n">
        <v>16.1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68565-2021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44529</v>
      </c>
      <c r="E391" s="1" t="n">
        <v>46323</v>
      </c>
      <c r="F391" t="inlineStr">
        <is>
          <t>NORRBOTTENS LÄN</t>
        </is>
      </c>
      <c r="G391" t="inlineStr">
        <is>
          <t>BODEN</t>
        </is>
      </c>
      <c r="I391" t="n">
        <v>2.2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50449-2025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45945</v>
      </c>
      <c r="E392" s="1" t="n">
        <v>46323</v>
      </c>
      <c r="F392" t="inlineStr">
        <is>
          <t>NORRBOTTENS LÄN</t>
        </is>
      </c>
      <c r="G392" t="inlineStr">
        <is>
          <t>BODEN</t>
        </is>
      </c>
      <c r="H392" t="inlineStr">
        <is>
          <t>Sveaskog</t>
        </is>
      </c>
      <c r="I392" t="n">
        <v>7.3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9319-2024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45358</v>
      </c>
      <c r="E393" s="1" t="n">
        <v>46323</v>
      </c>
      <c r="F393" t="inlineStr">
        <is>
          <t>NORRBOTTENS LÄN</t>
        </is>
      </c>
      <c r="G393" t="inlineStr">
        <is>
          <t>BODEN</t>
        </is>
      </c>
      <c r="I393" t="n">
        <v>0.6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51460-2025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45950</v>
      </c>
      <c r="E394" s="1" t="n">
        <v>46323</v>
      </c>
      <c r="F394" t="inlineStr">
        <is>
          <t>NORRBOTTENS LÄN</t>
        </is>
      </c>
      <c r="G394" t="inlineStr">
        <is>
          <t>BODEN</t>
        </is>
      </c>
      <c r="I394" t="n">
        <v>3.1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51061-2025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45947</v>
      </c>
      <c r="E395" s="1" t="n">
        <v>46323</v>
      </c>
      <c r="F395" t="inlineStr">
        <is>
          <t>NORRBOTTENS LÄN</t>
        </is>
      </c>
      <c r="G395" t="inlineStr">
        <is>
          <t>BODEN</t>
        </is>
      </c>
      <c r="H395" t="inlineStr">
        <is>
          <t>Sveaskog</t>
        </is>
      </c>
      <c r="I395" t="n">
        <v>2.4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5071-2025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45691</v>
      </c>
      <c r="E396" s="1" t="n">
        <v>46323</v>
      </c>
      <c r="F396" t="inlineStr">
        <is>
          <t>NORRBOTTENS LÄN</t>
        </is>
      </c>
      <c r="G396" t="inlineStr">
        <is>
          <t>BODEN</t>
        </is>
      </c>
      <c r="H396" t="inlineStr">
        <is>
          <t>SCA</t>
        </is>
      </c>
      <c r="I396" t="n">
        <v>0.8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54240-2022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44881</v>
      </c>
      <c r="E397" s="1" t="n">
        <v>46323</v>
      </c>
      <c r="F397" t="inlineStr">
        <is>
          <t>NORRBOTTENS LÄN</t>
        </is>
      </c>
      <c r="G397" t="inlineStr">
        <is>
          <t>BODEN</t>
        </is>
      </c>
      <c r="I397" t="n">
        <v>1.1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6776-2023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44966</v>
      </c>
      <c r="E398" s="1" t="n">
        <v>46323</v>
      </c>
      <c r="F398" t="inlineStr">
        <is>
          <t>NORRBOTTENS LÄN</t>
        </is>
      </c>
      <c r="G398" t="inlineStr">
        <is>
          <t>BODEN</t>
        </is>
      </c>
      <c r="H398" t="inlineStr">
        <is>
          <t>SCA</t>
        </is>
      </c>
      <c r="I398" t="n">
        <v>0.6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52284-2025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45953</v>
      </c>
      <c r="E399" s="1" t="n">
        <v>46323</v>
      </c>
      <c r="F399" t="inlineStr">
        <is>
          <t>NORRBOTTENS LÄN</t>
        </is>
      </c>
      <c r="G399" t="inlineStr">
        <is>
          <t>BODEN</t>
        </is>
      </c>
      <c r="I399" t="n">
        <v>3.3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52169-2025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45953</v>
      </c>
      <c r="E400" s="1" t="n">
        <v>46323</v>
      </c>
      <c r="F400" t="inlineStr">
        <is>
          <t>NORRBOTTENS LÄN</t>
        </is>
      </c>
      <c r="G400" t="inlineStr">
        <is>
          <t>BODEN</t>
        </is>
      </c>
      <c r="H400" t="inlineStr">
        <is>
          <t>SCA</t>
        </is>
      </c>
      <c r="I400" t="n">
        <v>2.4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30299-2023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45110</v>
      </c>
      <c r="E401" s="1" t="n">
        <v>46323</v>
      </c>
      <c r="F401" t="inlineStr">
        <is>
          <t>NORRBOTTENS LÄN</t>
        </is>
      </c>
      <c r="G401" t="inlineStr">
        <is>
          <t>BODEN</t>
        </is>
      </c>
      <c r="H401" t="inlineStr">
        <is>
          <t>SCA</t>
        </is>
      </c>
      <c r="I401" t="n">
        <v>5.5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52166-2025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45953</v>
      </c>
      <c r="E402" s="1" t="n">
        <v>46323</v>
      </c>
      <c r="F402" t="inlineStr">
        <is>
          <t>NORRBOTTENS LÄN</t>
        </is>
      </c>
      <c r="G402" t="inlineStr">
        <is>
          <t>BODEN</t>
        </is>
      </c>
      <c r="H402" t="inlineStr">
        <is>
          <t>SCA</t>
        </is>
      </c>
      <c r="I402" t="n">
        <v>3.4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51525-2025</t>
        </is>
      </c>
      <c r="B403" t="inlineStr">
        <is>
          <t>avverkningsanmälan</t>
        </is>
      </c>
      <c r="C403" t="inlineStr">
        <is>
          <t>Avverkning för annat ändamål</t>
        </is>
      </c>
      <c r="D403" s="1" t="n">
        <v>45950</v>
      </c>
      <c r="E403" s="1" t="n">
        <v>46323</v>
      </c>
      <c r="F403" t="inlineStr">
        <is>
          <t>NORRBOTTENS LÄN</t>
        </is>
      </c>
      <c r="G403" t="inlineStr">
        <is>
          <t>BODEN</t>
        </is>
      </c>
      <c r="I403" t="n">
        <v>0.9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16180-2025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45750</v>
      </c>
      <c r="E404" s="1" t="n">
        <v>46323</v>
      </c>
      <c r="F404" t="inlineStr">
        <is>
          <t>NORRBOTTENS LÄN</t>
        </is>
      </c>
      <c r="G404" t="inlineStr">
        <is>
          <t>BODEN</t>
        </is>
      </c>
      <c r="H404" t="inlineStr">
        <is>
          <t>Övriga Aktiebolag</t>
        </is>
      </c>
      <c r="I404" t="n">
        <v>7.1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33697-2023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45132</v>
      </c>
      <c r="E405" s="1" t="n">
        <v>46323</v>
      </c>
      <c r="F405" t="inlineStr">
        <is>
          <t>NORRBOTTENS LÄN</t>
        </is>
      </c>
      <c r="G405" t="inlineStr">
        <is>
          <t>BODEN</t>
        </is>
      </c>
      <c r="I405" t="n">
        <v>4.5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14743-2023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45013</v>
      </c>
      <c r="E406" s="1" t="n">
        <v>46323</v>
      </c>
      <c r="F406" t="inlineStr">
        <is>
          <t>NORRBOTTENS LÄN</t>
        </is>
      </c>
      <c r="G406" t="inlineStr">
        <is>
          <t>BODEN</t>
        </is>
      </c>
      <c r="I406" t="n">
        <v>2.2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39272-2024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45551</v>
      </c>
      <c r="E407" s="1" t="n">
        <v>46323</v>
      </c>
      <c r="F407" t="inlineStr">
        <is>
          <t>NORRBOTTENS LÄN</t>
        </is>
      </c>
      <c r="G407" t="inlineStr">
        <is>
          <t>BODEN</t>
        </is>
      </c>
      <c r="H407" t="inlineStr">
        <is>
          <t>SCA</t>
        </is>
      </c>
      <c r="I407" t="n">
        <v>2.1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52645-2025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45955</v>
      </c>
      <c r="E408" s="1" t="n">
        <v>46323</v>
      </c>
      <c r="F408" t="inlineStr">
        <is>
          <t>NORRBOTTENS LÄN</t>
        </is>
      </c>
      <c r="G408" t="inlineStr">
        <is>
          <t>BODEN</t>
        </is>
      </c>
      <c r="I408" t="n">
        <v>2.6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52646-2025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45955</v>
      </c>
      <c r="E409" s="1" t="n">
        <v>46323</v>
      </c>
      <c r="F409" t="inlineStr">
        <is>
          <t>NORRBOTTENS LÄN</t>
        </is>
      </c>
      <c r="G409" t="inlineStr">
        <is>
          <t>BODEN</t>
        </is>
      </c>
      <c r="I409" t="n">
        <v>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61260-2023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45264</v>
      </c>
      <c r="E410" s="1" t="n">
        <v>46323</v>
      </c>
      <c r="F410" t="inlineStr">
        <is>
          <t>NORRBOTTENS LÄN</t>
        </is>
      </c>
      <c r="G410" t="inlineStr">
        <is>
          <t>BODEN</t>
        </is>
      </c>
      <c r="I410" t="n">
        <v>2.1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53623-2025</t>
        </is>
      </c>
      <c r="B411" t="inlineStr">
        <is>
          <t>avverkningsanmälan</t>
        </is>
      </c>
      <c r="C411" t="inlineStr">
        <is>
          <t>Avverkning för annat ändamål</t>
        </is>
      </c>
      <c r="D411" s="1" t="n">
        <v>45960</v>
      </c>
      <c r="E411" s="1" t="n">
        <v>46323</v>
      </c>
      <c r="F411" t="inlineStr">
        <is>
          <t>NORRBOTTENS LÄN</t>
        </is>
      </c>
      <c r="G411" t="inlineStr">
        <is>
          <t>BODEN</t>
        </is>
      </c>
      <c r="H411" t="inlineStr">
        <is>
          <t>SCA</t>
        </is>
      </c>
      <c r="I411" t="n">
        <v>11.7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37866-2024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45544</v>
      </c>
      <c r="E412" s="1" t="n">
        <v>46323</v>
      </c>
      <c r="F412" t="inlineStr">
        <is>
          <t>NORRBOTTENS LÄN</t>
        </is>
      </c>
      <c r="G412" t="inlineStr">
        <is>
          <t>BODEN</t>
        </is>
      </c>
      <c r="I412" t="n">
        <v>4.5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44553-2024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45574</v>
      </c>
      <c r="E413" s="1" t="n">
        <v>46323</v>
      </c>
      <c r="F413" t="inlineStr">
        <is>
          <t>NORRBOTTENS LÄN</t>
        </is>
      </c>
      <c r="G413" t="inlineStr">
        <is>
          <t>BODEN</t>
        </is>
      </c>
      <c r="H413" t="inlineStr">
        <is>
          <t>SCA</t>
        </is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61921-2024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45653</v>
      </c>
      <c r="E414" s="1" t="n">
        <v>46323</v>
      </c>
      <c r="F414" t="inlineStr">
        <is>
          <t>NORRBOTTENS LÄN</t>
        </is>
      </c>
      <c r="G414" t="inlineStr">
        <is>
          <t>BODEN</t>
        </is>
      </c>
      <c r="I414" t="n">
        <v>47.3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44567-2024</t>
        </is>
      </c>
      <c r="B415" t="inlineStr">
        <is>
          <t>avverkningsanmälan</t>
        </is>
      </c>
      <c r="C415" t="inlineStr">
        <is>
          <t>Avverkning för annat ändamål</t>
        </is>
      </c>
      <c r="D415" s="1" t="n">
        <v>45574</v>
      </c>
      <c r="E415" s="1" t="n">
        <v>46323</v>
      </c>
      <c r="F415" t="inlineStr">
        <is>
          <t>NORRBOTTENS LÄN</t>
        </is>
      </c>
      <c r="G415" t="inlineStr">
        <is>
          <t>BODEN</t>
        </is>
      </c>
      <c r="H415" t="inlineStr">
        <is>
          <t>SCA</t>
        </is>
      </c>
      <c r="I415" t="n">
        <v>3.1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53893-2025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45961</v>
      </c>
      <c r="E416" s="1" t="n">
        <v>46323</v>
      </c>
      <c r="F416" t="inlineStr">
        <is>
          <t>NORRBOTTENS LÄN</t>
        </is>
      </c>
      <c r="G416" t="inlineStr">
        <is>
          <t>BODEN</t>
        </is>
      </c>
      <c r="I416" t="n">
        <v>3.4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64649-2023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45281</v>
      </c>
      <c r="E417" s="1" t="n">
        <v>46323</v>
      </c>
      <c r="F417" t="inlineStr">
        <is>
          <t>NORRBOTTENS LÄN</t>
        </is>
      </c>
      <c r="G417" t="inlineStr">
        <is>
          <t>BODEN</t>
        </is>
      </c>
      <c r="H417" t="inlineStr">
        <is>
          <t>Sveaskog</t>
        </is>
      </c>
      <c r="I417" t="n">
        <v>1.6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54172-2025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45964</v>
      </c>
      <c r="E418" s="1" t="n">
        <v>46323</v>
      </c>
      <c r="F418" t="inlineStr">
        <is>
          <t>NORRBOTTENS LÄN</t>
        </is>
      </c>
      <c r="G418" t="inlineStr">
        <is>
          <t>BODEN</t>
        </is>
      </c>
      <c r="I418" t="n">
        <v>4.7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68611-2021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44529</v>
      </c>
      <c r="E419" s="1" t="n">
        <v>46323</v>
      </c>
      <c r="F419" t="inlineStr">
        <is>
          <t>NORRBOTTENS LÄN</t>
        </is>
      </c>
      <c r="G419" t="inlineStr">
        <is>
          <t>BODEN</t>
        </is>
      </c>
      <c r="I419" t="n">
        <v>1.9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54417-2025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45965</v>
      </c>
      <c r="E420" s="1" t="n">
        <v>46323</v>
      </c>
      <c r="F420" t="inlineStr">
        <is>
          <t>NORRBOTTENS LÄN</t>
        </is>
      </c>
      <c r="G420" t="inlineStr">
        <is>
          <t>BODEN</t>
        </is>
      </c>
      <c r="I420" t="n">
        <v>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33915-2024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45523</v>
      </c>
      <c r="E421" s="1" t="n">
        <v>46323</v>
      </c>
      <c r="F421" t="inlineStr">
        <is>
          <t>NORRBOTTENS LÄN</t>
        </is>
      </c>
      <c r="G421" t="inlineStr">
        <is>
          <t>BODEN</t>
        </is>
      </c>
      <c r="H421" t="inlineStr">
        <is>
          <t>SCA</t>
        </is>
      </c>
      <c r="I421" t="n">
        <v>1.2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54578-2025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45965</v>
      </c>
      <c r="E422" s="1" t="n">
        <v>46323</v>
      </c>
      <c r="F422" t="inlineStr">
        <is>
          <t>NORRBOTTENS LÄN</t>
        </is>
      </c>
      <c r="G422" t="inlineStr">
        <is>
          <t>BODEN</t>
        </is>
      </c>
      <c r="I422" t="n">
        <v>1.4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54834-2025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45966</v>
      </c>
      <c r="E423" s="1" t="n">
        <v>46323</v>
      </c>
      <c r="F423" t="inlineStr">
        <is>
          <t>NORRBOTTENS LÄN</t>
        </is>
      </c>
      <c r="G423" t="inlineStr">
        <is>
          <t>BODEN</t>
        </is>
      </c>
      <c r="I423" t="n">
        <v>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54523-2025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45965</v>
      </c>
      <c r="E424" s="1" t="n">
        <v>46323</v>
      </c>
      <c r="F424" t="inlineStr">
        <is>
          <t>NORRBOTTENS LÄN</t>
        </is>
      </c>
      <c r="G424" t="inlineStr">
        <is>
          <t>BODEN</t>
        </is>
      </c>
      <c r="I424" t="n">
        <v>0.4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54416-2025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45965</v>
      </c>
      <c r="E425" s="1" t="n">
        <v>46323</v>
      </c>
      <c r="F425" t="inlineStr">
        <is>
          <t>NORRBOTTENS LÄN</t>
        </is>
      </c>
      <c r="G425" t="inlineStr">
        <is>
          <t>BODEN</t>
        </is>
      </c>
      <c r="I425" t="n">
        <v>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47424-2024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45587</v>
      </c>
      <c r="E426" s="1" t="n">
        <v>46323</v>
      </c>
      <c r="F426" t="inlineStr">
        <is>
          <t>NORRBOTTENS LÄN</t>
        </is>
      </c>
      <c r="G426" t="inlineStr">
        <is>
          <t>BODEN</t>
        </is>
      </c>
      <c r="I426" t="n">
        <v>1.9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46901-2024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45583</v>
      </c>
      <c r="E427" s="1" t="n">
        <v>46323</v>
      </c>
      <c r="F427" t="inlineStr">
        <is>
          <t>NORRBOTTENS LÄN</t>
        </is>
      </c>
      <c r="G427" t="inlineStr">
        <is>
          <t>BODEN</t>
        </is>
      </c>
      <c r="H427" t="inlineStr">
        <is>
          <t>SCA</t>
        </is>
      </c>
      <c r="I427" t="n">
        <v>4.4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37384-2023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45156</v>
      </c>
      <c r="E428" s="1" t="n">
        <v>46323</v>
      </c>
      <c r="F428" t="inlineStr">
        <is>
          <t>NORRBOTTENS LÄN</t>
        </is>
      </c>
      <c r="G428" t="inlineStr">
        <is>
          <t>BODEN</t>
        </is>
      </c>
      <c r="I428" t="n">
        <v>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9596-2023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44983</v>
      </c>
      <c r="E429" s="1" t="n">
        <v>46323</v>
      </c>
      <c r="F429" t="inlineStr">
        <is>
          <t>NORRBOTTENS LÄN</t>
        </is>
      </c>
      <c r="G429" t="inlineStr">
        <is>
          <t>BODEN</t>
        </is>
      </c>
      <c r="I429" t="n">
        <v>37.1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61748-2024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45649</v>
      </c>
      <c r="E430" s="1" t="n">
        <v>46323</v>
      </c>
      <c r="F430" t="inlineStr">
        <is>
          <t>NORRBOTTENS LÄN</t>
        </is>
      </c>
      <c r="G430" t="inlineStr">
        <is>
          <t>BODEN</t>
        </is>
      </c>
      <c r="I430" t="n">
        <v>7.3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61757-2024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45649</v>
      </c>
      <c r="E431" s="1" t="n">
        <v>46323</v>
      </c>
      <c r="F431" t="inlineStr">
        <is>
          <t>NORRBOTTENS LÄN</t>
        </is>
      </c>
      <c r="G431" t="inlineStr">
        <is>
          <t>BODEN</t>
        </is>
      </c>
      <c r="I431" t="n">
        <v>2.2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54718-2024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45618</v>
      </c>
      <c r="E432" s="1" t="n">
        <v>46323</v>
      </c>
      <c r="F432" t="inlineStr">
        <is>
          <t>NORRBOTTENS LÄN</t>
        </is>
      </c>
      <c r="G432" t="inlineStr">
        <is>
          <t>BODEN</t>
        </is>
      </c>
      <c r="H432" t="inlineStr">
        <is>
          <t>SCA</t>
        </is>
      </c>
      <c r="I432" t="n">
        <v>1.2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55562-2025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45971</v>
      </c>
      <c r="E433" s="1" t="n">
        <v>46323</v>
      </c>
      <c r="F433" t="inlineStr">
        <is>
          <t>NORRBOTTENS LÄN</t>
        </is>
      </c>
      <c r="G433" t="inlineStr">
        <is>
          <t>BODEN</t>
        </is>
      </c>
      <c r="I433" t="n">
        <v>1.6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24400-2022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44726</v>
      </c>
      <c r="E434" s="1" t="n">
        <v>46323</v>
      </c>
      <c r="F434" t="inlineStr">
        <is>
          <t>NORRBOTTENS LÄN</t>
        </is>
      </c>
      <c r="G434" t="inlineStr">
        <is>
          <t>BODEN</t>
        </is>
      </c>
      <c r="I434" t="n">
        <v>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55676-2025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45972</v>
      </c>
      <c r="E435" s="1" t="n">
        <v>46323</v>
      </c>
      <c r="F435" t="inlineStr">
        <is>
          <t>NORRBOTTENS LÄN</t>
        </is>
      </c>
      <c r="G435" t="inlineStr">
        <is>
          <t>BODEN</t>
        </is>
      </c>
      <c r="I435" t="n">
        <v>11.9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51614-2024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45604</v>
      </c>
      <c r="E436" s="1" t="n">
        <v>46323</v>
      </c>
      <c r="F436" t="inlineStr">
        <is>
          <t>NORRBOTTENS LÄN</t>
        </is>
      </c>
      <c r="G436" t="inlineStr">
        <is>
          <t>BODEN</t>
        </is>
      </c>
      <c r="I436" t="n">
        <v>2.2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56560-2025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45975</v>
      </c>
      <c r="E437" s="1" t="n">
        <v>46323</v>
      </c>
      <c r="F437" t="inlineStr">
        <is>
          <t>NORRBOTTENS LÄN</t>
        </is>
      </c>
      <c r="G437" t="inlineStr">
        <is>
          <t>BODEN</t>
        </is>
      </c>
      <c r="H437" t="inlineStr">
        <is>
          <t>Naturvårdsverket</t>
        </is>
      </c>
      <c r="I437" t="n">
        <v>9.800000000000001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56947-2025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45978</v>
      </c>
      <c r="E438" s="1" t="n">
        <v>46323</v>
      </c>
      <c r="F438" t="inlineStr">
        <is>
          <t>NORRBOTTENS LÄN</t>
        </is>
      </c>
      <c r="G438" t="inlineStr">
        <is>
          <t>BODEN</t>
        </is>
      </c>
      <c r="H438" t="inlineStr">
        <is>
          <t>Naturvårdsverket</t>
        </is>
      </c>
      <c r="I438" t="n">
        <v>10.4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12893-2022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44642</v>
      </c>
      <c r="E439" s="1" t="n">
        <v>46323</v>
      </c>
      <c r="F439" t="inlineStr">
        <is>
          <t>NORRBOTTENS LÄN</t>
        </is>
      </c>
      <c r="G439" t="inlineStr">
        <is>
          <t>BODEN</t>
        </is>
      </c>
      <c r="H439" t="inlineStr">
        <is>
          <t>Övriga statliga verk och myndigheter</t>
        </is>
      </c>
      <c r="I439" t="n">
        <v>15.8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38994-2024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45548</v>
      </c>
      <c r="E440" s="1" t="n">
        <v>46323</v>
      </c>
      <c r="F440" t="inlineStr">
        <is>
          <t>NORRBOTTENS LÄN</t>
        </is>
      </c>
      <c r="G440" t="inlineStr">
        <is>
          <t>BODEN</t>
        </is>
      </c>
      <c r="I440" t="n">
        <v>1.2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56440-2025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45975</v>
      </c>
      <c r="E441" s="1" t="n">
        <v>46323</v>
      </c>
      <c r="F441" t="inlineStr">
        <is>
          <t>NORRBOTTENS LÄN</t>
        </is>
      </c>
      <c r="G441" t="inlineStr">
        <is>
          <t>BODEN</t>
        </is>
      </c>
      <c r="H441" t="inlineStr">
        <is>
          <t>SCA</t>
        </is>
      </c>
      <c r="I441" t="n">
        <v>2.3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20505-2023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45054</v>
      </c>
      <c r="E442" s="1" t="n">
        <v>46323</v>
      </c>
      <c r="F442" t="inlineStr">
        <is>
          <t>NORRBOTTENS LÄN</t>
        </is>
      </c>
      <c r="G442" t="inlineStr">
        <is>
          <t>BODEN</t>
        </is>
      </c>
      <c r="I442" t="n">
        <v>0.8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20041-2025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45772</v>
      </c>
      <c r="E443" s="1" t="n">
        <v>46323</v>
      </c>
      <c r="F443" t="inlineStr">
        <is>
          <t>NORRBOTTENS LÄN</t>
        </is>
      </c>
      <c r="G443" t="inlineStr">
        <is>
          <t>BODEN</t>
        </is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56439-2025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45975</v>
      </c>
      <c r="E444" s="1" t="n">
        <v>46323</v>
      </c>
      <c r="F444" t="inlineStr">
        <is>
          <t>NORRBOTTENS LÄN</t>
        </is>
      </c>
      <c r="G444" t="inlineStr">
        <is>
          <t>BODEN</t>
        </is>
      </c>
      <c r="H444" t="inlineStr">
        <is>
          <t>SCA</t>
        </is>
      </c>
      <c r="I444" t="n">
        <v>0.6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56867-2025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45978</v>
      </c>
      <c r="E445" s="1" t="n">
        <v>46323</v>
      </c>
      <c r="F445" t="inlineStr">
        <is>
          <t>NORRBOTTENS LÄN</t>
        </is>
      </c>
      <c r="G445" t="inlineStr">
        <is>
          <t>BODEN</t>
        </is>
      </c>
      <c r="I445" t="n">
        <v>5.8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6693-2023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44963</v>
      </c>
      <c r="E446" s="1" t="n">
        <v>46323</v>
      </c>
      <c r="F446" t="inlineStr">
        <is>
          <t>NORRBOTTENS LÄN</t>
        </is>
      </c>
      <c r="G446" t="inlineStr">
        <is>
          <t>BODEN</t>
        </is>
      </c>
      <c r="I446" t="n">
        <v>2.6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55628-2023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45238</v>
      </c>
      <c r="E447" s="1" t="n">
        <v>46323</v>
      </c>
      <c r="F447" t="inlineStr">
        <is>
          <t>NORRBOTTENS LÄN</t>
        </is>
      </c>
      <c r="G447" t="inlineStr">
        <is>
          <t>BODEN</t>
        </is>
      </c>
      <c r="I447" t="n">
        <v>1.7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67068-2021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44522</v>
      </c>
      <c r="E448" s="1" t="n">
        <v>46323</v>
      </c>
      <c r="F448" t="inlineStr">
        <is>
          <t>NORRBOTTENS LÄN</t>
        </is>
      </c>
      <c r="G448" t="inlineStr">
        <is>
          <t>BODEN</t>
        </is>
      </c>
      <c r="I448" t="n">
        <v>5.1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48472-2024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45591</v>
      </c>
      <c r="E449" s="1" t="n">
        <v>46323</v>
      </c>
      <c r="F449" t="inlineStr">
        <is>
          <t>NORRBOTTENS LÄN</t>
        </is>
      </c>
      <c r="G449" t="inlineStr">
        <is>
          <t>BODEN</t>
        </is>
      </c>
      <c r="H449" t="inlineStr">
        <is>
          <t>SCA</t>
        </is>
      </c>
      <c r="I449" t="n">
        <v>7.7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8120-2022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44609</v>
      </c>
      <c r="E450" s="1" t="n">
        <v>46323</v>
      </c>
      <c r="F450" t="inlineStr">
        <is>
          <t>NORRBOTTENS LÄN</t>
        </is>
      </c>
      <c r="G450" t="inlineStr">
        <is>
          <t>BODEN</t>
        </is>
      </c>
      <c r="I450" t="n">
        <v>1.7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61384-2025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46001</v>
      </c>
      <c r="E451" s="1" t="n">
        <v>46323</v>
      </c>
      <c r="F451" t="inlineStr">
        <is>
          <t>NORRBOTTENS LÄN</t>
        </is>
      </c>
      <c r="G451" t="inlineStr">
        <is>
          <t>BODEN</t>
        </is>
      </c>
      <c r="I451" t="n">
        <v>17.1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57777-2025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45981</v>
      </c>
      <c r="E452" s="1" t="n">
        <v>46323</v>
      </c>
      <c r="F452" t="inlineStr">
        <is>
          <t>NORRBOTTENS LÄN</t>
        </is>
      </c>
      <c r="G452" t="inlineStr">
        <is>
          <t>BODEN</t>
        </is>
      </c>
      <c r="H452" t="inlineStr">
        <is>
          <t>Sveaskog</t>
        </is>
      </c>
      <c r="I452" t="n">
        <v>3.4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57778-2025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45981</v>
      </c>
      <c r="E453" s="1" t="n">
        <v>46323</v>
      </c>
      <c r="F453" t="inlineStr">
        <is>
          <t>NORRBOTTENS LÄN</t>
        </is>
      </c>
      <c r="G453" t="inlineStr">
        <is>
          <t>BODEN</t>
        </is>
      </c>
      <c r="H453" t="inlineStr">
        <is>
          <t>Sveaskog</t>
        </is>
      </c>
      <c r="I453" t="n">
        <v>3.8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61560-2025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46001</v>
      </c>
      <c r="E454" s="1" t="n">
        <v>46323</v>
      </c>
      <c r="F454" t="inlineStr">
        <is>
          <t>NORRBOTTENS LÄN</t>
        </is>
      </c>
      <c r="G454" t="inlineStr">
        <is>
          <t>BODEN</t>
        </is>
      </c>
      <c r="I454" t="n">
        <v>4.7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58490-2025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45985</v>
      </c>
      <c r="E455" s="1" t="n">
        <v>46323</v>
      </c>
      <c r="F455" t="inlineStr">
        <is>
          <t>NORRBOTTENS LÄN</t>
        </is>
      </c>
      <c r="G455" t="inlineStr">
        <is>
          <t>BODEN</t>
        </is>
      </c>
      <c r="I455" t="n">
        <v>1.6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61559-2025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46001</v>
      </c>
      <c r="E456" s="1" t="n">
        <v>46323</v>
      </c>
      <c r="F456" t="inlineStr">
        <is>
          <t>NORRBOTTENS LÄN</t>
        </is>
      </c>
      <c r="G456" t="inlineStr">
        <is>
          <t>BODEN</t>
        </is>
      </c>
      <c r="I456" t="n">
        <v>6.7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58662-2025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45986</v>
      </c>
      <c r="E457" s="1" t="n">
        <v>46323</v>
      </c>
      <c r="F457" t="inlineStr">
        <is>
          <t>NORRBOTTENS LÄN</t>
        </is>
      </c>
      <c r="G457" t="inlineStr">
        <is>
          <t>BODEN</t>
        </is>
      </c>
      <c r="I457" t="n">
        <v>1.1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38371-2023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45161</v>
      </c>
      <c r="E458" s="1" t="n">
        <v>46323</v>
      </c>
      <c r="F458" t="inlineStr">
        <is>
          <t>NORRBOTTENS LÄN</t>
        </is>
      </c>
      <c r="G458" t="inlineStr">
        <is>
          <t>BODEN</t>
        </is>
      </c>
      <c r="H458" t="inlineStr">
        <is>
          <t>SCA</t>
        </is>
      </c>
      <c r="I458" t="n">
        <v>0.7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38372-2023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45161</v>
      </c>
      <c r="E459" s="1" t="n">
        <v>46323</v>
      </c>
      <c r="F459" t="inlineStr">
        <is>
          <t>NORRBOTTENS LÄN</t>
        </is>
      </c>
      <c r="G459" t="inlineStr">
        <is>
          <t>BODEN</t>
        </is>
      </c>
      <c r="H459" t="inlineStr">
        <is>
          <t>SCA</t>
        </is>
      </c>
      <c r="I459" t="n">
        <v>7.9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61959-2025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46003</v>
      </c>
      <c r="E460" s="1" t="n">
        <v>46323</v>
      </c>
      <c r="F460" t="inlineStr">
        <is>
          <t>NORRBOTTENS LÄN</t>
        </is>
      </c>
      <c r="G460" t="inlineStr">
        <is>
          <t>BODEN</t>
        </is>
      </c>
      <c r="I460" t="n">
        <v>2.6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58203-2025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45984</v>
      </c>
      <c r="E461" s="1" t="n">
        <v>46323</v>
      </c>
      <c r="F461" t="inlineStr">
        <is>
          <t>NORRBOTTENS LÄN</t>
        </is>
      </c>
      <c r="G461" t="inlineStr">
        <is>
          <t>BODEN</t>
        </is>
      </c>
      <c r="I461" t="n">
        <v>4.7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17839-2025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45758</v>
      </c>
      <c r="E462" s="1" t="n">
        <v>46323</v>
      </c>
      <c r="F462" t="inlineStr">
        <is>
          <t>NORRBOTTENS LÄN</t>
        </is>
      </c>
      <c r="G462" t="inlineStr">
        <is>
          <t>BODEN</t>
        </is>
      </c>
      <c r="I462" t="n">
        <v>0.9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59263-2025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45988</v>
      </c>
      <c r="E463" s="1" t="n">
        <v>46323</v>
      </c>
      <c r="F463" t="inlineStr">
        <is>
          <t>NORRBOTTENS LÄN</t>
        </is>
      </c>
      <c r="G463" t="inlineStr">
        <is>
          <t>BODEN</t>
        </is>
      </c>
      <c r="I463" t="n">
        <v>6.7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61949-2025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46003</v>
      </c>
      <c r="E464" s="1" t="n">
        <v>46323</v>
      </c>
      <c r="F464" t="inlineStr">
        <is>
          <t>NORRBOTTENS LÄN</t>
        </is>
      </c>
      <c r="G464" t="inlineStr">
        <is>
          <t>BODEN</t>
        </is>
      </c>
      <c r="I464" t="n">
        <v>6.2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59264-2025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45988</v>
      </c>
      <c r="E465" s="1" t="n">
        <v>46323</v>
      </c>
      <c r="F465" t="inlineStr">
        <is>
          <t>NORRBOTTENS LÄN</t>
        </is>
      </c>
      <c r="G465" t="inlineStr">
        <is>
          <t>BODEN</t>
        </is>
      </c>
      <c r="I465" t="n">
        <v>3.3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34760-2022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44795</v>
      </c>
      <c r="E466" s="1" t="n">
        <v>46323</v>
      </c>
      <c r="F466" t="inlineStr">
        <is>
          <t>NORRBOTTENS LÄN</t>
        </is>
      </c>
      <c r="G466" t="inlineStr">
        <is>
          <t>BODEN</t>
        </is>
      </c>
      <c r="I466" t="n">
        <v>4.9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62687-2025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46008</v>
      </c>
      <c r="E467" s="1" t="n">
        <v>46323</v>
      </c>
      <c r="F467" t="inlineStr">
        <is>
          <t>NORRBOTTENS LÄN</t>
        </is>
      </c>
      <c r="G467" t="inlineStr">
        <is>
          <t>BODEN</t>
        </is>
      </c>
      <c r="I467" t="n">
        <v>10.1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50327-2023</t>
        </is>
      </c>
      <c r="B468" t="inlineStr">
        <is>
          <t>avverkningsanmälan</t>
        </is>
      </c>
      <c r="C468" t="inlineStr">
        <is>
          <t>Avverkning för annat ändamål</t>
        </is>
      </c>
      <c r="D468" s="1" t="n">
        <v>45216</v>
      </c>
      <c r="E468" s="1" t="n">
        <v>46323</v>
      </c>
      <c r="F468" t="inlineStr">
        <is>
          <t>NORRBOTTENS LÄN</t>
        </is>
      </c>
      <c r="G468" t="inlineStr">
        <is>
          <t>BODEN</t>
        </is>
      </c>
      <c r="H468" t="inlineStr">
        <is>
          <t>Sveaskog</t>
        </is>
      </c>
      <c r="I468" t="n">
        <v>4.3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49730-2024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45596</v>
      </c>
      <c r="E469" s="1" t="n">
        <v>46323</v>
      </c>
      <c r="F469" t="inlineStr">
        <is>
          <t>NORRBOTTENS LÄN</t>
        </is>
      </c>
      <c r="G469" t="inlineStr">
        <is>
          <t>BODEN</t>
        </is>
      </c>
      <c r="I469" t="n">
        <v>5.6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50103-2024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45600</v>
      </c>
      <c r="E470" s="1" t="n">
        <v>46323</v>
      </c>
      <c r="F470" t="inlineStr">
        <is>
          <t>NORRBOTTENS LÄN</t>
        </is>
      </c>
      <c r="G470" t="inlineStr">
        <is>
          <t>BODEN</t>
        </is>
      </c>
      <c r="I470" t="n">
        <v>0.9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50107-2024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45600</v>
      </c>
      <c r="E471" s="1" t="n">
        <v>46323</v>
      </c>
      <c r="F471" t="inlineStr">
        <is>
          <t>NORRBOTTENS LÄN</t>
        </is>
      </c>
      <c r="G471" t="inlineStr">
        <is>
          <t>BODEN</t>
        </is>
      </c>
      <c r="I471" t="n">
        <v>0.9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706-2022</t>
        </is>
      </c>
      <c r="B472" t="inlineStr">
        <is>
          <t>avverkningsanmälan</t>
        </is>
      </c>
      <c r="C472" t="inlineStr">
        <is>
          <t>Avverkning för att bevara och utveckla /försöksver</t>
        </is>
      </c>
      <c r="D472" s="1" t="n">
        <v>44566</v>
      </c>
      <c r="E472" s="1" t="n">
        <v>46323</v>
      </c>
      <c r="F472" t="inlineStr">
        <is>
          <t>NORRBOTTENS LÄN</t>
        </is>
      </c>
      <c r="G472" t="inlineStr">
        <is>
          <t>BODEN</t>
        </is>
      </c>
      <c r="I472" t="n">
        <v>12.4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60238-2025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45994</v>
      </c>
      <c r="E473" s="1" t="n">
        <v>46323</v>
      </c>
      <c r="F473" t="inlineStr">
        <is>
          <t>NORRBOTTENS LÄN</t>
        </is>
      </c>
      <c r="G473" t="inlineStr">
        <is>
          <t>BODEN</t>
        </is>
      </c>
      <c r="I473" t="n">
        <v>2.1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63329-2025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46009</v>
      </c>
      <c r="E474" s="1" t="n">
        <v>46323</v>
      </c>
      <c r="F474" t="inlineStr">
        <is>
          <t>NORRBOTTENS LÄN</t>
        </is>
      </c>
      <c r="G474" t="inlineStr">
        <is>
          <t>BODEN</t>
        </is>
      </c>
      <c r="I474" t="n">
        <v>3.3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63333-2025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46009</v>
      </c>
      <c r="E475" s="1" t="n">
        <v>46323</v>
      </c>
      <c r="F475" t="inlineStr">
        <is>
          <t>NORRBOTTENS LÄN</t>
        </is>
      </c>
      <c r="G475" t="inlineStr">
        <is>
          <t>BODEN</t>
        </is>
      </c>
      <c r="I475" t="n">
        <v>1.3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60233-2025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45994</v>
      </c>
      <c r="E476" s="1" t="n">
        <v>46323</v>
      </c>
      <c r="F476" t="inlineStr">
        <is>
          <t>NORRBOTTENS LÄN</t>
        </is>
      </c>
      <c r="G476" t="inlineStr">
        <is>
          <t>BODEN</t>
        </is>
      </c>
      <c r="I476" t="n">
        <v>3.5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60235-2025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45994</v>
      </c>
      <c r="E477" s="1" t="n">
        <v>46323</v>
      </c>
      <c r="F477" t="inlineStr">
        <is>
          <t>NORRBOTTENS LÄN</t>
        </is>
      </c>
      <c r="G477" t="inlineStr">
        <is>
          <t>BODEN</t>
        </is>
      </c>
      <c r="I477" t="n">
        <v>2.5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60237-2025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45994</v>
      </c>
      <c r="E478" s="1" t="n">
        <v>46323</v>
      </c>
      <c r="F478" t="inlineStr">
        <is>
          <t>NORRBOTTENS LÄN</t>
        </is>
      </c>
      <c r="G478" t="inlineStr">
        <is>
          <t>BODEN</t>
        </is>
      </c>
      <c r="I478" t="n">
        <v>3.4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60225-2025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45994</v>
      </c>
      <c r="E479" s="1" t="n">
        <v>46323</v>
      </c>
      <c r="F479" t="inlineStr">
        <is>
          <t>NORRBOTTENS LÄN</t>
        </is>
      </c>
      <c r="G479" t="inlineStr">
        <is>
          <t>BODEN</t>
        </is>
      </c>
      <c r="I479" t="n">
        <v>2.2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60236-2025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45994</v>
      </c>
      <c r="E480" s="1" t="n">
        <v>46323</v>
      </c>
      <c r="F480" t="inlineStr">
        <is>
          <t>NORRBOTTENS LÄN</t>
        </is>
      </c>
      <c r="G480" t="inlineStr">
        <is>
          <t>BODEN</t>
        </is>
      </c>
      <c r="I480" t="n">
        <v>5.2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62992-2025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46009</v>
      </c>
      <c r="E481" s="1" t="n">
        <v>46323</v>
      </c>
      <c r="F481" t="inlineStr">
        <is>
          <t>NORRBOTTENS LÄN</t>
        </is>
      </c>
      <c r="G481" t="inlineStr">
        <is>
          <t>BODEN</t>
        </is>
      </c>
      <c r="I481" t="n">
        <v>5.6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60397-2025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45995</v>
      </c>
      <c r="E482" s="1" t="n">
        <v>46323</v>
      </c>
      <c r="F482" t="inlineStr">
        <is>
          <t>NORRBOTTENS LÄN</t>
        </is>
      </c>
      <c r="G482" t="inlineStr">
        <is>
          <t>BODEN</t>
        </is>
      </c>
      <c r="I482" t="n">
        <v>0.9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60395-2025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45995</v>
      </c>
      <c r="E483" s="1" t="n">
        <v>46323</v>
      </c>
      <c r="F483" t="inlineStr">
        <is>
          <t>NORRBOTTENS LÄN</t>
        </is>
      </c>
      <c r="G483" t="inlineStr">
        <is>
          <t>BODEN</t>
        </is>
      </c>
      <c r="I483" t="n">
        <v>2.5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60423-2025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45995</v>
      </c>
      <c r="E484" s="1" t="n">
        <v>46323</v>
      </c>
      <c r="F484" t="inlineStr">
        <is>
          <t>NORRBOTTENS LÄN</t>
        </is>
      </c>
      <c r="G484" t="inlineStr">
        <is>
          <t>BODEN</t>
        </is>
      </c>
      <c r="I484" t="n">
        <v>2.8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60424-2025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45995</v>
      </c>
      <c r="E485" s="1" t="n">
        <v>46323</v>
      </c>
      <c r="F485" t="inlineStr">
        <is>
          <t>NORRBOTTENS LÄN</t>
        </is>
      </c>
      <c r="G485" t="inlineStr">
        <is>
          <t>BODEN</t>
        </is>
      </c>
      <c r="I485" t="n">
        <v>3.6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60613-2025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45996</v>
      </c>
      <c r="E486" s="1" t="n">
        <v>46323</v>
      </c>
      <c r="F486" t="inlineStr">
        <is>
          <t>NORRBOTTENS LÄN</t>
        </is>
      </c>
      <c r="G486" t="inlineStr">
        <is>
          <t>BODEN</t>
        </is>
      </c>
      <c r="I486" t="n">
        <v>1.1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60429-2025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45995</v>
      </c>
      <c r="E487" s="1" t="n">
        <v>46323</v>
      </c>
      <c r="F487" t="inlineStr">
        <is>
          <t>NORRBOTTENS LÄN</t>
        </is>
      </c>
      <c r="G487" t="inlineStr">
        <is>
          <t>BODEN</t>
        </is>
      </c>
      <c r="I487" t="n">
        <v>2.4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42652-2025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45906</v>
      </c>
      <c r="E488" s="1" t="n">
        <v>46323</v>
      </c>
      <c r="F488" t="inlineStr">
        <is>
          <t>NORRBOTTENS LÄN</t>
        </is>
      </c>
      <c r="G488" t="inlineStr">
        <is>
          <t>BODEN</t>
        </is>
      </c>
      <c r="I488" t="n">
        <v>5.1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63399-2025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46012</v>
      </c>
      <c r="E489" s="1" t="n">
        <v>46323</v>
      </c>
      <c r="F489" t="inlineStr">
        <is>
          <t>NORRBOTTENS LÄN</t>
        </is>
      </c>
      <c r="G489" t="inlineStr">
        <is>
          <t>BODEN</t>
        </is>
      </c>
      <c r="I489" t="n">
        <v>2.1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63400-2025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46012</v>
      </c>
      <c r="E490" s="1" t="n">
        <v>46323</v>
      </c>
      <c r="F490" t="inlineStr">
        <is>
          <t>NORRBOTTENS LÄN</t>
        </is>
      </c>
      <c r="G490" t="inlineStr">
        <is>
          <t>BODEN</t>
        </is>
      </c>
      <c r="I490" t="n">
        <v>2.4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61034-2025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45999</v>
      </c>
      <c r="E491" s="1" t="n">
        <v>46323</v>
      </c>
      <c r="F491" t="inlineStr">
        <is>
          <t>NORRBOTTENS LÄN</t>
        </is>
      </c>
      <c r="G491" t="inlineStr">
        <is>
          <t>BODEN</t>
        </is>
      </c>
      <c r="I491" t="n">
        <v>5.3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42173-2025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45902</v>
      </c>
      <c r="E492" s="1" t="n">
        <v>46323</v>
      </c>
      <c r="F492" t="inlineStr">
        <is>
          <t>NORRBOTTENS LÄN</t>
        </is>
      </c>
      <c r="G492" t="inlineStr">
        <is>
          <t>BODEN</t>
        </is>
      </c>
      <c r="H492" t="inlineStr">
        <is>
          <t>Övriga statliga verk och myndigheter</t>
        </is>
      </c>
      <c r="I492" t="n">
        <v>1.6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61227-2025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46000</v>
      </c>
      <c r="E493" s="1" t="n">
        <v>46323</v>
      </c>
      <c r="F493" t="inlineStr">
        <is>
          <t>NORRBOTTENS LÄN</t>
        </is>
      </c>
      <c r="G493" t="inlineStr">
        <is>
          <t>BODEN</t>
        </is>
      </c>
      <c r="I493" t="n">
        <v>7.2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22372-2025</t>
        </is>
      </c>
      <c r="B494" t="inlineStr">
        <is>
          <t>avverkningsanmälan</t>
        </is>
      </c>
      <c r="C494" t="inlineStr">
        <is>
          <t>Avverkning för annat ändamål</t>
        </is>
      </c>
      <c r="D494" s="1" t="n">
        <v>45786</v>
      </c>
      <c r="E494" s="1" t="n">
        <v>46323</v>
      </c>
      <c r="F494" t="inlineStr">
        <is>
          <t>NORRBOTTENS LÄN</t>
        </is>
      </c>
      <c r="G494" t="inlineStr">
        <is>
          <t>BODEN</t>
        </is>
      </c>
      <c r="H494" t="inlineStr">
        <is>
          <t>Kommuner</t>
        </is>
      </c>
      <c r="I494" t="n">
        <v>16.3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36115-2023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45149</v>
      </c>
      <c r="E495" s="1" t="n">
        <v>46323</v>
      </c>
      <c r="F495" t="inlineStr">
        <is>
          <t>NORRBOTTENS LÄN</t>
        </is>
      </c>
      <c r="G495" t="inlineStr">
        <is>
          <t>BODEN</t>
        </is>
      </c>
      <c r="I495" t="n">
        <v>3.4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28758-2024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45478</v>
      </c>
      <c r="E496" s="1" t="n">
        <v>46323</v>
      </c>
      <c r="F496" t="inlineStr">
        <is>
          <t>NORRBOTTENS LÄN</t>
        </is>
      </c>
      <c r="G496" t="inlineStr">
        <is>
          <t>BODEN</t>
        </is>
      </c>
      <c r="I496" t="n">
        <v>7.5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63891-2025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46020</v>
      </c>
      <c r="E497" s="1" t="n">
        <v>46323</v>
      </c>
      <c r="F497" t="inlineStr">
        <is>
          <t>NORRBOTTENS LÄN</t>
        </is>
      </c>
      <c r="G497" t="inlineStr">
        <is>
          <t>BODEN</t>
        </is>
      </c>
      <c r="I497" t="n">
        <v>12.5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8752-2026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46066</v>
      </c>
      <c r="E498" s="1" t="n">
        <v>46323</v>
      </c>
      <c r="F498" t="inlineStr">
        <is>
          <t>NORRBOTTENS LÄN</t>
        </is>
      </c>
      <c r="G498" t="inlineStr">
        <is>
          <t>BODEN</t>
        </is>
      </c>
      <c r="I498" t="n">
        <v>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8701-2026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46066</v>
      </c>
      <c r="E499" s="1" t="n">
        <v>46323</v>
      </c>
      <c r="F499" t="inlineStr">
        <is>
          <t>NORRBOTTENS LÄN</t>
        </is>
      </c>
      <c r="G499" t="inlineStr">
        <is>
          <t>BODEN</t>
        </is>
      </c>
      <c r="I499" t="n">
        <v>9.6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16965-2024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45411</v>
      </c>
      <c r="E500" s="1" t="n">
        <v>46323</v>
      </c>
      <c r="F500" t="inlineStr">
        <is>
          <t>NORRBOTTENS LÄN</t>
        </is>
      </c>
      <c r="G500" t="inlineStr">
        <is>
          <t>BODEN</t>
        </is>
      </c>
      <c r="I500" t="n">
        <v>2.3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29393-2026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46203</v>
      </c>
      <c r="E501" s="1" t="n">
        <v>46323</v>
      </c>
      <c r="F501" t="inlineStr">
        <is>
          <t>NORRBOTTENS LÄN</t>
        </is>
      </c>
      <c r="G501" t="inlineStr">
        <is>
          <t>BODEN</t>
        </is>
      </c>
      <c r="I501" t="n">
        <v>1.6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2426-2024</t>
        </is>
      </c>
      <c r="B502" t="inlineStr">
        <is>
          <t>avverkningsanmälan</t>
        </is>
      </c>
      <c r="C502" t="inlineStr">
        <is>
          <t>Avverkning för att bevara och utveckla /försöksver</t>
        </is>
      </c>
      <c r="D502" s="1" t="n">
        <v>45310</v>
      </c>
      <c r="E502" s="1" t="n">
        <v>46323</v>
      </c>
      <c r="F502" t="inlineStr">
        <is>
          <t>NORRBOTTENS LÄN</t>
        </is>
      </c>
      <c r="G502" t="inlineStr">
        <is>
          <t>BODEN</t>
        </is>
      </c>
      <c r="H502" t="inlineStr">
        <is>
          <t>SCA</t>
        </is>
      </c>
      <c r="I502" t="n">
        <v>3.3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928-2026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46030</v>
      </c>
      <c r="E503" s="1" t="n">
        <v>46323</v>
      </c>
      <c r="F503" t="inlineStr">
        <is>
          <t>NORRBOTTENS LÄN</t>
        </is>
      </c>
      <c r="G503" t="inlineStr">
        <is>
          <t>BODEN</t>
        </is>
      </c>
      <c r="H503" t="inlineStr">
        <is>
          <t>SCA</t>
        </is>
      </c>
      <c r="I503" t="n">
        <v>31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977-2026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46030</v>
      </c>
      <c r="E504" s="1" t="n">
        <v>46323</v>
      </c>
      <c r="F504" t="inlineStr">
        <is>
          <t>NORRBOTTENS LÄN</t>
        </is>
      </c>
      <c r="G504" t="inlineStr">
        <is>
          <t>BODEN</t>
        </is>
      </c>
      <c r="H504" t="inlineStr">
        <is>
          <t>SCA</t>
        </is>
      </c>
      <c r="I504" t="n">
        <v>10.3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664-2026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46029</v>
      </c>
      <c r="E505" s="1" t="n">
        <v>46323</v>
      </c>
      <c r="F505" t="inlineStr">
        <is>
          <t>NORRBOTTENS LÄN</t>
        </is>
      </c>
      <c r="G505" t="inlineStr">
        <is>
          <t>BODEN</t>
        </is>
      </c>
      <c r="I505" t="n">
        <v>1.1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901-2026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46030</v>
      </c>
      <c r="E506" s="1" t="n">
        <v>46323</v>
      </c>
      <c r="F506" t="inlineStr">
        <is>
          <t>NORRBOTTENS LÄN</t>
        </is>
      </c>
      <c r="G506" t="inlineStr">
        <is>
          <t>BODEN</t>
        </is>
      </c>
      <c r="H506" t="inlineStr">
        <is>
          <t>SCA</t>
        </is>
      </c>
      <c r="I506" t="n">
        <v>6.8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29555-2026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46204</v>
      </c>
      <c r="E507" s="1" t="n">
        <v>46323</v>
      </c>
      <c r="F507" t="inlineStr">
        <is>
          <t>NORRBOTTENS LÄN</t>
        </is>
      </c>
      <c r="G507" t="inlineStr">
        <is>
          <t>BODEN</t>
        </is>
      </c>
      <c r="I507" t="n">
        <v>1.3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29155-2026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46202</v>
      </c>
      <c r="E508" s="1" t="n">
        <v>46323</v>
      </c>
      <c r="F508" t="inlineStr">
        <is>
          <t>NORRBOTTENS LÄN</t>
        </is>
      </c>
      <c r="G508" t="inlineStr">
        <is>
          <t>BODEN</t>
        </is>
      </c>
      <c r="H508" t="inlineStr">
        <is>
          <t>Sveaskog</t>
        </is>
      </c>
      <c r="I508" t="n">
        <v>3.7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29147-2026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46202</v>
      </c>
      <c r="E509" s="1" t="n">
        <v>46323</v>
      </c>
      <c r="F509" t="inlineStr">
        <is>
          <t>NORRBOTTENS LÄN</t>
        </is>
      </c>
      <c r="G509" t="inlineStr">
        <is>
          <t>BODEN</t>
        </is>
      </c>
      <c r="H509" t="inlineStr">
        <is>
          <t>Sveaskog</t>
        </is>
      </c>
      <c r="I509" t="n">
        <v>3.8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29152-2026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46202</v>
      </c>
      <c r="E510" s="1" t="n">
        <v>46323</v>
      </c>
      <c r="F510" t="inlineStr">
        <is>
          <t>NORRBOTTENS LÄN</t>
        </is>
      </c>
      <c r="G510" t="inlineStr">
        <is>
          <t>BODEN</t>
        </is>
      </c>
      <c r="H510" t="inlineStr">
        <is>
          <t>Sveaskog</t>
        </is>
      </c>
      <c r="I510" t="n">
        <v>0.9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63841-2025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46020</v>
      </c>
      <c r="E511" s="1" t="n">
        <v>46323</v>
      </c>
      <c r="F511" t="inlineStr">
        <is>
          <t>NORRBOTTENS LÄN</t>
        </is>
      </c>
      <c r="G511" t="inlineStr">
        <is>
          <t>BODEN</t>
        </is>
      </c>
      <c r="I511" t="n">
        <v>10.9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11092-2022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44628</v>
      </c>
      <c r="E512" s="1" t="n">
        <v>46323</v>
      </c>
      <c r="F512" t="inlineStr">
        <is>
          <t>NORRBOTTENS LÄN</t>
        </is>
      </c>
      <c r="G512" t="inlineStr">
        <is>
          <t>BODEN</t>
        </is>
      </c>
      <c r="I512" t="n">
        <v>4.8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41957-2024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45561</v>
      </c>
      <c r="E513" s="1" t="n">
        <v>46323</v>
      </c>
      <c r="F513" t="inlineStr">
        <is>
          <t>NORRBOTTENS LÄN</t>
        </is>
      </c>
      <c r="G513" t="inlineStr">
        <is>
          <t>BODEN</t>
        </is>
      </c>
      <c r="I513" t="n">
        <v>0.8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32347-2024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45512</v>
      </c>
      <c r="E514" s="1" t="n">
        <v>46323</v>
      </c>
      <c r="F514" t="inlineStr">
        <is>
          <t>NORRBOTTENS LÄN</t>
        </is>
      </c>
      <c r="G514" t="inlineStr">
        <is>
          <t>BODEN</t>
        </is>
      </c>
      <c r="I514" t="n">
        <v>0.3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12558-2024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45379</v>
      </c>
      <c r="E515" s="1" t="n">
        <v>46323</v>
      </c>
      <c r="F515" t="inlineStr">
        <is>
          <t>NORRBOTTENS LÄN</t>
        </is>
      </c>
      <c r="G515" t="inlineStr">
        <is>
          <t>BODEN</t>
        </is>
      </c>
      <c r="I515" t="n">
        <v>2.3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23321-2025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45791</v>
      </c>
      <c r="E516" s="1" t="n">
        <v>46323</v>
      </c>
      <c r="F516" t="inlineStr">
        <is>
          <t>NORRBOTTENS LÄN</t>
        </is>
      </c>
      <c r="G516" t="inlineStr">
        <is>
          <t>BODEN</t>
        </is>
      </c>
      <c r="H516" t="inlineStr">
        <is>
          <t>Sveaskog</t>
        </is>
      </c>
      <c r="I516" t="n">
        <v>10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29568-2026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46204</v>
      </c>
      <c r="E517" s="1" t="n">
        <v>46323</v>
      </c>
      <c r="F517" t="inlineStr">
        <is>
          <t>NORRBOTTENS LÄN</t>
        </is>
      </c>
      <c r="G517" t="inlineStr">
        <is>
          <t>BODEN</t>
        </is>
      </c>
      <c r="I517" t="n">
        <v>12.2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29759-2026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46204</v>
      </c>
      <c r="E518" s="1" t="n">
        <v>46323</v>
      </c>
      <c r="F518" t="inlineStr">
        <is>
          <t>NORRBOTTENS LÄN</t>
        </is>
      </c>
      <c r="G518" t="inlineStr">
        <is>
          <t>BODEN</t>
        </is>
      </c>
      <c r="I518" t="n">
        <v>38.7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48950-2022</t>
        </is>
      </c>
      <c r="B519" t="inlineStr">
        <is>
          <t>avverkningsanmälan</t>
        </is>
      </c>
      <c r="C519" t="inlineStr">
        <is>
          <t>Avverkning för att bevara och utveckla /försöksver</t>
        </is>
      </c>
      <c r="D519" s="1" t="n">
        <v>44859</v>
      </c>
      <c r="E519" s="1" t="n">
        <v>46323</v>
      </c>
      <c r="F519" t="inlineStr">
        <is>
          <t>NORRBOTTENS LÄN</t>
        </is>
      </c>
      <c r="G519" t="inlineStr">
        <is>
          <t>BODEN</t>
        </is>
      </c>
      <c r="H519" t="inlineStr">
        <is>
          <t>SCA</t>
        </is>
      </c>
      <c r="I519" t="n">
        <v>2.4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30432-2026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46209</v>
      </c>
      <c r="E520" s="1" t="n">
        <v>46323</v>
      </c>
      <c r="F520" t="inlineStr">
        <is>
          <t>NORRBOTTENS LÄN</t>
        </is>
      </c>
      <c r="G520" t="inlineStr">
        <is>
          <t>BODEN</t>
        </is>
      </c>
      <c r="H520" t="inlineStr">
        <is>
          <t>Kommuner</t>
        </is>
      </c>
      <c r="I520" t="n">
        <v>4.4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49859-2023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45212</v>
      </c>
      <c r="E521" s="1" t="n">
        <v>46323</v>
      </c>
      <c r="F521" t="inlineStr">
        <is>
          <t>NORRBOTTENS LÄN</t>
        </is>
      </c>
      <c r="G521" t="inlineStr">
        <is>
          <t>BODEN</t>
        </is>
      </c>
      <c r="H521" t="inlineStr">
        <is>
          <t>SCA</t>
        </is>
      </c>
      <c r="I521" t="n">
        <v>3.8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4630-2025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45687</v>
      </c>
      <c r="E522" s="1" t="n">
        <v>46323</v>
      </c>
      <c r="F522" t="inlineStr">
        <is>
          <t>NORRBOTTENS LÄN</t>
        </is>
      </c>
      <c r="G522" t="inlineStr">
        <is>
          <t>BODEN</t>
        </is>
      </c>
      <c r="I522" t="n">
        <v>2.4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30023-2026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46206</v>
      </c>
      <c r="E523" s="1" t="n">
        <v>46323</v>
      </c>
      <c r="F523" t="inlineStr">
        <is>
          <t>NORRBOTTENS LÄN</t>
        </is>
      </c>
      <c r="G523" t="inlineStr">
        <is>
          <t>BODEN</t>
        </is>
      </c>
      <c r="H523" t="inlineStr">
        <is>
          <t>SCA</t>
        </is>
      </c>
      <c r="I523" t="n">
        <v>15.2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3457-2026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46042</v>
      </c>
      <c r="E524" s="1" t="n">
        <v>46323</v>
      </c>
      <c r="F524" t="inlineStr">
        <is>
          <t>NORRBOTTENS LÄN</t>
        </is>
      </c>
      <c r="G524" t="inlineStr">
        <is>
          <t>BODEN</t>
        </is>
      </c>
      <c r="I524" t="n">
        <v>7.8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41487-2024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45560</v>
      </c>
      <c r="E525" s="1" t="n">
        <v>46323</v>
      </c>
      <c r="F525" t="inlineStr">
        <is>
          <t>NORRBOTTENS LÄN</t>
        </is>
      </c>
      <c r="G525" t="inlineStr">
        <is>
          <t>BODEN</t>
        </is>
      </c>
      <c r="H525" t="inlineStr">
        <is>
          <t>SCA</t>
        </is>
      </c>
      <c r="I525" t="n">
        <v>0.7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3493-2026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46042</v>
      </c>
      <c r="E526" s="1" t="n">
        <v>46323</v>
      </c>
      <c r="F526" t="inlineStr">
        <is>
          <t>NORRBOTTENS LÄN</t>
        </is>
      </c>
      <c r="G526" t="inlineStr">
        <is>
          <t>BODEN</t>
        </is>
      </c>
      <c r="I526" t="n">
        <v>0.7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19590-2025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45770</v>
      </c>
      <c r="E527" s="1" t="n">
        <v>46323</v>
      </c>
      <c r="F527" t="inlineStr">
        <is>
          <t>NORRBOTTENS LÄN</t>
        </is>
      </c>
      <c r="G527" t="inlineStr">
        <is>
          <t>BODEN</t>
        </is>
      </c>
      <c r="I527" t="n">
        <v>2.1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30025-2026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46206</v>
      </c>
      <c r="E528" s="1" t="n">
        <v>46323</v>
      </c>
      <c r="F528" t="inlineStr">
        <is>
          <t>NORRBOTTENS LÄN</t>
        </is>
      </c>
      <c r="G528" t="inlineStr">
        <is>
          <t>BODEN</t>
        </is>
      </c>
      <c r="H528" t="inlineStr">
        <is>
          <t>SCA</t>
        </is>
      </c>
      <c r="I528" t="n">
        <v>5.2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30077-2026</t>
        </is>
      </c>
      <c r="B529" t="inlineStr">
        <is>
          <t>avverkningsanmälan</t>
        </is>
      </c>
      <c r="C529" t="inlineStr">
        <is>
          <t>Avverkning för annat ändamål</t>
        </is>
      </c>
      <c r="D529" s="1" t="n">
        <v>46206</v>
      </c>
      <c r="E529" s="1" t="n">
        <v>46323</v>
      </c>
      <c r="F529" t="inlineStr">
        <is>
          <t>NORRBOTTENS LÄN</t>
        </is>
      </c>
      <c r="G529" t="inlineStr">
        <is>
          <t>BODEN</t>
        </is>
      </c>
      <c r="H529" t="inlineStr">
        <is>
          <t>SCA</t>
        </is>
      </c>
      <c r="I529" t="n">
        <v>0.5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30332-2026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46208</v>
      </c>
      <c r="E530" s="1" t="n">
        <v>46323</v>
      </c>
      <c r="F530" t="inlineStr">
        <is>
          <t>NORRBOTTENS LÄN</t>
        </is>
      </c>
      <c r="G530" t="inlineStr">
        <is>
          <t>BODEN</t>
        </is>
      </c>
      <c r="I530" t="n">
        <v>9.800000000000001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30426-2026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46209</v>
      </c>
      <c r="E531" s="1" t="n">
        <v>46323</v>
      </c>
      <c r="F531" t="inlineStr">
        <is>
          <t>NORRBOTTENS LÄN</t>
        </is>
      </c>
      <c r="G531" t="inlineStr">
        <is>
          <t>BODEN</t>
        </is>
      </c>
      <c r="H531" t="inlineStr">
        <is>
          <t>Kommuner</t>
        </is>
      </c>
      <c r="I531" t="n">
        <v>0.7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30430-2026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46209</v>
      </c>
      <c r="E532" s="1" t="n">
        <v>46323</v>
      </c>
      <c r="F532" t="inlineStr">
        <is>
          <t>NORRBOTTENS LÄN</t>
        </is>
      </c>
      <c r="G532" t="inlineStr">
        <is>
          <t>BODEN</t>
        </is>
      </c>
      <c r="H532" t="inlineStr">
        <is>
          <t>Kommuner</t>
        </is>
      </c>
      <c r="I532" t="n">
        <v>4.5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30745-2026</t>
        </is>
      </c>
      <c r="B533" t="inlineStr">
        <is>
          <t>avverkningsanmälan</t>
        </is>
      </c>
      <c r="C533" t="inlineStr">
        <is>
          <t>Avverkning för annat ändamål</t>
        </is>
      </c>
      <c r="D533" s="1" t="n">
        <v>46211</v>
      </c>
      <c r="E533" s="1" t="n">
        <v>46323</v>
      </c>
      <c r="F533" t="inlineStr">
        <is>
          <t>NORRBOTTENS LÄN</t>
        </is>
      </c>
      <c r="G533" t="inlineStr">
        <is>
          <t>BODEN</t>
        </is>
      </c>
      <c r="I533" t="n">
        <v>3.9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4897-2026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46048</v>
      </c>
      <c r="E534" s="1" t="n">
        <v>46323</v>
      </c>
      <c r="F534" t="inlineStr">
        <is>
          <t>NORRBOTTENS LÄN</t>
        </is>
      </c>
      <c r="G534" t="inlineStr">
        <is>
          <t>BODEN</t>
        </is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23724-2025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45793</v>
      </c>
      <c r="E535" s="1" t="n">
        <v>46323</v>
      </c>
      <c r="F535" t="inlineStr">
        <is>
          <t>NORRBOTTENS LÄN</t>
        </is>
      </c>
      <c r="G535" t="inlineStr">
        <is>
          <t>BODEN</t>
        </is>
      </c>
      <c r="H535" t="inlineStr">
        <is>
          <t>SCA</t>
        </is>
      </c>
      <c r="I535" t="n">
        <v>1.3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48420-2024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45590</v>
      </c>
      <c r="E536" s="1" t="n">
        <v>46323</v>
      </c>
      <c r="F536" t="inlineStr">
        <is>
          <t>NORRBOTTENS LÄN</t>
        </is>
      </c>
      <c r="G536" t="inlineStr">
        <is>
          <t>BODEN</t>
        </is>
      </c>
      <c r="I536" t="n">
        <v>1.5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48427-2024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45590</v>
      </c>
      <c r="E537" s="1" t="n">
        <v>46323</v>
      </c>
      <c r="F537" t="inlineStr">
        <is>
          <t>NORRBOTTENS LÄN</t>
        </is>
      </c>
      <c r="G537" t="inlineStr">
        <is>
          <t>BODEN</t>
        </is>
      </c>
      <c r="I537" t="n">
        <v>1.8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5457-2026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46050</v>
      </c>
      <c r="E538" s="1" t="n">
        <v>46323</v>
      </c>
      <c r="F538" t="inlineStr">
        <is>
          <t>NORRBOTTENS LÄN</t>
        </is>
      </c>
      <c r="G538" t="inlineStr">
        <is>
          <t>BODEN</t>
        </is>
      </c>
      <c r="I538" t="n">
        <v>7.5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31217-2026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46217</v>
      </c>
      <c r="E539" s="1" t="n">
        <v>46323</v>
      </c>
      <c r="F539" t="inlineStr">
        <is>
          <t>NORRBOTTENS LÄN</t>
        </is>
      </c>
      <c r="G539" t="inlineStr">
        <is>
          <t>BODEN</t>
        </is>
      </c>
      <c r="H539" t="inlineStr">
        <is>
          <t>Sveaskog</t>
        </is>
      </c>
      <c r="I539" t="n">
        <v>3.4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31456-2024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45505</v>
      </c>
      <c r="E540" s="1" t="n">
        <v>46323</v>
      </c>
      <c r="F540" t="inlineStr">
        <is>
          <t>NORRBOTTENS LÄN</t>
        </is>
      </c>
      <c r="G540" t="inlineStr">
        <is>
          <t>BODEN</t>
        </is>
      </c>
      <c r="H540" t="inlineStr">
        <is>
          <t>SCA</t>
        </is>
      </c>
      <c r="I540" t="n">
        <v>0.4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31209-2026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46217</v>
      </c>
      <c r="E541" s="1" t="n">
        <v>46323</v>
      </c>
      <c r="F541" t="inlineStr">
        <is>
          <t>NORRBOTTENS LÄN</t>
        </is>
      </c>
      <c r="G541" t="inlineStr">
        <is>
          <t>BODEN</t>
        </is>
      </c>
      <c r="H541" t="inlineStr">
        <is>
          <t>Sveaskog</t>
        </is>
      </c>
      <c r="I541" t="n">
        <v>8.800000000000001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31211-2026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46217</v>
      </c>
      <c r="E542" s="1" t="n">
        <v>46323</v>
      </c>
      <c r="F542" t="inlineStr">
        <is>
          <t>NORRBOTTENS LÄN</t>
        </is>
      </c>
      <c r="G542" t="inlineStr">
        <is>
          <t>BODEN</t>
        </is>
      </c>
      <c r="H542" t="inlineStr">
        <is>
          <t>Sveaskog</t>
        </is>
      </c>
      <c r="I542" t="n">
        <v>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24699-2025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45798</v>
      </c>
      <c r="E543" s="1" t="n">
        <v>46323</v>
      </c>
      <c r="F543" t="inlineStr">
        <is>
          <t>NORRBOTTENS LÄN</t>
        </is>
      </c>
      <c r="G543" t="inlineStr">
        <is>
          <t>BODEN</t>
        </is>
      </c>
      <c r="H543" t="inlineStr">
        <is>
          <t>SCA</t>
        </is>
      </c>
      <c r="I543" t="n">
        <v>11.8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31226-2026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46217</v>
      </c>
      <c r="E544" s="1" t="n">
        <v>46323</v>
      </c>
      <c r="F544" t="inlineStr">
        <is>
          <t>NORRBOTTENS LÄN</t>
        </is>
      </c>
      <c r="G544" t="inlineStr">
        <is>
          <t>BODEN</t>
        </is>
      </c>
      <c r="H544" t="inlineStr">
        <is>
          <t>Sveaskog</t>
        </is>
      </c>
      <c r="I544" t="n">
        <v>2.6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46052-2025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45924</v>
      </c>
      <c r="E545" s="1" t="n">
        <v>46323</v>
      </c>
      <c r="F545" t="inlineStr">
        <is>
          <t>NORRBOTTENS LÄN</t>
        </is>
      </c>
      <c r="G545" t="inlineStr">
        <is>
          <t>BODEN</t>
        </is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40117-2025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45894</v>
      </c>
      <c r="E546" s="1" t="n">
        <v>46323</v>
      </c>
      <c r="F546" t="inlineStr">
        <is>
          <t>NORRBOTTENS LÄN</t>
        </is>
      </c>
      <c r="G546" t="inlineStr">
        <is>
          <t>BODEN</t>
        </is>
      </c>
      <c r="I546" t="n">
        <v>3.6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6085-2026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46052</v>
      </c>
      <c r="E547" s="1" t="n">
        <v>46323</v>
      </c>
      <c r="F547" t="inlineStr">
        <is>
          <t>NORRBOTTENS LÄN</t>
        </is>
      </c>
      <c r="G547" t="inlineStr">
        <is>
          <t>BODEN</t>
        </is>
      </c>
      <c r="I547" t="n">
        <v>2.2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24744-2024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45460</v>
      </c>
      <c r="E548" s="1" t="n">
        <v>46323</v>
      </c>
      <c r="F548" t="inlineStr">
        <is>
          <t>NORRBOTTENS LÄN</t>
        </is>
      </c>
      <c r="G548" t="inlineStr">
        <is>
          <t>BODEN</t>
        </is>
      </c>
      <c r="H548" t="inlineStr">
        <is>
          <t>Övriga Aktiebolag</t>
        </is>
      </c>
      <c r="I548" t="n">
        <v>1.4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24225-2026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46168</v>
      </c>
      <c r="E549" s="1" t="n">
        <v>46323</v>
      </c>
      <c r="F549" t="inlineStr">
        <is>
          <t>NORRBOTTENS LÄN</t>
        </is>
      </c>
      <c r="G549" t="inlineStr">
        <is>
          <t>BODEN</t>
        </is>
      </c>
      <c r="I549" t="n">
        <v>3.7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24538-2025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45798</v>
      </c>
      <c r="E550" s="1" t="n">
        <v>46323</v>
      </c>
      <c r="F550" t="inlineStr">
        <is>
          <t>NORRBOTTENS LÄN</t>
        </is>
      </c>
      <c r="G550" t="inlineStr">
        <is>
          <t>BODEN</t>
        </is>
      </c>
      <c r="H550" t="inlineStr">
        <is>
          <t>Sveaskog</t>
        </is>
      </c>
      <c r="I550" t="n">
        <v>15.8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24358-2025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45797</v>
      </c>
      <c r="E551" s="1" t="n">
        <v>46323</v>
      </c>
      <c r="F551" t="inlineStr">
        <is>
          <t>NORRBOTTENS LÄN</t>
        </is>
      </c>
      <c r="G551" t="inlineStr">
        <is>
          <t>BODEN</t>
        </is>
      </c>
      <c r="H551" t="inlineStr">
        <is>
          <t>SCA</t>
        </is>
      </c>
      <c r="I551" t="n">
        <v>3.4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24545-2025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45798</v>
      </c>
      <c r="E552" s="1" t="n">
        <v>46323</v>
      </c>
      <c r="F552" t="inlineStr">
        <is>
          <t>NORRBOTTENS LÄN</t>
        </is>
      </c>
      <c r="G552" t="inlineStr">
        <is>
          <t>BODEN</t>
        </is>
      </c>
      <c r="H552" t="inlineStr">
        <is>
          <t>Sveaskog</t>
        </is>
      </c>
      <c r="I552" t="n">
        <v>2.6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6516-2026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46056</v>
      </c>
      <c r="E553" s="1" t="n">
        <v>46323</v>
      </c>
      <c r="F553" t="inlineStr">
        <is>
          <t>NORRBOTTENS LÄN</t>
        </is>
      </c>
      <c r="G553" t="inlineStr">
        <is>
          <t>BODEN</t>
        </is>
      </c>
      <c r="I553" t="n">
        <v>9.800000000000001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31652-2026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46225</v>
      </c>
      <c r="E554" s="1" t="n">
        <v>46323</v>
      </c>
      <c r="F554" t="inlineStr">
        <is>
          <t>NORRBOTTENS LÄN</t>
        </is>
      </c>
      <c r="G554" t="inlineStr">
        <is>
          <t>BODEN</t>
        </is>
      </c>
      <c r="H554" t="inlineStr">
        <is>
          <t>SCA</t>
        </is>
      </c>
      <c r="I554" t="n">
        <v>3.3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6708-2026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46056</v>
      </c>
      <c r="E555" s="1" t="n">
        <v>46323</v>
      </c>
      <c r="F555" t="inlineStr">
        <is>
          <t>NORRBOTTENS LÄN</t>
        </is>
      </c>
      <c r="G555" t="inlineStr">
        <is>
          <t>BODEN</t>
        </is>
      </c>
      <c r="I555" t="n">
        <v>6.3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49806-2022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44862</v>
      </c>
      <c r="E556" s="1" t="n">
        <v>46323</v>
      </c>
      <c r="F556" t="inlineStr">
        <is>
          <t>NORRBOTTENS LÄN</t>
        </is>
      </c>
      <c r="G556" t="inlineStr">
        <is>
          <t>BODEN</t>
        </is>
      </c>
      <c r="I556" t="n">
        <v>7.9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55317-2023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45237</v>
      </c>
      <c r="E557" s="1" t="n">
        <v>46323</v>
      </c>
      <c r="F557" t="inlineStr">
        <is>
          <t>NORRBOTTENS LÄN</t>
        </is>
      </c>
      <c r="G557" t="inlineStr">
        <is>
          <t>BODEN</t>
        </is>
      </c>
      <c r="I557" t="n">
        <v>2.3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7004-2026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46057</v>
      </c>
      <c r="E558" s="1" t="n">
        <v>46323</v>
      </c>
      <c r="F558" t="inlineStr">
        <is>
          <t>NORRBOTTENS LÄN</t>
        </is>
      </c>
      <c r="G558" t="inlineStr">
        <is>
          <t>BODEN</t>
        </is>
      </c>
      <c r="I558" t="n">
        <v>2.2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7185-2026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46058</v>
      </c>
      <c r="E559" s="1" t="n">
        <v>46323</v>
      </c>
      <c r="F559" t="inlineStr">
        <is>
          <t>NORRBOTTENS LÄN</t>
        </is>
      </c>
      <c r="G559" t="inlineStr">
        <is>
          <t>BODEN</t>
        </is>
      </c>
      <c r="I559" t="n">
        <v>0.7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49162-2023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45210</v>
      </c>
      <c r="E560" s="1" t="n">
        <v>46323</v>
      </c>
      <c r="F560" t="inlineStr">
        <is>
          <t>NORRBOTTENS LÄN</t>
        </is>
      </c>
      <c r="G560" t="inlineStr">
        <is>
          <t>BODEN</t>
        </is>
      </c>
      <c r="H560" t="inlineStr">
        <is>
          <t>Sveaskog</t>
        </is>
      </c>
      <c r="I560" t="n">
        <v>2.2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45448-2023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45194</v>
      </c>
      <c r="E561" s="1" t="n">
        <v>46323</v>
      </c>
      <c r="F561" t="inlineStr">
        <is>
          <t>NORRBOTTENS LÄN</t>
        </is>
      </c>
      <c r="G561" t="inlineStr">
        <is>
          <t>BODEN</t>
        </is>
      </c>
      <c r="H561" t="inlineStr">
        <is>
          <t>Sveaskog</t>
        </is>
      </c>
      <c r="I561" t="n">
        <v>2.5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7669-2026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46062</v>
      </c>
      <c r="E562" s="1" t="n">
        <v>46323</v>
      </c>
      <c r="F562" t="inlineStr">
        <is>
          <t>NORRBOTTENS LÄN</t>
        </is>
      </c>
      <c r="G562" t="inlineStr">
        <is>
          <t>BODEN</t>
        </is>
      </c>
      <c r="I562" t="n">
        <v>0.7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32087-2026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46234</v>
      </c>
      <c r="E563" s="1" t="n">
        <v>46323</v>
      </c>
      <c r="F563" t="inlineStr">
        <is>
          <t>NORRBOTTENS LÄN</t>
        </is>
      </c>
      <c r="G563" t="inlineStr">
        <is>
          <t>BODEN</t>
        </is>
      </c>
      <c r="H563" t="inlineStr">
        <is>
          <t>SCA</t>
        </is>
      </c>
      <c r="I563" t="n">
        <v>1.4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7370-2026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46059</v>
      </c>
      <c r="E564" s="1" t="n">
        <v>46323</v>
      </c>
      <c r="F564" t="inlineStr">
        <is>
          <t>NORRBOTTENS LÄN</t>
        </is>
      </c>
      <c r="G564" t="inlineStr">
        <is>
          <t>BODEN</t>
        </is>
      </c>
      <c r="I564" t="n">
        <v>2.7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38874-2023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45161</v>
      </c>
      <c r="E565" s="1" t="n">
        <v>46323</v>
      </c>
      <c r="F565" t="inlineStr">
        <is>
          <t>NORRBOTTENS LÄN</t>
        </is>
      </c>
      <c r="G565" t="inlineStr">
        <is>
          <t>BODEN</t>
        </is>
      </c>
      <c r="I565" t="n">
        <v>15.5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8056-2026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46063</v>
      </c>
      <c r="E566" s="1" t="n">
        <v>46323</v>
      </c>
      <c r="F566" t="inlineStr">
        <is>
          <t>NORRBOTTENS LÄN</t>
        </is>
      </c>
      <c r="G566" t="inlineStr">
        <is>
          <t>BODEN</t>
        </is>
      </c>
      <c r="I566" t="n">
        <v>0.5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7923-2026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46063</v>
      </c>
      <c r="E567" s="1" t="n">
        <v>46323</v>
      </c>
      <c r="F567" t="inlineStr">
        <is>
          <t>NORRBOTTENS LÄN</t>
        </is>
      </c>
      <c r="G567" t="inlineStr">
        <is>
          <t>BODEN</t>
        </is>
      </c>
      <c r="I567" t="n">
        <v>3.4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32086-2026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46234</v>
      </c>
      <c r="E568" s="1" t="n">
        <v>46323</v>
      </c>
      <c r="F568" t="inlineStr">
        <is>
          <t>NORRBOTTENS LÄN</t>
        </is>
      </c>
      <c r="G568" t="inlineStr">
        <is>
          <t>BODEN</t>
        </is>
      </c>
      <c r="H568" t="inlineStr">
        <is>
          <t>SCA</t>
        </is>
      </c>
      <c r="I568" t="n">
        <v>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32754-2022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44783</v>
      </c>
      <c r="E569" s="1" t="n">
        <v>46323</v>
      </c>
      <c r="F569" t="inlineStr">
        <is>
          <t>NORRBOTTENS LÄN</t>
        </is>
      </c>
      <c r="G569" t="inlineStr">
        <is>
          <t>BODEN</t>
        </is>
      </c>
      <c r="I569" t="n">
        <v>0.9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32088-2026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46234</v>
      </c>
      <c r="E570" s="1" t="n">
        <v>46323</v>
      </c>
      <c r="F570" t="inlineStr">
        <is>
          <t>NORRBOTTENS LÄN</t>
        </is>
      </c>
      <c r="G570" t="inlineStr">
        <is>
          <t>BODEN</t>
        </is>
      </c>
      <c r="H570" t="inlineStr">
        <is>
          <t>SCA</t>
        </is>
      </c>
      <c r="I570" t="n">
        <v>0.5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8433-2026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46065</v>
      </c>
      <c r="E571" s="1" t="n">
        <v>46323</v>
      </c>
      <c r="F571" t="inlineStr">
        <is>
          <t>NORRBOTTENS LÄN</t>
        </is>
      </c>
      <c r="G571" t="inlineStr">
        <is>
          <t>BODEN</t>
        </is>
      </c>
      <c r="H571" t="inlineStr">
        <is>
          <t>SCA</t>
        </is>
      </c>
      <c r="I571" t="n">
        <v>9.699999999999999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47097-2023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45201</v>
      </c>
      <c r="E572" s="1" t="n">
        <v>46323</v>
      </c>
      <c r="F572" t="inlineStr">
        <is>
          <t>NORRBOTTENS LÄN</t>
        </is>
      </c>
      <c r="G572" t="inlineStr">
        <is>
          <t>BODEN</t>
        </is>
      </c>
      <c r="I572" t="n">
        <v>5.5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38280-2026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46281</v>
      </c>
      <c r="E573" s="1" t="n">
        <v>46323</v>
      </c>
      <c r="F573" t="inlineStr">
        <is>
          <t>NORRBOTTENS LÄN</t>
        </is>
      </c>
      <c r="G573" t="inlineStr">
        <is>
          <t>BODEN</t>
        </is>
      </c>
      <c r="I573" t="n">
        <v>7.2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38272-2026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46281</v>
      </c>
      <c r="E574" s="1" t="n">
        <v>46323</v>
      </c>
      <c r="F574" t="inlineStr">
        <is>
          <t>NORRBOTTENS LÄN</t>
        </is>
      </c>
      <c r="G574" t="inlineStr">
        <is>
          <t>BODEN</t>
        </is>
      </c>
      <c r="H574" t="inlineStr">
        <is>
          <t>Övriga Aktiebolag</t>
        </is>
      </c>
      <c r="I574" t="n">
        <v>1.6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24733-2025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45799</v>
      </c>
      <c r="E575" s="1" t="n">
        <v>46323</v>
      </c>
      <c r="F575" t="inlineStr">
        <is>
          <t>NORRBOTTENS LÄN</t>
        </is>
      </c>
      <c r="G575" t="inlineStr">
        <is>
          <t>BODEN</t>
        </is>
      </c>
      <c r="H575" t="inlineStr">
        <is>
          <t>SCA</t>
        </is>
      </c>
      <c r="I575" t="n">
        <v>3.7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38212-2026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46281</v>
      </c>
      <c r="E576" s="1" t="n">
        <v>46323</v>
      </c>
      <c r="F576" t="inlineStr">
        <is>
          <t>NORRBOTTENS LÄN</t>
        </is>
      </c>
      <c r="G576" t="inlineStr">
        <is>
          <t>BODEN</t>
        </is>
      </c>
      <c r="H576" t="inlineStr">
        <is>
          <t>Övriga Aktiebolag</t>
        </is>
      </c>
      <c r="I576" t="n">
        <v>3.7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38259-2026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46281</v>
      </c>
      <c r="E577" s="1" t="n">
        <v>46323</v>
      </c>
      <c r="F577" t="inlineStr">
        <is>
          <t>NORRBOTTENS LÄN</t>
        </is>
      </c>
      <c r="G577" t="inlineStr">
        <is>
          <t>BODEN</t>
        </is>
      </c>
      <c r="H577" t="inlineStr">
        <is>
          <t>Övriga Aktiebolag</t>
        </is>
      </c>
      <c r="I577" t="n">
        <v>2.8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32426-2026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46238</v>
      </c>
      <c r="E578" s="1" t="n">
        <v>46323</v>
      </c>
      <c r="F578" t="inlineStr">
        <is>
          <t>NORRBOTTENS LÄN</t>
        </is>
      </c>
      <c r="G578" t="inlineStr">
        <is>
          <t>BODEN</t>
        </is>
      </c>
      <c r="H578" t="inlineStr">
        <is>
          <t>SCA</t>
        </is>
      </c>
      <c r="I578" t="n">
        <v>2.2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32427-2026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46238</v>
      </c>
      <c r="E579" s="1" t="n">
        <v>46323</v>
      </c>
      <c r="F579" t="inlineStr">
        <is>
          <t>NORRBOTTENS LÄN</t>
        </is>
      </c>
      <c r="G579" t="inlineStr">
        <is>
          <t>BODEN</t>
        </is>
      </c>
      <c r="H579" t="inlineStr">
        <is>
          <t>SCA</t>
        </is>
      </c>
      <c r="I579" t="n">
        <v>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32562-2026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46239</v>
      </c>
      <c r="E580" s="1" t="n">
        <v>46323</v>
      </c>
      <c r="F580" t="inlineStr">
        <is>
          <t>NORRBOTTENS LÄN</t>
        </is>
      </c>
      <c r="G580" t="inlineStr">
        <is>
          <t>BODEN</t>
        </is>
      </c>
      <c r="H580" t="inlineStr">
        <is>
          <t>Sveaskog</t>
        </is>
      </c>
      <c r="I580" t="n">
        <v>26.6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11865-2025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45728</v>
      </c>
      <c r="E581" s="1" t="n">
        <v>46323</v>
      </c>
      <c r="F581" t="inlineStr">
        <is>
          <t>NORRBOTTENS LÄN</t>
        </is>
      </c>
      <c r="G581" t="inlineStr">
        <is>
          <t>BODEN</t>
        </is>
      </c>
      <c r="H581" t="inlineStr">
        <is>
          <t>Övriga Aktiebolag</t>
        </is>
      </c>
      <c r="I581" t="n">
        <v>10.6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25983-2025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45803</v>
      </c>
      <c r="E582" s="1" t="n">
        <v>46323</v>
      </c>
      <c r="F582" t="inlineStr">
        <is>
          <t>NORRBOTTENS LÄN</t>
        </is>
      </c>
      <c r="G582" t="inlineStr">
        <is>
          <t>BODEN</t>
        </is>
      </c>
      <c r="I582" t="n">
        <v>1.6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57579-2023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45246</v>
      </c>
      <c r="E583" s="1" t="n">
        <v>46323</v>
      </c>
      <c r="F583" t="inlineStr">
        <is>
          <t>NORRBOTTENS LÄN</t>
        </is>
      </c>
      <c r="G583" t="inlineStr">
        <is>
          <t>BODEN</t>
        </is>
      </c>
      <c r="I583" t="n">
        <v>3.5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18428-2025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45762</v>
      </c>
      <c r="E584" s="1" t="n">
        <v>46323</v>
      </c>
      <c r="F584" t="inlineStr">
        <is>
          <t>NORRBOTTENS LÄN</t>
        </is>
      </c>
      <c r="G584" t="inlineStr">
        <is>
          <t>BODEN</t>
        </is>
      </c>
      <c r="I584" t="n">
        <v>5.8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32674-2026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46240</v>
      </c>
      <c r="E585" s="1" t="n">
        <v>46323</v>
      </c>
      <c r="F585" t="inlineStr">
        <is>
          <t>NORRBOTTENS LÄN</t>
        </is>
      </c>
      <c r="G585" t="inlineStr">
        <is>
          <t>BODEN</t>
        </is>
      </c>
      <c r="I585" t="n">
        <v>1.7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32678-2026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46240</v>
      </c>
      <c r="E586" s="1" t="n">
        <v>46323</v>
      </c>
      <c r="F586" t="inlineStr">
        <is>
          <t>NORRBOTTENS LÄN</t>
        </is>
      </c>
      <c r="G586" t="inlineStr">
        <is>
          <t>BODEN</t>
        </is>
      </c>
      <c r="H586" t="inlineStr">
        <is>
          <t>Sveaskog</t>
        </is>
      </c>
      <c r="I586" t="n">
        <v>7.4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35561-2025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45856</v>
      </c>
      <c r="E587" s="1" t="n">
        <v>46323</v>
      </c>
      <c r="F587" t="inlineStr">
        <is>
          <t>NORRBOTTENS LÄN</t>
        </is>
      </c>
      <c r="G587" t="inlineStr">
        <is>
          <t>BODEN</t>
        </is>
      </c>
      <c r="H587" t="inlineStr">
        <is>
          <t>SCA</t>
        </is>
      </c>
      <c r="I587" t="n">
        <v>10.8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38576-2026</t>
        </is>
      </c>
      <c r="B588" t="inlineStr">
        <is>
          <t>avverkningsanmälan</t>
        </is>
      </c>
      <c r="C588" t="inlineStr">
        <is>
          <t>Avverkning för annat ändamål</t>
        </is>
      </c>
      <c r="D588" s="1" t="n">
        <v>46283</v>
      </c>
      <c r="E588" s="1" t="n">
        <v>46323</v>
      </c>
      <c r="F588" t="inlineStr">
        <is>
          <t>NORRBOTTENS LÄN</t>
        </is>
      </c>
      <c r="G588" t="inlineStr">
        <is>
          <t>BODEN</t>
        </is>
      </c>
      <c r="H588" t="inlineStr">
        <is>
          <t>Sveaskog</t>
        </is>
      </c>
      <c r="I588" t="n">
        <v>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39463-2023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45166</v>
      </c>
      <c r="E589" s="1" t="n">
        <v>46323</v>
      </c>
      <c r="F589" t="inlineStr">
        <is>
          <t>NORRBOTTENS LÄN</t>
        </is>
      </c>
      <c r="G589" t="inlineStr">
        <is>
          <t>BODEN</t>
        </is>
      </c>
      <c r="H589" t="inlineStr">
        <is>
          <t>Sveaskog</t>
        </is>
      </c>
      <c r="I589" t="n">
        <v>2.7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10234-2026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46076</v>
      </c>
      <c r="E590" s="1" t="n">
        <v>46323</v>
      </c>
      <c r="F590" t="inlineStr">
        <is>
          <t>NORRBOTTENS LÄN</t>
        </is>
      </c>
      <c r="G590" t="inlineStr">
        <is>
          <t>BODEN</t>
        </is>
      </c>
      <c r="I590" t="n">
        <v>2.5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9940-2025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45718</v>
      </c>
      <c r="E591" s="1" t="n">
        <v>46323</v>
      </c>
      <c r="F591" t="inlineStr">
        <is>
          <t>NORRBOTTENS LÄN</t>
        </is>
      </c>
      <c r="G591" t="inlineStr">
        <is>
          <t>BODEN</t>
        </is>
      </c>
      <c r="I591" t="n">
        <v>6.3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57968-2023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45247</v>
      </c>
      <c r="E592" s="1" t="n">
        <v>46323</v>
      </c>
      <c r="F592" t="inlineStr">
        <is>
          <t>NORRBOTTENS LÄN</t>
        </is>
      </c>
      <c r="G592" t="inlineStr">
        <is>
          <t>BODEN</t>
        </is>
      </c>
      <c r="I592" t="n">
        <v>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10231-2026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46076</v>
      </c>
      <c r="E593" s="1" t="n">
        <v>46323</v>
      </c>
      <c r="F593" t="inlineStr">
        <is>
          <t>NORRBOTTENS LÄN</t>
        </is>
      </c>
      <c r="G593" t="inlineStr">
        <is>
          <t>BODEN</t>
        </is>
      </c>
      <c r="I593" t="n">
        <v>3.9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2682-2024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45314</v>
      </c>
      <c r="E594" s="1" t="n">
        <v>46323</v>
      </c>
      <c r="F594" t="inlineStr">
        <is>
          <t>NORRBOTTENS LÄN</t>
        </is>
      </c>
      <c r="G594" t="inlineStr">
        <is>
          <t>BODEN</t>
        </is>
      </c>
      <c r="I594" t="n">
        <v>17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59688-2023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45256</v>
      </c>
      <c r="E595" s="1" t="n">
        <v>46323</v>
      </c>
      <c r="F595" t="inlineStr">
        <is>
          <t>NORRBOTTENS LÄN</t>
        </is>
      </c>
      <c r="G595" t="inlineStr">
        <is>
          <t>BODEN</t>
        </is>
      </c>
      <c r="I595" t="n">
        <v>2.4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10251-2026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46076</v>
      </c>
      <c r="E596" s="1" t="n">
        <v>46323</v>
      </c>
      <c r="F596" t="inlineStr">
        <is>
          <t>NORRBOTTENS LÄN</t>
        </is>
      </c>
      <c r="G596" t="inlineStr">
        <is>
          <t>BODEN</t>
        </is>
      </c>
      <c r="I596" t="n">
        <v>0.7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31203-2025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45832</v>
      </c>
      <c r="E597" s="1" t="n">
        <v>46323</v>
      </c>
      <c r="F597" t="inlineStr">
        <is>
          <t>NORRBOTTENS LÄN</t>
        </is>
      </c>
      <c r="G597" t="inlineStr">
        <is>
          <t>BODEN</t>
        </is>
      </c>
      <c r="I597" t="n">
        <v>2.9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38574-2026</t>
        </is>
      </c>
      <c r="B598" t="inlineStr">
        <is>
          <t>avverkningsanmälan</t>
        </is>
      </c>
      <c r="C598" t="inlineStr">
        <is>
          <t>Avverkning för annat ändamål</t>
        </is>
      </c>
      <c r="D598" s="1" t="n">
        <v>46283</v>
      </c>
      <c r="E598" s="1" t="n">
        <v>46323</v>
      </c>
      <c r="F598" t="inlineStr">
        <is>
          <t>NORRBOTTENS LÄN</t>
        </is>
      </c>
      <c r="G598" t="inlineStr">
        <is>
          <t>BODEN</t>
        </is>
      </c>
      <c r="H598" t="inlineStr">
        <is>
          <t>Sveaskog</t>
        </is>
      </c>
      <c r="I598" t="n">
        <v>4.3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3459-2025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45680</v>
      </c>
      <c r="E599" s="1" t="n">
        <v>46323</v>
      </c>
      <c r="F599" t="inlineStr">
        <is>
          <t>NORRBOTTENS LÄN</t>
        </is>
      </c>
      <c r="G599" t="inlineStr">
        <is>
          <t>BODEN</t>
        </is>
      </c>
      <c r="H599" t="inlineStr">
        <is>
          <t>Naturvårdsverket</t>
        </is>
      </c>
      <c r="I599" t="n">
        <v>1.5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10694-2026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46078</v>
      </c>
      <c r="E600" s="1" t="n">
        <v>46323</v>
      </c>
      <c r="F600" t="inlineStr">
        <is>
          <t>NORRBOTTENS LÄN</t>
        </is>
      </c>
      <c r="G600" t="inlineStr">
        <is>
          <t>BODEN</t>
        </is>
      </c>
      <c r="I600" t="n">
        <v>1.3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59890-2023</t>
        </is>
      </c>
      <c r="B601" t="inlineStr">
        <is>
          <t>avverkningsanmälan</t>
        </is>
      </c>
      <c r="C601" t="inlineStr">
        <is>
          <t>Avverkning för att bevara och utveckla /försöksver</t>
        </is>
      </c>
      <c r="D601" s="1" t="n">
        <v>45254</v>
      </c>
      <c r="E601" s="1" t="n">
        <v>46323</v>
      </c>
      <c r="F601" t="inlineStr">
        <is>
          <t>NORRBOTTENS LÄN</t>
        </is>
      </c>
      <c r="G601" t="inlineStr">
        <is>
          <t>BODEN</t>
        </is>
      </c>
      <c r="I601" t="n">
        <v>4.3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28496-2026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46197</v>
      </c>
      <c r="E602" s="1" t="n">
        <v>46323</v>
      </c>
      <c r="F602" t="inlineStr">
        <is>
          <t>NORRBOTTENS LÄN</t>
        </is>
      </c>
      <c r="G602" t="inlineStr">
        <is>
          <t>BODEN</t>
        </is>
      </c>
      <c r="I602" t="n">
        <v>3.5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59983-2023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45257</v>
      </c>
      <c r="E603" s="1" t="n">
        <v>46323</v>
      </c>
      <c r="F603" t="inlineStr">
        <is>
          <t>NORRBOTTENS LÄN</t>
        </is>
      </c>
      <c r="G603" t="inlineStr">
        <is>
          <t>BODEN</t>
        </is>
      </c>
      <c r="I603" t="n">
        <v>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11636-2026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46084</v>
      </c>
      <c r="E604" s="1" t="n">
        <v>46323</v>
      </c>
      <c r="F604" t="inlineStr">
        <is>
          <t>NORRBOTTENS LÄN</t>
        </is>
      </c>
      <c r="G604" t="inlineStr">
        <is>
          <t>BODEN</t>
        </is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11631-2026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46084</v>
      </c>
      <c r="E605" s="1" t="n">
        <v>46323</v>
      </c>
      <c r="F605" t="inlineStr">
        <is>
          <t>NORRBOTTENS LÄN</t>
        </is>
      </c>
      <c r="G605" t="inlineStr">
        <is>
          <t>BODEN</t>
        </is>
      </c>
      <c r="I605" t="n">
        <v>1.5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11633-2026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46084</v>
      </c>
      <c r="E606" s="1" t="n">
        <v>46323</v>
      </c>
      <c r="F606" t="inlineStr">
        <is>
          <t>NORRBOTTENS LÄN</t>
        </is>
      </c>
      <c r="G606" t="inlineStr">
        <is>
          <t>BODEN</t>
        </is>
      </c>
      <c r="I606" t="n">
        <v>0.5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11632-2026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46084</v>
      </c>
      <c r="E607" s="1" t="n">
        <v>46323</v>
      </c>
      <c r="F607" t="inlineStr">
        <is>
          <t>NORRBOTTENS LÄN</t>
        </is>
      </c>
      <c r="G607" t="inlineStr">
        <is>
          <t>BODEN</t>
        </is>
      </c>
      <c r="I607" t="n">
        <v>1.4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13556-2022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44648</v>
      </c>
      <c r="E608" s="1" t="n">
        <v>46323</v>
      </c>
      <c r="F608" t="inlineStr">
        <is>
          <t>NORRBOTTENS LÄN</t>
        </is>
      </c>
      <c r="G608" t="inlineStr">
        <is>
          <t>BODEN</t>
        </is>
      </c>
      <c r="H608" t="inlineStr">
        <is>
          <t>Sveaskog</t>
        </is>
      </c>
      <c r="I608" t="n">
        <v>2.8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61488-2023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45264</v>
      </c>
      <c r="E609" s="1" t="n">
        <v>46323</v>
      </c>
      <c r="F609" t="inlineStr">
        <is>
          <t>NORRBOTTENS LÄN</t>
        </is>
      </c>
      <c r="G609" t="inlineStr">
        <is>
          <t>BODEN</t>
        </is>
      </c>
      <c r="H609" t="inlineStr">
        <is>
          <t>SCA</t>
        </is>
      </c>
      <c r="I609" t="n">
        <v>4.9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11569-2026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46084</v>
      </c>
      <c r="E610" s="1" t="n">
        <v>46323</v>
      </c>
      <c r="F610" t="inlineStr">
        <is>
          <t>NORRBOTTENS LÄN</t>
        </is>
      </c>
      <c r="G610" t="inlineStr">
        <is>
          <t>BODEN</t>
        </is>
      </c>
      <c r="I610" t="n">
        <v>9.199999999999999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39007-2026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46287</v>
      </c>
      <c r="E611" s="1" t="n">
        <v>46323</v>
      </c>
      <c r="F611" t="inlineStr">
        <is>
          <t>NORRBOTTENS LÄN</t>
        </is>
      </c>
      <c r="G611" t="inlineStr">
        <is>
          <t>BODEN</t>
        </is>
      </c>
      <c r="H611" t="inlineStr">
        <is>
          <t>SCA</t>
        </is>
      </c>
      <c r="I611" t="n">
        <v>4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12183-2026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46086</v>
      </c>
      <c r="E612" s="1" t="n">
        <v>46323</v>
      </c>
      <c r="F612" t="inlineStr">
        <is>
          <t>NORRBOTTENS LÄN</t>
        </is>
      </c>
      <c r="G612" t="inlineStr">
        <is>
          <t>BODEN</t>
        </is>
      </c>
      <c r="I612" t="n">
        <v>0.7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29183-2026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46202</v>
      </c>
      <c r="E613" s="1" t="n">
        <v>46323</v>
      </c>
      <c r="F613" t="inlineStr">
        <is>
          <t>NORRBOTTENS LÄN</t>
        </is>
      </c>
      <c r="G613" t="inlineStr">
        <is>
          <t>BODEN</t>
        </is>
      </c>
      <c r="I613" t="n">
        <v>5.5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12338-2026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46087</v>
      </c>
      <c r="E614" s="1" t="n">
        <v>46323</v>
      </c>
      <c r="F614" t="inlineStr">
        <is>
          <t>NORRBOTTENS LÄN</t>
        </is>
      </c>
      <c r="G614" t="inlineStr">
        <is>
          <t>BODEN</t>
        </is>
      </c>
      <c r="H614" t="inlineStr">
        <is>
          <t>SCA</t>
        </is>
      </c>
      <c r="I614" t="n">
        <v>6.4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39220-2026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46287</v>
      </c>
      <c r="E615" s="1" t="n">
        <v>46323</v>
      </c>
      <c r="F615" t="inlineStr">
        <is>
          <t>NORRBOTTENS LÄN</t>
        </is>
      </c>
      <c r="G615" t="inlineStr">
        <is>
          <t>BODEN</t>
        </is>
      </c>
      <c r="H615" t="inlineStr">
        <is>
          <t>Övriga Aktiebolag</t>
        </is>
      </c>
      <c r="I615" t="n">
        <v>1.4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8873-2024</t>
        </is>
      </c>
      <c r="B616" t="inlineStr">
        <is>
          <t>avverkningsanmälan</t>
        </is>
      </c>
      <c r="C616" t="inlineStr">
        <is>
          <t>Föryngringsavverkning</t>
        </is>
      </c>
      <c r="D616" s="1" t="n">
        <v>45356</v>
      </c>
      <c r="E616" s="1" t="n">
        <v>46323</v>
      </c>
      <c r="F616" t="inlineStr">
        <is>
          <t>NORRBOTTENS LÄN</t>
        </is>
      </c>
      <c r="G616" t="inlineStr">
        <is>
          <t>BODEN</t>
        </is>
      </c>
      <c r="I616" t="n">
        <v>0.6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48431-2024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45590</v>
      </c>
      <c r="E617" s="1" t="n">
        <v>46323</v>
      </c>
      <c r="F617" t="inlineStr">
        <is>
          <t>NORRBOTTENS LÄN</t>
        </is>
      </c>
      <c r="G617" t="inlineStr">
        <is>
          <t>BODEN</t>
        </is>
      </c>
      <c r="I617" t="n">
        <v>2.4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5792-2025</t>
        </is>
      </c>
      <c r="B618" t="inlineStr">
        <is>
          <t>avverkningsanmälan</t>
        </is>
      </c>
      <c r="C618" t="inlineStr">
        <is>
          <t>Föryngringsavverkning</t>
        </is>
      </c>
      <c r="D618" s="1" t="n">
        <v>45694</v>
      </c>
      <c r="E618" s="1" t="n">
        <v>46323</v>
      </c>
      <c r="F618" t="inlineStr">
        <is>
          <t>NORRBOTTENS LÄN</t>
        </is>
      </c>
      <c r="G618" t="inlineStr">
        <is>
          <t>BODEN</t>
        </is>
      </c>
      <c r="H618" t="inlineStr">
        <is>
          <t>SCA</t>
        </is>
      </c>
      <c r="I618" t="n">
        <v>4.4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61241-2023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45260</v>
      </c>
      <c r="E619" s="1" t="n">
        <v>46323</v>
      </c>
      <c r="F619" t="inlineStr">
        <is>
          <t>NORRBOTTENS LÄN</t>
        </is>
      </c>
      <c r="G619" t="inlineStr">
        <is>
          <t>BODEN</t>
        </is>
      </c>
      <c r="I619" t="n">
        <v>33.9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15881-2023</t>
        </is>
      </c>
      <c r="B620" t="inlineStr">
        <is>
          <t>avverkningsanmälan</t>
        </is>
      </c>
      <c r="C620" t="inlineStr">
        <is>
          <t>Föryngringsavverkning</t>
        </is>
      </c>
      <c r="D620" s="1" t="n">
        <v>45022</v>
      </c>
      <c r="E620" s="1" t="n">
        <v>46323</v>
      </c>
      <c r="F620" t="inlineStr">
        <is>
          <t>NORRBOTTENS LÄN</t>
        </is>
      </c>
      <c r="G620" t="inlineStr">
        <is>
          <t>BODEN</t>
        </is>
      </c>
      <c r="I620" t="n">
        <v>2.2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39943-2026</t>
        </is>
      </c>
      <c r="B621" t="inlineStr">
        <is>
          <t>avverkningsanmälan</t>
        </is>
      </c>
      <c r="C621" t="inlineStr">
        <is>
          <t>Föryngringsavverkning</t>
        </is>
      </c>
      <c r="D621" s="1" t="n">
        <v>46290</v>
      </c>
      <c r="E621" s="1" t="n">
        <v>46323</v>
      </c>
      <c r="F621" t="inlineStr">
        <is>
          <t>NORRBOTTENS LÄN</t>
        </is>
      </c>
      <c r="G621" t="inlineStr">
        <is>
          <t>BODEN</t>
        </is>
      </c>
      <c r="H621" t="inlineStr">
        <is>
          <t>SCA</t>
        </is>
      </c>
      <c r="I621" t="n">
        <v>11.1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A 1497-2022</t>
        </is>
      </c>
      <c r="B622" t="inlineStr">
        <is>
          <t>avverkningsanmälan</t>
        </is>
      </c>
      <c r="C622" t="inlineStr">
        <is>
          <t>Föryngringsavverkning</t>
        </is>
      </c>
      <c r="D622" s="1" t="n">
        <v>44573</v>
      </c>
      <c r="E622" s="1" t="n">
        <v>46323</v>
      </c>
      <c r="F622" t="inlineStr">
        <is>
          <t>NORRBOTTENS LÄN</t>
        </is>
      </c>
      <c r="G622" t="inlineStr">
        <is>
          <t>BODEN</t>
        </is>
      </c>
      <c r="H622" t="inlineStr">
        <is>
          <t>Övriga statliga verk och myndigheter</t>
        </is>
      </c>
      <c r="I622" t="n">
        <v>9.9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A 39521-2026</t>
        </is>
      </c>
      <c r="B623" t="inlineStr">
        <is>
          <t>avverkningsanmälan</t>
        </is>
      </c>
      <c r="C623" t="inlineStr">
        <is>
          <t>Föryngringsavverkning</t>
        </is>
      </c>
      <c r="D623" s="1" t="n">
        <v>46289</v>
      </c>
      <c r="E623" s="1" t="n">
        <v>46323</v>
      </c>
      <c r="F623" t="inlineStr">
        <is>
          <t>NORRBOTTENS LÄN</t>
        </is>
      </c>
      <c r="G623" t="inlineStr">
        <is>
          <t>BODEN</t>
        </is>
      </c>
      <c r="I623" t="n">
        <v>24.6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A 7442-2024</t>
        </is>
      </c>
      <c r="B624" t="inlineStr">
        <is>
          <t>avverkningsanmälan</t>
        </is>
      </c>
      <c r="C624" t="inlineStr">
        <is>
          <t>Avverkning för annat ändamål</t>
        </is>
      </c>
      <c r="D624" s="1" t="n">
        <v>45345</v>
      </c>
      <c r="E624" s="1" t="n">
        <v>46323</v>
      </c>
      <c r="F624" t="inlineStr">
        <is>
          <t>NORRBOTTENS LÄN</t>
        </is>
      </c>
      <c r="G624" t="inlineStr">
        <is>
          <t>BODEN</t>
        </is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A 45376-2025</t>
        </is>
      </c>
      <c r="B625" t="inlineStr">
        <is>
          <t>avverkningsanmälan</t>
        </is>
      </c>
      <c r="C625" t="inlineStr">
        <is>
          <t>Föryngringsavverkning</t>
        </is>
      </c>
      <c r="D625" s="1" t="n">
        <v>45922</v>
      </c>
      <c r="E625" s="1" t="n">
        <v>46323</v>
      </c>
      <c r="F625" t="inlineStr">
        <is>
          <t>NORRBOTTENS LÄN</t>
        </is>
      </c>
      <c r="G625" t="inlineStr">
        <is>
          <t>BODEN</t>
        </is>
      </c>
      <c r="I625" t="n">
        <v>1.4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A 29377-2024</t>
        </is>
      </c>
      <c r="B626" t="inlineStr">
        <is>
          <t>avverkningsanmälan</t>
        </is>
      </c>
      <c r="C626" t="inlineStr">
        <is>
          <t>Föryngringsavverkning</t>
        </is>
      </c>
      <c r="D626" s="1" t="n">
        <v>45483</v>
      </c>
      <c r="E626" s="1" t="n">
        <v>46323</v>
      </c>
      <c r="F626" t="inlineStr">
        <is>
          <t>NORRBOTTENS LÄN</t>
        </is>
      </c>
      <c r="G626" t="inlineStr">
        <is>
          <t>BODEN</t>
        </is>
      </c>
      <c r="I626" t="n">
        <v>2.7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A 52247-2024</t>
        </is>
      </c>
      <c r="B627" t="inlineStr">
        <is>
          <t>avverkningsanmälan</t>
        </is>
      </c>
      <c r="C627" t="inlineStr">
        <is>
          <t>Föryngringsavverkning</t>
        </is>
      </c>
      <c r="D627" s="1" t="n">
        <v>45608</v>
      </c>
      <c r="E627" s="1" t="n">
        <v>46323</v>
      </c>
      <c r="F627" t="inlineStr">
        <is>
          <t>NORRBOTTENS LÄN</t>
        </is>
      </c>
      <c r="G627" t="inlineStr">
        <is>
          <t>BODEN</t>
        </is>
      </c>
      <c r="I627" t="n">
        <v>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A 13717-2026</t>
        </is>
      </c>
      <c r="B628" t="inlineStr">
        <is>
          <t>avverkningsanmälan</t>
        </is>
      </c>
      <c r="C628" t="inlineStr">
        <is>
          <t>Föryngringsavverkning</t>
        </is>
      </c>
      <c r="D628" s="1" t="n">
        <v>46097</v>
      </c>
      <c r="E628" s="1" t="n">
        <v>46323</v>
      </c>
      <c r="F628" t="inlineStr">
        <is>
          <t>NORRBOTTENS LÄN</t>
        </is>
      </c>
      <c r="G628" t="inlineStr">
        <is>
          <t>BODEN</t>
        </is>
      </c>
      <c r="H628" t="inlineStr">
        <is>
          <t>SCA</t>
        </is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A 64975-2023</t>
        </is>
      </c>
      <c r="B629" t="inlineStr">
        <is>
          <t>avverkningsanmälan</t>
        </is>
      </c>
      <c r="C629" t="inlineStr">
        <is>
          <t>Föryngringsavverkning</t>
        </is>
      </c>
      <c r="D629" s="1" t="n">
        <v>45285</v>
      </c>
      <c r="E629" s="1" t="n">
        <v>46323</v>
      </c>
      <c r="F629" t="inlineStr">
        <is>
          <t>NORRBOTTENS LÄN</t>
        </is>
      </c>
      <c r="G629" t="inlineStr">
        <is>
          <t>BODEN</t>
        </is>
      </c>
      <c r="I629" t="n">
        <v>9.4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A 14245-2026</t>
        </is>
      </c>
      <c r="B630" t="inlineStr">
        <is>
          <t>avverkningsanmälan</t>
        </is>
      </c>
      <c r="C630" t="inlineStr">
        <is>
          <t>Avverkning för annat ändamål</t>
        </is>
      </c>
      <c r="D630" s="1" t="n">
        <v>46099</v>
      </c>
      <c r="E630" s="1" t="n">
        <v>46323</v>
      </c>
      <c r="F630" t="inlineStr">
        <is>
          <t>NORRBOTTENS LÄN</t>
        </is>
      </c>
      <c r="G630" t="inlineStr">
        <is>
          <t>BODEN</t>
        </is>
      </c>
      <c r="H630" t="inlineStr">
        <is>
          <t>Sveaskog</t>
        </is>
      </c>
      <c r="I630" t="n">
        <v>1.3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A 35115-2024</t>
        </is>
      </c>
      <c r="B631" t="inlineStr">
        <is>
          <t>avverkningsanmälan</t>
        </is>
      </c>
      <c r="C631" t="inlineStr">
        <is>
          <t>Föryngringsavverkning</t>
        </is>
      </c>
      <c r="D631" s="1" t="n">
        <v>45529</v>
      </c>
      <c r="E631" s="1" t="n">
        <v>46323</v>
      </c>
      <c r="F631" t="inlineStr">
        <is>
          <t>NORRBOTTENS LÄN</t>
        </is>
      </c>
      <c r="G631" t="inlineStr">
        <is>
          <t>BODEN</t>
        </is>
      </c>
      <c r="I631" t="n">
        <v>6.3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A 18002-2025</t>
        </is>
      </c>
      <c r="B632" t="inlineStr">
        <is>
          <t>avverkningsanmälan</t>
        </is>
      </c>
      <c r="C632" t="inlineStr">
        <is>
          <t>Föryngringsavverkning</t>
        </is>
      </c>
      <c r="D632" s="1" t="n">
        <v>45761</v>
      </c>
      <c r="E632" s="1" t="n">
        <v>46323</v>
      </c>
      <c r="F632" t="inlineStr">
        <is>
          <t>NORRBOTTENS LÄN</t>
        </is>
      </c>
      <c r="G632" t="inlineStr">
        <is>
          <t>BODEN</t>
        </is>
      </c>
      <c r="H632" t="inlineStr">
        <is>
          <t>Övriga statliga verk och myndigheter</t>
        </is>
      </c>
      <c r="I632" t="n">
        <v>11.5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A 33326-2026</t>
        </is>
      </c>
      <c r="B633" t="inlineStr">
        <is>
          <t>avverkningsanmälan</t>
        </is>
      </c>
      <c r="C633" t="inlineStr">
        <is>
          <t>Föryngringsavverkning</t>
        </is>
      </c>
      <c r="D633" s="1" t="n">
        <v>46246</v>
      </c>
      <c r="E633" s="1" t="n">
        <v>46323</v>
      </c>
      <c r="F633" t="inlineStr">
        <is>
          <t>NORRBOTTENS LÄN</t>
        </is>
      </c>
      <c r="G633" t="inlineStr">
        <is>
          <t>BODEN</t>
        </is>
      </c>
      <c r="I633" t="n">
        <v>0.9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A 25627-2022</t>
        </is>
      </c>
      <c r="B634" t="inlineStr">
        <is>
          <t>avverkningsanmälan</t>
        </is>
      </c>
      <c r="C634" t="inlineStr">
        <is>
          <t>Föryngringsavverkning</t>
        </is>
      </c>
      <c r="D634" s="1" t="n">
        <v>44732</v>
      </c>
      <c r="E634" s="1" t="n">
        <v>46323</v>
      </c>
      <c r="F634" t="inlineStr">
        <is>
          <t>NORRBOTTENS LÄN</t>
        </is>
      </c>
      <c r="G634" t="inlineStr">
        <is>
          <t>BODEN</t>
        </is>
      </c>
      <c r="I634" t="n">
        <v>4.4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A 52248-2024</t>
        </is>
      </c>
      <c r="B635" t="inlineStr">
        <is>
          <t>avverkningsanmälan</t>
        </is>
      </c>
      <c r="C635" t="inlineStr">
        <is>
          <t>Föryngringsavverkning</t>
        </is>
      </c>
      <c r="D635" s="1" t="n">
        <v>45608</v>
      </c>
      <c r="E635" s="1" t="n">
        <v>46323</v>
      </c>
      <c r="F635" t="inlineStr">
        <is>
          <t>NORRBOTTENS LÄN</t>
        </is>
      </c>
      <c r="G635" t="inlineStr">
        <is>
          <t>BODEN</t>
        </is>
      </c>
      <c r="I635" t="n">
        <v>1.2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A 4055-2024</t>
        </is>
      </c>
      <c r="B636" t="inlineStr">
        <is>
          <t>avverkningsanmälan</t>
        </is>
      </c>
      <c r="C636" t="inlineStr">
        <is>
          <t>Föryngringsavverkning</t>
        </is>
      </c>
      <c r="D636" s="1" t="n">
        <v>45323</v>
      </c>
      <c r="E636" s="1" t="n">
        <v>46323</v>
      </c>
      <c r="F636" t="inlineStr">
        <is>
          <t>NORRBOTTENS LÄN</t>
        </is>
      </c>
      <c r="G636" t="inlineStr">
        <is>
          <t>BODEN</t>
        </is>
      </c>
      <c r="I636" t="n">
        <v>1.6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A 7159-2023</t>
        </is>
      </c>
      <c r="B637" t="inlineStr">
        <is>
          <t>avverkningsanmälan</t>
        </is>
      </c>
      <c r="C637" t="inlineStr">
        <is>
          <t>Föryngringsavverkning</t>
        </is>
      </c>
      <c r="D637" s="1" t="n">
        <v>44970</v>
      </c>
      <c r="E637" s="1" t="n">
        <v>46323</v>
      </c>
      <c r="F637" t="inlineStr">
        <is>
          <t>NORRBOTTENS LÄN</t>
        </is>
      </c>
      <c r="G637" t="inlineStr">
        <is>
          <t>BODEN</t>
        </is>
      </c>
      <c r="I637" t="n">
        <v>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A 14325-2026</t>
        </is>
      </c>
      <c r="B638" t="inlineStr">
        <is>
          <t>avverkningsanmälan</t>
        </is>
      </c>
      <c r="C638" t="inlineStr">
        <is>
          <t>Föryngringsavverkning</t>
        </is>
      </c>
      <c r="D638" s="1" t="n">
        <v>46100</v>
      </c>
      <c r="E638" s="1" t="n">
        <v>46323</v>
      </c>
      <c r="F638" t="inlineStr">
        <is>
          <t>NORRBOTTENS LÄN</t>
        </is>
      </c>
      <c r="G638" t="inlineStr">
        <is>
          <t>BODEN</t>
        </is>
      </c>
      <c r="I638" t="n">
        <v>0.8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 ht="15" customHeight="1">
      <c r="A639" t="inlineStr">
        <is>
          <t>A 40100-2026</t>
        </is>
      </c>
      <c r="B639" t="inlineStr">
        <is>
          <t>avverkningsanmälan</t>
        </is>
      </c>
      <c r="C639" t="inlineStr">
        <is>
          <t>Föryngringsavverkning</t>
        </is>
      </c>
      <c r="D639" s="1" t="n">
        <v>46293</v>
      </c>
      <c r="E639" s="1" t="n">
        <v>46323</v>
      </c>
      <c r="F639" t="inlineStr">
        <is>
          <t>NORRBOTTENS LÄN</t>
        </is>
      </c>
      <c r="G639" t="inlineStr">
        <is>
          <t>BODEN</t>
        </is>
      </c>
      <c r="I639" t="n">
        <v>1.5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A 40151-2026</t>
        </is>
      </c>
      <c r="B640" t="inlineStr">
        <is>
          <t>avverkningsanmälan</t>
        </is>
      </c>
      <c r="C640" t="inlineStr">
        <is>
          <t>Avverkning för annat ändamål</t>
        </is>
      </c>
      <c r="D640" s="1" t="n">
        <v>46293</v>
      </c>
      <c r="E640" s="1" t="n">
        <v>46323</v>
      </c>
      <c r="F640" t="inlineStr">
        <is>
          <t>NORRBOTTENS LÄN</t>
        </is>
      </c>
      <c r="G640" t="inlineStr">
        <is>
          <t>BODEN</t>
        </is>
      </c>
      <c r="H640" t="inlineStr">
        <is>
          <t>Sveaskog</t>
        </is>
      </c>
      <c r="I640" t="n">
        <v>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 ht="15" customHeight="1">
      <c r="A641" t="inlineStr">
        <is>
          <t>A 15342-2026</t>
        </is>
      </c>
      <c r="B641" t="inlineStr">
        <is>
          <t>avverkningsanmälan</t>
        </is>
      </c>
      <c r="C641" t="inlineStr">
        <is>
          <t>Föryngringsavverkning</t>
        </is>
      </c>
      <c r="D641" s="1" t="n">
        <v>46105</v>
      </c>
      <c r="E641" s="1" t="n">
        <v>46323</v>
      </c>
      <c r="F641" t="inlineStr">
        <is>
          <t>NORRBOTTENS LÄN</t>
        </is>
      </c>
      <c r="G641" t="inlineStr">
        <is>
          <t>BODEN</t>
        </is>
      </c>
      <c r="I641" t="n">
        <v>3.7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  <row r="642" ht="15" customHeight="1">
      <c r="A642" t="inlineStr">
        <is>
          <t>A 49124-2023</t>
        </is>
      </c>
      <c r="B642" t="inlineStr">
        <is>
          <t>avverkningsanmälan</t>
        </is>
      </c>
      <c r="C642" t="inlineStr">
        <is>
          <t>Föryngringsavverkning</t>
        </is>
      </c>
      <c r="D642" s="1" t="n">
        <v>45210</v>
      </c>
      <c r="E642" s="1" t="n">
        <v>46323</v>
      </c>
      <c r="F642" t="inlineStr">
        <is>
          <t>NORRBOTTENS LÄN</t>
        </is>
      </c>
      <c r="G642" t="inlineStr">
        <is>
          <t>BODEN</t>
        </is>
      </c>
      <c r="H642" t="inlineStr">
        <is>
          <t>Sveaskog</t>
        </is>
      </c>
      <c r="I642" t="n">
        <v>4.8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inlineStr"/>
    </row>
    <row r="643" ht="15" customHeight="1">
      <c r="A643" t="inlineStr">
        <is>
          <t>A 40028-2026</t>
        </is>
      </c>
      <c r="B643" t="inlineStr">
        <is>
          <t>avverkningsanmälan</t>
        </is>
      </c>
      <c r="C643" t="inlineStr">
        <is>
          <t>Föryngringsavverkning</t>
        </is>
      </c>
      <c r="D643" s="1" t="n">
        <v>46293</v>
      </c>
      <c r="E643" s="1" t="n">
        <v>46323</v>
      </c>
      <c r="F643" t="inlineStr">
        <is>
          <t>NORRBOTTENS LÄN</t>
        </is>
      </c>
      <c r="G643" t="inlineStr">
        <is>
          <t>BODEN</t>
        </is>
      </c>
      <c r="H643" t="inlineStr">
        <is>
          <t>SCA</t>
        </is>
      </c>
      <c r="I643" t="n">
        <v>4.5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inlineStr"/>
    </row>
    <row r="644" ht="15" customHeight="1">
      <c r="A644" t="inlineStr">
        <is>
          <t>A 5452-2025</t>
        </is>
      </c>
      <c r="B644" t="inlineStr">
        <is>
          <t>avverkningsanmälan</t>
        </is>
      </c>
      <c r="C644" t="inlineStr">
        <is>
          <t>Föryngringsavverkning</t>
        </is>
      </c>
      <c r="D644" s="1" t="n">
        <v>45692</v>
      </c>
      <c r="E644" s="1" t="n">
        <v>46323</v>
      </c>
      <c r="F644" t="inlineStr">
        <is>
          <t>NORRBOTTENS LÄN</t>
        </is>
      </c>
      <c r="G644" t="inlineStr">
        <is>
          <t>BODEN</t>
        </is>
      </c>
      <c r="I644" t="n">
        <v>0.7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s="2" t="inlineStr"/>
    </row>
    <row r="645" ht="15" customHeight="1">
      <c r="A645" t="inlineStr">
        <is>
          <t>A 31754-2024</t>
        </is>
      </c>
      <c r="B645" t="inlineStr">
        <is>
          <t>avverkningsanmälan</t>
        </is>
      </c>
      <c r="C645" t="inlineStr">
        <is>
          <t>Föryngringsavverkning</t>
        </is>
      </c>
      <c r="D645" s="1" t="n">
        <v>45509</v>
      </c>
      <c r="E645" s="1" t="n">
        <v>46323</v>
      </c>
      <c r="F645" t="inlineStr">
        <is>
          <t>NORRBOTTENS LÄN</t>
        </is>
      </c>
      <c r="G645" t="inlineStr">
        <is>
          <t>BODEN</t>
        </is>
      </c>
      <c r="I645" t="n">
        <v>11.1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s="2" t="inlineStr"/>
    </row>
    <row r="646" ht="15" customHeight="1">
      <c r="A646" t="inlineStr">
        <is>
          <t>A 40434-2026</t>
        </is>
      </c>
      <c r="B646" t="inlineStr">
        <is>
          <t>avverkningsanmälan</t>
        </is>
      </c>
      <c r="C646" t="inlineStr">
        <is>
          <t>Föryngringsavverkning</t>
        </is>
      </c>
      <c r="D646" s="1" t="n">
        <v>46294</v>
      </c>
      <c r="E646" s="1" t="n">
        <v>46323</v>
      </c>
      <c r="F646" t="inlineStr">
        <is>
          <t>NORRBOTTENS LÄN</t>
        </is>
      </c>
      <c r="G646" t="inlineStr">
        <is>
          <t>BODEN</t>
        </is>
      </c>
      <c r="H646" t="inlineStr">
        <is>
          <t>SCA</t>
        </is>
      </c>
      <c r="I646" t="n">
        <v>2.5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s="2" t="inlineStr"/>
    </row>
    <row r="647" ht="15" customHeight="1">
      <c r="A647" t="inlineStr">
        <is>
          <t>A 40026-2026</t>
        </is>
      </c>
      <c r="B647" t="inlineStr">
        <is>
          <t>avverkningsanmälan</t>
        </is>
      </c>
      <c r="C647" t="inlineStr">
        <is>
          <t>Föryngringsavverkning</t>
        </is>
      </c>
      <c r="D647" s="1" t="n">
        <v>46293</v>
      </c>
      <c r="E647" s="1" t="n">
        <v>46323</v>
      </c>
      <c r="F647" t="inlineStr">
        <is>
          <t>NORRBOTTENS LÄN</t>
        </is>
      </c>
      <c r="G647" t="inlineStr">
        <is>
          <t>BODEN</t>
        </is>
      </c>
      <c r="H647" t="inlineStr">
        <is>
          <t>SCA</t>
        </is>
      </c>
      <c r="I647" t="n">
        <v>8.300000000000001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s="2" t="inlineStr"/>
    </row>
    <row r="648" ht="15" customHeight="1">
      <c r="A648" t="inlineStr">
        <is>
          <t>A 33671-2026</t>
        </is>
      </c>
      <c r="B648" t="inlineStr">
        <is>
          <t>avverkningsanmälan</t>
        </is>
      </c>
      <c r="C648" t="inlineStr">
        <is>
          <t>Föryngringsavverkning</t>
        </is>
      </c>
      <c r="D648" s="1" t="n">
        <v>46248</v>
      </c>
      <c r="E648" s="1" t="n">
        <v>46323</v>
      </c>
      <c r="F648" t="inlineStr">
        <is>
          <t>NORRBOTTENS LÄN</t>
        </is>
      </c>
      <c r="G648" t="inlineStr">
        <is>
          <t>BODEN</t>
        </is>
      </c>
      <c r="I648" t="n">
        <v>4.2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s="2" t="inlineStr"/>
    </row>
    <row r="649" ht="15" customHeight="1">
      <c r="A649" t="inlineStr">
        <is>
          <t>A 36438-2024</t>
        </is>
      </c>
      <c r="B649" t="inlineStr">
        <is>
          <t>avverkningsanmälan</t>
        </is>
      </c>
      <c r="C649" t="inlineStr">
        <is>
          <t>Föryngringsavverkning</t>
        </is>
      </c>
      <c r="D649" s="1" t="n">
        <v>45537</v>
      </c>
      <c r="E649" s="1" t="n">
        <v>46323</v>
      </c>
      <c r="F649" t="inlineStr">
        <is>
          <t>NORRBOTTENS LÄN</t>
        </is>
      </c>
      <c r="G649" t="inlineStr">
        <is>
          <t>BODEN</t>
        </is>
      </c>
      <c r="H649" t="inlineStr">
        <is>
          <t>Sveaskog</t>
        </is>
      </c>
      <c r="I649" t="n">
        <v>3.7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s="2" t="inlineStr"/>
    </row>
    <row r="650" ht="15" customHeight="1">
      <c r="A650" t="inlineStr">
        <is>
          <t>A 40701-2026</t>
        </is>
      </c>
      <c r="B650" t="inlineStr">
        <is>
          <t>avverkningsanmälan</t>
        </is>
      </c>
      <c r="C650" t="inlineStr">
        <is>
          <t>Föryngringsavverkning</t>
        </is>
      </c>
      <c r="D650" s="1" t="n">
        <v>46296</v>
      </c>
      <c r="E650" s="1" t="n">
        <v>46323</v>
      </c>
      <c r="F650" t="inlineStr">
        <is>
          <t>NORRBOTTENS LÄN</t>
        </is>
      </c>
      <c r="G650" t="inlineStr">
        <is>
          <t>BODEN</t>
        </is>
      </c>
      <c r="H650" t="inlineStr">
        <is>
          <t>Sveaskog</t>
        </is>
      </c>
      <c r="I650" t="n">
        <v>14.5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s="2" t="inlineStr"/>
    </row>
    <row r="651" ht="15" customHeight="1">
      <c r="A651" t="inlineStr">
        <is>
          <t>A 6242-2023</t>
        </is>
      </c>
      <c r="B651" t="inlineStr">
        <is>
          <t>avverkningsanmälan</t>
        </is>
      </c>
      <c r="C651" t="inlineStr">
        <is>
          <t>Föryngringsavverkning</t>
        </is>
      </c>
      <c r="D651" s="1" t="n">
        <v>44964</v>
      </c>
      <c r="E651" s="1" t="n">
        <v>46323</v>
      </c>
      <c r="F651" t="inlineStr">
        <is>
          <t>NORRBOTTENS LÄN</t>
        </is>
      </c>
      <c r="G651" t="inlineStr">
        <is>
          <t>BODEN</t>
        </is>
      </c>
      <c r="H651" t="inlineStr">
        <is>
          <t>SCA</t>
        </is>
      </c>
      <c r="I651" t="n">
        <v>1.2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s="2" t="inlineStr"/>
    </row>
    <row r="652" ht="15" customHeight="1">
      <c r="A652" t="inlineStr">
        <is>
          <t>A 34158-2026</t>
        </is>
      </c>
      <c r="B652" t="inlineStr">
        <is>
          <t>avverkningsanmälan</t>
        </is>
      </c>
      <c r="C652" t="inlineStr">
        <is>
          <t>Föryngringsavverkning</t>
        </is>
      </c>
      <c r="D652" s="1" t="n">
        <v>46253</v>
      </c>
      <c r="E652" s="1" t="n">
        <v>46323</v>
      </c>
      <c r="F652" t="inlineStr">
        <is>
          <t>NORRBOTTENS LÄN</t>
        </is>
      </c>
      <c r="G652" t="inlineStr">
        <is>
          <t>BODEN</t>
        </is>
      </c>
      <c r="I652" t="n">
        <v>2.7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s="2" t="inlineStr"/>
    </row>
    <row r="653" ht="15" customHeight="1">
      <c r="A653" t="inlineStr">
        <is>
          <t>A 40708-2026</t>
        </is>
      </c>
      <c r="B653" t="inlineStr">
        <is>
          <t>avverkningsanmälan</t>
        </is>
      </c>
      <c r="C653" t="inlineStr">
        <is>
          <t>Föryngringsavverkning</t>
        </is>
      </c>
      <c r="D653" s="1" t="n">
        <v>46296</v>
      </c>
      <c r="E653" s="1" t="n">
        <v>46323</v>
      </c>
      <c r="F653" t="inlineStr">
        <is>
          <t>NORRBOTTENS LÄN</t>
        </is>
      </c>
      <c r="G653" t="inlineStr">
        <is>
          <t>BODEN</t>
        </is>
      </c>
      <c r="H653" t="inlineStr">
        <is>
          <t>Sveaskog</t>
        </is>
      </c>
      <c r="I653" t="n">
        <v>1.3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s="2" t="inlineStr"/>
    </row>
    <row r="654" ht="15" customHeight="1">
      <c r="A654" t="inlineStr">
        <is>
          <t>A 18671-2025</t>
        </is>
      </c>
      <c r="B654" t="inlineStr">
        <is>
          <t>avverkningsanmälan</t>
        </is>
      </c>
      <c r="C654" t="inlineStr">
        <is>
          <t>Föryngringsavverkning</t>
        </is>
      </c>
      <c r="D654" s="1" t="n">
        <v>45763</v>
      </c>
      <c r="E654" s="1" t="n">
        <v>46323</v>
      </c>
      <c r="F654" t="inlineStr">
        <is>
          <t>NORRBOTTENS LÄN</t>
        </is>
      </c>
      <c r="G654" t="inlineStr">
        <is>
          <t>BODEN</t>
        </is>
      </c>
      <c r="I654" t="n">
        <v>1.2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s="2" t="inlineStr"/>
    </row>
    <row r="655" ht="15" customHeight="1">
      <c r="A655" t="inlineStr">
        <is>
          <t>A 33790-2026</t>
        </is>
      </c>
      <c r="B655" t="inlineStr">
        <is>
          <t>avverkningsanmälan</t>
        </is>
      </c>
      <c r="C655" t="inlineStr">
        <is>
          <t>Föryngringsavverkning</t>
        </is>
      </c>
      <c r="D655" s="1" t="n">
        <v>46251</v>
      </c>
      <c r="E655" s="1" t="n">
        <v>46323</v>
      </c>
      <c r="F655" t="inlineStr">
        <is>
          <t>NORRBOTTENS LÄN</t>
        </is>
      </c>
      <c r="G655" t="inlineStr">
        <is>
          <t>BODEN</t>
        </is>
      </c>
      <c r="H655" t="inlineStr">
        <is>
          <t>Sveaskog</t>
        </is>
      </c>
      <c r="I655" t="n">
        <v>2.5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s="2" t="inlineStr"/>
    </row>
    <row r="656" ht="15" customHeight="1">
      <c r="A656" t="inlineStr">
        <is>
          <t>A 37114-2024</t>
        </is>
      </c>
      <c r="B656" t="inlineStr">
        <is>
          <t>avverkningsanmälan</t>
        </is>
      </c>
      <c r="C656" t="inlineStr">
        <is>
          <t>Föryngringsavverkning</t>
        </is>
      </c>
      <c r="D656" s="1" t="n">
        <v>45539</v>
      </c>
      <c r="E656" s="1" t="n">
        <v>46323</v>
      </c>
      <c r="F656" t="inlineStr">
        <is>
          <t>NORRBOTTENS LÄN</t>
        </is>
      </c>
      <c r="G656" t="inlineStr">
        <is>
          <t>BODEN</t>
        </is>
      </c>
      <c r="I656" t="n">
        <v>0.4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s="2" t="inlineStr"/>
    </row>
    <row r="657" ht="15" customHeight="1">
      <c r="A657" t="inlineStr">
        <is>
          <t>A 57575-2025</t>
        </is>
      </c>
      <c r="B657" t="inlineStr">
        <is>
          <t>avverkningsanmälan</t>
        </is>
      </c>
      <c r="C657" t="inlineStr">
        <is>
          <t>Föryngringsavverkning</t>
        </is>
      </c>
      <c r="D657" s="1" t="n">
        <v>45980</v>
      </c>
      <c r="E657" s="1" t="n">
        <v>46323</v>
      </c>
      <c r="F657" t="inlineStr">
        <is>
          <t>NORRBOTTENS LÄN</t>
        </is>
      </c>
      <c r="G657" t="inlineStr">
        <is>
          <t>BODEN</t>
        </is>
      </c>
      <c r="I657" t="n">
        <v>19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s="2" t="inlineStr"/>
    </row>
    <row r="658" ht="15" customHeight="1">
      <c r="A658" t="inlineStr">
        <is>
          <t>A 34022-2026</t>
        </is>
      </c>
      <c r="B658" t="inlineStr">
        <is>
          <t>avverkningsanmälan</t>
        </is>
      </c>
      <c r="C658" t="inlineStr">
        <is>
          <t>Föryngringsavverkning</t>
        </is>
      </c>
      <c r="D658" s="1" t="n">
        <v>46252</v>
      </c>
      <c r="E658" s="1" t="n">
        <v>46323</v>
      </c>
      <c r="F658" t="inlineStr">
        <is>
          <t>NORRBOTTENS LÄN</t>
        </is>
      </c>
      <c r="G658" t="inlineStr">
        <is>
          <t>BODEN</t>
        </is>
      </c>
      <c r="H658" t="inlineStr">
        <is>
          <t>Sveaskog</t>
        </is>
      </c>
      <c r="I658" t="n">
        <v>19.5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s="2" t="inlineStr"/>
    </row>
    <row r="659" ht="15" customHeight="1">
      <c r="A659" t="inlineStr">
        <is>
          <t>A 27543-2025</t>
        </is>
      </c>
      <c r="B659" t="inlineStr">
        <is>
          <t>avverkningsanmälan</t>
        </is>
      </c>
      <c r="C659" t="inlineStr">
        <is>
          <t>Föryngringsavverkning</t>
        </is>
      </c>
      <c r="D659" s="1" t="n">
        <v>45813</v>
      </c>
      <c r="E659" s="1" t="n">
        <v>46323</v>
      </c>
      <c r="F659" t="inlineStr">
        <is>
          <t>NORRBOTTENS LÄN</t>
        </is>
      </c>
      <c r="G659" t="inlineStr">
        <is>
          <t>BODEN</t>
        </is>
      </c>
      <c r="H659" t="inlineStr">
        <is>
          <t>SCA</t>
        </is>
      </c>
      <c r="I659" t="n">
        <v>2.1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s="2" t="inlineStr"/>
    </row>
    <row r="660" ht="15" customHeight="1">
      <c r="A660" t="inlineStr">
        <is>
          <t>A 19563-2024</t>
        </is>
      </c>
      <c r="B660" t="inlineStr">
        <is>
          <t>avverkningsanmälan</t>
        </is>
      </c>
      <c r="C660" t="inlineStr">
        <is>
          <t>Föryngringsavverkning</t>
        </is>
      </c>
      <c r="D660" s="1" t="n">
        <v>45429</v>
      </c>
      <c r="E660" s="1" t="n">
        <v>46323</v>
      </c>
      <c r="F660" t="inlineStr">
        <is>
          <t>NORRBOTTENS LÄN</t>
        </is>
      </c>
      <c r="G660" t="inlineStr">
        <is>
          <t>BODEN</t>
        </is>
      </c>
      <c r="I660" t="n">
        <v>3.4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s="2" t="inlineStr"/>
    </row>
    <row r="661" ht="15" customHeight="1">
      <c r="A661" t="inlineStr">
        <is>
          <t>A 34333-2026</t>
        </is>
      </c>
      <c r="B661" t="inlineStr">
        <is>
          <t>avverkningsanmälan</t>
        </is>
      </c>
      <c r="C661" t="inlineStr">
        <is>
          <t>Föryngringsavverkning</t>
        </is>
      </c>
      <c r="D661" s="1" t="n">
        <v>46254</v>
      </c>
      <c r="E661" s="1" t="n">
        <v>46323</v>
      </c>
      <c r="F661" t="inlineStr">
        <is>
          <t>NORRBOTTENS LÄN</t>
        </is>
      </c>
      <c r="G661" t="inlineStr">
        <is>
          <t>BODEN</t>
        </is>
      </c>
      <c r="H661" t="inlineStr">
        <is>
          <t>SCA</t>
        </is>
      </c>
      <c r="I661" t="n">
        <v>18.5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s="2" t="inlineStr"/>
    </row>
    <row r="662" ht="15" customHeight="1">
      <c r="A662" t="inlineStr">
        <is>
          <t>A 33864-2026</t>
        </is>
      </c>
      <c r="B662" t="inlineStr">
        <is>
          <t>avverkningsanmälan</t>
        </is>
      </c>
      <c r="C662" t="inlineStr">
        <is>
          <t>Föryngringsavverkning</t>
        </is>
      </c>
      <c r="D662" s="1" t="n">
        <v>46251</v>
      </c>
      <c r="E662" s="1" t="n">
        <v>46323</v>
      </c>
      <c r="F662" t="inlineStr">
        <is>
          <t>NORRBOTTENS LÄN</t>
        </is>
      </c>
      <c r="G662" t="inlineStr">
        <is>
          <t>BODEN</t>
        </is>
      </c>
      <c r="I662" t="n">
        <v>3.3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s="2" t="inlineStr"/>
    </row>
    <row r="663" ht="15" customHeight="1">
      <c r="A663" t="inlineStr">
        <is>
          <t>A 17909-2026</t>
        </is>
      </c>
      <c r="B663" t="inlineStr">
        <is>
          <t>avverkningsanmälan</t>
        </is>
      </c>
      <c r="C663" t="inlineStr">
        <is>
          <t>Föryngringsavverkning</t>
        </is>
      </c>
      <c r="D663" s="1" t="n">
        <v>46122</v>
      </c>
      <c r="E663" s="1" t="n">
        <v>46323</v>
      </c>
      <c r="F663" t="inlineStr">
        <is>
          <t>NORRBOTTENS LÄN</t>
        </is>
      </c>
      <c r="G663" t="inlineStr">
        <is>
          <t>BODEN</t>
        </is>
      </c>
      <c r="H663" t="inlineStr">
        <is>
          <t>SCA</t>
        </is>
      </c>
      <c r="I663" t="n">
        <v>6.6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s="2" t="inlineStr"/>
    </row>
    <row r="664" ht="15" customHeight="1">
      <c r="A664" t="inlineStr">
        <is>
          <t>A 17810-2026</t>
        </is>
      </c>
      <c r="B664" t="inlineStr">
        <is>
          <t>avverkningsanmälan</t>
        </is>
      </c>
      <c r="C664" t="inlineStr">
        <is>
          <t>Föryngringsavverkning</t>
        </is>
      </c>
      <c r="D664" s="1" t="n">
        <v>46122</v>
      </c>
      <c r="E664" s="1" t="n">
        <v>46323</v>
      </c>
      <c r="F664" t="inlineStr">
        <is>
          <t>NORRBOTTENS LÄN</t>
        </is>
      </c>
      <c r="G664" t="inlineStr">
        <is>
          <t>BODEN</t>
        </is>
      </c>
      <c r="I664" t="n">
        <v>0.6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s="2" t="inlineStr"/>
    </row>
    <row r="665" ht="15" customHeight="1">
      <c r="A665" t="inlineStr">
        <is>
          <t>A 40873-2026</t>
        </is>
      </c>
      <c r="B665" t="inlineStr">
        <is>
          <t>avverkningsanmälan</t>
        </is>
      </c>
      <c r="C665" t="inlineStr">
        <is>
          <t>Föryngringsavverkning</t>
        </is>
      </c>
      <c r="D665" s="1" t="n">
        <v>46297</v>
      </c>
      <c r="E665" s="1" t="n">
        <v>46323</v>
      </c>
      <c r="F665" t="inlineStr">
        <is>
          <t>NORRBOTTENS LÄN</t>
        </is>
      </c>
      <c r="G665" t="inlineStr">
        <is>
          <t>BODEN</t>
        </is>
      </c>
      <c r="H665" t="inlineStr">
        <is>
          <t>SCA</t>
        </is>
      </c>
      <c r="I665" t="n">
        <v>2.4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s="2" t="inlineStr"/>
    </row>
    <row r="666" ht="15" customHeight="1">
      <c r="A666" t="inlineStr">
        <is>
          <t>A 28432-2022</t>
        </is>
      </c>
      <c r="B666" t="inlineStr">
        <is>
          <t>avverkningsanmälan</t>
        </is>
      </c>
      <c r="C666" t="inlineStr">
        <is>
          <t>Föryngringsavverkning</t>
        </is>
      </c>
      <c r="D666" s="1" t="n">
        <v>44747</v>
      </c>
      <c r="E666" s="1" t="n">
        <v>46323</v>
      </c>
      <c r="F666" t="inlineStr">
        <is>
          <t>NORRBOTTENS LÄN</t>
        </is>
      </c>
      <c r="G666" t="inlineStr">
        <is>
          <t>BODEN</t>
        </is>
      </c>
      <c r="I666" t="n">
        <v>2.4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s="2" t="inlineStr"/>
    </row>
    <row r="667" ht="15" customHeight="1">
      <c r="A667" t="inlineStr">
        <is>
          <t>A 21421-2022</t>
        </is>
      </c>
      <c r="B667" t="inlineStr">
        <is>
          <t>avverkningsanmälan</t>
        </is>
      </c>
      <c r="C667" t="inlineStr">
        <is>
          <t>Föryngringsavverkning</t>
        </is>
      </c>
      <c r="D667" s="1" t="n">
        <v>44706</v>
      </c>
      <c r="E667" s="1" t="n">
        <v>46323</v>
      </c>
      <c r="F667" t="inlineStr">
        <is>
          <t>NORRBOTTENS LÄN</t>
        </is>
      </c>
      <c r="G667" t="inlineStr">
        <is>
          <t>BODEN</t>
        </is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s="2" t="inlineStr"/>
    </row>
    <row r="668" ht="15" customHeight="1">
      <c r="A668" t="inlineStr">
        <is>
          <t>A 41096-2026</t>
        </is>
      </c>
      <c r="B668" t="inlineStr">
        <is>
          <t>avverkningsanmälan</t>
        </is>
      </c>
      <c r="C668" t="inlineStr">
        <is>
          <t>Föryngringsavverkning</t>
        </is>
      </c>
      <c r="D668" s="1" t="n">
        <v>46300</v>
      </c>
      <c r="E668" s="1" t="n">
        <v>46323</v>
      </c>
      <c r="F668" t="inlineStr">
        <is>
          <t>NORRBOTTENS LÄN</t>
        </is>
      </c>
      <c r="G668" t="inlineStr">
        <is>
          <t>BODEN</t>
        </is>
      </c>
      <c r="H668" t="inlineStr">
        <is>
          <t>Sveaskog</t>
        </is>
      </c>
      <c r="I668" t="n">
        <v>11.6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s="2" t="inlineStr"/>
    </row>
    <row r="669" ht="15" customHeight="1">
      <c r="A669" t="inlineStr">
        <is>
          <t>A 18401-2026</t>
        </is>
      </c>
      <c r="B669" t="inlineStr">
        <is>
          <t>avverkningsanmälan</t>
        </is>
      </c>
      <c r="C669" t="inlineStr">
        <is>
          <t>Föryngringsavverkning</t>
        </is>
      </c>
      <c r="D669" s="1" t="n">
        <v>46126</v>
      </c>
      <c r="E669" s="1" t="n">
        <v>46323</v>
      </c>
      <c r="F669" t="inlineStr">
        <is>
          <t>NORRBOTTENS LÄN</t>
        </is>
      </c>
      <c r="G669" t="inlineStr">
        <is>
          <t>BODEN</t>
        </is>
      </c>
      <c r="I669" t="n">
        <v>7.8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s="2" t="inlineStr"/>
    </row>
    <row r="670" ht="15" customHeight="1">
      <c r="A670" t="inlineStr">
        <is>
          <t>A 34462-2026</t>
        </is>
      </c>
      <c r="B670" t="inlineStr">
        <is>
          <t>avverkningsanmälan</t>
        </is>
      </c>
      <c r="C670" t="inlineStr">
        <is>
          <t>Föryngringsavverkning</t>
        </is>
      </c>
      <c r="D670" s="1" t="n">
        <v>46254</v>
      </c>
      <c r="E670" s="1" t="n">
        <v>46323</v>
      </c>
      <c r="F670" t="inlineStr">
        <is>
          <t>NORRBOTTENS LÄN</t>
        </is>
      </c>
      <c r="G670" t="inlineStr">
        <is>
          <t>BODEN</t>
        </is>
      </c>
      <c r="I670" t="n">
        <v>4.5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s="2" t="inlineStr"/>
    </row>
    <row r="671" ht="15" customHeight="1">
      <c r="A671" t="inlineStr">
        <is>
          <t>A 34463-2026</t>
        </is>
      </c>
      <c r="B671" t="inlineStr">
        <is>
          <t>avverkningsanmälan</t>
        </is>
      </c>
      <c r="C671" t="inlineStr">
        <is>
          <t>Föryngringsavverkning</t>
        </is>
      </c>
      <c r="D671" s="1" t="n">
        <v>46254</v>
      </c>
      <c r="E671" s="1" t="n">
        <v>46323</v>
      </c>
      <c r="F671" t="inlineStr">
        <is>
          <t>NORRBOTTENS LÄN</t>
        </is>
      </c>
      <c r="G671" t="inlineStr">
        <is>
          <t>BODEN</t>
        </is>
      </c>
      <c r="I671" t="n">
        <v>1.9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s="2" t="inlineStr"/>
    </row>
    <row r="672" ht="15" customHeight="1">
      <c r="A672" t="inlineStr">
        <is>
          <t>A 53840-2022</t>
        </is>
      </c>
      <c r="B672" t="inlineStr">
        <is>
          <t>avverkningsanmälan</t>
        </is>
      </c>
      <c r="C672" t="inlineStr">
        <is>
          <t>Föryngringsavverkning</t>
        </is>
      </c>
      <c r="D672" s="1" t="n">
        <v>44880</v>
      </c>
      <c r="E672" s="1" t="n">
        <v>46323</v>
      </c>
      <c r="F672" t="inlineStr">
        <is>
          <t>NORRBOTTENS LÄN</t>
        </is>
      </c>
      <c r="G672" t="inlineStr">
        <is>
          <t>BODEN</t>
        </is>
      </c>
      <c r="I672" t="n">
        <v>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s="2" t="inlineStr"/>
    </row>
    <row r="673" ht="15" customHeight="1">
      <c r="A673" t="inlineStr">
        <is>
          <t>A 9969-2023</t>
        </is>
      </c>
      <c r="B673" t="inlineStr">
        <is>
          <t>avverkningsanmälan</t>
        </is>
      </c>
      <c r="C673" t="inlineStr">
        <is>
          <t>Föryngringsavverkning</t>
        </is>
      </c>
      <c r="D673" s="1" t="n">
        <v>44979</v>
      </c>
      <c r="E673" s="1" t="n">
        <v>46323</v>
      </c>
      <c r="F673" t="inlineStr">
        <is>
          <t>NORRBOTTENS LÄN</t>
        </is>
      </c>
      <c r="G673" t="inlineStr">
        <is>
          <t>BODEN</t>
        </is>
      </c>
      <c r="H673" t="inlineStr">
        <is>
          <t>Övriga statliga verk och myndigheter</t>
        </is>
      </c>
      <c r="I673" t="n">
        <v>18.8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s="2" t="inlineStr"/>
    </row>
    <row r="674" ht="15" customHeight="1">
      <c r="A674" t="inlineStr">
        <is>
          <t>A 877-2023</t>
        </is>
      </c>
      <c r="B674" t="inlineStr">
        <is>
          <t>avverkningsanmälan</t>
        </is>
      </c>
      <c r="C674" t="inlineStr">
        <is>
          <t>Avverkning för att bevara och utveckla /försöksver</t>
        </is>
      </c>
      <c r="D674" s="1" t="n">
        <v>44931</v>
      </c>
      <c r="E674" s="1" t="n">
        <v>46323</v>
      </c>
      <c r="F674" t="inlineStr">
        <is>
          <t>NORRBOTTENS LÄN</t>
        </is>
      </c>
      <c r="G674" t="inlineStr">
        <is>
          <t>BODEN</t>
        </is>
      </c>
      <c r="I674" t="n">
        <v>8.699999999999999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s="2" t="inlineStr"/>
    </row>
    <row r="675" ht="15" customHeight="1">
      <c r="A675" t="inlineStr">
        <is>
          <t>A 41099-2026</t>
        </is>
      </c>
      <c r="B675" t="inlineStr">
        <is>
          <t>avverkningsanmälan</t>
        </is>
      </c>
      <c r="C675" t="inlineStr">
        <is>
          <t>Föryngringsavverkning</t>
        </is>
      </c>
      <c r="D675" s="1" t="n">
        <v>46300</v>
      </c>
      <c r="E675" s="1" t="n">
        <v>46323</v>
      </c>
      <c r="F675" t="inlineStr">
        <is>
          <t>NORRBOTTENS LÄN</t>
        </is>
      </c>
      <c r="G675" t="inlineStr">
        <is>
          <t>BODEN</t>
        </is>
      </c>
      <c r="H675" t="inlineStr">
        <is>
          <t>Sveaskog</t>
        </is>
      </c>
      <c r="I675" t="n">
        <v>6.6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s="2" t="inlineStr"/>
    </row>
    <row r="676" ht="15" customHeight="1">
      <c r="A676" t="inlineStr">
        <is>
          <t>A 38652-2024</t>
        </is>
      </c>
      <c r="B676" t="inlineStr">
        <is>
          <t>avverkningsanmälan</t>
        </is>
      </c>
      <c r="C676" t="inlineStr">
        <is>
          <t>Föryngringsavverkning</t>
        </is>
      </c>
      <c r="D676" s="1" t="n">
        <v>45546</v>
      </c>
      <c r="E676" s="1" t="n">
        <v>46323</v>
      </c>
      <c r="F676" t="inlineStr">
        <is>
          <t>NORRBOTTENS LÄN</t>
        </is>
      </c>
      <c r="G676" t="inlineStr">
        <is>
          <t>BODEN</t>
        </is>
      </c>
      <c r="H676" t="inlineStr">
        <is>
          <t>Sveaskog</t>
        </is>
      </c>
      <c r="I676" t="n">
        <v>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s="2" t="inlineStr"/>
    </row>
    <row r="677" ht="15" customHeight="1">
      <c r="A677" t="inlineStr">
        <is>
          <t>A 25735-2024</t>
        </is>
      </c>
      <c r="B677" t="inlineStr">
        <is>
          <t>avverkningsanmälan</t>
        </is>
      </c>
      <c r="C677" t="inlineStr">
        <is>
          <t>Föryngringsavverkning</t>
        </is>
      </c>
      <c r="D677" s="1" t="n">
        <v>45464</v>
      </c>
      <c r="E677" s="1" t="n">
        <v>46323</v>
      </c>
      <c r="F677" t="inlineStr">
        <is>
          <t>NORRBOTTENS LÄN</t>
        </is>
      </c>
      <c r="G677" t="inlineStr">
        <is>
          <t>BODEN</t>
        </is>
      </c>
      <c r="H677" t="inlineStr">
        <is>
          <t>SCA</t>
        </is>
      </c>
      <c r="I677" t="n">
        <v>0.8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s="2" t="inlineStr"/>
    </row>
    <row r="678" ht="15" customHeight="1">
      <c r="A678" t="inlineStr">
        <is>
          <t>A 56474-2023</t>
        </is>
      </c>
      <c r="B678" t="inlineStr">
        <is>
          <t>avverkningsanmälan</t>
        </is>
      </c>
      <c r="C678" t="inlineStr">
        <is>
          <t>Föryngringsavverkning</t>
        </is>
      </c>
      <c r="D678" s="1" t="n">
        <v>45243</v>
      </c>
      <c r="E678" s="1" t="n">
        <v>46323</v>
      </c>
      <c r="F678" t="inlineStr">
        <is>
          <t>NORRBOTTENS LÄN</t>
        </is>
      </c>
      <c r="G678" t="inlineStr">
        <is>
          <t>BODEN</t>
        </is>
      </c>
      <c r="I678" t="n">
        <v>2.7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s="2" t="inlineStr"/>
    </row>
    <row r="679" ht="15" customHeight="1">
      <c r="A679" t="inlineStr">
        <is>
          <t>A 34517-2026</t>
        </is>
      </c>
      <c r="B679" t="inlineStr">
        <is>
          <t>avverkningsanmälan</t>
        </is>
      </c>
      <c r="C679" t="inlineStr">
        <is>
          <t>Föryngringsavverkning</t>
        </is>
      </c>
      <c r="D679" s="1" t="n">
        <v>46255</v>
      </c>
      <c r="E679" s="1" t="n">
        <v>46323</v>
      </c>
      <c r="F679" t="inlineStr">
        <is>
          <t>NORRBOTTENS LÄN</t>
        </is>
      </c>
      <c r="G679" t="inlineStr">
        <is>
          <t>BODEN</t>
        </is>
      </c>
      <c r="H679" t="inlineStr">
        <is>
          <t>Sveaskog</t>
        </is>
      </c>
      <c r="I679" t="n">
        <v>5.1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s="2" t="inlineStr"/>
    </row>
    <row r="680" ht="15" customHeight="1">
      <c r="A680" t="inlineStr">
        <is>
          <t>A 41039-2026</t>
        </is>
      </c>
      <c r="B680" t="inlineStr">
        <is>
          <t>avverkningsanmälan</t>
        </is>
      </c>
      <c r="C680" t="inlineStr">
        <is>
          <t>Föryngringsavverkning</t>
        </is>
      </c>
      <c r="D680" s="1" t="n">
        <v>46299</v>
      </c>
      <c r="E680" s="1" t="n">
        <v>46323</v>
      </c>
      <c r="F680" t="inlineStr">
        <is>
          <t>NORRBOTTENS LÄN</t>
        </is>
      </c>
      <c r="G680" t="inlineStr">
        <is>
          <t>BODEN</t>
        </is>
      </c>
      <c r="I680" t="n">
        <v>4.9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s="2" t="inlineStr"/>
    </row>
    <row r="681" ht="15" customHeight="1">
      <c r="A681" t="inlineStr">
        <is>
          <t>A 43648-2023</t>
        </is>
      </c>
      <c r="B681" t="inlineStr">
        <is>
          <t>avverkningsanmälan</t>
        </is>
      </c>
      <c r="C681" t="inlineStr">
        <is>
          <t>Föryngringsavverkning</t>
        </is>
      </c>
      <c r="D681" s="1" t="n">
        <v>45187</v>
      </c>
      <c r="E681" s="1" t="n">
        <v>46323</v>
      </c>
      <c r="F681" t="inlineStr">
        <is>
          <t>NORRBOTTENS LÄN</t>
        </is>
      </c>
      <c r="G681" t="inlineStr">
        <is>
          <t>BODEN</t>
        </is>
      </c>
      <c r="H681" t="inlineStr">
        <is>
          <t>Sveaskog</t>
        </is>
      </c>
      <c r="I681" t="n">
        <v>7.1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s="2" t="inlineStr"/>
    </row>
    <row r="682" ht="15" customHeight="1">
      <c r="A682" t="inlineStr">
        <is>
          <t>A 41302-2026</t>
        </is>
      </c>
      <c r="B682" t="inlineStr">
        <is>
          <t>avverkningsanmälan</t>
        </is>
      </c>
      <c r="C682" t="inlineStr">
        <is>
          <t>Föryngringsavverkning</t>
        </is>
      </c>
      <c r="D682" s="1" t="n">
        <v>46300</v>
      </c>
      <c r="E682" s="1" t="n">
        <v>46323</v>
      </c>
      <c r="F682" t="inlineStr">
        <is>
          <t>NORRBOTTENS LÄN</t>
        </is>
      </c>
      <c r="G682" t="inlineStr">
        <is>
          <t>BODEN</t>
        </is>
      </c>
      <c r="H682" t="inlineStr">
        <is>
          <t>SCA</t>
        </is>
      </c>
      <c r="I682" t="n">
        <v>3.9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s="2" t="inlineStr"/>
    </row>
    <row r="683" ht="15" customHeight="1">
      <c r="A683" t="inlineStr">
        <is>
          <t>A 18221-2026</t>
        </is>
      </c>
      <c r="B683" t="inlineStr">
        <is>
          <t>avverkningsanmälan</t>
        </is>
      </c>
      <c r="C683" t="inlineStr">
        <is>
          <t>Föryngringsavverkning</t>
        </is>
      </c>
      <c r="D683" s="1" t="n">
        <v>46126</v>
      </c>
      <c r="E683" s="1" t="n">
        <v>46323</v>
      </c>
      <c r="F683" t="inlineStr">
        <is>
          <t>NORRBOTTENS LÄN</t>
        </is>
      </c>
      <c r="G683" t="inlineStr">
        <is>
          <t>BODEN</t>
        </is>
      </c>
      <c r="I683" t="n">
        <v>3.8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s="2" t="inlineStr"/>
    </row>
    <row r="684" ht="15" customHeight="1">
      <c r="A684" t="inlineStr">
        <is>
          <t>A 18448-2026</t>
        </is>
      </c>
      <c r="B684" t="inlineStr">
        <is>
          <t>avverkningsanmälan</t>
        </is>
      </c>
      <c r="C684" t="inlineStr">
        <is>
          <t>Föryngringsavverkning</t>
        </is>
      </c>
      <c r="D684" s="1" t="n">
        <v>46127</v>
      </c>
      <c r="E684" s="1" t="n">
        <v>46323</v>
      </c>
      <c r="F684" t="inlineStr">
        <is>
          <t>NORRBOTTENS LÄN</t>
        </is>
      </c>
      <c r="G684" t="inlineStr">
        <is>
          <t>BODEN</t>
        </is>
      </c>
      <c r="I684" t="n">
        <v>0.8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s="2" t="inlineStr"/>
    </row>
    <row r="685" ht="15" customHeight="1">
      <c r="A685" t="inlineStr">
        <is>
          <t>A 19091-2026</t>
        </is>
      </c>
      <c r="B685" t="inlineStr">
        <is>
          <t>avverkningsanmälan</t>
        </is>
      </c>
      <c r="C685" t="inlineStr">
        <is>
          <t>Föryngringsavverkning</t>
        </is>
      </c>
      <c r="D685" s="1" t="n">
        <v>46132</v>
      </c>
      <c r="E685" s="1" t="n">
        <v>46323</v>
      </c>
      <c r="F685" t="inlineStr">
        <is>
          <t>NORRBOTTENS LÄN</t>
        </is>
      </c>
      <c r="G685" t="inlineStr">
        <is>
          <t>BODEN</t>
        </is>
      </c>
      <c r="I685" t="n">
        <v>11.7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s="2" t="inlineStr"/>
    </row>
    <row r="686" ht="15" customHeight="1">
      <c r="A686" t="inlineStr">
        <is>
          <t>A 41140-2026</t>
        </is>
      </c>
      <c r="B686" t="inlineStr">
        <is>
          <t>avverkningsanmälan</t>
        </is>
      </c>
      <c r="C686" t="inlineStr">
        <is>
          <t>Föryngringsavverkning</t>
        </is>
      </c>
      <c r="D686" s="1" t="n">
        <v>46300</v>
      </c>
      <c r="E686" s="1" t="n">
        <v>46323</v>
      </c>
      <c r="F686" t="inlineStr">
        <is>
          <t>NORRBOTTENS LÄN</t>
        </is>
      </c>
      <c r="G686" t="inlineStr">
        <is>
          <t>BODEN</t>
        </is>
      </c>
      <c r="H686" t="inlineStr">
        <is>
          <t>Sveaskog</t>
        </is>
      </c>
      <c r="I686" t="n">
        <v>3.5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s="2" t="inlineStr"/>
    </row>
    <row r="687" ht="15" customHeight="1">
      <c r="A687" t="inlineStr">
        <is>
          <t>A 48471-2024</t>
        </is>
      </c>
      <c r="B687" t="inlineStr">
        <is>
          <t>avverkningsanmälan</t>
        </is>
      </c>
      <c r="C687" t="inlineStr">
        <is>
          <t>Föryngringsavverkning</t>
        </is>
      </c>
      <c r="D687" s="1" t="n">
        <v>45591</v>
      </c>
      <c r="E687" s="1" t="n">
        <v>46323</v>
      </c>
      <c r="F687" t="inlineStr">
        <is>
          <t>NORRBOTTENS LÄN</t>
        </is>
      </c>
      <c r="G687" t="inlineStr">
        <is>
          <t>BODEN</t>
        </is>
      </c>
      <c r="H687" t="inlineStr">
        <is>
          <t>SCA</t>
        </is>
      </c>
      <c r="I687" t="n">
        <v>3.6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s="2" t="inlineStr"/>
    </row>
    <row r="688" ht="15" customHeight="1">
      <c r="A688" t="inlineStr">
        <is>
          <t>A 61031-2024</t>
        </is>
      </c>
      <c r="B688" t="inlineStr">
        <is>
          <t>avverkningsanmälan</t>
        </is>
      </c>
      <c r="C688" t="inlineStr">
        <is>
          <t>Föryngringsavverkning</t>
        </is>
      </c>
      <c r="D688" s="1" t="n">
        <v>45645</v>
      </c>
      <c r="E688" s="1" t="n">
        <v>46323</v>
      </c>
      <c r="F688" t="inlineStr">
        <is>
          <t>NORRBOTTENS LÄN</t>
        </is>
      </c>
      <c r="G688" t="inlineStr">
        <is>
          <t>BODEN</t>
        </is>
      </c>
      <c r="I688" t="n">
        <v>6.3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s="2" t="inlineStr"/>
    </row>
    <row r="689" ht="15" customHeight="1">
      <c r="A689" t="inlineStr">
        <is>
          <t>A 41706-2026</t>
        </is>
      </c>
      <c r="B689" t="inlineStr">
        <is>
          <t>avverkningsanmälan</t>
        </is>
      </c>
      <c r="C689" t="inlineStr">
        <is>
          <t>Föryngringsavverkning</t>
        </is>
      </c>
      <c r="D689" s="1" t="n">
        <v>46302</v>
      </c>
      <c r="E689" s="1" t="n">
        <v>46323</v>
      </c>
      <c r="F689" t="inlineStr">
        <is>
          <t>NORRBOTTENS LÄN</t>
        </is>
      </c>
      <c r="G689" t="inlineStr">
        <is>
          <t>BODEN</t>
        </is>
      </c>
      <c r="I689" t="n">
        <v>8.4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s="2" t="inlineStr"/>
    </row>
    <row r="690" ht="15" customHeight="1">
      <c r="A690" t="inlineStr">
        <is>
          <t>A 34898-2026</t>
        </is>
      </c>
      <c r="B690" t="inlineStr">
        <is>
          <t>avverkningsanmälan</t>
        </is>
      </c>
      <c r="C690" t="inlineStr">
        <is>
          <t>Föryngringsavverkning</t>
        </is>
      </c>
      <c r="D690" s="1" t="n">
        <v>46259</v>
      </c>
      <c r="E690" s="1" t="n">
        <v>46323</v>
      </c>
      <c r="F690" t="inlineStr">
        <is>
          <t>NORRBOTTENS LÄN</t>
        </is>
      </c>
      <c r="G690" t="inlineStr">
        <is>
          <t>BODEN</t>
        </is>
      </c>
      <c r="H690" t="inlineStr">
        <is>
          <t>Naturvårdsverket</t>
        </is>
      </c>
      <c r="I690" t="n">
        <v>2.3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s="2" t="inlineStr"/>
    </row>
    <row r="691" ht="15" customHeight="1">
      <c r="A691" t="inlineStr">
        <is>
          <t>A 19049-2026</t>
        </is>
      </c>
      <c r="B691" t="inlineStr">
        <is>
          <t>avverkningsanmälan</t>
        </is>
      </c>
      <c r="C691" t="inlineStr">
        <is>
          <t>Föryngringsavverkning</t>
        </is>
      </c>
      <c r="D691" s="1" t="n">
        <v>46132</v>
      </c>
      <c r="E691" s="1" t="n">
        <v>46323</v>
      </c>
      <c r="F691" t="inlineStr">
        <is>
          <t>NORRBOTTENS LÄN</t>
        </is>
      </c>
      <c r="G691" t="inlineStr">
        <is>
          <t>BODEN</t>
        </is>
      </c>
      <c r="H691" t="inlineStr">
        <is>
          <t>SCA</t>
        </is>
      </c>
      <c r="I691" t="n">
        <v>0.9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s="2" t="inlineStr"/>
    </row>
    <row r="692" ht="15" customHeight="1">
      <c r="A692" t="inlineStr">
        <is>
          <t>A 19564-2024</t>
        </is>
      </c>
      <c r="B692" t="inlineStr">
        <is>
          <t>avverkningsanmälan</t>
        </is>
      </c>
      <c r="C692" t="inlineStr">
        <is>
          <t>Föryngringsavverkning</t>
        </is>
      </c>
      <c r="D692" s="1" t="n">
        <v>45429</v>
      </c>
      <c r="E692" s="1" t="n">
        <v>46323</v>
      </c>
      <c r="F692" t="inlineStr">
        <is>
          <t>NORRBOTTENS LÄN</t>
        </is>
      </c>
      <c r="G692" t="inlineStr">
        <is>
          <t>BODEN</t>
        </is>
      </c>
      <c r="I692" t="n">
        <v>2.5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s="2" t="inlineStr"/>
    </row>
    <row r="693" ht="15" customHeight="1">
      <c r="A693" t="inlineStr">
        <is>
          <t>A 19200-2026</t>
        </is>
      </c>
      <c r="B693" t="inlineStr">
        <is>
          <t>avverkningsanmälan</t>
        </is>
      </c>
      <c r="C693" t="inlineStr">
        <is>
          <t>Föryngringsavverkning</t>
        </is>
      </c>
      <c r="D693" s="1" t="n">
        <v>46132</v>
      </c>
      <c r="E693" s="1" t="n">
        <v>46323</v>
      </c>
      <c r="F693" t="inlineStr">
        <is>
          <t>NORRBOTTENS LÄN</t>
        </is>
      </c>
      <c r="G693" t="inlineStr">
        <is>
          <t>BODEN</t>
        </is>
      </c>
      <c r="H693" t="inlineStr">
        <is>
          <t>SCA</t>
        </is>
      </c>
      <c r="I693" t="n">
        <v>2.7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s="2" t="inlineStr"/>
    </row>
    <row r="694" ht="15" customHeight="1">
      <c r="A694" t="inlineStr">
        <is>
          <t>A 34897-2026</t>
        </is>
      </c>
      <c r="B694" t="inlineStr">
        <is>
          <t>avverkningsanmälan</t>
        </is>
      </c>
      <c r="C694" t="inlineStr">
        <is>
          <t>Föryngringsavverkning</t>
        </is>
      </c>
      <c r="D694" s="1" t="n">
        <v>46259</v>
      </c>
      <c r="E694" s="1" t="n">
        <v>46323</v>
      </c>
      <c r="F694" t="inlineStr">
        <is>
          <t>NORRBOTTENS LÄN</t>
        </is>
      </c>
      <c r="G694" t="inlineStr">
        <is>
          <t>BODEN</t>
        </is>
      </c>
      <c r="H694" t="inlineStr">
        <is>
          <t>Naturvårdsverket</t>
        </is>
      </c>
      <c r="I694" t="n">
        <v>3.7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s="2" t="inlineStr"/>
    </row>
    <row r="695" ht="15" customHeight="1">
      <c r="A695" t="inlineStr">
        <is>
          <t>A 14757-2023</t>
        </is>
      </c>
      <c r="B695" t="inlineStr">
        <is>
          <t>avverkningsanmälan</t>
        </is>
      </c>
      <c r="C695" t="inlineStr">
        <is>
          <t>Föryngringsavverkning</t>
        </is>
      </c>
      <c r="D695" s="1" t="n">
        <v>45014</v>
      </c>
      <c r="E695" s="1" t="n">
        <v>46323</v>
      </c>
      <c r="F695" t="inlineStr">
        <is>
          <t>NORRBOTTENS LÄN</t>
        </is>
      </c>
      <c r="G695" t="inlineStr">
        <is>
          <t>BODEN</t>
        </is>
      </c>
      <c r="I695" t="n">
        <v>1.3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s="2" t="inlineStr"/>
    </row>
    <row r="696" ht="15" customHeight="1">
      <c r="A696" t="inlineStr">
        <is>
          <t>A 19050-2026</t>
        </is>
      </c>
      <c r="B696" t="inlineStr">
        <is>
          <t>avverkningsanmälan</t>
        </is>
      </c>
      <c r="C696" t="inlineStr">
        <is>
          <t>Föryngringsavverkning</t>
        </is>
      </c>
      <c r="D696" s="1" t="n">
        <v>46132</v>
      </c>
      <c r="E696" s="1" t="n">
        <v>46323</v>
      </c>
      <c r="F696" t="inlineStr">
        <is>
          <t>NORRBOTTENS LÄN</t>
        </is>
      </c>
      <c r="G696" t="inlineStr">
        <is>
          <t>BODEN</t>
        </is>
      </c>
      <c r="H696" t="inlineStr">
        <is>
          <t>SCA</t>
        </is>
      </c>
      <c r="I696" t="n">
        <v>0.3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s="2" t="inlineStr"/>
    </row>
    <row r="697" ht="15" customHeight="1">
      <c r="A697" t="inlineStr">
        <is>
          <t>A 37984-2024</t>
        </is>
      </c>
      <c r="B697" t="inlineStr">
        <is>
          <t>avverkningsanmälan</t>
        </is>
      </c>
      <c r="C697" t="inlineStr">
        <is>
          <t>Föryngringsavverkning</t>
        </is>
      </c>
      <c r="D697" s="1" t="n">
        <v>45544</v>
      </c>
      <c r="E697" s="1" t="n">
        <v>46323</v>
      </c>
      <c r="F697" t="inlineStr">
        <is>
          <t>NORRBOTTENS LÄN</t>
        </is>
      </c>
      <c r="G697" t="inlineStr">
        <is>
          <t>BODEN</t>
        </is>
      </c>
      <c r="I697" t="n">
        <v>2.9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s="2" t="inlineStr"/>
    </row>
    <row r="698" ht="15" customHeight="1">
      <c r="A698" t="inlineStr">
        <is>
          <t>A 12801-2023</t>
        </is>
      </c>
      <c r="B698" t="inlineStr">
        <is>
          <t>avverkningsanmälan</t>
        </is>
      </c>
      <c r="C698" t="inlineStr">
        <is>
          <t>Föryngringsavverkning</t>
        </is>
      </c>
      <c r="D698" s="1" t="n">
        <v>45001</v>
      </c>
      <c r="E698" s="1" t="n">
        <v>46323</v>
      </c>
      <c r="F698" t="inlineStr">
        <is>
          <t>NORRBOTTENS LÄN</t>
        </is>
      </c>
      <c r="G698" t="inlineStr">
        <is>
          <t>BODEN</t>
        </is>
      </c>
      <c r="I698" t="n">
        <v>3.7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s="2" t="inlineStr"/>
    </row>
    <row r="699" ht="15" customHeight="1">
      <c r="A699" t="inlineStr">
        <is>
          <t>A 6244-2023</t>
        </is>
      </c>
      <c r="B699" t="inlineStr">
        <is>
          <t>avverkningsanmälan</t>
        </is>
      </c>
      <c r="C699" t="inlineStr">
        <is>
          <t>Föryngringsavverkning</t>
        </is>
      </c>
      <c r="D699" s="1" t="n">
        <v>44964</v>
      </c>
      <c r="E699" s="1" t="n">
        <v>46323</v>
      </c>
      <c r="F699" t="inlineStr">
        <is>
          <t>NORRBOTTENS LÄN</t>
        </is>
      </c>
      <c r="G699" t="inlineStr">
        <is>
          <t>BODEN</t>
        </is>
      </c>
      <c r="H699" t="inlineStr">
        <is>
          <t>SCA</t>
        </is>
      </c>
      <c r="I699" t="n">
        <v>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s="2" t="inlineStr"/>
    </row>
    <row r="700" ht="15" customHeight="1">
      <c r="A700" t="inlineStr">
        <is>
          <t>A 35060-2026</t>
        </is>
      </c>
      <c r="B700" t="inlineStr">
        <is>
          <t>avverkningsanmälan</t>
        </is>
      </c>
      <c r="C700" t="inlineStr">
        <is>
          <t>Föryngringsavverkning</t>
        </is>
      </c>
      <c r="D700" s="1" t="n">
        <v>46259</v>
      </c>
      <c r="E700" s="1" t="n">
        <v>46323</v>
      </c>
      <c r="F700" t="inlineStr">
        <is>
          <t>NORRBOTTENS LÄN</t>
        </is>
      </c>
      <c r="G700" t="inlineStr">
        <is>
          <t>BODEN</t>
        </is>
      </c>
      <c r="H700" t="inlineStr">
        <is>
          <t>Sveaskog</t>
        </is>
      </c>
      <c r="I700" t="n">
        <v>44.8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s="2" t="inlineStr"/>
    </row>
    <row r="701" ht="15" customHeight="1">
      <c r="A701" t="inlineStr">
        <is>
          <t>A 41568-2026</t>
        </is>
      </c>
      <c r="B701" t="inlineStr">
        <is>
          <t>avverkningsanmälan</t>
        </is>
      </c>
      <c r="C701" t="inlineStr">
        <is>
          <t>Föryngringsavverkning</t>
        </is>
      </c>
      <c r="D701" s="1" t="n">
        <v>46301</v>
      </c>
      <c r="E701" s="1" t="n">
        <v>46323</v>
      </c>
      <c r="F701" t="inlineStr">
        <is>
          <t>NORRBOTTENS LÄN</t>
        </is>
      </c>
      <c r="G701" t="inlineStr">
        <is>
          <t>BODEN</t>
        </is>
      </c>
      <c r="H701" t="inlineStr">
        <is>
          <t>SCA</t>
        </is>
      </c>
      <c r="I701" t="n">
        <v>3.7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s="2" t="inlineStr"/>
    </row>
    <row r="702" ht="15" customHeight="1">
      <c r="A702" t="inlineStr">
        <is>
          <t>A 29309-2023</t>
        </is>
      </c>
      <c r="B702" t="inlineStr">
        <is>
          <t>avverkningsanmälan</t>
        </is>
      </c>
      <c r="C702" t="inlineStr">
        <is>
          <t>Föryngringsavverkning</t>
        </is>
      </c>
      <c r="D702" s="1" t="n">
        <v>45105</v>
      </c>
      <c r="E702" s="1" t="n">
        <v>46323</v>
      </c>
      <c r="F702" t="inlineStr">
        <is>
          <t>NORRBOTTENS LÄN</t>
        </is>
      </c>
      <c r="G702" t="inlineStr">
        <is>
          <t>BODEN</t>
        </is>
      </c>
      <c r="I702" t="n">
        <v>3.2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s="2" t="inlineStr"/>
    </row>
    <row r="703" ht="15" customHeight="1">
      <c r="A703" t="inlineStr">
        <is>
          <t>A 3462-2022</t>
        </is>
      </c>
      <c r="B703" t="inlineStr">
        <is>
          <t>avverkningsanmälan</t>
        </is>
      </c>
      <c r="C703" t="inlineStr">
        <is>
          <t>Avverkning för att bevara och utveckla /försöksver</t>
        </is>
      </c>
      <c r="D703" s="1" t="n">
        <v>44585</v>
      </c>
      <c r="E703" s="1" t="n">
        <v>46323</v>
      </c>
      <c r="F703" t="inlineStr">
        <is>
          <t>NORRBOTTENS LÄN</t>
        </is>
      </c>
      <c r="G703" t="inlineStr">
        <is>
          <t>BODEN</t>
        </is>
      </c>
      <c r="I703" t="n">
        <v>3.1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s="2" t="inlineStr"/>
    </row>
    <row r="704" ht="15" customHeight="1">
      <c r="A704" t="inlineStr">
        <is>
          <t>A 35373-2026</t>
        </is>
      </c>
      <c r="B704" t="inlineStr">
        <is>
          <t>avverkningsanmälan</t>
        </is>
      </c>
      <c r="C704" t="inlineStr">
        <is>
          <t>Föryngringsavverkning</t>
        </is>
      </c>
      <c r="D704" s="1" t="n">
        <v>46261</v>
      </c>
      <c r="E704" s="1" t="n">
        <v>46323</v>
      </c>
      <c r="F704" t="inlineStr">
        <is>
          <t>NORRBOTTENS LÄN</t>
        </is>
      </c>
      <c r="G704" t="inlineStr">
        <is>
          <t>BODEN</t>
        </is>
      </c>
      <c r="I704" t="n">
        <v>2.6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s="2" t="inlineStr"/>
    </row>
    <row r="705" ht="15" customHeight="1">
      <c r="A705" t="inlineStr">
        <is>
          <t>A 42179-2026</t>
        </is>
      </c>
      <c r="B705" t="inlineStr">
        <is>
          <t>avverkningsanmälan</t>
        </is>
      </c>
      <c r="C705" t="inlineStr">
        <is>
          <t>Föryngringsavverkning</t>
        </is>
      </c>
      <c r="D705" s="1" t="n">
        <v>46304</v>
      </c>
      <c r="E705" s="1" t="n">
        <v>46323</v>
      </c>
      <c r="F705" t="inlineStr">
        <is>
          <t>NORRBOTTENS LÄN</t>
        </is>
      </c>
      <c r="G705" t="inlineStr">
        <is>
          <t>BODEN</t>
        </is>
      </c>
      <c r="H705" t="inlineStr">
        <is>
          <t>SCA</t>
        </is>
      </c>
      <c r="I705" t="n">
        <v>2.7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s="2" t="inlineStr"/>
    </row>
    <row r="706" ht="15" customHeight="1">
      <c r="A706" t="inlineStr">
        <is>
          <t>A 35407-2026</t>
        </is>
      </c>
      <c r="B706" t="inlineStr">
        <is>
          <t>avverkningsanmälan</t>
        </is>
      </c>
      <c r="C706" t="inlineStr">
        <is>
          <t>Föryngringsavverkning</t>
        </is>
      </c>
      <c r="D706" s="1" t="n">
        <v>46261</v>
      </c>
      <c r="E706" s="1" t="n">
        <v>46323</v>
      </c>
      <c r="F706" t="inlineStr">
        <is>
          <t>NORRBOTTENS LÄN</t>
        </is>
      </c>
      <c r="G706" t="inlineStr">
        <is>
          <t>BODEN</t>
        </is>
      </c>
      <c r="H706" t="inlineStr">
        <is>
          <t>SCA</t>
        </is>
      </c>
      <c r="I706" t="n">
        <v>1.2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s="2" t="inlineStr"/>
    </row>
    <row r="707" ht="15" customHeight="1">
      <c r="A707" t="inlineStr">
        <is>
          <t>A 46564-2022</t>
        </is>
      </c>
      <c r="B707" t="inlineStr">
        <is>
          <t>avverkningsanmälan</t>
        </is>
      </c>
      <c r="C707" t="inlineStr">
        <is>
          <t>Föryngringsavverkning</t>
        </is>
      </c>
      <c r="D707" s="1" t="n">
        <v>44847</v>
      </c>
      <c r="E707" s="1" t="n">
        <v>46323</v>
      </c>
      <c r="F707" t="inlineStr">
        <is>
          <t>NORRBOTTENS LÄN</t>
        </is>
      </c>
      <c r="G707" t="inlineStr">
        <is>
          <t>BODEN</t>
        </is>
      </c>
      <c r="I707" t="n">
        <v>28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s="2" t="inlineStr"/>
    </row>
    <row r="708" ht="15" customHeight="1">
      <c r="A708" t="inlineStr">
        <is>
          <t>A 35381-2026</t>
        </is>
      </c>
      <c r="B708" t="inlineStr">
        <is>
          <t>avverkningsanmälan</t>
        </is>
      </c>
      <c r="C708" t="inlineStr">
        <is>
          <t>Föryngringsavverkning</t>
        </is>
      </c>
      <c r="D708" s="1" t="n">
        <v>46261</v>
      </c>
      <c r="E708" s="1" t="n">
        <v>46323</v>
      </c>
      <c r="F708" t="inlineStr">
        <is>
          <t>NORRBOTTENS LÄN</t>
        </is>
      </c>
      <c r="G708" t="inlineStr">
        <is>
          <t>BODEN</t>
        </is>
      </c>
      <c r="I708" t="n">
        <v>10.9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s="2" t="inlineStr"/>
    </row>
    <row r="709" ht="15" customHeight="1">
      <c r="A709" t="inlineStr">
        <is>
          <t>A 62589-2025</t>
        </is>
      </c>
      <c r="B709" t="inlineStr">
        <is>
          <t>avverkningsanmälan</t>
        </is>
      </c>
      <c r="C709" t="inlineStr">
        <is>
          <t>Föryngringsavverkning</t>
        </is>
      </c>
      <c r="D709" s="1" t="n">
        <v>46007</v>
      </c>
      <c r="E709" s="1" t="n">
        <v>46323</v>
      </c>
      <c r="F709" t="inlineStr">
        <is>
          <t>NORRBOTTENS LÄN</t>
        </is>
      </c>
      <c r="G709" t="inlineStr">
        <is>
          <t>BODEN</t>
        </is>
      </c>
      <c r="I709" t="n">
        <v>0.9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s="2" t="inlineStr"/>
    </row>
    <row r="710" ht="15" customHeight="1">
      <c r="A710" t="inlineStr">
        <is>
          <t>A 35372-2026</t>
        </is>
      </c>
      <c r="B710" t="inlineStr">
        <is>
          <t>avverkningsanmälan</t>
        </is>
      </c>
      <c r="C710" t="inlineStr">
        <is>
          <t>Föryngringsavverkning</t>
        </is>
      </c>
      <c r="D710" s="1" t="n">
        <v>46261</v>
      </c>
      <c r="E710" s="1" t="n">
        <v>46323</v>
      </c>
      <c r="F710" t="inlineStr">
        <is>
          <t>NORRBOTTENS LÄN</t>
        </is>
      </c>
      <c r="G710" t="inlineStr">
        <is>
          <t>BODEN</t>
        </is>
      </c>
      <c r="I710" t="n">
        <v>2.6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s="2" t="inlineStr"/>
    </row>
    <row r="711" ht="15" customHeight="1">
      <c r="A711" t="inlineStr">
        <is>
          <t>A 3146-2024</t>
        </is>
      </c>
      <c r="B711" t="inlineStr">
        <is>
          <t>avverkningsanmälan</t>
        </is>
      </c>
      <c r="C711" t="inlineStr">
        <is>
          <t>Föryngringsavverkning</t>
        </is>
      </c>
      <c r="D711" s="1" t="n">
        <v>45316</v>
      </c>
      <c r="E711" s="1" t="n">
        <v>46323</v>
      </c>
      <c r="F711" t="inlineStr">
        <is>
          <t>NORRBOTTENS LÄN</t>
        </is>
      </c>
      <c r="G711" t="inlineStr">
        <is>
          <t>BODEN</t>
        </is>
      </c>
      <c r="I711" t="n">
        <v>8.800000000000001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s="2" t="inlineStr"/>
    </row>
    <row r="712" ht="15" customHeight="1">
      <c r="A712" t="inlineStr">
        <is>
          <t>A 35295-2026</t>
        </is>
      </c>
      <c r="B712" t="inlineStr">
        <is>
          <t>avverkningsanmälan</t>
        </is>
      </c>
      <c r="C712" t="inlineStr">
        <is>
          <t>Föryngringsavverkning</t>
        </is>
      </c>
      <c r="D712" s="1" t="n">
        <v>46261</v>
      </c>
      <c r="E712" s="1" t="n">
        <v>46323</v>
      </c>
      <c r="F712" t="inlineStr">
        <is>
          <t>NORRBOTTENS LÄN</t>
        </is>
      </c>
      <c r="G712" t="inlineStr">
        <is>
          <t>BODEN</t>
        </is>
      </c>
      <c r="I712" t="n">
        <v>5.3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s="2" t="inlineStr"/>
      <c r="Z712">
        <f>HYPERLINK("https://klasma.github.io/Logging_2582/knärot/A 35295-2026 karta knärot.png", "A 35295-2026")</f>
        <v/>
      </c>
      <c r="AA712">
        <f>HYPERLINK("https://klasma.github.io/Logging_2582/klagomål/A 35295-2026 FSC-klagomål.docx", "A 35295-2026")</f>
        <v/>
      </c>
      <c r="AB712">
        <f>HYPERLINK("https://klasma.github.io/Logging_2582/klagomålsmail/A 35295-2026 FSC-klagomål mail.docx", "A 35295-2026")</f>
        <v/>
      </c>
      <c r="AC712">
        <f>HYPERLINK("https://klasma.github.io/Logging_2582/tillsyn/A 35295-2026 tillsynsbegäran.docx", "A 35295-2026")</f>
        <v/>
      </c>
      <c r="AD712">
        <f>HYPERLINK("https://klasma.github.io/Logging_2582/tillsynsmail/A 35295-2026 tillsynsbegäran mail.docx", "A 35295-2026")</f>
        <v/>
      </c>
    </row>
    <row r="713" ht="15" customHeight="1">
      <c r="A713" t="inlineStr">
        <is>
          <t>A 73910-2021</t>
        </is>
      </c>
      <c r="B713" t="inlineStr">
        <is>
          <t>avverkningsanmälan</t>
        </is>
      </c>
      <c r="C713" t="inlineStr">
        <is>
          <t>Föryngringsavverkning</t>
        </is>
      </c>
      <c r="D713" s="1" t="n">
        <v>44552</v>
      </c>
      <c r="E713" s="1" t="n">
        <v>46323</v>
      </c>
      <c r="F713" t="inlineStr">
        <is>
          <t>NORRBOTTENS LÄN</t>
        </is>
      </c>
      <c r="G713" t="inlineStr">
        <is>
          <t>BODEN</t>
        </is>
      </c>
      <c r="I713" t="n">
        <v>2.8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s="2" t="inlineStr"/>
    </row>
    <row r="714" ht="15" customHeight="1">
      <c r="A714" t="inlineStr">
        <is>
          <t>A 8776-2022</t>
        </is>
      </c>
      <c r="B714" t="inlineStr">
        <is>
          <t>avverkningsanmälan</t>
        </is>
      </c>
      <c r="C714" t="inlineStr">
        <is>
          <t>Föryngringsavverkning</t>
        </is>
      </c>
      <c r="D714" s="1" t="n">
        <v>44614</v>
      </c>
      <c r="E714" s="1" t="n">
        <v>46323</v>
      </c>
      <c r="F714" t="inlineStr">
        <is>
          <t>NORRBOTTENS LÄN</t>
        </is>
      </c>
      <c r="G714" t="inlineStr">
        <is>
          <t>BODEN</t>
        </is>
      </c>
      <c r="I714" t="n">
        <v>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s="2" t="inlineStr"/>
    </row>
    <row r="715" ht="15" customHeight="1">
      <c r="A715" t="inlineStr">
        <is>
          <t>A 26806-2024</t>
        </is>
      </c>
      <c r="B715" t="inlineStr">
        <is>
          <t>avverkningsanmälan</t>
        </is>
      </c>
      <c r="C715" t="inlineStr">
        <is>
          <t>Föryngringsavverkning</t>
        </is>
      </c>
      <c r="D715" s="1" t="n">
        <v>45470</v>
      </c>
      <c r="E715" s="1" t="n">
        <v>46323</v>
      </c>
      <c r="F715" t="inlineStr">
        <is>
          <t>NORRBOTTENS LÄN</t>
        </is>
      </c>
      <c r="G715" t="inlineStr">
        <is>
          <t>BODEN</t>
        </is>
      </c>
      <c r="H715" t="inlineStr">
        <is>
          <t>Övriga Aktiebolag</t>
        </is>
      </c>
      <c r="I715" t="n">
        <v>4.3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s="2" t="inlineStr"/>
    </row>
    <row r="716" ht="15" customHeight="1">
      <c r="A716" t="inlineStr">
        <is>
          <t>A 27508-2025</t>
        </is>
      </c>
      <c r="B716" t="inlineStr">
        <is>
          <t>avverkningsanmälan</t>
        </is>
      </c>
      <c r="C716" t="inlineStr">
        <is>
          <t>Föryngringsavverkning</t>
        </is>
      </c>
      <c r="D716" s="1" t="n">
        <v>45813</v>
      </c>
      <c r="E716" s="1" t="n">
        <v>46323</v>
      </c>
      <c r="F716" t="inlineStr">
        <is>
          <t>NORRBOTTENS LÄN</t>
        </is>
      </c>
      <c r="G716" t="inlineStr">
        <is>
          <t>BODEN</t>
        </is>
      </c>
      <c r="H716" t="inlineStr">
        <is>
          <t>SCA</t>
        </is>
      </c>
      <c r="I716" t="n">
        <v>13.9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s="2" t="inlineStr"/>
    </row>
    <row r="717" ht="15" customHeight="1">
      <c r="A717" t="inlineStr">
        <is>
          <t>A 42204-2026</t>
        </is>
      </c>
      <c r="B717" t="inlineStr">
        <is>
          <t>avverkningsanmälan</t>
        </is>
      </c>
      <c r="C717" t="inlineStr">
        <is>
          <t>Föryngringsavverkning</t>
        </is>
      </c>
      <c r="D717" s="1" t="n">
        <v>46305</v>
      </c>
      <c r="E717" s="1" t="n">
        <v>46323</v>
      </c>
      <c r="F717" t="inlineStr">
        <is>
          <t>NORRBOTTENS LÄN</t>
        </is>
      </c>
      <c r="G717" t="inlineStr">
        <is>
          <t>BODEN</t>
        </is>
      </c>
      <c r="H717" t="inlineStr">
        <is>
          <t>SCA</t>
        </is>
      </c>
      <c r="I717" t="n">
        <v>2.7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s="2" t="inlineStr"/>
    </row>
    <row r="718" ht="15" customHeight="1">
      <c r="A718" t="inlineStr">
        <is>
          <t>A 47423-2024</t>
        </is>
      </c>
      <c r="B718" t="inlineStr">
        <is>
          <t>avverkningsanmälan</t>
        </is>
      </c>
      <c r="C718" t="inlineStr">
        <is>
          <t>Föryngringsavverkning</t>
        </is>
      </c>
      <c r="D718" s="1" t="n">
        <v>45587</v>
      </c>
      <c r="E718" s="1" t="n">
        <v>46323</v>
      </c>
      <c r="F718" t="inlineStr">
        <is>
          <t>NORRBOTTENS LÄN</t>
        </is>
      </c>
      <c r="G718" t="inlineStr">
        <is>
          <t>BODEN</t>
        </is>
      </c>
      <c r="I718" t="n">
        <v>17.2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s="2" t="inlineStr"/>
    </row>
    <row r="719" ht="15" customHeight="1">
      <c r="A719" t="inlineStr">
        <is>
          <t>A 27604-2025</t>
        </is>
      </c>
      <c r="B719" t="inlineStr">
        <is>
          <t>avverkningsanmälan</t>
        </is>
      </c>
      <c r="C719" t="inlineStr">
        <is>
          <t>Föryngringsavverkning</t>
        </is>
      </c>
      <c r="D719" s="1" t="n">
        <v>45813</v>
      </c>
      <c r="E719" s="1" t="n">
        <v>46323</v>
      </c>
      <c r="F719" t="inlineStr">
        <is>
          <t>NORRBOTTENS LÄN</t>
        </is>
      </c>
      <c r="G719" t="inlineStr">
        <is>
          <t>BODEN</t>
        </is>
      </c>
      <c r="I719" t="n">
        <v>0.8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s="2" t="inlineStr"/>
    </row>
    <row r="720" ht="15" customHeight="1">
      <c r="A720" t="inlineStr">
        <is>
          <t>A 19080-2025</t>
        </is>
      </c>
      <c r="B720" t="inlineStr">
        <is>
          <t>avverkningsanmälan</t>
        </is>
      </c>
      <c r="C720" t="inlineStr">
        <is>
          <t>Föryngringsavverkning</t>
        </is>
      </c>
      <c r="D720" s="1" t="n">
        <v>45766</v>
      </c>
      <c r="E720" s="1" t="n">
        <v>46323</v>
      </c>
      <c r="F720" t="inlineStr">
        <is>
          <t>NORRBOTTENS LÄN</t>
        </is>
      </c>
      <c r="G720" t="inlineStr">
        <is>
          <t>BODEN</t>
        </is>
      </c>
      <c r="H720" t="inlineStr">
        <is>
          <t>SCA</t>
        </is>
      </c>
      <c r="I720" t="n">
        <v>3.6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s="2" t="inlineStr"/>
    </row>
    <row r="721" ht="15" customHeight="1">
      <c r="A721" t="inlineStr">
        <is>
          <t>A 42316-2026</t>
        </is>
      </c>
      <c r="B721" t="inlineStr">
        <is>
          <t>avverkningsanmälan</t>
        </is>
      </c>
      <c r="C721" t="inlineStr">
        <is>
          <t>Föryngringsavverkning</t>
        </is>
      </c>
      <c r="D721" s="1" t="n">
        <v>46307</v>
      </c>
      <c r="E721" s="1" t="n">
        <v>46323</v>
      </c>
      <c r="F721" t="inlineStr">
        <is>
          <t>NORRBOTTENS LÄN</t>
        </is>
      </c>
      <c r="G721" t="inlineStr">
        <is>
          <t>BODEN</t>
        </is>
      </c>
      <c r="H721" t="inlineStr">
        <is>
          <t>Sveaskog</t>
        </is>
      </c>
      <c r="I721" t="n">
        <v>4.6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s="2" t="inlineStr"/>
    </row>
    <row r="722" ht="15" customHeight="1">
      <c r="A722" t="inlineStr">
        <is>
          <t>A 28134-2025</t>
        </is>
      </c>
      <c r="B722" t="inlineStr">
        <is>
          <t>avverkningsanmälan</t>
        </is>
      </c>
      <c r="C722" t="inlineStr">
        <is>
          <t>Föryngringsavverkning</t>
        </is>
      </c>
      <c r="D722" s="1" t="n">
        <v>45818</v>
      </c>
      <c r="E722" s="1" t="n">
        <v>46323</v>
      </c>
      <c r="F722" t="inlineStr">
        <is>
          <t>NORRBOTTENS LÄN</t>
        </is>
      </c>
      <c r="G722" t="inlineStr">
        <is>
          <t>BODEN</t>
        </is>
      </c>
      <c r="H722" t="inlineStr">
        <is>
          <t>SCA</t>
        </is>
      </c>
      <c r="I722" t="n">
        <v>5.3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s="2" t="inlineStr"/>
    </row>
    <row r="723" ht="15" customHeight="1">
      <c r="A723" t="inlineStr">
        <is>
          <t>A 708-2022</t>
        </is>
      </c>
      <c r="B723" t="inlineStr">
        <is>
          <t>avverkningsanmälan</t>
        </is>
      </c>
      <c r="C723" t="inlineStr">
        <is>
          <t>Avverkning för att bevara och utveckla /försöksver</t>
        </is>
      </c>
      <c r="D723" s="1" t="n">
        <v>44566</v>
      </c>
      <c r="E723" s="1" t="n">
        <v>46323</v>
      </c>
      <c r="F723" t="inlineStr">
        <is>
          <t>NORRBOTTENS LÄN</t>
        </is>
      </c>
      <c r="G723" t="inlineStr">
        <is>
          <t>BODEN</t>
        </is>
      </c>
      <c r="I723" t="n">
        <v>3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s="2" t="inlineStr"/>
    </row>
    <row r="724" ht="15" customHeight="1">
      <c r="A724" t="inlineStr">
        <is>
          <t>A 28297-2025</t>
        </is>
      </c>
      <c r="B724" t="inlineStr">
        <is>
          <t>avverkningsanmälan</t>
        </is>
      </c>
      <c r="C724" t="inlineStr">
        <is>
          <t>Föryngringsavverkning</t>
        </is>
      </c>
      <c r="D724" s="1" t="n">
        <v>45818</v>
      </c>
      <c r="E724" s="1" t="n">
        <v>46323</v>
      </c>
      <c r="F724" t="inlineStr">
        <is>
          <t>NORRBOTTENS LÄN</t>
        </is>
      </c>
      <c r="G724" t="inlineStr">
        <is>
          <t>BODEN</t>
        </is>
      </c>
      <c r="H724" t="inlineStr">
        <is>
          <t>Sveaskog</t>
        </is>
      </c>
      <c r="I724" t="n">
        <v>5.3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s="2" t="inlineStr"/>
    </row>
    <row r="725" ht="15" customHeight="1">
      <c r="A725" t="inlineStr">
        <is>
          <t>A 3090-2024</t>
        </is>
      </c>
      <c r="B725" t="inlineStr">
        <is>
          <t>avverkningsanmälan</t>
        </is>
      </c>
      <c r="C725" t="inlineStr">
        <is>
          <t>Föryngringsavverkning</t>
        </is>
      </c>
      <c r="D725" s="1" t="n">
        <v>45316</v>
      </c>
      <c r="E725" s="1" t="n">
        <v>46323</v>
      </c>
      <c r="F725" t="inlineStr">
        <is>
          <t>NORRBOTTENS LÄN</t>
        </is>
      </c>
      <c r="G725" t="inlineStr">
        <is>
          <t>BODEN</t>
        </is>
      </c>
      <c r="I725" t="n">
        <v>2.3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s="2" t="inlineStr"/>
    </row>
    <row r="726" ht="15" customHeight="1">
      <c r="A726" t="inlineStr">
        <is>
          <t>A 19060-2024</t>
        </is>
      </c>
      <c r="B726" t="inlineStr">
        <is>
          <t>avverkningsanmälan</t>
        </is>
      </c>
      <c r="C726" t="inlineStr">
        <is>
          <t>Föryngringsavverkning</t>
        </is>
      </c>
      <c r="D726" s="1" t="n">
        <v>45427</v>
      </c>
      <c r="E726" s="1" t="n">
        <v>46323</v>
      </c>
      <c r="F726" t="inlineStr">
        <is>
          <t>NORRBOTTENS LÄN</t>
        </is>
      </c>
      <c r="G726" t="inlineStr">
        <is>
          <t>BODEN</t>
        </is>
      </c>
      <c r="I726" t="n">
        <v>3.3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s="2" t="inlineStr"/>
    </row>
    <row r="727" ht="15" customHeight="1">
      <c r="A727" t="inlineStr">
        <is>
          <t>A 4254-2025</t>
        </is>
      </c>
      <c r="B727" t="inlineStr">
        <is>
          <t>avverkningsanmälan</t>
        </is>
      </c>
      <c r="C727" t="inlineStr">
        <is>
          <t>Föryngringsavverkning</t>
        </is>
      </c>
      <c r="D727" s="1" t="n">
        <v>45685</v>
      </c>
      <c r="E727" s="1" t="n">
        <v>46323</v>
      </c>
      <c r="F727" t="inlineStr">
        <is>
          <t>NORRBOTTENS LÄN</t>
        </is>
      </c>
      <c r="G727" t="inlineStr">
        <is>
          <t>BODEN</t>
        </is>
      </c>
      <c r="I727" t="n">
        <v>0.8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s="2" t="inlineStr"/>
    </row>
    <row r="728" ht="15" customHeight="1">
      <c r="A728" t="inlineStr">
        <is>
          <t>A 37791-2024</t>
        </is>
      </c>
      <c r="B728" t="inlineStr">
        <is>
          <t>avverkningsanmälan</t>
        </is>
      </c>
      <c r="C728" t="inlineStr">
        <is>
          <t>Föryngringsavverkning</t>
        </is>
      </c>
      <c r="D728" s="1" t="n">
        <v>45543</v>
      </c>
      <c r="E728" s="1" t="n">
        <v>46323</v>
      </c>
      <c r="F728" t="inlineStr">
        <is>
          <t>NORRBOTTENS LÄN</t>
        </is>
      </c>
      <c r="G728" t="inlineStr">
        <is>
          <t>BODEN</t>
        </is>
      </c>
      <c r="I728" t="n">
        <v>9.1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s="2" t="inlineStr"/>
    </row>
    <row r="729" ht="15" customHeight="1">
      <c r="A729" t="inlineStr">
        <is>
          <t>A 10240-2026</t>
        </is>
      </c>
      <c r="B729" t="inlineStr">
        <is>
          <t>avverkningsanmälan</t>
        </is>
      </c>
      <c r="C729" t="inlineStr">
        <is>
          <t>Föryngringsavverkning</t>
        </is>
      </c>
      <c r="D729" s="1" t="n">
        <v>46076</v>
      </c>
      <c r="E729" s="1" t="n">
        <v>46323</v>
      </c>
      <c r="F729" t="inlineStr">
        <is>
          <t>NORRBOTTENS LÄN</t>
        </is>
      </c>
      <c r="G729" t="inlineStr">
        <is>
          <t>BODEN</t>
        </is>
      </c>
      <c r="I729" t="n">
        <v>2.3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s="2" t="inlineStr"/>
    </row>
    <row r="730" ht="15" customHeight="1">
      <c r="A730" t="inlineStr">
        <is>
          <t>A 42213-2026</t>
        </is>
      </c>
      <c r="B730" t="inlineStr">
        <is>
          <t>avverkningsanmälan</t>
        </is>
      </c>
      <c r="C730" t="inlineStr">
        <is>
          <t>Föryngringsavverkning</t>
        </is>
      </c>
      <c r="D730" s="1" t="n">
        <v>46306</v>
      </c>
      <c r="E730" s="1" t="n">
        <v>46323</v>
      </c>
      <c r="F730" t="inlineStr">
        <is>
          <t>NORRBOTTENS LÄN</t>
        </is>
      </c>
      <c r="G730" t="inlineStr">
        <is>
          <t>BODEN</t>
        </is>
      </c>
      <c r="H730" t="inlineStr">
        <is>
          <t>SCA</t>
        </is>
      </c>
      <c r="I730" t="n">
        <v>1.1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s="2" t="inlineStr"/>
    </row>
    <row r="731" ht="15" customHeight="1">
      <c r="A731" t="inlineStr">
        <is>
          <t>A 44625-2024</t>
        </is>
      </c>
      <c r="B731" t="inlineStr">
        <is>
          <t>avverkningsanmälan</t>
        </is>
      </c>
      <c r="C731" t="inlineStr">
        <is>
          <t>Föryngringsavverkning</t>
        </is>
      </c>
      <c r="D731" s="1" t="n">
        <v>45574</v>
      </c>
      <c r="E731" s="1" t="n">
        <v>46323</v>
      </c>
      <c r="F731" t="inlineStr">
        <is>
          <t>NORRBOTTENS LÄN</t>
        </is>
      </c>
      <c r="G731" t="inlineStr">
        <is>
          <t>BODEN</t>
        </is>
      </c>
      <c r="H731" t="inlineStr">
        <is>
          <t>Sveaskog</t>
        </is>
      </c>
      <c r="I731" t="n">
        <v>4.2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s="2" t="inlineStr"/>
    </row>
    <row r="732" ht="15" customHeight="1">
      <c r="A732" t="inlineStr">
        <is>
          <t>A 48459-2025</t>
        </is>
      </c>
      <c r="B732" t="inlineStr">
        <is>
          <t>avverkningsanmälan</t>
        </is>
      </c>
      <c r="C732" t="inlineStr">
        <is>
          <t>Föryngringsavverkning</t>
        </is>
      </c>
      <c r="D732" s="1" t="n">
        <v>45935</v>
      </c>
      <c r="E732" s="1" t="n">
        <v>46323</v>
      </c>
      <c r="F732" t="inlineStr">
        <is>
          <t>NORRBOTTENS LÄN</t>
        </is>
      </c>
      <c r="G732" t="inlineStr">
        <is>
          <t>BODEN</t>
        </is>
      </c>
      <c r="I732" t="n">
        <v>3.4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s="2" t="inlineStr"/>
    </row>
    <row r="733" ht="15" customHeight="1">
      <c r="A733" t="inlineStr">
        <is>
          <t>A 42312-2026</t>
        </is>
      </c>
      <c r="B733" t="inlineStr">
        <is>
          <t>avverkningsanmälan</t>
        </is>
      </c>
      <c r="C733" t="inlineStr">
        <is>
          <t>Föryngringsavverkning</t>
        </is>
      </c>
      <c r="D733" s="1" t="n">
        <v>46307</v>
      </c>
      <c r="E733" s="1" t="n">
        <v>46323</v>
      </c>
      <c r="F733" t="inlineStr">
        <is>
          <t>NORRBOTTENS LÄN</t>
        </is>
      </c>
      <c r="G733" t="inlineStr">
        <is>
          <t>BODEN</t>
        </is>
      </c>
      <c r="H733" t="inlineStr">
        <is>
          <t>Sveaskog</t>
        </is>
      </c>
      <c r="I733" t="n">
        <v>0.7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s="2" t="inlineStr"/>
    </row>
    <row r="734" ht="15" customHeight="1">
      <c r="A734" t="inlineStr">
        <is>
          <t>A 42203-2026</t>
        </is>
      </c>
      <c r="B734" t="inlineStr">
        <is>
          <t>avverkningsanmälan</t>
        </is>
      </c>
      <c r="C734" t="inlineStr">
        <is>
          <t>Föryngringsavverkning</t>
        </is>
      </c>
      <c r="D734" s="1" t="n">
        <v>46305</v>
      </c>
      <c r="E734" s="1" t="n">
        <v>46323</v>
      </c>
      <c r="F734" t="inlineStr">
        <is>
          <t>NORRBOTTENS LÄN</t>
        </is>
      </c>
      <c r="G734" t="inlineStr">
        <is>
          <t>BODEN</t>
        </is>
      </c>
      <c r="H734" t="inlineStr">
        <is>
          <t>SCA</t>
        </is>
      </c>
      <c r="I734" t="n">
        <v>7.3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s="2" t="inlineStr"/>
    </row>
    <row r="735" ht="15" customHeight="1">
      <c r="A735" t="inlineStr">
        <is>
          <t>A 29109-2024</t>
        </is>
      </c>
      <c r="B735" t="inlineStr">
        <is>
          <t>avverkningsanmälan</t>
        </is>
      </c>
      <c r="C735" t="inlineStr">
        <is>
          <t>Föryngringsavverkning</t>
        </is>
      </c>
      <c r="D735" s="1" t="n">
        <v>45481</v>
      </c>
      <c r="E735" s="1" t="n">
        <v>46323</v>
      </c>
      <c r="F735" t="inlineStr">
        <is>
          <t>NORRBOTTENS LÄN</t>
        </is>
      </c>
      <c r="G735" t="inlineStr">
        <is>
          <t>BODEN</t>
        </is>
      </c>
      <c r="H735" t="inlineStr">
        <is>
          <t>SCA</t>
        </is>
      </c>
      <c r="I735" t="n">
        <v>2.7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s="2" t="inlineStr"/>
    </row>
    <row r="736" ht="15" customHeight="1">
      <c r="A736" t="inlineStr">
        <is>
          <t>A 47024-2024</t>
        </is>
      </c>
      <c r="B736" t="inlineStr">
        <is>
          <t>avverkningsanmälan</t>
        </is>
      </c>
      <c r="C736" t="inlineStr">
        <is>
          <t>Föryngringsavverkning</t>
        </is>
      </c>
      <c r="D736" s="1" t="n">
        <v>45586</v>
      </c>
      <c r="E736" s="1" t="n">
        <v>46323</v>
      </c>
      <c r="F736" t="inlineStr">
        <is>
          <t>NORRBOTTENS LÄN</t>
        </is>
      </c>
      <c r="G736" t="inlineStr">
        <is>
          <t>BODEN</t>
        </is>
      </c>
      <c r="H736" t="inlineStr">
        <is>
          <t>Sveaskog</t>
        </is>
      </c>
      <c r="I736" t="n">
        <v>12.8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s="2" t="inlineStr"/>
    </row>
    <row r="737" ht="15" customHeight="1">
      <c r="A737" t="inlineStr">
        <is>
          <t>A 57563-2023</t>
        </is>
      </c>
      <c r="B737" t="inlineStr">
        <is>
          <t>avverkningsanmälan</t>
        </is>
      </c>
      <c r="C737" t="inlineStr">
        <is>
          <t>Föryngringsavverkning</t>
        </is>
      </c>
      <c r="D737" s="1" t="n">
        <v>45246</v>
      </c>
      <c r="E737" s="1" t="n">
        <v>46323</v>
      </c>
      <c r="F737" t="inlineStr">
        <is>
          <t>NORRBOTTENS LÄN</t>
        </is>
      </c>
      <c r="G737" t="inlineStr">
        <is>
          <t>BODEN</t>
        </is>
      </c>
      <c r="I737" t="n">
        <v>1.2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s="2" t="inlineStr"/>
    </row>
    <row r="738" ht="15" customHeight="1">
      <c r="A738" t="inlineStr">
        <is>
          <t>A 28270-2025</t>
        </is>
      </c>
      <c r="B738" t="inlineStr">
        <is>
          <t>avverkningsanmälan</t>
        </is>
      </c>
      <c r="C738" t="inlineStr">
        <is>
          <t>Avverkning för att bevara och utveckla /försöksver</t>
        </is>
      </c>
      <c r="D738" s="1" t="n">
        <v>45818</v>
      </c>
      <c r="E738" s="1" t="n">
        <v>46323</v>
      </c>
      <c r="F738" t="inlineStr">
        <is>
          <t>NORRBOTTENS LÄN</t>
        </is>
      </c>
      <c r="G738" t="inlineStr">
        <is>
          <t>BODEN</t>
        </is>
      </c>
      <c r="H738" t="inlineStr">
        <is>
          <t>Sveaskog</t>
        </is>
      </c>
      <c r="I738" t="n">
        <v>0.7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s="2" t="inlineStr"/>
    </row>
    <row r="739" ht="15" customHeight="1">
      <c r="A739" t="inlineStr">
        <is>
          <t>A 45035-2022</t>
        </is>
      </c>
      <c r="B739" t="inlineStr">
        <is>
          <t>avverkningsanmälan</t>
        </is>
      </c>
      <c r="C739" t="inlineStr">
        <is>
          <t>Föryngringsavverkning</t>
        </is>
      </c>
      <c r="D739" s="1" t="n">
        <v>44841</v>
      </c>
      <c r="E739" s="1" t="n">
        <v>46323</v>
      </c>
      <c r="F739" t="inlineStr">
        <is>
          <t>NORRBOTTENS LÄN</t>
        </is>
      </c>
      <c r="G739" t="inlineStr">
        <is>
          <t>BODEN</t>
        </is>
      </c>
      <c r="H739" t="inlineStr">
        <is>
          <t>Sveaskog</t>
        </is>
      </c>
      <c r="I739" t="n">
        <v>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s="2" t="inlineStr"/>
    </row>
    <row r="740" ht="15" customHeight="1">
      <c r="A740" t="inlineStr">
        <is>
          <t>A 18436-2025</t>
        </is>
      </c>
      <c r="B740" t="inlineStr">
        <is>
          <t>avverkningsanmälan</t>
        </is>
      </c>
      <c r="C740" t="inlineStr">
        <is>
          <t>Föryngringsavverkning</t>
        </is>
      </c>
      <c r="D740" s="1" t="n">
        <v>45762</v>
      </c>
      <c r="E740" s="1" t="n">
        <v>46323</v>
      </c>
      <c r="F740" t="inlineStr">
        <is>
          <t>NORRBOTTENS LÄN</t>
        </is>
      </c>
      <c r="G740" t="inlineStr">
        <is>
          <t>BODEN</t>
        </is>
      </c>
      <c r="I740" t="n">
        <v>2.2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s="2" t="inlineStr"/>
    </row>
    <row r="741" ht="15" customHeight="1">
      <c r="A741" t="inlineStr">
        <is>
          <t>A 8571-2025</t>
        </is>
      </c>
      <c r="B741" t="inlineStr">
        <is>
          <t>avverkningsanmälan</t>
        </is>
      </c>
      <c r="C741" t="inlineStr">
        <is>
          <t>Föryngringsavverkning</t>
        </is>
      </c>
      <c r="D741" s="1" t="n">
        <v>45709</v>
      </c>
      <c r="E741" s="1" t="n">
        <v>46323</v>
      </c>
      <c r="F741" t="inlineStr">
        <is>
          <t>NORRBOTTENS LÄN</t>
        </is>
      </c>
      <c r="G741" t="inlineStr">
        <is>
          <t>BODEN</t>
        </is>
      </c>
      <c r="H741" t="inlineStr">
        <is>
          <t>Övriga Aktiebolag</t>
        </is>
      </c>
      <c r="I741" t="n">
        <v>14.3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s="2" t="inlineStr"/>
    </row>
    <row r="742" ht="15" customHeight="1">
      <c r="A742" t="inlineStr">
        <is>
          <t>A 28074-2024</t>
        </is>
      </c>
      <c r="B742" t="inlineStr">
        <is>
          <t>avverkningsanmälan</t>
        </is>
      </c>
      <c r="C742" t="inlineStr">
        <is>
          <t>Föryngringsavverkning</t>
        </is>
      </c>
      <c r="D742" s="1" t="n">
        <v>45476</v>
      </c>
      <c r="E742" s="1" t="n">
        <v>46323</v>
      </c>
      <c r="F742" t="inlineStr">
        <is>
          <t>NORRBOTTENS LÄN</t>
        </is>
      </c>
      <c r="G742" t="inlineStr">
        <is>
          <t>BODEN</t>
        </is>
      </c>
      <c r="I742" t="n">
        <v>5.6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s="2" t="inlineStr"/>
    </row>
    <row r="743" ht="15" customHeight="1">
      <c r="A743" t="inlineStr">
        <is>
          <t>A 42978-2026</t>
        </is>
      </c>
      <c r="B743" t="inlineStr">
        <is>
          <t>avverkningsanmälan</t>
        </is>
      </c>
      <c r="C743" t="inlineStr">
        <is>
          <t>Föryngringsavverkning</t>
        </is>
      </c>
      <c r="D743" s="1" t="n">
        <v>46310</v>
      </c>
      <c r="E743" s="1" t="n">
        <v>46323</v>
      </c>
      <c r="F743" t="inlineStr">
        <is>
          <t>NORRBOTTENS LÄN</t>
        </is>
      </c>
      <c r="G743" t="inlineStr">
        <is>
          <t>BODEN</t>
        </is>
      </c>
      <c r="H743" t="inlineStr">
        <is>
          <t>Sveaskog</t>
        </is>
      </c>
      <c r="I743" t="n">
        <v>22.1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s="2" t="inlineStr"/>
    </row>
    <row r="744" ht="15" customHeight="1">
      <c r="A744" t="inlineStr">
        <is>
          <t>A 20069-2026</t>
        </is>
      </c>
      <c r="B744" t="inlineStr">
        <is>
          <t>avverkningsanmälan</t>
        </is>
      </c>
      <c r="C744" t="inlineStr">
        <is>
          <t>Föryngringsavverkning</t>
        </is>
      </c>
      <c r="D744" s="1" t="n">
        <v>46136</v>
      </c>
      <c r="E744" s="1" t="n">
        <v>46323</v>
      </c>
      <c r="F744" t="inlineStr">
        <is>
          <t>NORRBOTTENS LÄN</t>
        </is>
      </c>
      <c r="G744" t="inlineStr">
        <is>
          <t>BODEN</t>
        </is>
      </c>
      <c r="H744" t="inlineStr">
        <is>
          <t>SCA</t>
        </is>
      </c>
      <c r="I744" t="n">
        <v>4.2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s="2" t="inlineStr"/>
    </row>
    <row r="745" ht="15" customHeight="1">
      <c r="A745" t="inlineStr">
        <is>
          <t>A 50561-2025</t>
        </is>
      </c>
      <c r="B745" t="inlineStr">
        <is>
          <t>avverkningsanmälan</t>
        </is>
      </c>
      <c r="C745" t="inlineStr">
        <is>
          <t>Föryngringsavverkning</t>
        </is>
      </c>
      <c r="D745" s="1" t="n">
        <v>45944</v>
      </c>
      <c r="E745" s="1" t="n">
        <v>46323</v>
      </c>
      <c r="F745" t="inlineStr">
        <is>
          <t>NORRBOTTENS LÄN</t>
        </is>
      </c>
      <c r="G745" t="inlineStr">
        <is>
          <t>BODEN</t>
        </is>
      </c>
      <c r="I745" t="n">
        <v>2.2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s="2" t="inlineStr"/>
    </row>
    <row r="746" ht="15" customHeight="1">
      <c r="A746" t="inlineStr">
        <is>
          <t>A 31195-2025</t>
        </is>
      </c>
      <c r="B746" t="inlineStr">
        <is>
          <t>avverkningsanmälan</t>
        </is>
      </c>
      <c r="C746" t="inlineStr">
        <is>
          <t>Föryngringsavverkning</t>
        </is>
      </c>
      <c r="D746" s="1" t="n">
        <v>45832</v>
      </c>
      <c r="E746" s="1" t="n">
        <v>46323</v>
      </c>
      <c r="F746" t="inlineStr">
        <is>
          <t>NORRBOTTENS LÄN</t>
        </is>
      </c>
      <c r="G746" t="inlineStr">
        <is>
          <t>BODEN</t>
        </is>
      </c>
      <c r="I746" t="n">
        <v>8.9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s="2" t="inlineStr"/>
    </row>
    <row r="747" ht="15" customHeight="1">
      <c r="A747" t="inlineStr">
        <is>
          <t>A 61988-2025</t>
        </is>
      </c>
      <c r="B747" t="inlineStr">
        <is>
          <t>avverkningsanmälan</t>
        </is>
      </c>
      <c r="C747" t="inlineStr">
        <is>
          <t>Föryngringsavverkning</t>
        </is>
      </c>
      <c r="D747" s="1" t="n">
        <v>46003</v>
      </c>
      <c r="E747" s="1" t="n">
        <v>46323</v>
      </c>
      <c r="F747" t="inlineStr">
        <is>
          <t>NORRBOTTENS LÄN</t>
        </is>
      </c>
      <c r="G747" t="inlineStr">
        <is>
          <t>BODEN</t>
        </is>
      </c>
      <c r="H747" t="inlineStr">
        <is>
          <t>SCA</t>
        </is>
      </c>
      <c r="I747" t="n">
        <v>2.3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s="2" t="inlineStr"/>
    </row>
    <row r="748" ht="15" customHeight="1">
      <c r="A748" t="inlineStr">
        <is>
          <t>A 42670-2026</t>
        </is>
      </c>
      <c r="B748" t="inlineStr">
        <is>
          <t>avverkningsanmälan</t>
        </is>
      </c>
      <c r="C748" t="inlineStr">
        <is>
          <t>Föryngringsavverkning</t>
        </is>
      </c>
      <c r="D748" s="1" t="n">
        <v>46309</v>
      </c>
      <c r="E748" s="1" t="n">
        <v>46323</v>
      </c>
      <c r="F748" t="inlineStr">
        <is>
          <t>NORRBOTTENS LÄN</t>
        </is>
      </c>
      <c r="G748" t="inlineStr">
        <is>
          <t>BODEN</t>
        </is>
      </c>
      <c r="I748" t="n">
        <v>6.1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s="2" t="inlineStr"/>
    </row>
    <row r="749" ht="15" customHeight="1">
      <c r="A749" t="inlineStr">
        <is>
          <t>A 35902-2026</t>
        </is>
      </c>
      <c r="B749" t="inlineStr">
        <is>
          <t>avverkningsanmälan</t>
        </is>
      </c>
      <c r="C749" t="inlineStr">
        <is>
          <t>Föryngringsavverkning</t>
        </is>
      </c>
      <c r="D749" s="1" t="n">
        <v>46266</v>
      </c>
      <c r="E749" s="1" t="n">
        <v>46323</v>
      </c>
      <c r="F749" t="inlineStr">
        <is>
          <t>NORRBOTTENS LÄN</t>
        </is>
      </c>
      <c r="G749" t="inlineStr">
        <is>
          <t>BODEN</t>
        </is>
      </c>
      <c r="H749" t="inlineStr">
        <is>
          <t>Sveaskog</t>
        </is>
      </c>
      <c r="I749" t="n">
        <v>12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s="2" t="inlineStr"/>
    </row>
    <row r="750" ht="15" customHeight="1">
      <c r="A750" t="inlineStr">
        <is>
          <t>A 23232-2024</t>
        </is>
      </c>
      <c r="B750" t="inlineStr">
        <is>
          <t>avverkningsanmälan</t>
        </is>
      </c>
      <c r="C750" t="inlineStr">
        <is>
          <t>Föryngringsavverkning</t>
        </is>
      </c>
      <c r="D750" s="1" t="n">
        <v>45453</v>
      </c>
      <c r="E750" s="1" t="n">
        <v>46323</v>
      </c>
      <c r="F750" t="inlineStr">
        <is>
          <t>NORRBOTTENS LÄN</t>
        </is>
      </c>
      <c r="G750" t="inlineStr">
        <is>
          <t>BODEN</t>
        </is>
      </c>
      <c r="I750" t="n">
        <v>1.2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s="2" t="inlineStr"/>
    </row>
    <row r="751" ht="15" customHeight="1">
      <c r="A751" t="inlineStr">
        <is>
          <t>A 36398-2026</t>
        </is>
      </c>
      <c r="B751" t="inlineStr">
        <is>
          <t>avverkningsanmälan</t>
        </is>
      </c>
      <c r="C751" t="inlineStr">
        <is>
          <t>Avverkning för annat ändamål</t>
        </is>
      </c>
      <c r="D751" s="1" t="n">
        <v>46268</v>
      </c>
      <c r="E751" s="1" t="n">
        <v>46323</v>
      </c>
      <c r="F751" t="inlineStr">
        <is>
          <t>NORRBOTTENS LÄN</t>
        </is>
      </c>
      <c r="G751" t="inlineStr">
        <is>
          <t>BODEN</t>
        </is>
      </c>
      <c r="H751" t="inlineStr">
        <is>
          <t>Kommuner</t>
        </is>
      </c>
      <c r="I751" t="n">
        <v>1.3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s="2" t="inlineStr"/>
    </row>
    <row r="752" ht="15" customHeight="1">
      <c r="A752" t="inlineStr">
        <is>
          <t>A 36187-2026</t>
        </is>
      </c>
      <c r="B752" t="inlineStr">
        <is>
          <t>avverkningsanmälan</t>
        </is>
      </c>
      <c r="C752" t="inlineStr">
        <is>
          <t>Föryngringsavverkning</t>
        </is>
      </c>
      <c r="D752" s="1" t="n">
        <v>46267</v>
      </c>
      <c r="E752" s="1" t="n">
        <v>46323</v>
      </c>
      <c r="F752" t="inlineStr">
        <is>
          <t>NORRBOTTENS LÄN</t>
        </is>
      </c>
      <c r="G752" t="inlineStr">
        <is>
          <t>BODEN</t>
        </is>
      </c>
      <c r="I752" t="n">
        <v>3.1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s="2" t="inlineStr"/>
    </row>
    <row r="753" ht="15" customHeight="1">
      <c r="A753" t="inlineStr">
        <is>
          <t>A 43105-2026</t>
        </is>
      </c>
      <c r="B753" t="inlineStr">
        <is>
          <t>avverkningsanmälan</t>
        </is>
      </c>
      <c r="C753" t="inlineStr">
        <is>
          <t>Föryngringsavverkning</t>
        </is>
      </c>
      <c r="D753" s="1" t="n">
        <v>46311</v>
      </c>
      <c r="E753" s="1" t="n">
        <v>46323</v>
      </c>
      <c r="F753" t="inlineStr">
        <is>
          <t>NORRBOTTENS LÄN</t>
        </is>
      </c>
      <c r="G753" t="inlineStr">
        <is>
          <t>BODEN</t>
        </is>
      </c>
      <c r="I753" t="n">
        <v>5.6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s="2" t="inlineStr"/>
    </row>
    <row r="754" ht="15" customHeight="1">
      <c r="A754" t="inlineStr">
        <is>
          <t>A 43108-2026</t>
        </is>
      </c>
      <c r="B754" t="inlineStr">
        <is>
          <t>avverkningsanmälan</t>
        </is>
      </c>
      <c r="C754" t="inlineStr">
        <is>
          <t>Föryngringsavverkning</t>
        </is>
      </c>
      <c r="D754" s="1" t="n">
        <v>46311</v>
      </c>
      <c r="E754" s="1" t="n">
        <v>46323</v>
      </c>
      <c r="F754" t="inlineStr">
        <is>
          <t>NORRBOTTENS LÄN</t>
        </is>
      </c>
      <c r="G754" t="inlineStr">
        <is>
          <t>BODEN</t>
        </is>
      </c>
      <c r="I754" t="n">
        <v>5.3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s="2" t="inlineStr"/>
    </row>
    <row r="755" ht="15" customHeight="1">
      <c r="A755" t="inlineStr">
        <is>
          <t>A 43200-2026</t>
        </is>
      </c>
      <c r="B755" t="inlineStr">
        <is>
          <t>avverkningsanmälan</t>
        </is>
      </c>
      <c r="C755" t="inlineStr">
        <is>
          <t>Avverkning för annat ändamål</t>
        </is>
      </c>
      <c r="D755" s="1" t="n">
        <v>46314</v>
      </c>
      <c r="E755" s="1" t="n">
        <v>46323</v>
      </c>
      <c r="F755" t="inlineStr">
        <is>
          <t>NORRBOTTENS LÄN</t>
        </is>
      </c>
      <c r="G755" t="inlineStr">
        <is>
          <t>BODEN</t>
        </is>
      </c>
      <c r="H755" t="inlineStr">
        <is>
          <t>Sveaskog</t>
        </is>
      </c>
      <c r="I755" t="n">
        <v>2.8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s="2" t="inlineStr"/>
    </row>
    <row r="756" ht="15" customHeight="1">
      <c r="A756" t="inlineStr">
        <is>
          <t>A 32775-2025</t>
        </is>
      </c>
      <c r="B756" t="inlineStr">
        <is>
          <t>avverkningsanmälan</t>
        </is>
      </c>
      <c r="C756" t="inlineStr">
        <is>
          <t>Föryngringsavverkning</t>
        </is>
      </c>
      <c r="D756" s="1" t="n">
        <v>45839</v>
      </c>
      <c r="E756" s="1" t="n">
        <v>46323</v>
      </c>
      <c r="F756" t="inlineStr">
        <is>
          <t>NORRBOTTENS LÄN</t>
        </is>
      </c>
      <c r="G756" t="inlineStr">
        <is>
          <t>BODEN</t>
        </is>
      </c>
      <c r="I756" t="n">
        <v>13.6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s="2" t="inlineStr"/>
    </row>
    <row r="757" ht="15" customHeight="1">
      <c r="A757" t="inlineStr">
        <is>
          <t>A 30105-2023</t>
        </is>
      </c>
      <c r="B757" t="inlineStr">
        <is>
          <t>avverkningsanmälan</t>
        </is>
      </c>
      <c r="C757" t="inlineStr">
        <is>
          <t>Föryngringsavverkning</t>
        </is>
      </c>
      <c r="D757" s="1" t="n">
        <v>45099</v>
      </c>
      <c r="E757" s="1" t="n">
        <v>46323</v>
      </c>
      <c r="F757" t="inlineStr">
        <is>
          <t>NORRBOTTENS LÄN</t>
        </is>
      </c>
      <c r="G757" t="inlineStr">
        <is>
          <t>BODEN</t>
        </is>
      </c>
      <c r="I757" t="n">
        <v>2.9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s="2" t="inlineStr"/>
    </row>
    <row r="758" ht="15" customHeight="1">
      <c r="A758" t="inlineStr">
        <is>
          <t>A 35755-2025</t>
        </is>
      </c>
      <c r="B758" t="inlineStr">
        <is>
          <t>avverkningsanmälan</t>
        </is>
      </c>
      <c r="C758" t="inlineStr">
        <is>
          <t>Föryngringsavverkning</t>
        </is>
      </c>
      <c r="D758" s="1" t="n">
        <v>45860</v>
      </c>
      <c r="E758" s="1" t="n">
        <v>46323</v>
      </c>
      <c r="F758" t="inlineStr">
        <is>
          <t>NORRBOTTENS LÄN</t>
        </is>
      </c>
      <c r="G758" t="inlineStr">
        <is>
          <t>BODEN</t>
        </is>
      </c>
      <c r="H758" t="inlineStr">
        <is>
          <t>SCA</t>
        </is>
      </c>
      <c r="I758" t="n">
        <v>3.4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s="2" t="inlineStr"/>
    </row>
    <row r="759" ht="15" customHeight="1">
      <c r="A759" t="inlineStr">
        <is>
          <t>A 36241-2026</t>
        </is>
      </c>
      <c r="B759" t="inlineStr">
        <is>
          <t>avverkningsanmälan</t>
        </is>
      </c>
      <c r="C759" t="inlineStr">
        <is>
          <t>Föryngringsavverkning</t>
        </is>
      </c>
      <c r="D759" s="1" t="n">
        <v>46268</v>
      </c>
      <c r="E759" s="1" t="n">
        <v>46323</v>
      </c>
      <c r="F759" t="inlineStr">
        <is>
          <t>NORRBOTTENS LÄN</t>
        </is>
      </c>
      <c r="G759" t="inlineStr">
        <is>
          <t>BODEN</t>
        </is>
      </c>
      <c r="H759" t="inlineStr">
        <is>
          <t>SCA</t>
        </is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s="2" t="inlineStr"/>
    </row>
    <row r="760" ht="15" customHeight="1">
      <c r="A760" t="inlineStr">
        <is>
          <t>A 43097-2026</t>
        </is>
      </c>
      <c r="B760" t="inlineStr">
        <is>
          <t>avverkningsanmälan</t>
        </is>
      </c>
      <c r="C760" t="inlineStr">
        <is>
          <t>Avverkning för annat ändamål</t>
        </is>
      </c>
      <c r="D760" s="1" t="n">
        <v>46311</v>
      </c>
      <c r="E760" s="1" t="n">
        <v>46323</v>
      </c>
      <c r="F760" t="inlineStr">
        <is>
          <t>NORRBOTTENS LÄN</t>
        </is>
      </c>
      <c r="G760" t="inlineStr">
        <is>
          <t>BODEN</t>
        </is>
      </c>
      <c r="H760" t="inlineStr">
        <is>
          <t>Sveaskog</t>
        </is>
      </c>
      <c r="I760" t="n">
        <v>2.1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s="2" t="inlineStr"/>
    </row>
    <row r="761" ht="15" customHeight="1">
      <c r="A761" t="inlineStr">
        <is>
          <t>A 43106-2026</t>
        </is>
      </c>
      <c r="B761" t="inlineStr">
        <is>
          <t>avverkningsanmälan</t>
        </is>
      </c>
      <c r="C761" t="inlineStr">
        <is>
          <t>Föryngringsavverkning</t>
        </is>
      </c>
      <c r="D761" s="1" t="n">
        <v>46311</v>
      </c>
      <c r="E761" s="1" t="n">
        <v>46323</v>
      </c>
      <c r="F761" t="inlineStr">
        <is>
          <t>NORRBOTTENS LÄN</t>
        </is>
      </c>
      <c r="G761" t="inlineStr">
        <is>
          <t>BODEN</t>
        </is>
      </c>
      <c r="I761" t="n">
        <v>3.1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s="2" t="inlineStr"/>
    </row>
    <row r="762" ht="15" customHeight="1">
      <c r="A762" t="inlineStr">
        <is>
          <t>A 61588-2024</t>
        </is>
      </c>
      <c r="B762" t="inlineStr">
        <is>
          <t>avverkningsanmälan</t>
        </is>
      </c>
      <c r="C762" t="inlineStr">
        <is>
          <t>Föryngringsavverkning</t>
        </is>
      </c>
      <c r="D762" s="1" t="n">
        <v>45646</v>
      </c>
      <c r="E762" s="1" t="n">
        <v>46323</v>
      </c>
      <c r="F762" t="inlineStr">
        <is>
          <t>NORRBOTTENS LÄN</t>
        </is>
      </c>
      <c r="G762" t="inlineStr">
        <is>
          <t>BODEN</t>
        </is>
      </c>
      <c r="I762" t="n">
        <v>1.1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s="2" t="inlineStr"/>
    </row>
    <row r="763" ht="15" customHeight="1">
      <c r="A763" t="inlineStr">
        <is>
          <t>A 30089-2025</t>
        </is>
      </c>
      <c r="B763" t="inlineStr">
        <is>
          <t>avverkningsanmälan</t>
        </is>
      </c>
      <c r="C763" t="inlineStr">
        <is>
          <t>Föryngringsavverkning</t>
        </is>
      </c>
      <c r="D763" s="1" t="n">
        <v>45826</v>
      </c>
      <c r="E763" s="1" t="n">
        <v>46323</v>
      </c>
      <c r="F763" t="inlineStr">
        <is>
          <t>NORRBOTTENS LÄN</t>
        </is>
      </c>
      <c r="G763" t="inlineStr">
        <is>
          <t>BODEN</t>
        </is>
      </c>
      <c r="H763" t="inlineStr">
        <is>
          <t>SCA</t>
        </is>
      </c>
      <c r="I763" t="n">
        <v>1.2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s="2" t="inlineStr"/>
    </row>
    <row r="764" ht="15" customHeight="1">
      <c r="A764" t="inlineStr">
        <is>
          <t>A 36406-2026</t>
        </is>
      </c>
      <c r="B764" t="inlineStr">
        <is>
          <t>avverkningsanmälan</t>
        </is>
      </c>
      <c r="C764" t="inlineStr">
        <is>
          <t>Föryngringsavverkning</t>
        </is>
      </c>
      <c r="D764" s="1" t="n">
        <v>46268</v>
      </c>
      <c r="E764" s="1" t="n">
        <v>46323</v>
      </c>
      <c r="F764" t="inlineStr">
        <is>
          <t>NORRBOTTENS LÄN</t>
        </is>
      </c>
      <c r="G764" t="inlineStr">
        <is>
          <t>BODEN</t>
        </is>
      </c>
      <c r="I764" t="n">
        <v>6.4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s="2" t="inlineStr"/>
    </row>
    <row r="765" ht="15" customHeight="1">
      <c r="A765" t="inlineStr">
        <is>
          <t>A 28248-2025</t>
        </is>
      </c>
      <c r="B765" t="inlineStr">
        <is>
          <t>avverkningsanmälan</t>
        </is>
      </c>
      <c r="C765" t="inlineStr">
        <is>
          <t>Föryngringsavverkning</t>
        </is>
      </c>
      <c r="D765" s="1" t="n">
        <v>45818</v>
      </c>
      <c r="E765" s="1" t="n">
        <v>46323</v>
      </c>
      <c r="F765" t="inlineStr">
        <is>
          <t>NORRBOTTENS LÄN</t>
        </is>
      </c>
      <c r="G765" t="inlineStr">
        <is>
          <t>BODEN</t>
        </is>
      </c>
      <c r="I765" t="n">
        <v>1.3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s="2" t="inlineStr"/>
    </row>
    <row r="766" ht="15" customHeight="1">
      <c r="A766" t="inlineStr">
        <is>
          <t>A 60776-2025</t>
        </is>
      </c>
      <c r="B766" t="inlineStr">
        <is>
          <t>avverkningsanmälan</t>
        </is>
      </c>
      <c r="C766" t="inlineStr">
        <is>
          <t>Föryngringsavverkning</t>
        </is>
      </c>
      <c r="D766" s="1" t="n">
        <v>45999</v>
      </c>
      <c r="E766" s="1" t="n">
        <v>46323</v>
      </c>
      <c r="F766" t="inlineStr">
        <is>
          <t>NORRBOTTENS LÄN</t>
        </is>
      </c>
      <c r="G766" t="inlineStr">
        <is>
          <t>BODEN</t>
        </is>
      </c>
      <c r="I766" t="n">
        <v>9.6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s="2" t="inlineStr"/>
    </row>
    <row r="767" ht="15" customHeight="1">
      <c r="A767" t="inlineStr">
        <is>
          <t>A 42214-2026</t>
        </is>
      </c>
      <c r="B767" t="inlineStr">
        <is>
          <t>avverkningsanmälan</t>
        </is>
      </c>
      <c r="C767" t="inlineStr">
        <is>
          <t>Föryngringsavverkning</t>
        </is>
      </c>
      <c r="D767" s="1" t="n">
        <v>46306</v>
      </c>
      <c r="E767" s="1" t="n">
        <v>46323</v>
      </c>
      <c r="F767" t="inlineStr">
        <is>
          <t>NORRBOTTENS LÄN</t>
        </is>
      </c>
      <c r="G767" t="inlineStr">
        <is>
          <t>BODEN</t>
        </is>
      </c>
      <c r="H767" t="inlineStr">
        <is>
          <t>SCA</t>
        </is>
      </c>
      <c r="I767" t="n">
        <v>2.1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s="2" t="inlineStr"/>
    </row>
    <row r="768" ht="15" customHeight="1">
      <c r="A768" t="inlineStr">
        <is>
          <t>A 736-2026</t>
        </is>
      </c>
      <c r="B768" t="inlineStr">
        <is>
          <t>avverkningsanmälan</t>
        </is>
      </c>
      <c r="C768" t="inlineStr">
        <is>
          <t>Föryngringsavverkning</t>
        </is>
      </c>
      <c r="D768" s="1" t="n">
        <v>46029</v>
      </c>
      <c r="E768" s="1" t="n">
        <v>46323</v>
      </c>
      <c r="F768" t="inlineStr">
        <is>
          <t>NORRBOTTENS LÄN</t>
        </is>
      </c>
      <c r="G768" t="inlineStr">
        <is>
          <t>BODEN</t>
        </is>
      </c>
      <c r="I768" t="n">
        <v>2.8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s="2" t="inlineStr"/>
    </row>
    <row r="769" ht="15" customHeight="1">
      <c r="A769" t="inlineStr">
        <is>
          <t>A 36430-2026</t>
        </is>
      </c>
      <c r="B769" t="inlineStr">
        <is>
          <t>avverkningsanmälan</t>
        </is>
      </c>
      <c r="C769" t="inlineStr">
        <is>
          <t>Föryngringsavverkning</t>
        </is>
      </c>
      <c r="D769" s="1" t="n">
        <v>46269</v>
      </c>
      <c r="E769" s="1" t="n">
        <v>46323</v>
      </c>
      <c r="F769" t="inlineStr">
        <is>
          <t>NORRBOTTENS LÄN</t>
        </is>
      </c>
      <c r="G769" t="inlineStr">
        <is>
          <t>BODEN</t>
        </is>
      </c>
      <c r="H769" t="inlineStr">
        <is>
          <t>SCA</t>
        </is>
      </c>
      <c r="I769" t="n">
        <v>2.1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s="2" t="inlineStr"/>
    </row>
    <row r="770" ht="15" customHeight="1">
      <c r="A770" t="inlineStr">
        <is>
          <t>A 61214-2024</t>
        </is>
      </c>
      <c r="B770" t="inlineStr">
        <is>
          <t>avverkningsanmälan</t>
        </is>
      </c>
      <c r="C770" t="inlineStr">
        <is>
          <t>Föryngringsavverkning</t>
        </is>
      </c>
      <c r="D770" s="1" t="n">
        <v>45645</v>
      </c>
      <c r="E770" s="1" t="n">
        <v>46323</v>
      </c>
      <c r="F770" t="inlineStr">
        <is>
          <t>NORRBOTTENS LÄN</t>
        </is>
      </c>
      <c r="G770" t="inlineStr">
        <is>
          <t>BODEN</t>
        </is>
      </c>
      <c r="H770" t="inlineStr">
        <is>
          <t>Sveaskog</t>
        </is>
      </c>
      <c r="I770" t="n">
        <v>1.1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s="2" t="inlineStr"/>
    </row>
    <row r="771" ht="15" customHeight="1">
      <c r="A771" t="inlineStr">
        <is>
          <t>A 43109-2026</t>
        </is>
      </c>
      <c r="B771" t="inlineStr">
        <is>
          <t>avverkningsanmälan</t>
        </is>
      </c>
      <c r="C771" t="inlineStr">
        <is>
          <t>Föryngringsavverkning</t>
        </is>
      </c>
      <c r="D771" s="1" t="n">
        <v>46311</v>
      </c>
      <c r="E771" s="1" t="n">
        <v>46323</v>
      </c>
      <c r="F771" t="inlineStr">
        <is>
          <t>NORRBOTTENS LÄN</t>
        </is>
      </c>
      <c r="G771" t="inlineStr">
        <is>
          <t>BODEN</t>
        </is>
      </c>
      <c r="I771" t="n">
        <v>0.8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s="2" t="inlineStr"/>
    </row>
    <row r="772" ht="15" customHeight="1">
      <c r="A772" t="inlineStr">
        <is>
          <t>A 672-2026</t>
        </is>
      </c>
      <c r="B772" t="inlineStr">
        <is>
          <t>avverkningsanmälan</t>
        </is>
      </c>
      <c r="C772" t="inlineStr">
        <is>
          <t>Föryngringsavverkning</t>
        </is>
      </c>
      <c r="D772" s="1" t="n">
        <v>46029</v>
      </c>
      <c r="E772" s="1" t="n">
        <v>46323</v>
      </c>
      <c r="F772" t="inlineStr">
        <is>
          <t>NORRBOTTENS LÄN</t>
        </is>
      </c>
      <c r="G772" t="inlineStr">
        <is>
          <t>BODEN</t>
        </is>
      </c>
      <c r="I772" t="n">
        <v>1.9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s="2" t="inlineStr"/>
    </row>
    <row r="773" ht="15" customHeight="1">
      <c r="A773" t="inlineStr">
        <is>
          <t>A 36623-2026</t>
        </is>
      </c>
      <c r="B773" t="inlineStr">
        <is>
          <t>avverkningsanmälan</t>
        </is>
      </c>
      <c r="C773" t="inlineStr">
        <is>
          <t>Föryngringsavverkning</t>
        </is>
      </c>
      <c r="D773" s="1" t="n">
        <v>46270</v>
      </c>
      <c r="E773" s="1" t="n">
        <v>46323</v>
      </c>
      <c r="F773" t="inlineStr">
        <is>
          <t>NORRBOTTENS LÄN</t>
        </is>
      </c>
      <c r="G773" t="inlineStr">
        <is>
          <t>BODEN</t>
        </is>
      </c>
      <c r="I773" t="n">
        <v>4.8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s="2" t="inlineStr"/>
    </row>
    <row r="774" ht="15" customHeight="1">
      <c r="A774" t="inlineStr">
        <is>
          <t>A 19757-2025</t>
        </is>
      </c>
      <c r="B774" t="inlineStr">
        <is>
          <t>avverkningsanmälan</t>
        </is>
      </c>
      <c r="C774" t="inlineStr">
        <is>
          <t>Föryngringsavverkning</t>
        </is>
      </c>
      <c r="D774" s="1" t="n">
        <v>45770</v>
      </c>
      <c r="E774" s="1" t="n">
        <v>46323</v>
      </c>
      <c r="F774" t="inlineStr">
        <is>
          <t>NORRBOTTENS LÄN</t>
        </is>
      </c>
      <c r="G774" t="inlineStr">
        <is>
          <t>BODEN</t>
        </is>
      </c>
      <c r="I774" t="n">
        <v>0.4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s="2" t="inlineStr"/>
    </row>
    <row r="775" ht="15" customHeight="1">
      <c r="A775" t="inlineStr">
        <is>
          <t>A 16700-2024</t>
        </is>
      </c>
      <c r="B775" t="inlineStr">
        <is>
          <t>avverkningsanmälan</t>
        </is>
      </c>
      <c r="C775" t="inlineStr">
        <is>
          <t>Föryngringsavverkning</t>
        </is>
      </c>
      <c r="D775" s="1" t="n">
        <v>45408</v>
      </c>
      <c r="E775" s="1" t="n">
        <v>46323</v>
      </c>
      <c r="F775" t="inlineStr">
        <is>
          <t>NORRBOTTENS LÄN</t>
        </is>
      </c>
      <c r="G775" t="inlineStr">
        <is>
          <t>BODEN</t>
        </is>
      </c>
      <c r="I775" t="n">
        <v>1.3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s="2" t="inlineStr"/>
    </row>
    <row r="776" ht="15" customHeight="1">
      <c r="A776" t="inlineStr">
        <is>
          <t>A 23706-2024</t>
        </is>
      </c>
      <c r="B776" t="inlineStr">
        <is>
          <t>avverkningsanmälan</t>
        </is>
      </c>
      <c r="C776" t="inlineStr">
        <is>
          <t>Föryngringsavverkning</t>
        </is>
      </c>
      <c r="D776" s="1" t="n">
        <v>45454</v>
      </c>
      <c r="E776" s="1" t="n">
        <v>46323</v>
      </c>
      <c r="F776" t="inlineStr">
        <is>
          <t>NORRBOTTENS LÄN</t>
        </is>
      </c>
      <c r="G776" t="inlineStr">
        <is>
          <t>BODEN</t>
        </is>
      </c>
      <c r="I776" t="n">
        <v>10.9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s="2" t="inlineStr"/>
    </row>
    <row r="777" ht="15" customHeight="1">
      <c r="A777" t="inlineStr">
        <is>
          <t>A 62017-2025</t>
        </is>
      </c>
      <c r="B777" t="inlineStr">
        <is>
          <t>avverkningsanmälan</t>
        </is>
      </c>
      <c r="C777" t="inlineStr">
        <is>
          <t>Föryngringsavverkning</t>
        </is>
      </c>
      <c r="D777" s="1" t="n">
        <v>46003</v>
      </c>
      <c r="E777" s="1" t="n">
        <v>46323</v>
      </c>
      <c r="F777" t="inlineStr">
        <is>
          <t>NORRBOTTENS LÄN</t>
        </is>
      </c>
      <c r="G777" t="inlineStr">
        <is>
          <t>BODEN</t>
        </is>
      </c>
      <c r="I777" t="n">
        <v>2.2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s="2" t="inlineStr"/>
    </row>
    <row r="778" ht="15" customHeight="1">
      <c r="A778" t="inlineStr">
        <is>
          <t>A 19582-2025</t>
        </is>
      </c>
      <c r="B778" t="inlineStr">
        <is>
          <t>avverkningsanmälan</t>
        </is>
      </c>
      <c r="C778" t="inlineStr">
        <is>
          <t>Föryngringsavverkning</t>
        </is>
      </c>
      <c r="D778" s="1" t="n">
        <v>45770</v>
      </c>
      <c r="E778" s="1" t="n">
        <v>46323</v>
      </c>
      <c r="F778" t="inlineStr">
        <is>
          <t>NORRBOTTENS LÄN</t>
        </is>
      </c>
      <c r="G778" t="inlineStr">
        <is>
          <t>BODEN</t>
        </is>
      </c>
      <c r="I778" t="n">
        <v>1.2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s="2" t="inlineStr"/>
    </row>
    <row r="779" ht="15" customHeight="1">
      <c r="A779" t="inlineStr">
        <is>
          <t>A 10254-2026</t>
        </is>
      </c>
      <c r="B779" t="inlineStr">
        <is>
          <t>avverkningsanmälan</t>
        </is>
      </c>
      <c r="C779" t="inlineStr">
        <is>
          <t>Föryngringsavverkning</t>
        </is>
      </c>
      <c r="D779" s="1" t="n">
        <v>46076</v>
      </c>
      <c r="E779" s="1" t="n">
        <v>46323</v>
      </c>
      <c r="F779" t="inlineStr">
        <is>
          <t>NORRBOTTENS LÄN</t>
        </is>
      </c>
      <c r="G779" t="inlineStr">
        <is>
          <t>BODEN</t>
        </is>
      </c>
      <c r="I779" t="n">
        <v>1.8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s="2" t="inlineStr"/>
    </row>
    <row r="780" ht="15" customHeight="1">
      <c r="A780" t="inlineStr">
        <is>
          <t>A 36792-2026</t>
        </is>
      </c>
      <c r="B780" t="inlineStr">
        <is>
          <t>avverkningsanmälan</t>
        </is>
      </c>
      <c r="C780" t="inlineStr">
        <is>
          <t>Föryngringsavverkning</t>
        </is>
      </c>
      <c r="D780" s="1" t="n">
        <v>46272</v>
      </c>
      <c r="E780" s="1" t="n">
        <v>46323</v>
      </c>
      <c r="F780" t="inlineStr">
        <is>
          <t>NORRBOTTENS LÄN</t>
        </is>
      </c>
      <c r="G780" t="inlineStr">
        <is>
          <t>BODEN</t>
        </is>
      </c>
      <c r="H780" t="inlineStr">
        <is>
          <t>Sveaskog</t>
        </is>
      </c>
      <c r="I780" t="n">
        <v>1.4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s="2" t="inlineStr"/>
    </row>
    <row r="781" ht="15" customHeight="1">
      <c r="A781" t="inlineStr">
        <is>
          <t>A 2732-2025</t>
        </is>
      </c>
      <c r="B781" t="inlineStr">
        <is>
          <t>avverkningsanmälan</t>
        </is>
      </c>
      <c r="C781" t="inlineStr">
        <is>
          <t>Föryngringsavverkning</t>
        </is>
      </c>
      <c r="D781" s="1" t="n">
        <v>45677</v>
      </c>
      <c r="E781" s="1" t="n">
        <v>46323</v>
      </c>
      <c r="F781" t="inlineStr">
        <is>
          <t>NORRBOTTENS LÄN</t>
        </is>
      </c>
      <c r="G781" t="inlineStr">
        <is>
          <t>BODEN</t>
        </is>
      </c>
      <c r="H781" t="inlineStr">
        <is>
          <t>SCA</t>
        </is>
      </c>
      <c r="I781" t="n">
        <v>3.1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s="2" t="inlineStr"/>
    </row>
    <row r="782" ht="15" customHeight="1">
      <c r="A782" t="inlineStr">
        <is>
          <t>A 18569-2024</t>
        </is>
      </c>
      <c r="B782" t="inlineStr">
        <is>
          <t>avverkningsanmälan</t>
        </is>
      </c>
      <c r="C782" t="inlineStr">
        <is>
          <t>Föryngringsavverkning</t>
        </is>
      </c>
      <c r="D782" s="1" t="n">
        <v>45425</v>
      </c>
      <c r="E782" s="1" t="n">
        <v>46323</v>
      </c>
      <c r="F782" t="inlineStr">
        <is>
          <t>NORRBOTTENS LÄN</t>
        </is>
      </c>
      <c r="G782" t="inlineStr">
        <is>
          <t>BODEN</t>
        </is>
      </c>
      <c r="I782" t="n">
        <v>6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s="2" t="inlineStr"/>
    </row>
    <row r="783" ht="15" customHeight="1">
      <c r="A783" t="inlineStr">
        <is>
          <t>A 43747-2026</t>
        </is>
      </c>
      <c r="B783" t="inlineStr">
        <is>
          <t>avverkningsanmälan</t>
        </is>
      </c>
      <c r="C783" t="inlineStr">
        <is>
          <t>Föryngringsavverkning</t>
        </is>
      </c>
      <c r="D783" s="1" t="n">
        <v>46316</v>
      </c>
      <c r="E783" s="1" t="n">
        <v>46323</v>
      </c>
      <c r="F783" t="inlineStr">
        <is>
          <t>NORRBOTTENS LÄN</t>
        </is>
      </c>
      <c r="G783" t="inlineStr">
        <is>
          <t>BODEN</t>
        </is>
      </c>
      <c r="H783" t="inlineStr">
        <is>
          <t>Övriga Aktiebolag</t>
        </is>
      </c>
      <c r="I783" t="n">
        <v>10.4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s="2" t="inlineStr"/>
    </row>
    <row r="784" ht="15" customHeight="1">
      <c r="A784" t="inlineStr">
        <is>
          <t>A 19968-2025</t>
        </is>
      </c>
      <c r="B784" t="inlineStr">
        <is>
          <t>avverkningsanmälan</t>
        </is>
      </c>
      <c r="C784" t="inlineStr">
        <is>
          <t>Föryngringsavverkning</t>
        </is>
      </c>
      <c r="D784" s="1" t="n">
        <v>45771</v>
      </c>
      <c r="E784" s="1" t="n">
        <v>46323</v>
      </c>
      <c r="F784" t="inlineStr">
        <is>
          <t>NORRBOTTENS LÄN</t>
        </is>
      </c>
      <c r="G784" t="inlineStr">
        <is>
          <t>BODEN</t>
        </is>
      </c>
      <c r="I784" t="n">
        <v>1.3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s="2" t="inlineStr"/>
    </row>
    <row r="785" ht="15" customHeight="1">
      <c r="A785" t="inlineStr">
        <is>
          <t>A 33034-2023</t>
        </is>
      </c>
      <c r="B785" t="inlineStr">
        <is>
          <t>avverkningsanmälan</t>
        </is>
      </c>
      <c r="C785" t="inlineStr">
        <is>
          <t>Föryngringsavverkning</t>
        </is>
      </c>
      <c r="D785" s="1" t="n">
        <v>45125</v>
      </c>
      <c r="E785" s="1" t="n">
        <v>46323</v>
      </c>
      <c r="F785" t="inlineStr">
        <is>
          <t>NORRBOTTENS LÄN</t>
        </is>
      </c>
      <c r="G785" t="inlineStr">
        <is>
          <t>BODEN</t>
        </is>
      </c>
      <c r="H785" t="inlineStr">
        <is>
          <t>SCA</t>
        </is>
      </c>
      <c r="I785" t="n">
        <v>3.8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s="2" t="inlineStr"/>
    </row>
    <row r="786" ht="15" customHeight="1">
      <c r="A786" t="inlineStr">
        <is>
          <t>A 37029-2026</t>
        </is>
      </c>
      <c r="B786" t="inlineStr">
        <is>
          <t>avverkningsanmälan</t>
        </is>
      </c>
      <c r="C786" t="inlineStr">
        <is>
          <t>Föryngringsavverkning</t>
        </is>
      </c>
      <c r="D786" s="1" t="n">
        <v>46273</v>
      </c>
      <c r="E786" s="1" t="n">
        <v>46323</v>
      </c>
      <c r="F786" t="inlineStr">
        <is>
          <t>NORRBOTTENS LÄN</t>
        </is>
      </c>
      <c r="G786" t="inlineStr">
        <is>
          <t>BODEN</t>
        </is>
      </c>
      <c r="H786" t="inlineStr">
        <is>
          <t>Sveaskog</t>
        </is>
      </c>
      <c r="I786" t="n">
        <v>11.8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s="2" t="inlineStr"/>
    </row>
    <row r="787" ht="15" customHeight="1">
      <c r="A787" t="inlineStr">
        <is>
          <t>A 62140-2024</t>
        </is>
      </c>
      <c r="B787" t="inlineStr">
        <is>
          <t>avverkningsanmälan</t>
        </is>
      </c>
      <c r="C787" t="inlineStr">
        <is>
          <t>Föryngringsavverkning</t>
        </is>
      </c>
      <c r="D787" s="1" t="n">
        <v>45646</v>
      </c>
      <c r="E787" s="1" t="n">
        <v>46323</v>
      </c>
      <c r="F787" t="inlineStr">
        <is>
          <t>NORRBOTTENS LÄN</t>
        </is>
      </c>
      <c r="G787" t="inlineStr">
        <is>
          <t>BODEN</t>
        </is>
      </c>
      <c r="I787" t="n">
        <v>0.4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s="2" t="inlineStr"/>
    </row>
    <row r="788" ht="15" customHeight="1">
      <c r="A788" t="inlineStr">
        <is>
          <t>A 19082-2025</t>
        </is>
      </c>
      <c r="B788" t="inlineStr">
        <is>
          <t>avverkningsanmälan</t>
        </is>
      </c>
      <c r="C788" t="inlineStr">
        <is>
          <t>Föryngringsavverkning</t>
        </is>
      </c>
      <c r="D788" s="1" t="n">
        <v>45766</v>
      </c>
      <c r="E788" s="1" t="n">
        <v>46323</v>
      </c>
      <c r="F788" t="inlineStr">
        <is>
          <t>NORRBOTTENS LÄN</t>
        </is>
      </c>
      <c r="G788" t="inlineStr">
        <is>
          <t>BODEN</t>
        </is>
      </c>
      <c r="H788" t="inlineStr">
        <is>
          <t>SCA</t>
        </is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s="2" t="inlineStr"/>
    </row>
    <row r="789" ht="15" customHeight="1">
      <c r="A789" t="inlineStr">
        <is>
          <t>A 43485-2026</t>
        </is>
      </c>
      <c r="B789" t="inlineStr">
        <is>
          <t>avverkningsanmälan</t>
        </is>
      </c>
      <c r="C789" t="inlineStr">
        <is>
          <t>Föryngringsavverkning</t>
        </is>
      </c>
      <c r="D789" s="1" t="n">
        <v>46315</v>
      </c>
      <c r="E789" s="1" t="n">
        <v>46323</v>
      </c>
      <c r="F789" t="inlineStr">
        <is>
          <t>NORRBOTTENS LÄN</t>
        </is>
      </c>
      <c r="G789" t="inlineStr">
        <is>
          <t>BODEN</t>
        </is>
      </c>
      <c r="I789" t="n">
        <v>3.7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s="2" t="inlineStr"/>
    </row>
    <row r="790" ht="15" customHeight="1">
      <c r="A790" t="inlineStr">
        <is>
          <t>A 58504-2024</t>
        </is>
      </c>
      <c r="B790" t="inlineStr">
        <is>
          <t>avverkningsanmälan</t>
        </is>
      </c>
      <c r="C790" t="inlineStr">
        <is>
          <t>Föryngringsavverkning</t>
        </is>
      </c>
      <c r="D790" s="1" t="n">
        <v>45635</v>
      </c>
      <c r="E790" s="1" t="n">
        <v>46323</v>
      </c>
      <c r="F790" t="inlineStr">
        <is>
          <t>NORRBOTTENS LÄN</t>
        </is>
      </c>
      <c r="G790" t="inlineStr">
        <is>
          <t>BODEN</t>
        </is>
      </c>
      <c r="I790" t="n">
        <v>2.8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s="2" t="inlineStr"/>
    </row>
    <row r="791" ht="15" customHeight="1">
      <c r="A791" t="inlineStr">
        <is>
          <t>A 43465-2026</t>
        </is>
      </c>
      <c r="B791" t="inlineStr">
        <is>
          <t>avverkningsanmälan</t>
        </is>
      </c>
      <c r="C791" t="inlineStr">
        <is>
          <t>Föryngringsavverkning</t>
        </is>
      </c>
      <c r="D791" s="1" t="n">
        <v>46315</v>
      </c>
      <c r="E791" s="1" t="n">
        <v>46323</v>
      </c>
      <c r="F791" t="inlineStr">
        <is>
          <t>NORRBOTTENS LÄN</t>
        </is>
      </c>
      <c r="G791" t="inlineStr">
        <is>
          <t>BODEN</t>
        </is>
      </c>
      <c r="H791" t="inlineStr">
        <is>
          <t>SCA</t>
        </is>
      </c>
      <c r="I791" t="n">
        <v>3.6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s="2" t="inlineStr"/>
    </row>
    <row r="792" ht="15" customHeight="1">
      <c r="A792" t="inlineStr">
        <is>
          <t>A 11634-2026</t>
        </is>
      </c>
      <c r="B792" t="inlineStr">
        <is>
          <t>avverkningsanmälan</t>
        </is>
      </c>
      <c r="C792" t="inlineStr">
        <is>
          <t>Föryngringsavverkning</t>
        </is>
      </c>
      <c r="D792" s="1" t="n">
        <v>46084</v>
      </c>
      <c r="E792" s="1" t="n">
        <v>46323</v>
      </c>
      <c r="F792" t="inlineStr">
        <is>
          <t>NORRBOTTENS LÄN</t>
        </is>
      </c>
      <c r="G792" t="inlineStr">
        <is>
          <t>BODEN</t>
        </is>
      </c>
      <c r="I792" t="n">
        <v>0.6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s="2" t="inlineStr"/>
    </row>
    <row r="793" ht="15" customHeight="1">
      <c r="A793" t="inlineStr">
        <is>
          <t>A 28357-2023</t>
        </is>
      </c>
      <c r="B793" t="inlineStr">
        <is>
          <t>avverkningsanmälan</t>
        </is>
      </c>
      <c r="C793" t="inlineStr">
        <is>
          <t>Föryngringsavverkning</t>
        </is>
      </c>
      <c r="D793" s="1" t="n">
        <v>45099</v>
      </c>
      <c r="E793" s="1" t="n">
        <v>46323</v>
      </c>
      <c r="F793" t="inlineStr">
        <is>
          <t>NORRBOTTENS LÄN</t>
        </is>
      </c>
      <c r="G793" t="inlineStr">
        <is>
          <t>BODEN</t>
        </is>
      </c>
      <c r="I793" t="n">
        <v>4.5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s="2" t="inlineStr"/>
    </row>
    <row r="794" ht="15" customHeight="1">
      <c r="A794" t="inlineStr">
        <is>
          <t>A 15017-2022</t>
        </is>
      </c>
      <c r="B794" t="inlineStr">
        <is>
          <t>avverkningsanmälan</t>
        </is>
      </c>
      <c r="C794" t="inlineStr">
        <is>
          <t>Föryngringsavverkning</t>
        </is>
      </c>
      <c r="D794" s="1" t="n">
        <v>44657</v>
      </c>
      <c r="E794" s="1" t="n">
        <v>46323</v>
      </c>
      <c r="F794" t="inlineStr">
        <is>
          <t>NORRBOTTENS LÄN</t>
        </is>
      </c>
      <c r="G794" t="inlineStr">
        <is>
          <t>BODEN</t>
        </is>
      </c>
      <c r="I794" t="n">
        <v>3.7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s="2" t="inlineStr"/>
    </row>
    <row r="795" ht="15" customHeight="1">
      <c r="A795" t="inlineStr">
        <is>
          <t>A 625-2026</t>
        </is>
      </c>
      <c r="B795" t="inlineStr">
        <is>
          <t>avverkningsanmälan</t>
        </is>
      </c>
      <c r="C795" t="inlineStr">
        <is>
          <t>Föryngringsavverkning</t>
        </is>
      </c>
      <c r="D795" s="1" t="n">
        <v>46029</v>
      </c>
      <c r="E795" s="1" t="n">
        <v>46323</v>
      </c>
      <c r="F795" t="inlineStr">
        <is>
          <t>NORRBOTTENS LÄN</t>
        </is>
      </c>
      <c r="G795" t="inlineStr">
        <is>
          <t>BODEN</t>
        </is>
      </c>
      <c r="I795" t="n">
        <v>4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s="2" t="inlineStr"/>
    </row>
    <row r="796" ht="15" customHeight="1">
      <c r="A796" t="inlineStr">
        <is>
          <t>A 37475-2026</t>
        </is>
      </c>
      <c r="B796" t="inlineStr">
        <is>
          <t>avverkningsanmälan</t>
        </is>
      </c>
      <c r="C796" t="inlineStr">
        <is>
          <t>Föryngringsavverkning</t>
        </is>
      </c>
      <c r="D796" s="1" t="n">
        <v>46275</v>
      </c>
      <c r="E796" s="1" t="n">
        <v>46323</v>
      </c>
      <c r="F796" t="inlineStr">
        <is>
          <t>NORRBOTTENS LÄN</t>
        </is>
      </c>
      <c r="G796" t="inlineStr">
        <is>
          <t>BODEN</t>
        </is>
      </c>
      <c r="I796" t="n">
        <v>23.1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s="2" t="inlineStr"/>
    </row>
    <row r="797" ht="15" customHeight="1">
      <c r="A797" t="inlineStr">
        <is>
          <t>A 37478-2026</t>
        </is>
      </c>
      <c r="B797" t="inlineStr">
        <is>
          <t>avverkningsanmälan</t>
        </is>
      </c>
      <c r="C797" t="inlineStr">
        <is>
          <t>Föryngringsavverkning</t>
        </is>
      </c>
      <c r="D797" s="1" t="n">
        <v>46275</v>
      </c>
      <c r="E797" s="1" t="n">
        <v>46323</v>
      </c>
      <c r="F797" t="inlineStr">
        <is>
          <t>NORRBOTTENS LÄN</t>
        </is>
      </c>
      <c r="G797" t="inlineStr">
        <is>
          <t>BODEN</t>
        </is>
      </c>
      <c r="H797" t="inlineStr">
        <is>
          <t>SCA</t>
        </is>
      </c>
      <c r="I797" t="n">
        <v>5.3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s="2" t="inlineStr"/>
    </row>
    <row r="798" ht="15" customHeight="1">
      <c r="A798" t="inlineStr">
        <is>
          <t>A 40115-2025</t>
        </is>
      </c>
      <c r="B798" t="inlineStr">
        <is>
          <t>avverkningsanmälan</t>
        </is>
      </c>
      <c r="C798" t="inlineStr">
        <is>
          <t>Föryngringsavverkning</t>
        </is>
      </c>
      <c r="D798" s="1" t="n">
        <v>45893</v>
      </c>
      <c r="E798" s="1" t="n">
        <v>46323</v>
      </c>
      <c r="F798" t="inlineStr">
        <is>
          <t>NORRBOTTENS LÄN</t>
        </is>
      </c>
      <c r="G798" t="inlineStr">
        <is>
          <t>BODEN</t>
        </is>
      </c>
      <c r="H798" t="inlineStr">
        <is>
          <t>Övriga statliga verk och myndigheter</t>
        </is>
      </c>
      <c r="I798" t="n">
        <v>5.1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s="2" t="inlineStr"/>
    </row>
    <row r="799" ht="15" customHeight="1">
      <c r="A799" t="inlineStr">
        <is>
          <t>A 31487-2025</t>
        </is>
      </c>
      <c r="B799" t="inlineStr">
        <is>
          <t>avverkningsanmälan</t>
        </is>
      </c>
      <c r="C799" t="inlineStr">
        <is>
          <t>Föryngringsavverkning</t>
        </is>
      </c>
      <c r="D799" s="1" t="n">
        <v>45833</v>
      </c>
      <c r="E799" s="1" t="n">
        <v>46323</v>
      </c>
      <c r="F799" t="inlineStr">
        <is>
          <t>NORRBOTTENS LÄN</t>
        </is>
      </c>
      <c r="G799" t="inlineStr">
        <is>
          <t>BODEN</t>
        </is>
      </c>
      <c r="H799" t="inlineStr">
        <is>
          <t>Övriga Aktiebolag</t>
        </is>
      </c>
      <c r="I799" t="n">
        <v>9.800000000000001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s="2" t="inlineStr"/>
    </row>
    <row r="800" ht="15" customHeight="1">
      <c r="A800" t="inlineStr">
        <is>
          <t>A 61487-2023</t>
        </is>
      </c>
      <c r="B800" t="inlineStr">
        <is>
          <t>avverkningsanmälan</t>
        </is>
      </c>
      <c r="C800" t="inlineStr">
        <is>
          <t>Föryngringsavverkning</t>
        </is>
      </c>
      <c r="D800" s="1" t="n">
        <v>45264</v>
      </c>
      <c r="E800" s="1" t="n">
        <v>46323</v>
      </c>
      <c r="F800" t="inlineStr">
        <is>
          <t>NORRBOTTENS LÄN</t>
        </is>
      </c>
      <c r="G800" t="inlineStr">
        <is>
          <t>BODEN</t>
        </is>
      </c>
      <c r="H800" t="inlineStr">
        <is>
          <t>SCA</t>
        </is>
      </c>
      <c r="I800" t="n">
        <v>3.2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s="2" t="inlineStr"/>
    </row>
    <row r="801" ht="15" customHeight="1">
      <c r="A801" t="inlineStr">
        <is>
          <t>A 37103-2026</t>
        </is>
      </c>
      <c r="B801" t="inlineStr">
        <is>
          <t>avverkningsanmälan</t>
        </is>
      </c>
      <c r="C801" t="inlineStr">
        <is>
          <t>Föryngringsavverkning</t>
        </is>
      </c>
      <c r="D801" s="1" t="n">
        <v>46274</v>
      </c>
      <c r="E801" s="1" t="n">
        <v>46323</v>
      </c>
      <c r="F801" t="inlineStr">
        <is>
          <t>NORRBOTTENS LÄN</t>
        </is>
      </c>
      <c r="G801" t="inlineStr">
        <is>
          <t>BODEN</t>
        </is>
      </c>
      <c r="I801" t="n">
        <v>6.4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s="2" t="inlineStr"/>
    </row>
    <row r="802" ht="15" customHeight="1">
      <c r="A802" t="inlineStr">
        <is>
          <t>A 43989-2026</t>
        </is>
      </c>
      <c r="B802" t="inlineStr">
        <is>
          <t>avverkningsanmälan</t>
        </is>
      </c>
      <c r="C802" t="inlineStr">
        <is>
          <t>Föryngringsavverkning</t>
        </is>
      </c>
      <c r="D802" s="1" t="n">
        <v>46317</v>
      </c>
      <c r="E802" s="1" t="n">
        <v>46323</v>
      </c>
      <c r="F802" t="inlineStr">
        <is>
          <t>NORRBOTTENS LÄN</t>
        </is>
      </c>
      <c r="G802" t="inlineStr">
        <is>
          <t>BODEN</t>
        </is>
      </c>
      <c r="I802" t="n">
        <v>1.6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s="2" t="inlineStr"/>
    </row>
    <row r="803" ht="15" customHeight="1">
      <c r="A803" t="inlineStr">
        <is>
          <t>A 33511-2025</t>
        </is>
      </c>
      <c r="B803" t="inlineStr">
        <is>
          <t>avverkningsanmälan</t>
        </is>
      </c>
      <c r="C803" t="inlineStr">
        <is>
          <t>Föryngringsavverkning</t>
        </is>
      </c>
      <c r="D803" s="1" t="n">
        <v>45841</v>
      </c>
      <c r="E803" s="1" t="n">
        <v>46323</v>
      </c>
      <c r="F803" t="inlineStr">
        <is>
          <t>NORRBOTTENS LÄN</t>
        </is>
      </c>
      <c r="G803" t="inlineStr">
        <is>
          <t>BODEN</t>
        </is>
      </c>
      <c r="I803" t="n">
        <v>3.5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s="2" t="inlineStr"/>
    </row>
    <row r="804" ht="15" customHeight="1">
      <c r="A804" t="inlineStr">
        <is>
          <t>A 43978-2026</t>
        </is>
      </c>
      <c r="B804" t="inlineStr">
        <is>
          <t>avverkningsanmälan</t>
        </is>
      </c>
      <c r="C804" t="inlineStr">
        <is>
          <t>Föryngringsavverkning</t>
        </is>
      </c>
      <c r="D804" s="1" t="n">
        <v>46317</v>
      </c>
      <c r="E804" s="1" t="n">
        <v>46323</v>
      </c>
      <c r="F804" t="inlineStr">
        <is>
          <t>NORRBOTTENS LÄN</t>
        </is>
      </c>
      <c r="G804" t="inlineStr">
        <is>
          <t>BODEN</t>
        </is>
      </c>
      <c r="H804" t="inlineStr">
        <is>
          <t>Sveaskog</t>
        </is>
      </c>
      <c r="I804" t="n">
        <v>1.6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s="2" t="inlineStr"/>
    </row>
    <row r="805" ht="15" customHeight="1">
      <c r="A805" t="inlineStr">
        <is>
          <t>A 31531-2025</t>
        </is>
      </c>
      <c r="B805" t="inlineStr">
        <is>
          <t>avverkningsanmälan</t>
        </is>
      </c>
      <c r="C805" t="inlineStr">
        <is>
          <t>Föryngringsavverkning</t>
        </is>
      </c>
      <c r="D805" s="1" t="n">
        <v>45833</v>
      </c>
      <c r="E805" s="1" t="n">
        <v>46323</v>
      </c>
      <c r="F805" t="inlineStr">
        <is>
          <t>NORRBOTTENS LÄN</t>
        </is>
      </c>
      <c r="G805" t="inlineStr">
        <is>
          <t>BODEN</t>
        </is>
      </c>
      <c r="H805" t="inlineStr">
        <is>
          <t>Övriga Aktiebolag</t>
        </is>
      </c>
      <c r="I805" t="n">
        <v>0.6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s="2" t="inlineStr"/>
    </row>
    <row r="806" ht="15" customHeight="1">
      <c r="A806" t="inlineStr">
        <is>
          <t>A 37472-2026</t>
        </is>
      </c>
      <c r="B806" t="inlineStr">
        <is>
          <t>avverkningsanmälan</t>
        </is>
      </c>
      <c r="C806" t="inlineStr">
        <is>
          <t>Föryngringsavverkning</t>
        </is>
      </c>
      <c r="D806" s="1" t="n">
        <v>46275</v>
      </c>
      <c r="E806" s="1" t="n">
        <v>46323</v>
      </c>
      <c r="F806" t="inlineStr">
        <is>
          <t>NORRBOTTENS LÄN</t>
        </is>
      </c>
      <c r="G806" t="inlineStr">
        <is>
          <t>BODEN</t>
        </is>
      </c>
      <c r="I806" t="n">
        <v>6.5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s="2" t="inlineStr"/>
    </row>
    <row r="807" ht="15" customHeight="1">
      <c r="A807" t="inlineStr">
        <is>
          <t>A 37436-2026</t>
        </is>
      </c>
      <c r="B807" t="inlineStr">
        <is>
          <t>avverkningsanmälan</t>
        </is>
      </c>
      <c r="C807" t="inlineStr">
        <is>
          <t>Föryngringsavverkning</t>
        </is>
      </c>
      <c r="D807" s="1" t="n">
        <v>46275</v>
      </c>
      <c r="E807" s="1" t="n">
        <v>46323</v>
      </c>
      <c r="F807" t="inlineStr">
        <is>
          <t>NORRBOTTENS LÄN</t>
        </is>
      </c>
      <c r="G807" t="inlineStr">
        <is>
          <t>BODEN</t>
        </is>
      </c>
      <c r="I807" t="n">
        <v>3.3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s="2" t="inlineStr"/>
    </row>
    <row r="808" ht="15" customHeight="1">
      <c r="A808" t="inlineStr">
        <is>
          <t>A 21478-2026</t>
        </is>
      </c>
      <c r="B808" t="inlineStr">
        <is>
          <t>avverkningsanmälan</t>
        </is>
      </c>
      <c r="C808" t="inlineStr">
        <is>
          <t>Föryngringsavverkning</t>
        </is>
      </c>
      <c r="D808" s="1" t="n">
        <v>46148</v>
      </c>
      <c r="E808" s="1" t="n">
        <v>46323</v>
      </c>
      <c r="F808" t="inlineStr">
        <is>
          <t>NORRBOTTENS LÄN</t>
        </is>
      </c>
      <c r="G808" t="inlineStr">
        <is>
          <t>BODEN</t>
        </is>
      </c>
      <c r="H808" t="inlineStr">
        <is>
          <t>Sveaskog</t>
        </is>
      </c>
      <c r="I808" t="n">
        <v>4.7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s="2" t="inlineStr"/>
    </row>
    <row r="809" ht="15" customHeight="1">
      <c r="A809" t="inlineStr">
        <is>
          <t>A 25926-2025</t>
        </is>
      </c>
      <c r="B809" t="inlineStr">
        <is>
          <t>avverkningsanmälan</t>
        </is>
      </c>
      <c r="C809" t="inlineStr">
        <is>
          <t>Föryngringsavverkning</t>
        </is>
      </c>
      <c r="D809" s="1" t="n">
        <v>45803</v>
      </c>
      <c r="E809" s="1" t="n">
        <v>46323</v>
      </c>
      <c r="F809" t="inlineStr">
        <is>
          <t>NORRBOTTENS LÄN</t>
        </is>
      </c>
      <c r="G809" t="inlineStr">
        <is>
          <t>BODEN</t>
        </is>
      </c>
      <c r="I809" t="n">
        <v>2.9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s="2" t="inlineStr"/>
    </row>
    <row r="810" ht="15" customHeight="1">
      <c r="A810" t="inlineStr">
        <is>
          <t>A 37119-2026</t>
        </is>
      </c>
      <c r="B810" t="inlineStr">
        <is>
          <t>avverkningsanmälan</t>
        </is>
      </c>
      <c r="C810" t="inlineStr">
        <is>
          <t>Föryngringsavverkning</t>
        </is>
      </c>
      <c r="D810" s="1" t="n">
        <v>46274</v>
      </c>
      <c r="E810" s="1" t="n">
        <v>46323</v>
      </c>
      <c r="F810" t="inlineStr">
        <is>
          <t>NORRBOTTENS LÄN</t>
        </is>
      </c>
      <c r="G810" t="inlineStr">
        <is>
          <t>BODEN</t>
        </is>
      </c>
      <c r="I810" t="n">
        <v>12.3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s="2" t="inlineStr"/>
    </row>
    <row r="811" ht="15" customHeight="1">
      <c r="A811" t="inlineStr">
        <is>
          <t>A 32052-2025</t>
        </is>
      </c>
      <c r="B811" t="inlineStr">
        <is>
          <t>avverkningsanmälan</t>
        </is>
      </c>
      <c r="C811" t="inlineStr">
        <is>
          <t>Föryngringsavverkning</t>
        </is>
      </c>
      <c r="D811" s="1" t="n">
        <v>45835</v>
      </c>
      <c r="E811" s="1" t="n">
        <v>46323</v>
      </c>
      <c r="F811" t="inlineStr">
        <is>
          <t>NORRBOTTENS LÄN</t>
        </is>
      </c>
      <c r="G811" t="inlineStr">
        <is>
          <t>BODEN</t>
        </is>
      </c>
      <c r="H811" t="inlineStr">
        <is>
          <t>Sveaskog</t>
        </is>
      </c>
      <c r="I811" t="n">
        <v>7.3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s="2" t="inlineStr"/>
    </row>
    <row r="812" ht="15" customHeight="1">
      <c r="A812" t="inlineStr">
        <is>
          <t>A 21279-2026</t>
        </is>
      </c>
      <c r="B812" t="inlineStr">
        <is>
          <t>avverkningsanmälan</t>
        </is>
      </c>
      <c r="C812" t="inlineStr">
        <is>
          <t>Föryngringsavverkning</t>
        </is>
      </c>
      <c r="D812" s="1" t="n">
        <v>46147</v>
      </c>
      <c r="E812" s="1" t="n">
        <v>46323</v>
      </c>
      <c r="F812" t="inlineStr">
        <is>
          <t>NORRBOTTENS LÄN</t>
        </is>
      </c>
      <c r="G812" t="inlineStr">
        <is>
          <t>BODEN</t>
        </is>
      </c>
      <c r="I812" t="n">
        <v>1.8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s="2" t="inlineStr"/>
    </row>
    <row r="813" ht="15" customHeight="1">
      <c r="A813" t="inlineStr">
        <is>
          <t>A 21784-2026</t>
        </is>
      </c>
      <c r="B813" t="inlineStr">
        <is>
          <t>avverkningsanmälan</t>
        </is>
      </c>
      <c r="C813" t="inlineStr">
        <is>
          <t>Föryngringsavverkning</t>
        </is>
      </c>
      <c r="D813" s="1" t="n">
        <v>46150</v>
      </c>
      <c r="E813" s="1" t="n">
        <v>46323</v>
      </c>
      <c r="F813" t="inlineStr">
        <is>
          <t>NORRBOTTENS LÄN</t>
        </is>
      </c>
      <c r="G813" t="inlineStr">
        <is>
          <t>BODEN</t>
        </is>
      </c>
      <c r="I813" t="n">
        <v>1.6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s="2" t="inlineStr"/>
    </row>
    <row r="814" ht="15" customHeight="1">
      <c r="A814" t="inlineStr">
        <is>
          <t>A 22264-2026</t>
        </is>
      </c>
      <c r="B814" t="inlineStr">
        <is>
          <t>avverkningsanmälan</t>
        </is>
      </c>
      <c r="C814" t="inlineStr">
        <is>
          <t>Föryngringsavverkning</t>
        </is>
      </c>
      <c r="D814" s="1" t="n">
        <v>46150</v>
      </c>
      <c r="E814" s="1" t="n">
        <v>46323</v>
      </c>
      <c r="F814" t="inlineStr">
        <is>
          <t>NORRBOTTENS LÄN</t>
        </is>
      </c>
      <c r="G814" t="inlineStr">
        <is>
          <t>BODEN</t>
        </is>
      </c>
      <c r="I814" t="n">
        <v>1.1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s="2" t="inlineStr"/>
    </row>
    <row r="815" ht="15" customHeight="1">
      <c r="A815" t="inlineStr">
        <is>
          <t>A 22259-2026</t>
        </is>
      </c>
      <c r="B815" t="inlineStr">
        <is>
          <t>avverkningsanmälan</t>
        </is>
      </c>
      <c r="C815" t="inlineStr">
        <is>
          <t>Föryngringsavverkning</t>
        </is>
      </c>
      <c r="D815" s="1" t="n">
        <v>46150</v>
      </c>
      <c r="E815" s="1" t="n">
        <v>46323</v>
      </c>
      <c r="F815" t="inlineStr">
        <is>
          <t>NORRBOTTENS LÄN</t>
        </is>
      </c>
      <c r="G815" t="inlineStr">
        <is>
          <t>BODEN</t>
        </is>
      </c>
      <c r="I815" t="n">
        <v>3.8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s="2" t="inlineStr"/>
    </row>
    <row r="816" ht="15" customHeight="1">
      <c r="A816" t="inlineStr">
        <is>
          <t>A 21688-2026</t>
        </is>
      </c>
      <c r="B816" t="inlineStr">
        <is>
          <t>avverkningsanmälan</t>
        </is>
      </c>
      <c r="C816" t="inlineStr">
        <is>
          <t>Föryngringsavverkning</t>
        </is>
      </c>
      <c r="D816" s="1" t="n">
        <v>46149</v>
      </c>
      <c r="E816" s="1" t="n">
        <v>46323</v>
      </c>
      <c r="F816" t="inlineStr">
        <is>
          <t>NORRBOTTENS LÄN</t>
        </is>
      </c>
      <c r="G816" t="inlineStr">
        <is>
          <t>BODEN</t>
        </is>
      </c>
      <c r="I816" t="n">
        <v>11.6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s="2" t="inlineStr"/>
    </row>
    <row r="817" ht="15" customHeight="1">
      <c r="A817" t="inlineStr">
        <is>
          <t>A 43876-2026</t>
        </is>
      </c>
      <c r="B817" t="inlineStr">
        <is>
          <t>avverkningsanmälan</t>
        </is>
      </c>
      <c r="C817" t="inlineStr">
        <is>
          <t>Föryngringsavverkning</t>
        </is>
      </c>
      <c r="D817" s="1" t="n">
        <v>46317</v>
      </c>
      <c r="E817" s="1" t="n">
        <v>46323</v>
      </c>
      <c r="F817" t="inlineStr">
        <is>
          <t>NORRBOTTENS LÄN</t>
        </is>
      </c>
      <c r="G817" t="inlineStr">
        <is>
          <t>BODEN</t>
        </is>
      </c>
      <c r="H817" t="inlineStr">
        <is>
          <t>Sveaskog</t>
        </is>
      </c>
      <c r="I817" t="n">
        <v>5.3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s="2" t="inlineStr"/>
    </row>
    <row r="818" ht="15" customHeight="1">
      <c r="A818" t="inlineStr">
        <is>
          <t>A 37162-2026</t>
        </is>
      </c>
      <c r="B818" t="inlineStr">
        <is>
          <t>avverkningsanmälan</t>
        </is>
      </c>
      <c r="C818" t="inlineStr">
        <is>
          <t>Föryngringsavverkning</t>
        </is>
      </c>
      <c r="D818" s="1" t="n">
        <v>46274</v>
      </c>
      <c r="E818" s="1" t="n">
        <v>46323</v>
      </c>
      <c r="F818" t="inlineStr">
        <is>
          <t>NORRBOTTENS LÄN</t>
        </is>
      </c>
      <c r="G818" t="inlineStr">
        <is>
          <t>BODEN</t>
        </is>
      </c>
      <c r="H818" t="inlineStr">
        <is>
          <t>Sveaskog</t>
        </is>
      </c>
      <c r="I818" t="n">
        <v>3.5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s="2" t="inlineStr"/>
    </row>
    <row r="819" ht="15" customHeight="1">
      <c r="A819" t="inlineStr">
        <is>
          <t>A 21703-2026</t>
        </is>
      </c>
      <c r="B819" t="inlineStr">
        <is>
          <t>avverkningsanmälan</t>
        </is>
      </c>
      <c r="C819" t="inlineStr">
        <is>
          <t>Föryngringsavverkning</t>
        </is>
      </c>
      <c r="D819" s="1" t="n">
        <v>46149</v>
      </c>
      <c r="E819" s="1" t="n">
        <v>46323</v>
      </c>
      <c r="F819" t="inlineStr">
        <is>
          <t>NORRBOTTENS LÄN</t>
        </is>
      </c>
      <c r="G819" t="inlineStr">
        <is>
          <t>BODEN</t>
        </is>
      </c>
      <c r="I819" t="n">
        <v>0.7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s="2" t="inlineStr"/>
    </row>
    <row r="820" ht="15" customHeight="1">
      <c r="A820" t="inlineStr">
        <is>
          <t>A 37101-2026</t>
        </is>
      </c>
      <c r="B820" t="inlineStr">
        <is>
          <t>avverkningsanmälan</t>
        </is>
      </c>
      <c r="C820" t="inlineStr">
        <is>
          <t>Föryngringsavverkning</t>
        </is>
      </c>
      <c r="D820" s="1" t="n">
        <v>46274</v>
      </c>
      <c r="E820" s="1" t="n">
        <v>46323</v>
      </c>
      <c r="F820" t="inlineStr">
        <is>
          <t>NORRBOTTENS LÄN</t>
        </is>
      </c>
      <c r="G820" t="inlineStr">
        <is>
          <t>BODEN</t>
        </is>
      </c>
      <c r="I820" t="n">
        <v>9.800000000000001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s="2" t="inlineStr"/>
    </row>
    <row r="821" ht="15" customHeight="1">
      <c r="A821" t="inlineStr">
        <is>
          <t>A 37459-2026</t>
        </is>
      </c>
      <c r="B821" t="inlineStr">
        <is>
          <t>avverkningsanmälan</t>
        </is>
      </c>
      <c r="C821" t="inlineStr">
        <is>
          <t>Föryngringsavverkning</t>
        </is>
      </c>
      <c r="D821" s="1" t="n">
        <v>46275</v>
      </c>
      <c r="E821" s="1" t="n">
        <v>46323</v>
      </c>
      <c r="F821" t="inlineStr">
        <is>
          <t>NORRBOTTENS LÄN</t>
        </is>
      </c>
      <c r="G821" t="inlineStr">
        <is>
          <t>BODEN</t>
        </is>
      </c>
      <c r="I821" t="n">
        <v>3.5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s="2" t="inlineStr"/>
    </row>
    <row r="822" ht="15" customHeight="1">
      <c r="A822" t="inlineStr">
        <is>
          <t>A 44511-2026</t>
        </is>
      </c>
      <c r="B822" t="inlineStr">
        <is>
          <t>avverkningsanmälan</t>
        </is>
      </c>
      <c r="C822" t="inlineStr">
        <is>
          <t>Avverkning för att bevara och utveckla /försöksver</t>
        </is>
      </c>
      <c r="D822" s="1" t="n">
        <v>46321</v>
      </c>
      <c r="E822" s="1" t="n">
        <v>46323</v>
      </c>
      <c r="F822" t="inlineStr">
        <is>
          <t>NORRBOTTENS LÄN</t>
        </is>
      </c>
      <c r="G822" t="inlineStr">
        <is>
          <t>BODEN</t>
        </is>
      </c>
      <c r="H822" t="inlineStr">
        <is>
          <t>Sveaskog</t>
        </is>
      </c>
      <c r="I822" t="n">
        <v>2.1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s="2" t="inlineStr"/>
    </row>
    <row r="823" ht="15" customHeight="1">
      <c r="A823" t="inlineStr">
        <is>
          <t>A 22239-2026</t>
        </is>
      </c>
      <c r="B823" t="inlineStr">
        <is>
          <t>avverkningsanmälan</t>
        </is>
      </c>
      <c r="C823" t="inlineStr">
        <is>
          <t>Föryngringsavverkning</t>
        </is>
      </c>
      <c r="D823" s="1" t="n">
        <v>46154</v>
      </c>
      <c r="E823" s="1" t="n">
        <v>46323</v>
      </c>
      <c r="F823" t="inlineStr">
        <is>
          <t>NORRBOTTENS LÄN</t>
        </is>
      </c>
      <c r="G823" t="inlineStr">
        <is>
          <t>BODEN</t>
        </is>
      </c>
      <c r="H823" t="inlineStr">
        <is>
          <t>Sveaskog</t>
        </is>
      </c>
      <c r="I823" t="n">
        <v>1.1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s="2" t="inlineStr"/>
    </row>
    <row r="824" ht="15" customHeight="1">
      <c r="A824" t="inlineStr">
        <is>
          <t>A 33276-2025</t>
        </is>
      </c>
      <c r="B824" t="inlineStr">
        <is>
          <t>avverkningsanmälan</t>
        </is>
      </c>
      <c r="C824" t="inlineStr">
        <is>
          <t>Föryngringsavverkning</t>
        </is>
      </c>
      <c r="D824" s="1" t="n">
        <v>45840</v>
      </c>
      <c r="E824" s="1" t="n">
        <v>46323</v>
      </c>
      <c r="F824" t="inlineStr">
        <is>
          <t>NORRBOTTENS LÄN</t>
        </is>
      </c>
      <c r="G824" t="inlineStr">
        <is>
          <t>BODEN</t>
        </is>
      </c>
      <c r="H824" t="inlineStr">
        <is>
          <t>Sveaskog</t>
        </is>
      </c>
      <c r="I824" t="n">
        <v>1.4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s="2" t="inlineStr"/>
    </row>
    <row r="825" ht="15" customHeight="1">
      <c r="A825" t="inlineStr">
        <is>
          <t>A 44640-2026</t>
        </is>
      </c>
      <c r="B825" t="inlineStr">
        <is>
          <t>avverkningsanmälan</t>
        </is>
      </c>
      <c r="C825" t="inlineStr">
        <is>
          <t>Föryngringsavverkning</t>
        </is>
      </c>
      <c r="D825" s="1" t="n">
        <v>46322</v>
      </c>
      <c r="E825" s="1" t="n">
        <v>46323</v>
      </c>
      <c r="F825" t="inlineStr">
        <is>
          <t>NORRBOTTENS LÄN</t>
        </is>
      </c>
      <c r="G825" t="inlineStr">
        <is>
          <t>BODEN</t>
        </is>
      </c>
      <c r="I825" t="n">
        <v>3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s="2" t="inlineStr"/>
    </row>
    <row r="826" ht="15" customHeight="1">
      <c r="A826" t="inlineStr">
        <is>
          <t>A 15486-2025</t>
        </is>
      </c>
      <c r="B826" t="inlineStr">
        <is>
          <t>avverkningsanmälan</t>
        </is>
      </c>
      <c r="C826" t="inlineStr">
        <is>
          <t>Föryngringsavverkning</t>
        </is>
      </c>
      <c r="D826" s="1" t="n">
        <v>45747</v>
      </c>
      <c r="E826" s="1" t="n">
        <v>46323</v>
      </c>
      <c r="F826" t="inlineStr">
        <is>
          <t>NORRBOTTENS LÄN</t>
        </is>
      </c>
      <c r="G826" t="inlineStr">
        <is>
          <t>BODEN</t>
        </is>
      </c>
      <c r="I826" t="n">
        <v>3.4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s="2" t="inlineStr"/>
    </row>
    <row r="827" ht="15" customHeight="1">
      <c r="A827" t="inlineStr">
        <is>
          <t>A 33130-2025</t>
        </is>
      </c>
      <c r="B827" t="inlineStr">
        <is>
          <t>avverkningsanmälan</t>
        </is>
      </c>
      <c r="C827" t="inlineStr">
        <is>
          <t>Avverkning för att bevara och utveckla /försöksver</t>
        </is>
      </c>
      <c r="D827" s="1" t="n">
        <v>45840</v>
      </c>
      <c r="E827" s="1" t="n">
        <v>46323</v>
      </c>
      <c r="F827" t="inlineStr">
        <is>
          <t>NORRBOTTENS LÄN</t>
        </is>
      </c>
      <c r="G827" t="inlineStr">
        <is>
          <t>BODEN</t>
        </is>
      </c>
      <c r="H827" t="inlineStr">
        <is>
          <t>Sveaskog</t>
        </is>
      </c>
      <c r="I827" t="n">
        <v>0.7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s="2" t="inlineStr"/>
    </row>
    <row r="828" ht="15" customHeight="1">
      <c r="A828" t="inlineStr">
        <is>
          <t>A 44536-2026</t>
        </is>
      </c>
      <c r="B828" t="inlineStr">
        <is>
          <t>avverkningsanmälan</t>
        </is>
      </c>
      <c r="C828" t="inlineStr">
        <is>
          <t>Föryngringsavverkning</t>
        </is>
      </c>
      <c r="D828" s="1" t="n">
        <v>46321</v>
      </c>
      <c r="E828" s="1" t="n">
        <v>46323</v>
      </c>
      <c r="F828" t="inlineStr">
        <is>
          <t>NORRBOTTENS LÄN</t>
        </is>
      </c>
      <c r="G828" t="inlineStr">
        <is>
          <t>BODEN</t>
        </is>
      </c>
      <c r="H828" t="inlineStr">
        <is>
          <t>SCA</t>
        </is>
      </c>
      <c r="I828" t="n">
        <v>4.5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s="2" t="inlineStr"/>
    </row>
    <row r="829" ht="15" customHeight="1">
      <c r="A829" t="inlineStr">
        <is>
          <t>A 16699-2024</t>
        </is>
      </c>
      <c r="B829" t="inlineStr">
        <is>
          <t>avverkningsanmälan</t>
        </is>
      </c>
      <c r="C829" t="inlineStr">
        <is>
          <t>Föryngringsavverkning</t>
        </is>
      </c>
      <c r="D829" s="1" t="n">
        <v>45408</v>
      </c>
      <c r="E829" s="1" t="n">
        <v>46323</v>
      </c>
      <c r="F829" t="inlineStr">
        <is>
          <t>NORRBOTTENS LÄN</t>
        </is>
      </c>
      <c r="G829" t="inlineStr">
        <is>
          <t>BODEN</t>
        </is>
      </c>
      <c r="I829" t="n">
        <v>14.9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s="2" t="inlineStr"/>
    </row>
    <row r="830" ht="15" customHeight="1">
      <c r="A830" t="inlineStr">
        <is>
          <t>A 37589-2026</t>
        </is>
      </c>
      <c r="B830" t="inlineStr">
        <is>
          <t>avverkningsanmälan</t>
        </is>
      </c>
      <c r="C830" t="inlineStr">
        <is>
          <t>Föryngringsavverkning</t>
        </is>
      </c>
      <c r="D830" s="1" t="n">
        <v>46276</v>
      </c>
      <c r="E830" s="1" t="n">
        <v>46323</v>
      </c>
      <c r="F830" t="inlineStr">
        <is>
          <t>NORRBOTTENS LÄN</t>
        </is>
      </c>
      <c r="G830" t="inlineStr">
        <is>
          <t>BODEN</t>
        </is>
      </c>
      <c r="I830" t="n">
        <v>3.5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s="2" t="inlineStr"/>
    </row>
    <row r="831" ht="15" customHeight="1">
      <c r="A831" t="inlineStr">
        <is>
          <t>A 19068-2024</t>
        </is>
      </c>
      <c r="B831" t="inlineStr">
        <is>
          <t>avverkningsanmälan</t>
        </is>
      </c>
      <c r="C831" t="inlineStr">
        <is>
          <t>Föryngringsavverkning</t>
        </is>
      </c>
      <c r="D831" s="1" t="n">
        <v>45427</v>
      </c>
      <c r="E831" s="1" t="n">
        <v>46323</v>
      </c>
      <c r="F831" t="inlineStr">
        <is>
          <t>NORRBOTTENS LÄN</t>
        </is>
      </c>
      <c r="G831" t="inlineStr">
        <is>
          <t>BODEN</t>
        </is>
      </c>
      <c r="I831" t="n">
        <v>22.1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s="2" t="inlineStr"/>
    </row>
    <row r="832" ht="15" customHeight="1">
      <c r="A832" t="inlineStr">
        <is>
          <t>A 44436-2026</t>
        </is>
      </c>
      <c r="B832" t="inlineStr">
        <is>
          <t>avverkningsanmälan</t>
        </is>
      </c>
      <c r="C832" t="inlineStr">
        <is>
          <t>Föryngringsavverkning</t>
        </is>
      </c>
      <c r="D832" s="1" t="n">
        <v>46321</v>
      </c>
      <c r="E832" s="1" t="n">
        <v>46323</v>
      </c>
      <c r="F832" t="inlineStr">
        <is>
          <t>NORRBOTTENS LÄN</t>
        </is>
      </c>
      <c r="G832" t="inlineStr">
        <is>
          <t>BODEN</t>
        </is>
      </c>
      <c r="I832" t="n">
        <v>1.3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s="2" t="inlineStr"/>
    </row>
    <row r="833" ht="15" customHeight="1">
      <c r="A833" t="inlineStr">
        <is>
          <t>A 44437-2026</t>
        </is>
      </c>
      <c r="B833" t="inlineStr">
        <is>
          <t>avverkningsanmälan</t>
        </is>
      </c>
      <c r="C833" t="inlineStr">
        <is>
          <t>Föryngringsavverkning</t>
        </is>
      </c>
      <c r="D833" s="1" t="n">
        <v>46321</v>
      </c>
      <c r="E833" s="1" t="n">
        <v>46323</v>
      </c>
      <c r="F833" t="inlineStr">
        <is>
          <t>NORRBOTTENS LÄN</t>
        </is>
      </c>
      <c r="G833" t="inlineStr">
        <is>
          <t>BODEN</t>
        </is>
      </c>
      <c r="I833" t="n">
        <v>0.7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s="2" t="inlineStr"/>
    </row>
    <row r="834" ht="15" customHeight="1">
      <c r="A834" t="inlineStr">
        <is>
          <t>A 44443-2026</t>
        </is>
      </c>
      <c r="B834" t="inlineStr">
        <is>
          <t>avverkningsanmälan</t>
        </is>
      </c>
      <c r="C834" t="inlineStr">
        <is>
          <t>Föryngringsavverkning</t>
        </is>
      </c>
      <c r="D834" s="1" t="n">
        <v>46321</v>
      </c>
      <c r="E834" s="1" t="n">
        <v>46323</v>
      </c>
      <c r="F834" t="inlineStr">
        <is>
          <t>NORRBOTTENS LÄN</t>
        </is>
      </c>
      <c r="G834" t="inlineStr">
        <is>
          <t>BODEN</t>
        </is>
      </c>
      <c r="H834" t="inlineStr">
        <is>
          <t>Sveaskog</t>
        </is>
      </c>
      <c r="I834" t="n">
        <v>22.8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s="2" t="inlineStr"/>
    </row>
    <row r="835" ht="15" customHeight="1">
      <c r="A835" t="inlineStr">
        <is>
          <t>A 22373-2026</t>
        </is>
      </c>
      <c r="B835" t="inlineStr">
        <is>
          <t>avverkningsanmälan</t>
        </is>
      </c>
      <c r="C835" t="inlineStr">
        <is>
          <t>Föryngringsavverkning</t>
        </is>
      </c>
      <c r="D835" s="1" t="n">
        <v>46154</v>
      </c>
      <c r="E835" s="1" t="n">
        <v>46323</v>
      </c>
      <c r="F835" t="inlineStr">
        <is>
          <t>NORRBOTTENS LÄN</t>
        </is>
      </c>
      <c r="G835" t="inlineStr">
        <is>
          <t>BODEN</t>
        </is>
      </c>
      <c r="I835" t="n">
        <v>2.6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s="2" t="inlineStr"/>
    </row>
    <row r="836" ht="15" customHeight="1">
      <c r="A836" t="inlineStr">
        <is>
          <t>A 60085-2024</t>
        </is>
      </c>
      <c r="B836" t="inlineStr">
        <is>
          <t>avverkningsanmälan</t>
        </is>
      </c>
      <c r="C836" t="inlineStr">
        <is>
          <t>Föryngringsavverkning</t>
        </is>
      </c>
      <c r="D836" s="1" t="n">
        <v>45639</v>
      </c>
      <c r="E836" s="1" t="n">
        <v>46323</v>
      </c>
      <c r="F836" t="inlineStr">
        <is>
          <t>NORRBOTTENS LÄN</t>
        </is>
      </c>
      <c r="G836" t="inlineStr">
        <is>
          <t>BODEN</t>
        </is>
      </c>
      <c r="I836" t="n">
        <v>9.5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s="2" t="inlineStr"/>
    </row>
    <row r="837" ht="15" customHeight="1">
      <c r="A837" t="inlineStr">
        <is>
          <t>A 59035-2025</t>
        </is>
      </c>
      <c r="B837" t="inlineStr">
        <is>
          <t>avverkningsanmälan</t>
        </is>
      </c>
      <c r="C837" t="inlineStr">
        <is>
          <t>Föryngringsavverkning</t>
        </is>
      </c>
      <c r="D837" s="1" t="n">
        <v>45988</v>
      </c>
      <c r="E837" s="1" t="n">
        <v>46323</v>
      </c>
      <c r="F837" t="inlineStr">
        <is>
          <t>NORRBOTTENS LÄN</t>
        </is>
      </c>
      <c r="G837" t="inlineStr">
        <is>
          <t>BODEN</t>
        </is>
      </c>
      <c r="I837" t="n">
        <v>2.7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s="2" t="inlineStr"/>
    </row>
    <row r="838" ht="15" customHeight="1">
      <c r="A838" t="inlineStr">
        <is>
          <t>A 61587-2024</t>
        </is>
      </c>
      <c r="B838" t="inlineStr">
        <is>
          <t>avverkningsanmälan</t>
        </is>
      </c>
      <c r="C838" t="inlineStr">
        <is>
          <t>Föryngringsavverkning</t>
        </is>
      </c>
      <c r="D838" s="1" t="n">
        <v>45646</v>
      </c>
      <c r="E838" s="1" t="n">
        <v>46323</v>
      </c>
      <c r="F838" t="inlineStr">
        <is>
          <t>NORRBOTTENS LÄN</t>
        </is>
      </c>
      <c r="G838" t="inlineStr">
        <is>
          <t>BODEN</t>
        </is>
      </c>
      <c r="I838" t="n">
        <v>2.9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s="2" t="inlineStr"/>
    </row>
    <row r="839" ht="15" customHeight="1">
      <c r="A839" t="inlineStr">
        <is>
          <t>A 37588-2026</t>
        </is>
      </c>
      <c r="B839" t="inlineStr">
        <is>
          <t>avverkningsanmälan</t>
        </is>
      </c>
      <c r="C839" t="inlineStr">
        <is>
          <t>Föryngringsavverkning</t>
        </is>
      </c>
      <c r="D839" s="1" t="n">
        <v>46276</v>
      </c>
      <c r="E839" s="1" t="n">
        <v>46323</v>
      </c>
      <c r="F839" t="inlineStr">
        <is>
          <t>NORRBOTTENS LÄN</t>
        </is>
      </c>
      <c r="G839" t="inlineStr">
        <is>
          <t>BODEN</t>
        </is>
      </c>
      <c r="I839" t="n">
        <v>8.300000000000001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s="2" t="inlineStr"/>
    </row>
    <row r="840" ht="15" customHeight="1">
      <c r="A840" t="inlineStr">
        <is>
          <t>A 44421-2026</t>
        </is>
      </c>
      <c r="B840" t="inlineStr">
        <is>
          <t>avverkningsanmälan</t>
        </is>
      </c>
      <c r="C840" t="inlineStr">
        <is>
          <t>Föryngringsavverkning</t>
        </is>
      </c>
      <c r="D840" s="1" t="n">
        <v>46321</v>
      </c>
      <c r="E840" s="1" t="n">
        <v>46323</v>
      </c>
      <c r="F840" t="inlineStr">
        <is>
          <t>NORRBOTTENS LÄN</t>
        </is>
      </c>
      <c r="G840" t="inlineStr">
        <is>
          <t>BODEN</t>
        </is>
      </c>
      <c r="I840" t="n">
        <v>3.7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s="2" t="inlineStr"/>
    </row>
    <row r="841" ht="15" customHeight="1">
      <c r="A841" t="inlineStr">
        <is>
          <t>A 22560-2026</t>
        </is>
      </c>
      <c r="B841" t="inlineStr">
        <is>
          <t>avverkningsanmälan</t>
        </is>
      </c>
      <c r="C841" t="inlineStr">
        <is>
          <t>Föryngringsavverkning</t>
        </is>
      </c>
      <c r="D841" s="1" t="n">
        <v>46155</v>
      </c>
      <c r="E841" s="1" t="n">
        <v>46323</v>
      </c>
      <c r="F841" t="inlineStr">
        <is>
          <t>NORRBOTTENS LÄN</t>
        </is>
      </c>
      <c r="G841" t="inlineStr">
        <is>
          <t>BODEN</t>
        </is>
      </c>
      <c r="I841" t="n">
        <v>2.2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s="2" t="inlineStr"/>
    </row>
    <row r="842" ht="15" customHeight="1">
      <c r="A842" t="inlineStr">
        <is>
          <t>A 33981-2025</t>
        </is>
      </c>
      <c r="B842" t="inlineStr">
        <is>
          <t>avverkningsanmälan</t>
        </is>
      </c>
      <c r="C842" t="inlineStr">
        <is>
          <t>Föryngringsavverkning</t>
        </is>
      </c>
      <c r="D842" s="1" t="n">
        <v>45843</v>
      </c>
      <c r="E842" s="1" t="n">
        <v>46323</v>
      </c>
      <c r="F842" t="inlineStr">
        <is>
          <t>NORRBOTTENS LÄN</t>
        </is>
      </c>
      <c r="G842" t="inlineStr">
        <is>
          <t>BODEN</t>
        </is>
      </c>
      <c r="H842" t="inlineStr">
        <is>
          <t>SCA</t>
        </is>
      </c>
      <c r="I842" t="n">
        <v>4.9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s="2" t="inlineStr"/>
    </row>
    <row r="843" ht="15" customHeight="1">
      <c r="A843" t="inlineStr">
        <is>
          <t>A 21329-2024</t>
        </is>
      </c>
      <c r="B843" t="inlineStr">
        <is>
          <t>avverkningsanmälan</t>
        </is>
      </c>
      <c r="C843" t="inlineStr">
        <is>
          <t>Avverkning för att bevara och utveckla /försöksver</t>
        </is>
      </c>
      <c r="D843" s="1" t="n">
        <v>45440</v>
      </c>
      <c r="E843" s="1" t="n">
        <v>46323</v>
      </c>
      <c r="F843" t="inlineStr">
        <is>
          <t>NORRBOTTENS LÄN</t>
        </is>
      </c>
      <c r="G843" t="inlineStr">
        <is>
          <t>BODEN</t>
        </is>
      </c>
      <c r="I843" t="n">
        <v>2.7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s="2" t="inlineStr"/>
    </row>
    <row r="844" ht="15" customHeight="1">
      <c r="A844" t="inlineStr">
        <is>
          <t>A 44469-2026</t>
        </is>
      </c>
      <c r="B844" t="inlineStr">
        <is>
          <t>avverkningsanmälan</t>
        </is>
      </c>
      <c r="C844" t="inlineStr">
        <is>
          <t>Avverkning för att bevara och utveckla /försöksver</t>
        </is>
      </c>
      <c r="D844" s="1" t="n">
        <v>46321</v>
      </c>
      <c r="E844" s="1" t="n">
        <v>46323</v>
      </c>
      <c r="F844" t="inlineStr">
        <is>
          <t>NORRBOTTENS LÄN</t>
        </is>
      </c>
      <c r="G844" t="inlineStr">
        <is>
          <t>BODEN</t>
        </is>
      </c>
      <c r="H844" t="inlineStr">
        <is>
          <t>Sveaskog</t>
        </is>
      </c>
      <c r="I844" t="n">
        <v>1.5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s="2" t="inlineStr"/>
    </row>
    <row r="845" ht="15" customHeight="1">
      <c r="A845" t="inlineStr">
        <is>
          <t>A 44594-2026</t>
        </is>
      </c>
      <c r="B845" t="inlineStr">
        <is>
          <t>avverkningsanmälan</t>
        </is>
      </c>
      <c r="C845" t="inlineStr">
        <is>
          <t>Föryngringsavverkning</t>
        </is>
      </c>
      <c r="D845" s="1" t="n">
        <v>46322</v>
      </c>
      <c r="E845" s="1" t="n">
        <v>46323</v>
      </c>
      <c r="F845" t="inlineStr">
        <is>
          <t>NORRBOTTENS LÄN</t>
        </is>
      </c>
      <c r="G845" t="inlineStr">
        <is>
          <t>BODEN</t>
        </is>
      </c>
      <c r="I845" t="n">
        <v>9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s="2" t="inlineStr"/>
    </row>
    <row r="846" ht="15" customHeight="1">
      <c r="A846" t="inlineStr">
        <is>
          <t>A 51280-2024</t>
        </is>
      </c>
      <c r="B846" t="inlineStr">
        <is>
          <t>avverkningsanmälan</t>
        </is>
      </c>
      <c r="C846" t="inlineStr">
        <is>
          <t>Föryngringsavverkning</t>
        </is>
      </c>
      <c r="D846" s="1" t="n">
        <v>45603</v>
      </c>
      <c r="E846" s="1" t="n">
        <v>46323</v>
      </c>
      <c r="F846" t="inlineStr">
        <is>
          <t>NORRBOTTENS LÄN</t>
        </is>
      </c>
      <c r="G846" t="inlineStr">
        <is>
          <t>BODEN</t>
        </is>
      </c>
      <c r="I846" t="n">
        <v>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s="2" t="inlineStr"/>
    </row>
    <row r="847" ht="15" customHeight="1">
      <c r="A847" t="inlineStr">
        <is>
          <t>A 2601-2025</t>
        </is>
      </c>
      <c r="B847" t="inlineStr">
        <is>
          <t>avverkningsanmälan</t>
        </is>
      </c>
      <c r="C847" t="inlineStr">
        <is>
          <t>Avverkning för annat ändamål</t>
        </is>
      </c>
      <c r="D847" s="1" t="n">
        <v>45674</v>
      </c>
      <c r="E847" s="1" t="n">
        <v>46323</v>
      </c>
      <c r="F847" t="inlineStr">
        <is>
          <t>NORRBOTTENS LÄN</t>
        </is>
      </c>
      <c r="G847" t="inlineStr">
        <is>
          <t>BODEN</t>
        </is>
      </c>
      <c r="I847" t="n">
        <v>0.7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s="2" t="inlineStr"/>
    </row>
    <row r="848" ht="15" customHeight="1">
      <c r="A848" t="inlineStr">
        <is>
          <t>A 49728-2024</t>
        </is>
      </c>
      <c r="B848" t="inlineStr">
        <is>
          <t>avverkningsanmälan</t>
        </is>
      </c>
      <c r="C848" t="inlineStr">
        <is>
          <t>Föryngringsavverkning</t>
        </is>
      </c>
      <c r="D848" s="1" t="n">
        <v>45596</v>
      </c>
      <c r="E848" s="1" t="n">
        <v>46323</v>
      </c>
      <c r="F848" t="inlineStr">
        <is>
          <t>NORRBOTTENS LÄN</t>
        </is>
      </c>
      <c r="G848" t="inlineStr">
        <is>
          <t>BODEN</t>
        </is>
      </c>
      <c r="I848" t="n">
        <v>22.7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s="2" t="inlineStr"/>
    </row>
    <row r="849" ht="15" customHeight="1">
      <c r="A849" t="inlineStr">
        <is>
          <t>A 24058-2025</t>
        </is>
      </c>
      <c r="B849" t="inlineStr">
        <is>
          <t>avverkningsanmälan</t>
        </is>
      </c>
      <c r="C849" t="inlineStr">
        <is>
          <t>Föryngringsavverkning</t>
        </is>
      </c>
      <c r="D849" s="1" t="n">
        <v>45796</v>
      </c>
      <c r="E849" s="1" t="n">
        <v>46323</v>
      </c>
      <c r="F849" t="inlineStr">
        <is>
          <t>NORRBOTTENS LÄN</t>
        </is>
      </c>
      <c r="G849" t="inlineStr">
        <is>
          <t>BODEN</t>
        </is>
      </c>
      <c r="H849" t="inlineStr">
        <is>
          <t>SCA</t>
        </is>
      </c>
      <c r="I849" t="n">
        <v>1.4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s="2" t="inlineStr"/>
    </row>
    <row r="850" ht="15" customHeight="1">
      <c r="A850" t="inlineStr">
        <is>
          <t>A 36019-2025</t>
        </is>
      </c>
      <c r="B850" t="inlineStr">
        <is>
          <t>avverkningsanmälan</t>
        </is>
      </c>
      <c r="C850" t="inlineStr">
        <is>
          <t>Föryngringsavverkning</t>
        </is>
      </c>
      <c r="D850" s="1" t="n">
        <v>45863</v>
      </c>
      <c r="E850" s="1" t="n">
        <v>46323</v>
      </c>
      <c r="F850" t="inlineStr">
        <is>
          <t>NORRBOTTENS LÄN</t>
        </is>
      </c>
      <c r="G850" t="inlineStr">
        <is>
          <t>BODEN</t>
        </is>
      </c>
      <c r="I850" t="n">
        <v>6.2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s="2" t="inlineStr"/>
    </row>
    <row r="851" ht="15" customHeight="1">
      <c r="A851" t="inlineStr">
        <is>
          <t>A 28139-2025</t>
        </is>
      </c>
      <c r="B851" t="inlineStr">
        <is>
          <t>avverkningsanmälan</t>
        </is>
      </c>
      <c r="C851" t="inlineStr">
        <is>
          <t>Föryngringsavverkning</t>
        </is>
      </c>
      <c r="D851" s="1" t="n">
        <v>45818</v>
      </c>
      <c r="E851" s="1" t="n">
        <v>46323</v>
      </c>
      <c r="F851" t="inlineStr">
        <is>
          <t>NORRBOTTENS LÄN</t>
        </is>
      </c>
      <c r="G851" t="inlineStr">
        <is>
          <t>BODEN</t>
        </is>
      </c>
      <c r="H851" t="inlineStr">
        <is>
          <t>SCA</t>
        </is>
      </c>
      <c r="I851" t="n">
        <v>11.3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s="2" t="inlineStr"/>
    </row>
    <row r="852" ht="15" customHeight="1">
      <c r="A852" t="inlineStr">
        <is>
          <t>A 37212-2025</t>
        </is>
      </c>
      <c r="B852" t="inlineStr">
        <is>
          <t>avverkningsanmälan</t>
        </is>
      </c>
      <c r="C852" t="inlineStr">
        <is>
          <t>Föryngringsavverkning</t>
        </is>
      </c>
      <c r="D852" s="1" t="n">
        <v>45875</v>
      </c>
      <c r="E852" s="1" t="n">
        <v>46323</v>
      </c>
      <c r="F852" t="inlineStr">
        <is>
          <t>NORRBOTTENS LÄN</t>
        </is>
      </c>
      <c r="G852" t="inlineStr">
        <is>
          <t>BODEN</t>
        </is>
      </c>
      <c r="I852" t="n">
        <v>3.3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s="2" t="inlineStr"/>
    </row>
    <row r="853" ht="15" customHeight="1">
      <c r="A853" t="inlineStr">
        <is>
          <t>A 15157-2025</t>
        </is>
      </c>
      <c r="B853" t="inlineStr">
        <is>
          <t>avverkningsanmälan</t>
        </is>
      </c>
      <c r="C853" t="inlineStr">
        <is>
          <t>Föryngringsavverkning</t>
        </is>
      </c>
      <c r="D853" s="1" t="n">
        <v>45744</v>
      </c>
      <c r="E853" s="1" t="n">
        <v>46323</v>
      </c>
      <c r="F853" t="inlineStr">
        <is>
          <t>NORRBOTTENS LÄN</t>
        </is>
      </c>
      <c r="G853" t="inlineStr">
        <is>
          <t>BODEN</t>
        </is>
      </c>
      <c r="I853" t="n">
        <v>1.3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s="2" t="inlineStr"/>
    </row>
    <row r="854" ht="15" customHeight="1">
      <c r="A854" t="inlineStr">
        <is>
          <t>A 5129-2025</t>
        </is>
      </c>
      <c r="B854" t="inlineStr">
        <is>
          <t>avverkningsanmälan</t>
        </is>
      </c>
      <c r="C854" t="inlineStr">
        <is>
          <t>Föryngringsavverkning</t>
        </is>
      </c>
      <c r="D854" s="1" t="n">
        <v>45691</v>
      </c>
      <c r="E854" s="1" t="n">
        <v>46323</v>
      </c>
      <c r="F854" t="inlineStr">
        <is>
          <t>NORRBOTTENS LÄN</t>
        </is>
      </c>
      <c r="G854" t="inlineStr">
        <is>
          <t>BODEN</t>
        </is>
      </c>
      <c r="I854" t="n">
        <v>2.8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s="2" t="inlineStr"/>
    </row>
    <row r="855" ht="15" customHeight="1">
      <c r="A855" t="inlineStr">
        <is>
          <t>A 32582-2025</t>
        </is>
      </c>
      <c r="B855" t="inlineStr">
        <is>
          <t>avverkningsanmälan</t>
        </is>
      </c>
      <c r="C855" t="inlineStr">
        <is>
          <t>Föryngringsavverkning</t>
        </is>
      </c>
      <c r="D855" s="1" t="n">
        <v>45838</v>
      </c>
      <c r="E855" s="1" t="n">
        <v>46323</v>
      </c>
      <c r="F855" t="inlineStr">
        <is>
          <t>NORRBOTTENS LÄN</t>
        </is>
      </c>
      <c r="G855" t="inlineStr">
        <is>
          <t>BODEN</t>
        </is>
      </c>
      <c r="I855" t="n">
        <v>1.2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s="2" t="inlineStr"/>
    </row>
    <row r="856" ht="15" customHeight="1">
      <c r="A856" t="inlineStr">
        <is>
          <t>A 23790-2026</t>
        </is>
      </c>
      <c r="B856" t="inlineStr">
        <is>
          <t>avverkningsanmälan</t>
        </is>
      </c>
      <c r="C856" t="inlineStr">
        <is>
          <t>Föryngringsavverkning</t>
        </is>
      </c>
      <c r="D856" s="1" t="n">
        <v>46164</v>
      </c>
      <c r="E856" s="1" t="n">
        <v>46323</v>
      </c>
      <c r="F856" t="inlineStr">
        <is>
          <t>NORRBOTTENS LÄN</t>
        </is>
      </c>
      <c r="G856" t="inlineStr">
        <is>
          <t>BODEN</t>
        </is>
      </c>
      <c r="H856" t="inlineStr">
        <is>
          <t>Sveaskog</t>
        </is>
      </c>
      <c r="I856" t="n">
        <v>4.1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s="2" t="inlineStr"/>
    </row>
    <row r="857" ht="15" customHeight="1">
      <c r="A857" t="inlineStr">
        <is>
          <t>A 23792-2026</t>
        </is>
      </c>
      <c r="B857" t="inlineStr">
        <is>
          <t>avverkningsanmälan</t>
        </is>
      </c>
      <c r="C857" t="inlineStr">
        <is>
          <t>Föryngringsavverkning</t>
        </is>
      </c>
      <c r="D857" s="1" t="n">
        <v>46164</v>
      </c>
      <c r="E857" s="1" t="n">
        <v>46323</v>
      </c>
      <c r="F857" t="inlineStr">
        <is>
          <t>NORRBOTTENS LÄN</t>
        </is>
      </c>
      <c r="G857" t="inlineStr">
        <is>
          <t>BODEN</t>
        </is>
      </c>
      <c r="H857" t="inlineStr">
        <is>
          <t>Sveaskog</t>
        </is>
      </c>
      <c r="I857" t="n">
        <v>1.2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s="2" t="inlineStr"/>
    </row>
    <row r="858" ht="15" customHeight="1">
      <c r="A858" t="inlineStr">
        <is>
          <t>A 24193-2024</t>
        </is>
      </c>
      <c r="B858" t="inlineStr">
        <is>
          <t>avverkningsanmälan</t>
        </is>
      </c>
      <c r="C858" t="inlineStr">
        <is>
          <t>Föryngringsavverkning</t>
        </is>
      </c>
      <c r="D858" s="1" t="n">
        <v>45456</v>
      </c>
      <c r="E858" s="1" t="n">
        <v>46323</v>
      </c>
      <c r="F858" t="inlineStr">
        <is>
          <t>NORRBOTTENS LÄN</t>
        </is>
      </c>
      <c r="G858" t="inlineStr">
        <is>
          <t>BODEN</t>
        </is>
      </c>
      <c r="I858" t="n">
        <v>5.1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s="2" t="inlineStr"/>
    </row>
    <row r="859" ht="15" customHeight="1">
      <c r="A859" t="inlineStr">
        <is>
          <t>A 23788-2026</t>
        </is>
      </c>
      <c r="B859" t="inlineStr">
        <is>
          <t>avverkningsanmälan</t>
        </is>
      </c>
      <c r="C859" t="inlineStr">
        <is>
          <t>Föryngringsavverkning</t>
        </is>
      </c>
      <c r="D859" s="1" t="n">
        <v>46164</v>
      </c>
      <c r="E859" s="1" t="n">
        <v>46323</v>
      </c>
      <c r="F859" t="inlineStr">
        <is>
          <t>NORRBOTTENS LÄN</t>
        </is>
      </c>
      <c r="G859" t="inlineStr">
        <is>
          <t>BODEN</t>
        </is>
      </c>
      <c r="H859" t="inlineStr">
        <is>
          <t>Sveaskog</t>
        </is>
      </c>
      <c r="I859" t="n">
        <v>7.1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s="2" t="inlineStr"/>
    </row>
    <row r="860" ht="15" customHeight="1">
      <c r="A860" t="inlineStr">
        <is>
          <t>A 23789-2026</t>
        </is>
      </c>
      <c r="B860" t="inlineStr">
        <is>
          <t>avverkningsanmälan</t>
        </is>
      </c>
      <c r="C860" t="inlineStr">
        <is>
          <t>Föryngringsavverkning</t>
        </is>
      </c>
      <c r="D860" s="1" t="n">
        <v>46164</v>
      </c>
      <c r="E860" s="1" t="n">
        <v>46323</v>
      </c>
      <c r="F860" t="inlineStr">
        <is>
          <t>NORRBOTTENS LÄN</t>
        </is>
      </c>
      <c r="G860" t="inlineStr">
        <is>
          <t>BODEN</t>
        </is>
      </c>
      <c r="H860" t="inlineStr">
        <is>
          <t>Sveaskog</t>
        </is>
      </c>
      <c r="I860" t="n">
        <v>3.8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s="2" t="inlineStr"/>
    </row>
    <row r="861" ht="15" customHeight="1">
      <c r="A861" t="inlineStr">
        <is>
          <t>A 2547-2025</t>
        </is>
      </c>
      <c r="B861" t="inlineStr">
        <is>
          <t>avverkningsanmälan</t>
        </is>
      </c>
      <c r="C861" t="inlineStr">
        <is>
          <t>Föryngringsavverkning</t>
        </is>
      </c>
      <c r="D861" s="1" t="n">
        <v>45674</v>
      </c>
      <c r="E861" s="1" t="n">
        <v>46323</v>
      </c>
      <c r="F861" t="inlineStr">
        <is>
          <t>NORRBOTTENS LÄN</t>
        </is>
      </c>
      <c r="G861" t="inlineStr">
        <is>
          <t>BODEN</t>
        </is>
      </c>
      <c r="I861" t="n">
        <v>7.2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s="2" t="inlineStr"/>
    </row>
    <row r="862" ht="15" customHeight="1">
      <c r="A862" t="inlineStr">
        <is>
          <t>A 24234-2026</t>
        </is>
      </c>
      <c r="B862" t="inlineStr">
        <is>
          <t>avverkningsanmälan</t>
        </is>
      </c>
      <c r="C862" t="inlineStr">
        <is>
          <t>Föryngringsavverkning</t>
        </is>
      </c>
      <c r="D862" s="1" t="n">
        <v>46168</v>
      </c>
      <c r="E862" s="1" t="n">
        <v>46323</v>
      </c>
      <c r="F862" t="inlineStr">
        <is>
          <t>NORRBOTTENS LÄN</t>
        </is>
      </c>
      <c r="G862" t="inlineStr">
        <is>
          <t>BODEN</t>
        </is>
      </c>
      <c r="I862" t="n">
        <v>1.1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s="2" t="inlineStr"/>
    </row>
    <row r="863" ht="15" customHeight="1">
      <c r="A863" t="inlineStr">
        <is>
          <t>A 10730-2024</t>
        </is>
      </c>
      <c r="B863" t="inlineStr">
        <is>
          <t>avverkningsanmälan</t>
        </is>
      </c>
      <c r="C863" t="inlineStr">
        <is>
          <t>Föryngringsavverkning</t>
        </is>
      </c>
      <c r="D863" s="1" t="n">
        <v>45369</v>
      </c>
      <c r="E863" s="1" t="n">
        <v>46323</v>
      </c>
      <c r="F863" t="inlineStr">
        <is>
          <t>NORRBOTTENS LÄN</t>
        </is>
      </c>
      <c r="G863" t="inlineStr">
        <is>
          <t>BODEN</t>
        </is>
      </c>
      <c r="I863" t="n">
        <v>3.4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s="2" t="inlineStr"/>
    </row>
    <row r="864" ht="15" customHeight="1">
      <c r="A864" t="inlineStr">
        <is>
          <t>A 24235-2026</t>
        </is>
      </c>
      <c r="B864" t="inlineStr">
        <is>
          <t>avverkningsanmälan</t>
        </is>
      </c>
      <c r="C864" t="inlineStr">
        <is>
          <t>Föryngringsavverkning</t>
        </is>
      </c>
      <c r="D864" s="1" t="n">
        <v>46168</v>
      </c>
      <c r="E864" s="1" t="n">
        <v>46323</v>
      </c>
      <c r="F864" t="inlineStr">
        <is>
          <t>NORRBOTTENS LÄN</t>
        </is>
      </c>
      <c r="G864" t="inlineStr">
        <is>
          <t>BODEN</t>
        </is>
      </c>
      <c r="I864" t="n">
        <v>5.9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s="2" t="inlineStr"/>
    </row>
    <row r="865" ht="15" customHeight="1">
      <c r="A865" t="inlineStr">
        <is>
          <t>A 40157-2025</t>
        </is>
      </c>
      <c r="B865" t="inlineStr">
        <is>
          <t>avverkningsanmälan</t>
        </is>
      </c>
      <c r="C865" t="inlineStr">
        <is>
          <t>Föryngringsavverkning</t>
        </is>
      </c>
      <c r="D865" s="1" t="n">
        <v>45894</v>
      </c>
      <c r="E865" s="1" t="n">
        <v>46323</v>
      </c>
      <c r="F865" t="inlineStr">
        <is>
          <t>NORRBOTTENS LÄN</t>
        </is>
      </c>
      <c r="G865" t="inlineStr">
        <is>
          <t>BODEN</t>
        </is>
      </c>
      <c r="H865" t="inlineStr">
        <is>
          <t>Övriga statliga verk och myndigheter</t>
        </is>
      </c>
      <c r="I865" t="n">
        <v>17.6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s="2" t="inlineStr"/>
    </row>
    <row r="866" ht="15" customHeight="1">
      <c r="A866" t="inlineStr">
        <is>
          <t>A 36310-2025</t>
        </is>
      </c>
      <c r="B866" t="inlineStr">
        <is>
          <t>avverkningsanmälan</t>
        </is>
      </c>
      <c r="C866" t="inlineStr">
        <is>
          <t>Föryngringsavverkning</t>
        </is>
      </c>
      <c r="D866" s="1" t="n">
        <v>45868</v>
      </c>
      <c r="E866" s="1" t="n">
        <v>46323</v>
      </c>
      <c r="F866" t="inlineStr">
        <is>
          <t>NORRBOTTENS LÄN</t>
        </is>
      </c>
      <c r="G866" t="inlineStr">
        <is>
          <t>BODEN</t>
        </is>
      </c>
      <c r="H866" t="inlineStr">
        <is>
          <t>SCA</t>
        </is>
      </c>
      <c r="I866" t="n">
        <v>4.2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s="2" t="inlineStr"/>
    </row>
    <row r="867" ht="15" customHeight="1">
      <c r="A867" t="inlineStr">
        <is>
          <t>A 24430-2026</t>
        </is>
      </c>
      <c r="B867" t="inlineStr">
        <is>
          <t>avverkningsanmälan</t>
        </is>
      </c>
      <c r="C867" t="inlineStr">
        <is>
          <t>Föryngringsavverkning</t>
        </is>
      </c>
      <c r="D867" s="1" t="n">
        <v>46168</v>
      </c>
      <c r="E867" s="1" t="n">
        <v>46323</v>
      </c>
      <c r="F867" t="inlineStr">
        <is>
          <t>NORRBOTTENS LÄN</t>
        </is>
      </c>
      <c r="G867" t="inlineStr">
        <is>
          <t>BODEN</t>
        </is>
      </c>
      <c r="I867" t="n">
        <v>1.9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s="2" t="inlineStr"/>
    </row>
    <row r="868" ht="15" customHeight="1">
      <c r="A868" t="inlineStr">
        <is>
          <t>A 37404-2025</t>
        </is>
      </c>
      <c r="B868" t="inlineStr">
        <is>
          <t>avverkningsanmälan</t>
        </is>
      </c>
      <c r="C868" t="inlineStr">
        <is>
          <t>Föryngringsavverkning</t>
        </is>
      </c>
      <c r="D868" s="1" t="n">
        <v>45877</v>
      </c>
      <c r="E868" s="1" t="n">
        <v>46323</v>
      </c>
      <c r="F868" t="inlineStr">
        <is>
          <t>NORRBOTTENS LÄN</t>
        </is>
      </c>
      <c r="G868" t="inlineStr">
        <is>
          <t>BODEN</t>
        </is>
      </c>
      <c r="H868" t="inlineStr">
        <is>
          <t>SCA</t>
        </is>
      </c>
      <c r="I868" t="n">
        <v>4.7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s="2" t="inlineStr"/>
    </row>
    <row r="869" ht="15" customHeight="1">
      <c r="A869" t="inlineStr">
        <is>
          <t>A 24431-2026</t>
        </is>
      </c>
      <c r="B869" t="inlineStr">
        <is>
          <t>avverkningsanmälan</t>
        </is>
      </c>
      <c r="C869" t="inlineStr">
        <is>
          <t>Föryngringsavverkning</t>
        </is>
      </c>
      <c r="D869" s="1" t="n">
        <v>46168</v>
      </c>
      <c r="E869" s="1" t="n">
        <v>46323</v>
      </c>
      <c r="F869" t="inlineStr">
        <is>
          <t>NORRBOTTENS LÄN</t>
        </is>
      </c>
      <c r="G869" t="inlineStr">
        <is>
          <t>BODEN</t>
        </is>
      </c>
      <c r="I869" t="n">
        <v>3.1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s="2" t="inlineStr"/>
    </row>
    <row r="870" ht="15" customHeight="1">
      <c r="A870" t="inlineStr">
        <is>
          <t>A 24221-2026</t>
        </is>
      </c>
      <c r="B870" t="inlineStr">
        <is>
          <t>avverkningsanmälan</t>
        </is>
      </c>
      <c r="C870" t="inlineStr">
        <is>
          <t>Föryngringsavverkning</t>
        </is>
      </c>
      <c r="D870" s="1" t="n">
        <v>46168</v>
      </c>
      <c r="E870" s="1" t="n">
        <v>46323</v>
      </c>
      <c r="F870" t="inlineStr">
        <is>
          <t>NORRBOTTENS LÄN</t>
        </is>
      </c>
      <c r="G870" t="inlineStr">
        <is>
          <t>BODEN</t>
        </is>
      </c>
      <c r="I870" t="n">
        <v>1.5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s="2" t="inlineStr"/>
    </row>
    <row r="871" ht="15" customHeight="1">
      <c r="A871" t="inlineStr">
        <is>
          <t>A 37653-2025</t>
        </is>
      </c>
      <c r="B871" t="inlineStr">
        <is>
          <t>avverkningsanmälan</t>
        </is>
      </c>
      <c r="C871" t="inlineStr">
        <is>
          <t>Föryngringsavverkning</t>
        </is>
      </c>
      <c r="D871" s="1" t="n">
        <v>45880</v>
      </c>
      <c r="E871" s="1" t="n">
        <v>46323</v>
      </c>
      <c r="F871" t="inlineStr">
        <is>
          <t>NORRBOTTENS LÄN</t>
        </is>
      </c>
      <c r="G871" t="inlineStr">
        <is>
          <t>BODEN</t>
        </is>
      </c>
      <c r="H871" t="inlineStr">
        <is>
          <t>SCA</t>
        </is>
      </c>
      <c r="I871" t="n">
        <v>3.3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s="2" t="inlineStr"/>
    </row>
    <row r="872" ht="15" customHeight="1">
      <c r="A872" t="inlineStr">
        <is>
          <t>A 37854-2025</t>
        </is>
      </c>
      <c r="B872" t="inlineStr">
        <is>
          <t>avverkningsanmälan</t>
        </is>
      </c>
      <c r="C872" t="inlineStr">
        <is>
          <t>Föryngringsavverkning</t>
        </is>
      </c>
      <c r="D872" s="1" t="n">
        <v>45881</v>
      </c>
      <c r="E872" s="1" t="n">
        <v>46323</v>
      </c>
      <c r="F872" t="inlineStr">
        <is>
          <t>NORRBOTTENS LÄN</t>
        </is>
      </c>
      <c r="G872" t="inlineStr">
        <is>
          <t>BODEN</t>
        </is>
      </c>
      <c r="I872" t="n">
        <v>5.3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s="2" t="inlineStr"/>
    </row>
    <row r="873" ht="15" customHeight="1">
      <c r="A873" t="inlineStr">
        <is>
          <t>A 38286-2025</t>
        </is>
      </c>
      <c r="B873" t="inlineStr">
        <is>
          <t>avverkningsanmälan</t>
        </is>
      </c>
      <c r="C873" t="inlineStr">
        <is>
          <t>Föryngringsavverkning</t>
        </is>
      </c>
      <c r="D873" s="1" t="n">
        <v>45882</v>
      </c>
      <c r="E873" s="1" t="n">
        <v>46323</v>
      </c>
      <c r="F873" t="inlineStr">
        <is>
          <t>NORRBOTTENS LÄN</t>
        </is>
      </c>
      <c r="G873" t="inlineStr">
        <is>
          <t>BODEN</t>
        </is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s="2" t="inlineStr"/>
    </row>
    <row r="874" ht="15" customHeight="1">
      <c r="A874" t="inlineStr">
        <is>
          <t>A 38288-2025</t>
        </is>
      </c>
      <c r="B874" t="inlineStr">
        <is>
          <t>avverkningsanmälan</t>
        </is>
      </c>
      <c r="C874" t="inlineStr">
        <is>
          <t>Föryngringsavverkning</t>
        </is>
      </c>
      <c r="D874" s="1" t="n">
        <v>45882</v>
      </c>
      <c r="E874" s="1" t="n">
        <v>46323</v>
      </c>
      <c r="F874" t="inlineStr">
        <is>
          <t>NORRBOTTENS LÄN</t>
        </is>
      </c>
      <c r="G874" t="inlineStr">
        <is>
          <t>BODEN</t>
        </is>
      </c>
      <c r="I874" t="n">
        <v>0.5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s="2" t="inlineStr"/>
    </row>
    <row r="875" ht="15" customHeight="1">
      <c r="A875" t="inlineStr">
        <is>
          <t>A 24717-2026</t>
        </is>
      </c>
      <c r="B875" t="inlineStr">
        <is>
          <t>avverkningsanmälan</t>
        </is>
      </c>
      <c r="C875" t="inlineStr">
        <is>
          <t>Föryngringsavverkning</t>
        </is>
      </c>
      <c r="D875" s="1" t="n">
        <v>46171</v>
      </c>
      <c r="E875" s="1" t="n">
        <v>46323</v>
      </c>
      <c r="F875" t="inlineStr">
        <is>
          <t>NORRBOTTENS LÄN</t>
        </is>
      </c>
      <c r="G875" t="inlineStr">
        <is>
          <t>BODEN</t>
        </is>
      </c>
      <c r="I875" t="n">
        <v>6.1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s="2" t="inlineStr"/>
    </row>
    <row r="876" ht="15" customHeight="1">
      <c r="A876" t="inlineStr">
        <is>
          <t>A 24805-2026</t>
        </is>
      </c>
      <c r="B876" t="inlineStr">
        <is>
          <t>avverkningsanmälan</t>
        </is>
      </c>
      <c r="C876" t="inlineStr">
        <is>
          <t>Föryngringsavverkning</t>
        </is>
      </c>
      <c r="D876" s="1" t="n">
        <v>46172</v>
      </c>
      <c r="E876" s="1" t="n">
        <v>46323</v>
      </c>
      <c r="F876" t="inlineStr">
        <is>
          <t>NORRBOTTENS LÄN</t>
        </is>
      </c>
      <c r="G876" t="inlineStr">
        <is>
          <t>BODEN</t>
        </is>
      </c>
      <c r="H876" t="inlineStr">
        <is>
          <t>SCA</t>
        </is>
      </c>
      <c r="I876" t="n">
        <v>1.8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s="2" t="inlineStr"/>
    </row>
    <row r="877" ht="15" customHeight="1">
      <c r="A877" t="inlineStr">
        <is>
          <t>A 25042-2026</t>
        </is>
      </c>
      <c r="B877" t="inlineStr">
        <is>
          <t>avverkningsanmälan</t>
        </is>
      </c>
      <c r="C877" t="inlineStr">
        <is>
          <t>Föryngringsavverkning</t>
        </is>
      </c>
      <c r="D877" s="1" t="n">
        <v>46174</v>
      </c>
      <c r="E877" s="1" t="n">
        <v>46323</v>
      </c>
      <c r="F877" t="inlineStr">
        <is>
          <t>NORRBOTTENS LÄN</t>
        </is>
      </c>
      <c r="G877" t="inlineStr">
        <is>
          <t>BODEN</t>
        </is>
      </c>
      <c r="I877" t="n">
        <v>2.6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s="2" t="inlineStr"/>
    </row>
    <row r="878" ht="15" customHeight="1">
      <c r="A878" t="inlineStr">
        <is>
          <t>A 25240-2026</t>
        </is>
      </c>
      <c r="B878" t="inlineStr">
        <is>
          <t>avverkningsanmälan</t>
        </is>
      </c>
      <c r="C878" t="inlineStr">
        <is>
          <t>Föryngringsavverkning</t>
        </is>
      </c>
      <c r="D878" s="1" t="n">
        <v>46175</v>
      </c>
      <c r="E878" s="1" t="n">
        <v>46323</v>
      </c>
      <c r="F878" t="inlineStr">
        <is>
          <t>NORRBOTTENS LÄN</t>
        </is>
      </c>
      <c r="G878" t="inlineStr">
        <is>
          <t>BODEN</t>
        </is>
      </c>
      <c r="I878" t="n">
        <v>6.4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s="2" t="inlineStr"/>
    </row>
    <row r="879" ht="15" customHeight="1">
      <c r="A879" t="inlineStr">
        <is>
          <t>A 25571-2026</t>
        </is>
      </c>
      <c r="B879" t="inlineStr">
        <is>
          <t>avverkningsanmälan</t>
        </is>
      </c>
      <c r="C879" t="inlineStr">
        <is>
          <t>Föryngringsavverkning</t>
        </is>
      </c>
      <c r="D879" s="1" t="n">
        <v>46177</v>
      </c>
      <c r="E879" s="1" t="n">
        <v>46323</v>
      </c>
      <c r="F879" t="inlineStr">
        <is>
          <t>NORRBOTTENS LÄN</t>
        </is>
      </c>
      <c r="G879" t="inlineStr">
        <is>
          <t>BODEN</t>
        </is>
      </c>
      <c r="H879" t="inlineStr">
        <is>
          <t>SCA</t>
        </is>
      </c>
      <c r="I879" t="n">
        <v>1.8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s="2" t="inlineStr"/>
    </row>
    <row r="880" ht="15" customHeight="1">
      <c r="A880" t="inlineStr">
        <is>
          <t>A 25536-2026</t>
        </is>
      </c>
      <c r="B880" t="inlineStr">
        <is>
          <t>avverkningsanmälan</t>
        </is>
      </c>
      <c r="C880" t="inlineStr">
        <is>
          <t>Föryngringsavverkning</t>
        </is>
      </c>
      <c r="D880" s="1" t="n">
        <v>46177</v>
      </c>
      <c r="E880" s="1" t="n">
        <v>46323</v>
      </c>
      <c r="F880" t="inlineStr">
        <is>
          <t>NORRBOTTENS LÄN</t>
        </is>
      </c>
      <c r="G880" t="inlineStr">
        <is>
          <t>BODEN</t>
        </is>
      </c>
      <c r="H880" t="inlineStr">
        <is>
          <t>Sveaskog</t>
        </is>
      </c>
      <c r="I880" t="n">
        <v>1.8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s="2" t="inlineStr"/>
    </row>
    <row r="881" ht="15" customHeight="1">
      <c r="A881" t="inlineStr">
        <is>
          <t>A 8869-2024</t>
        </is>
      </c>
      <c r="B881" t="inlineStr">
        <is>
          <t>avverkningsanmälan</t>
        </is>
      </c>
      <c r="C881" t="inlineStr">
        <is>
          <t>Föryngringsavverkning</t>
        </is>
      </c>
      <c r="D881" s="1" t="n">
        <v>45356</v>
      </c>
      <c r="E881" s="1" t="n">
        <v>46323</v>
      </c>
      <c r="F881" t="inlineStr">
        <is>
          <t>NORRBOTTENS LÄN</t>
        </is>
      </c>
      <c r="G881" t="inlineStr">
        <is>
          <t>BODEN</t>
        </is>
      </c>
      <c r="I881" t="n">
        <v>4.3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s="2" t="inlineStr"/>
    </row>
    <row r="882" ht="15" customHeight="1">
      <c r="A882" t="inlineStr">
        <is>
          <t>A 25817-2026</t>
        </is>
      </c>
      <c r="B882" t="inlineStr">
        <is>
          <t>avverkningsanmälan</t>
        </is>
      </c>
      <c r="C882" t="inlineStr">
        <is>
          <t>Föryngringsavverkning</t>
        </is>
      </c>
      <c r="D882" s="1" t="n">
        <v>46178</v>
      </c>
      <c r="E882" s="1" t="n">
        <v>46323</v>
      </c>
      <c r="F882" t="inlineStr">
        <is>
          <t>NORRBOTTENS LÄN</t>
        </is>
      </c>
      <c r="G882" t="inlineStr">
        <is>
          <t>BODEN</t>
        </is>
      </c>
      <c r="H882" t="inlineStr">
        <is>
          <t>Sveaskog</t>
        </is>
      </c>
      <c r="I882" t="n">
        <v>7.5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s="2" t="inlineStr"/>
    </row>
    <row r="883" ht="15" customHeight="1">
      <c r="A883" t="inlineStr">
        <is>
          <t>A 26122-2026</t>
        </is>
      </c>
      <c r="B883" t="inlineStr">
        <is>
          <t>avverkningsanmälan</t>
        </is>
      </c>
      <c r="C883" t="inlineStr">
        <is>
          <t>Föryngringsavverkning</t>
        </is>
      </c>
      <c r="D883" s="1" t="n">
        <v>46181</v>
      </c>
      <c r="E883" s="1" t="n">
        <v>46323</v>
      </c>
      <c r="F883" t="inlineStr">
        <is>
          <t>NORRBOTTENS LÄN</t>
        </is>
      </c>
      <c r="G883" t="inlineStr">
        <is>
          <t>BODEN</t>
        </is>
      </c>
      <c r="H883" t="inlineStr">
        <is>
          <t>SCA</t>
        </is>
      </c>
      <c r="I883" t="n">
        <v>1.4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s="2" t="inlineStr"/>
    </row>
    <row r="884" ht="15" customHeight="1">
      <c r="A884" t="inlineStr">
        <is>
          <t>A 24498-2026</t>
        </is>
      </c>
      <c r="B884" t="inlineStr">
        <is>
          <t>avverkningsanmälan</t>
        </is>
      </c>
      <c r="C884" t="inlineStr">
        <is>
          <t>Föryngringsavverkning</t>
        </is>
      </c>
      <c r="D884" s="1" t="n">
        <v>46170</v>
      </c>
      <c r="E884" s="1" t="n">
        <v>46323</v>
      </c>
      <c r="F884" t="inlineStr">
        <is>
          <t>NORRBOTTENS LÄN</t>
        </is>
      </c>
      <c r="G884" t="inlineStr">
        <is>
          <t>BODEN</t>
        </is>
      </c>
      <c r="H884" t="inlineStr">
        <is>
          <t>SCA</t>
        </is>
      </c>
      <c r="I884" t="n">
        <v>4.7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s="2" t="inlineStr"/>
    </row>
    <row r="885" ht="15" customHeight="1">
      <c r="A885" t="inlineStr">
        <is>
          <t>A 26386-2026</t>
        </is>
      </c>
      <c r="B885" t="inlineStr">
        <is>
          <t>avverkningsanmälan</t>
        </is>
      </c>
      <c r="C885" t="inlineStr">
        <is>
          <t>Föryngringsavverkning</t>
        </is>
      </c>
      <c r="D885" s="1" t="n">
        <v>46183</v>
      </c>
      <c r="E885" s="1" t="n">
        <v>46323</v>
      </c>
      <c r="F885" t="inlineStr">
        <is>
          <t>NORRBOTTENS LÄN</t>
        </is>
      </c>
      <c r="G885" t="inlineStr">
        <is>
          <t>BODEN</t>
        </is>
      </c>
      <c r="H885" t="inlineStr">
        <is>
          <t>SCA</t>
        </is>
      </c>
      <c r="I885" t="n">
        <v>2.3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s="2" t="inlineStr"/>
    </row>
    <row r="886" ht="15" customHeight="1">
      <c r="A886" t="inlineStr">
        <is>
          <t>A 26182-2026</t>
        </is>
      </c>
      <c r="B886" t="inlineStr">
        <is>
          <t>avverkningsanmälan</t>
        </is>
      </c>
      <c r="C886" t="inlineStr">
        <is>
          <t>Föryngringsavverkning</t>
        </is>
      </c>
      <c r="D886" s="1" t="n">
        <v>46182</v>
      </c>
      <c r="E886" s="1" t="n">
        <v>46323</v>
      </c>
      <c r="F886" t="inlineStr">
        <is>
          <t>NORRBOTTENS LÄN</t>
        </is>
      </c>
      <c r="G886" t="inlineStr">
        <is>
          <t>BODEN</t>
        </is>
      </c>
      <c r="H886" t="inlineStr">
        <is>
          <t>SCA</t>
        </is>
      </c>
      <c r="I886" t="n">
        <v>8.5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s="2" t="inlineStr"/>
    </row>
    <row r="887" ht="15" customHeight="1">
      <c r="A887" t="inlineStr">
        <is>
          <t>A 26448-2026</t>
        </is>
      </c>
      <c r="B887" t="inlineStr">
        <is>
          <t>avverkningsanmälan</t>
        </is>
      </c>
      <c r="C887" t="inlineStr">
        <is>
          <t>Föryngringsavverkning</t>
        </is>
      </c>
      <c r="D887" s="1" t="n">
        <v>46183</v>
      </c>
      <c r="E887" s="1" t="n">
        <v>46323</v>
      </c>
      <c r="F887" t="inlineStr">
        <is>
          <t>NORRBOTTENS LÄN</t>
        </is>
      </c>
      <c r="G887" t="inlineStr">
        <is>
          <t>BODEN</t>
        </is>
      </c>
      <c r="I887" t="n">
        <v>7.7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s="2" t="inlineStr"/>
    </row>
    <row r="888" ht="15" customHeight="1">
      <c r="A888" t="inlineStr">
        <is>
          <t>A 26996-2026</t>
        </is>
      </c>
      <c r="B888" t="inlineStr">
        <is>
          <t>avverkningsanmälan</t>
        </is>
      </c>
      <c r="C888" t="inlineStr">
        <is>
          <t>Föryngringsavverkning</t>
        </is>
      </c>
      <c r="D888" s="1" t="n">
        <v>46185</v>
      </c>
      <c r="E888" s="1" t="n">
        <v>46323</v>
      </c>
      <c r="F888" t="inlineStr">
        <is>
          <t>NORRBOTTENS LÄN</t>
        </is>
      </c>
      <c r="G888" t="inlineStr">
        <is>
          <t>BODEN</t>
        </is>
      </c>
      <c r="I888" t="n">
        <v>5.8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s="2" t="inlineStr"/>
    </row>
    <row r="889" ht="15" customHeight="1">
      <c r="A889" t="inlineStr">
        <is>
          <t>A 26776-2026</t>
        </is>
      </c>
      <c r="B889" t="inlineStr">
        <is>
          <t>avverkningsanmälan</t>
        </is>
      </c>
      <c r="C889" t="inlineStr">
        <is>
          <t>Föryngringsavverkning</t>
        </is>
      </c>
      <c r="D889" s="1" t="n">
        <v>46184</v>
      </c>
      <c r="E889" s="1" t="n">
        <v>46323</v>
      </c>
      <c r="F889" t="inlineStr">
        <is>
          <t>NORRBOTTENS LÄN</t>
        </is>
      </c>
      <c r="G889" t="inlineStr">
        <is>
          <t>BODEN</t>
        </is>
      </c>
      <c r="H889" t="inlineStr">
        <is>
          <t>Sveaskog</t>
        </is>
      </c>
      <c r="I889" t="n">
        <v>5.7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s="2" t="inlineStr"/>
      <c r="Z889">
        <f>HYPERLINK("https://klasma.github.io/Logging_2582/knärot/A 26776-2026 karta knärot.png", "A 26776-2026")</f>
        <v/>
      </c>
      <c r="AA889">
        <f>HYPERLINK("https://klasma.github.io/Logging_2582/klagomål/A 26776-2026 FSC-klagomål.docx", "A 26776-2026")</f>
        <v/>
      </c>
      <c r="AB889">
        <f>HYPERLINK("https://klasma.github.io/Logging_2582/klagomålsmail/A 26776-2026 FSC-klagomål mail.docx", "A 26776-2026")</f>
        <v/>
      </c>
      <c r="AC889">
        <f>HYPERLINK("https://klasma.github.io/Logging_2582/tillsyn/A 26776-2026 tillsynsbegäran.docx", "A 26776-2026")</f>
        <v/>
      </c>
      <c r="AD889">
        <f>HYPERLINK("https://klasma.github.io/Logging_2582/tillsynsmail/A 26776-2026 tillsynsbegäran mail.docx", "A 26776-2026")</f>
        <v/>
      </c>
    </row>
    <row r="890" ht="15" customHeight="1">
      <c r="A890" t="inlineStr">
        <is>
          <t>A 26714-2026</t>
        </is>
      </c>
      <c r="B890" t="inlineStr">
        <is>
          <t>avverkningsanmälan</t>
        </is>
      </c>
      <c r="C890" t="inlineStr">
        <is>
          <t>Föryngringsavverkning</t>
        </is>
      </c>
      <c r="D890" s="1" t="n">
        <v>46184</v>
      </c>
      <c r="E890" s="1" t="n">
        <v>46323</v>
      </c>
      <c r="F890" t="inlineStr">
        <is>
          <t>NORRBOTTENS LÄN</t>
        </is>
      </c>
      <c r="G890" t="inlineStr">
        <is>
          <t>BODEN</t>
        </is>
      </c>
      <c r="H890" t="inlineStr">
        <is>
          <t>Sveaskog</t>
        </is>
      </c>
      <c r="I890" t="n">
        <v>7.2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s="2" t="inlineStr"/>
    </row>
    <row r="891" ht="15" customHeight="1">
      <c r="A891" t="inlineStr">
        <is>
          <t>A 26662-2026</t>
        </is>
      </c>
      <c r="B891" t="inlineStr">
        <is>
          <t>avverkningsanmälan</t>
        </is>
      </c>
      <c r="C891" t="inlineStr">
        <is>
          <t>Föryngringsavverkning</t>
        </is>
      </c>
      <c r="D891" s="1" t="n">
        <v>46184</v>
      </c>
      <c r="E891" s="1" t="n">
        <v>46323</v>
      </c>
      <c r="F891" t="inlineStr">
        <is>
          <t>NORRBOTTENS LÄN</t>
        </is>
      </c>
      <c r="G891" t="inlineStr">
        <is>
          <t>BODEN</t>
        </is>
      </c>
      <c r="H891" t="inlineStr">
        <is>
          <t>Sveaskog</t>
        </is>
      </c>
      <c r="I891" t="n">
        <v>42.2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s="2" t="inlineStr"/>
    </row>
    <row r="892" ht="15" customHeight="1">
      <c r="A892" t="inlineStr">
        <is>
          <t>A 27749-2026</t>
        </is>
      </c>
      <c r="B892" t="inlineStr">
        <is>
          <t>avverkningsanmälan</t>
        </is>
      </c>
      <c r="C892" t="inlineStr">
        <is>
          <t>Föryngringsavverkning</t>
        </is>
      </c>
      <c r="D892" s="1" t="n">
        <v>46191</v>
      </c>
      <c r="E892" s="1" t="n">
        <v>46323</v>
      </c>
      <c r="F892" t="inlineStr">
        <is>
          <t>NORRBOTTENS LÄN</t>
        </is>
      </c>
      <c r="G892" t="inlineStr">
        <is>
          <t>BODEN</t>
        </is>
      </c>
      <c r="I892" t="n">
        <v>4.9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s="2" t="inlineStr"/>
    </row>
    <row r="893" ht="15" customHeight="1">
      <c r="A893" t="inlineStr">
        <is>
          <t>A 28566-2026</t>
        </is>
      </c>
      <c r="B893" t="inlineStr">
        <is>
          <t>avverkningsanmälan</t>
        </is>
      </c>
      <c r="C893" t="inlineStr">
        <is>
          <t>Föryngringsavverkning</t>
        </is>
      </c>
      <c r="D893" s="1" t="n">
        <v>46197</v>
      </c>
      <c r="E893" s="1" t="n">
        <v>46323</v>
      </c>
      <c r="F893" t="inlineStr">
        <is>
          <t>NORRBOTTENS LÄN</t>
        </is>
      </c>
      <c r="G893" t="inlineStr">
        <is>
          <t>BODEN</t>
        </is>
      </c>
      <c r="H893" t="inlineStr">
        <is>
          <t>Sveaskog</t>
        </is>
      </c>
      <c r="I893" t="n">
        <v>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s="2" t="inlineStr"/>
    </row>
    <row r="894" ht="15" customHeight="1">
      <c r="A894" t="inlineStr">
        <is>
          <t>A 28512-2026</t>
        </is>
      </c>
      <c r="B894" t="inlineStr">
        <is>
          <t>avverkningsanmälan</t>
        </is>
      </c>
      <c r="C894" t="inlineStr">
        <is>
          <t>Föryngringsavverkning</t>
        </is>
      </c>
      <c r="D894" s="1" t="n">
        <v>46197</v>
      </c>
      <c r="E894" s="1" t="n">
        <v>46323</v>
      </c>
      <c r="F894" t="inlineStr">
        <is>
          <t>NORRBOTTENS LÄN</t>
        </is>
      </c>
      <c r="G894" t="inlineStr">
        <is>
          <t>BODEN</t>
        </is>
      </c>
      <c r="I894" t="n">
        <v>10.8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s="2" t="inlineStr"/>
    </row>
    <row r="895" ht="15" customHeight="1">
      <c r="A895" t="inlineStr">
        <is>
          <t>A 28509-2026</t>
        </is>
      </c>
      <c r="B895" t="inlineStr">
        <is>
          <t>avverkningsanmälan</t>
        </is>
      </c>
      <c r="C895" t="inlineStr">
        <is>
          <t>Föryngringsavverkning</t>
        </is>
      </c>
      <c r="D895" s="1" t="n">
        <v>46197</v>
      </c>
      <c r="E895" s="1" t="n">
        <v>46323</v>
      </c>
      <c r="F895" t="inlineStr">
        <is>
          <t>NORRBOTTENS LÄN</t>
        </is>
      </c>
      <c r="G895" t="inlineStr">
        <is>
          <t>BODEN</t>
        </is>
      </c>
      <c r="I895" t="n">
        <v>8.9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s="2" t="inlineStr"/>
    </row>
    <row r="896" ht="15" customHeight="1">
      <c r="A896" t="inlineStr">
        <is>
          <t>A 29467-2026</t>
        </is>
      </c>
      <c r="B896" t="inlineStr">
        <is>
          <t>avverkningsanmälan</t>
        </is>
      </c>
      <c r="C896" t="inlineStr">
        <is>
          <t>Föryngringsavverkning</t>
        </is>
      </c>
      <c r="D896" s="1" t="n">
        <v>46198</v>
      </c>
      <c r="E896" s="1" t="n">
        <v>46323</v>
      </c>
      <c r="F896" t="inlineStr">
        <is>
          <t>NORRBOTTENS LÄN</t>
        </is>
      </c>
      <c r="G896" t="inlineStr">
        <is>
          <t>BODEN</t>
        </is>
      </c>
      <c r="I896" t="n">
        <v>14.5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s="2" t="inlineStr"/>
    </row>
    <row r="897" ht="15" customHeight="1">
      <c r="A897" t="inlineStr">
        <is>
          <t>A 28241-2026</t>
        </is>
      </c>
      <c r="B897" t="inlineStr">
        <is>
          <t>avverkningsanmälan</t>
        </is>
      </c>
      <c r="C897" t="inlineStr">
        <is>
          <t>Föryngringsavverkning</t>
        </is>
      </c>
      <c r="D897" s="1" t="n">
        <v>46196</v>
      </c>
      <c r="E897" s="1" t="n">
        <v>46323</v>
      </c>
      <c r="F897" t="inlineStr">
        <is>
          <t>NORRBOTTENS LÄN</t>
        </is>
      </c>
      <c r="G897" t="inlineStr">
        <is>
          <t>BODEN</t>
        </is>
      </c>
      <c r="I897" t="n">
        <v>2.8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s="2" t="inlineStr"/>
    </row>
    <row r="898" ht="15" customHeight="1">
      <c r="A898" t="inlineStr">
        <is>
          <t>A 28615-2026</t>
        </is>
      </c>
      <c r="B898" t="inlineStr">
        <is>
          <t>avverkningsanmälan</t>
        </is>
      </c>
      <c r="C898" t="inlineStr">
        <is>
          <t>Föryngringsavverkning</t>
        </is>
      </c>
      <c r="D898" s="1" t="n">
        <v>46197</v>
      </c>
      <c r="E898" s="1" t="n">
        <v>46323</v>
      </c>
      <c r="F898" t="inlineStr">
        <is>
          <t>NORRBOTTENS LÄN</t>
        </is>
      </c>
      <c r="G898" t="inlineStr">
        <is>
          <t>BODEN</t>
        </is>
      </c>
      <c r="I898" t="n">
        <v>6.1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s="2" t="inlineStr"/>
    </row>
    <row r="899" ht="15" customHeight="1">
      <c r="A899" t="inlineStr">
        <is>
          <t>A 60337-2024</t>
        </is>
      </c>
      <c r="B899" t="inlineStr">
        <is>
          <t>avverkningsanmälan</t>
        </is>
      </c>
      <c r="C899" t="inlineStr">
        <is>
          <t>Föryngringsavverkning</t>
        </is>
      </c>
      <c r="D899" s="1" t="n">
        <v>45643</v>
      </c>
      <c r="E899" s="1" t="n">
        <v>46323</v>
      </c>
      <c r="F899" t="inlineStr">
        <is>
          <t>NORRBOTTENS LÄN</t>
        </is>
      </c>
      <c r="G899" t="inlineStr">
        <is>
          <t>BODEN</t>
        </is>
      </c>
      <c r="I899" t="n">
        <v>8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s="2" t="inlineStr"/>
    </row>
    <row r="900" ht="15" customHeight="1">
      <c r="A900" t="inlineStr">
        <is>
          <t>S 885-2024</t>
        </is>
      </c>
      <c r="B900" t="inlineStr">
        <is>
          <t>samrådsanmälan</t>
        </is>
      </c>
      <c r="C900" t="inlineStr">
        <is>
          <t>Annan skogsbruksåtgärd</t>
        </is>
      </c>
      <c r="D900" s="1" t="n">
        <v>45376</v>
      </c>
      <c r="E900" s="1" t="n">
        <v>46323</v>
      </c>
      <c r="F900" t="inlineStr">
        <is>
          <t>NORRBOTTENS LÄN</t>
        </is>
      </c>
      <c r="G900" t="inlineStr">
        <is>
          <t>BODEN</t>
        </is>
      </c>
      <c r="H900" t="inlineStr">
        <is>
          <t>Sveaskog</t>
        </is>
      </c>
      <c r="I900" t="n">
        <v>5.7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s="2" t="inlineStr"/>
    </row>
    <row r="901" ht="15" customHeight="1">
      <c r="A901" t="inlineStr">
        <is>
          <t>S 1063-2023</t>
        </is>
      </c>
      <c r="B901" t="inlineStr">
        <is>
          <t>samrådsanmälan</t>
        </is>
      </c>
      <c r="C901" t="inlineStr">
        <is>
          <t>Annan skogsbruksåtgärd</t>
        </is>
      </c>
      <c r="D901" s="1" t="n">
        <v>45013</v>
      </c>
      <c r="E901" s="1" t="n">
        <v>46323</v>
      </c>
      <c r="F901" t="inlineStr">
        <is>
          <t>NORRBOTTENS LÄN</t>
        </is>
      </c>
      <c r="G901" t="inlineStr">
        <is>
          <t>BODEN</t>
        </is>
      </c>
      <c r="I901" t="n">
        <v>4.8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s="2" t="inlineStr"/>
    </row>
    <row r="902" ht="15" customHeight="1">
      <c r="A902" t="inlineStr">
        <is>
          <t>S 883-2024</t>
        </is>
      </c>
      <c r="B902" t="inlineStr">
        <is>
          <t>samrådsanmälan</t>
        </is>
      </c>
      <c r="C902" t="inlineStr">
        <is>
          <t>Annan skogsbruksåtgärd</t>
        </is>
      </c>
      <c r="D902" s="1" t="n">
        <v>45376</v>
      </c>
      <c r="E902" s="1" t="n">
        <v>46323</v>
      </c>
      <c r="F902" t="inlineStr">
        <is>
          <t>NORRBOTTENS LÄN</t>
        </is>
      </c>
      <c r="G902" t="inlineStr">
        <is>
          <t>BODEN</t>
        </is>
      </c>
      <c r="H902" t="inlineStr">
        <is>
          <t>Sveaskog</t>
        </is>
      </c>
      <c r="I902" t="n">
        <v>2.4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s="2" t="inlineStr"/>
    </row>
    <row r="903" ht="15" customHeight="1">
      <c r="A903" t="inlineStr">
        <is>
          <t>S 52-2025</t>
        </is>
      </c>
      <c r="B903" t="inlineStr">
        <is>
          <t>samrådsanmälan</t>
        </is>
      </c>
      <c r="C903" t="inlineStr">
        <is>
          <t>Annan skogsbruksåtgärd</t>
        </is>
      </c>
      <c r="D903" s="1" t="n">
        <v>45667</v>
      </c>
      <c r="E903" s="1" t="n">
        <v>46323</v>
      </c>
      <c r="F903" t="inlineStr">
        <is>
          <t>NORRBOTTENS LÄN</t>
        </is>
      </c>
      <c r="G903" t="inlineStr">
        <is>
          <t>BODEN</t>
        </is>
      </c>
      <c r="I903" t="n">
        <v>2.9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s="2" t="inlineStr"/>
    </row>
    <row r="904" ht="15" customHeight="1">
      <c r="A904" t="inlineStr">
        <is>
          <t>S 190-2023</t>
        </is>
      </c>
      <c r="B904" t="inlineStr">
        <is>
          <t>samrådsanmälan</t>
        </is>
      </c>
      <c r="C904" t="inlineStr">
        <is>
          <t>Skogsgödsling</t>
        </is>
      </c>
      <c r="D904" s="1" t="n">
        <v>44945</v>
      </c>
      <c r="E904" s="1" t="n">
        <v>46323</v>
      </c>
      <c r="F904" t="inlineStr">
        <is>
          <t>NORRBOTTENS LÄN</t>
        </is>
      </c>
      <c r="G904" t="inlineStr">
        <is>
          <t>BODEN</t>
        </is>
      </c>
      <c r="H904" t="inlineStr">
        <is>
          <t>SCA</t>
        </is>
      </c>
      <c r="I904" t="n">
        <v>6.8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s="2" t="inlineStr"/>
    </row>
    <row r="905" ht="15" customHeight="1">
      <c r="A905" t="inlineStr">
        <is>
          <t>S 977-2025</t>
        </is>
      </c>
      <c r="B905" t="inlineStr">
        <is>
          <t>samrådsanmälan</t>
        </is>
      </c>
      <c r="C905" t="inlineStr">
        <is>
          <t>Skogsgödsling</t>
        </is>
      </c>
      <c r="D905" s="1" t="n">
        <v>45743</v>
      </c>
      <c r="E905" s="1" t="n">
        <v>46323</v>
      </c>
      <c r="F905" t="inlineStr">
        <is>
          <t>NORRBOTTENS LÄN</t>
        </is>
      </c>
      <c r="G905" t="inlineStr">
        <is>
          <t>BODEN</t>
        </is>
      </c>
      <c r="I905" t="n">
        <v>11.1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s="2" t="inlineStr"/>
    </row>
    <row r="906" ht="15" customHeight="1">
      <c r="A906" t="inlineStr">
        <is>
          <t>S 978-2025</t>
        </is>
      </c>
      <c r="B906" t="inlineStr">
        <is>
          <t>samrådsanmälan</t>
        </is>
      </c>
      <c r="C906" t="inlineStr">
        <is>
          <t>Skogsgödsling</t>
        </is>
      </c>
      <c r="D906" s="1" t="n">
        <v>45743</v>
      </c>
      <c r="E906" s="1" t="n">
        <v>46323</v>
      </c>
      <c r="F906" t="inlineStr">
        <is>
          <t>NORRBOTTENS LÄN</t>
        </is>
      </c>
      <c r="G906" t="inlineStr">
        <is>
          <t>BODEN</t>
        </is>
      </c>
      <c r="I906" t="n">
        <v>19.5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s="2" t="inlineStr"/>
    </row>
    <row r="907" ht="15" customHeight="1">
      <c r="A907" t="inlineStr">
        <is>
          <t>S 1498-2025</t>
        </is>
      </c>
      <c r="B907" t="inlineStr">
        <is>
          <t>samrådsanmälan</t>
        </is>
      </c>
      <c r="C907" t="inlineStr">
        <is>
          <t>Skogsgödsling</t>
        </is>
      </c>
      <c r="D907" s="1" t="n">
        <v>45789</v>
      </c>
      <c r="E907" s="1" t="n">
        <v>46323</v>
      </c>
      <c r="F907" t="inlineStr">
        <is>
          <t>NORRBOTTENS LÄN</t>
        </is>
      </c>
      <c r="G907" t="inlineStr">
        <is>
          <t>BODEN</t>
        </is>
      </c>
      <c r="H907" t="inlineStr">
        <is>
          <t>Övriga Aktiebolag</t>
        </is>
      </c>
      <c r="I907" t="n">
        <v>7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s="2" t="inlineStr"/>
    </row>
    <row r="908" ht="15" customHeight="1">
      <c r="A908" t="inlineStr">
        <is>
          <t>S 1572-2025</t>
        </is>
      </c>
      <c r="B908" t="inlineStr">
        <is>
          <t>samrådsanmälan</t>
        </is>
      </c>
      <c r="C908" t="inlineStr">
        <is>
          <t>Skogsgödsling</t>
        </is>
      </c>
      <c r="D908" s="1" t="n">
        <v>45792</v>
      </c>
      <c r="E908" s="1" t="n">
        <v>46323</v>
      </c>
      <c r="F908" t="inlineStr">
        <is>
          <t>NORRBOTTENS LÄN</t>
        </is>
      </c>
      <c r="G908" t="inlineStr">
        <is>
          <t>BODEN</t>
        </is>
      </c>
      <c r="I908" t="n">
        <v>8.6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s="2" t="inlineStr"/>
    </row>
    <row r="909" ht="15" customHeight="1">
      <c r="A909" t="inlineStr">
        <is>
          <t>S 1631-2025</t>
        </is>
      </c>
      <c r="B909" t="inlineStr">
        <is>
          <t>samrådsanmälan</t>
        </is>
      </c>
      <c r="C909" t="inlineStr">
        <is>
          <t>Annan skogsbruksåtgärd</t>
        </is>
      </c>
      <c r="D909" s="1" t="n">
        <v>45799</v>
      </c>
      <c r="E909" s="1" t="n">
        <v>46323</v>
      </c>
      <c r="F909" t="inlineStr">
        <is>
          <t>NORRBOTTENS LÄN</t>
        </is>
      </c>
      <c r="G909" t="inlineStr">
        <is>
          <t>BODEN</t>
        </is>
      </c>
      <c r="H909" t="inlineStr">
        <is>
          <t>Sveaskog</t>
        </is>
      </c>
      <c r="I909" t="n">
        <v>1.2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s="2" t="inlineStr"/>
    </row>
    <row r="910" ht="15" customHeight="1">
      <c r="A910" t="inlineStr">
        <is>
          <t>S 1633-2025</t>
        </is>
      </c>
      <c r="B910" t="inlineStr">
        <is>
          <t>samrådsanmälan</t>
        </is>
      </c>
      <c r="C910" t="inlineStr">
        <is>
          <t>Annan skogsbruksåtgärd</t>
        </is>
      </c>
      <c r="D910" s="1" t="n">
        <v>45799</v>
      </c>
      <c r="E910" s="1" t="n">
        <v>46323</v>
      </c>
      <c r="F910" t="inlineStr">
        <is>
          <t>NORRBOTTENS LÄN</t>
        </is>
      </c>
      <c r="G910" t="inlineStr">
        <is>
          <t>BODEN</t>
        </is>
      </c>
      <c r="H910" t="inlineStr">
        <is>
          <t>Sveaskog</t>
        </is>
      </c>
      <c r="I910" t="n">
        <v>0.2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s="2" t="inlineStr"/>
    </row>
    <row r="911" ht="15" customHeight="1">
      <c r="A911" t="inlineStr">
        <is>
          <t>S 1632-2025</t>
        </is>
      </c>
      <c r="B911" t="inlineStr">
        <is>
          <t>samrådsanmälan</t>
        </is>
      </c>
      <c r="C911" t="inlineStr">
        <is>
          <t>Annan skogsbruksåtgärd</t>
        </is>
      </c>
      <c r="D911" s="1" t="n">
        <v>45799</v>
      </c>
      <c r="E911" s="1" t="n">
        <v>46323</v>
      </c>
      <c r="F911" t="inlineStr">
        <is>
          <t>NORRBOTTENS LÄN</t>
        </is>
      </c>
      <c r="G911" t="inlineStr">
        <is>
          <t>BODEN</t>
        </is>
      </c>
      <c r="H911" t="inlineStr">
        <is>
          <t>Sveaskog</t>
        </is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s="2" t="inlineStr"/>
    </row>
    <row r="912" ht="15" customHeight="1">
      <c r="A912" t="inlineStr">
        <is>
          <t>S 1734-2025</t>
        </is>
      </c>
      <c r="B912" t="inlineStr">
        <is>
          <t>samrådsanmälan</t>
        </is>
      </c>
      <c r="C912" t="inlineStr">
        <is>
          <t>Annan skogsbruksåtgärd</t>
        </is>
      </c>
      <c r="D912" s="1" t="n">
        <v>45810</v>
      </c>
      <c r="E912" s="1" t="n">
        <v>46323</v>
      </c>
      <c r="F912" t="inlineStr">
        <is>
          <t>NORRBOTTENS LÄN</t>
        </is>
      </c>
      <c r="G912" t="inlineStr">
        <is>
          <t>BODEN</t>
        </is>
      </c>
      <c r="H912" t="inlineStr">
        <is>
          <t>Sveaskog</t>
        </is>
      </c>
      <c r="I912" t="n">
        <v>0.7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s="2" t="inlineStr"/>
    </row>
    <row r="913" ht="15" customHeight="1">
      <c r="A913" t="inlineStr">
        <is>
          <t>S 1811-2025</t>
        </is>
      </c>
      <c r="B913" t="inlineStr">
        <is>
          <t>samrådsanmälan</t>
        </is>
      </c>
      <c r="C913" t="inlineStr">
        <is>
          <t>Annan skogsbruksåtgärd</t>
        </is>
      </c>
      <c r="D913" s="1" t="n">
        <v>45818</v>
      </c>
      <c r="E913" s="1" t="n">
        <v>46323</v>
      </c>
      <c r="F913" t="inlineStr">
        <is>
          <t>NORRBOTTENS LÄN</t>
        </is>
      </c>
      <c r="G913" t="inlineStr">
        <is>
          <t>BODEN</t>
        </is>
      </c>
      <c r="H913" t="inlineStr">
        <is>
          <t>Sveaskog</t>
        </is>
      </c>
      <c r="I913" t="n">
        <v>0.7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s="2" t="inlineStr"/>
    </row>
    <row r="914" ht="15" customHeight="1">
      <c r="A914" t="inlineStr">
        <is>
          <t>S 2072-2025</t>
        </is>
      </c>
      <c r="B914" t="inlineStr">
        <is>
          <t>samrådsanmälan</t>
        </is>
      </c>
      <c r="C914" t="inlineStr">
        <is>
          <t>Annan skogsbruksåtgärd</t>
        </is>
      </c>
      <c r="D914" s="1" t="n">
        <v>45840</v>
      </c>
      <c r="E914" s="1" t="n">
        <v>46323</v>
      </c>
      <c r="F914" t="inlineStr">
        <is>
          <t>NORRBOTTENS LÄN</t>
        </is>
      </c>
      <c r="G914" t="inlineStr">
        <is>
          <t>BODEN</t>
        </is>
      </c>
      <c r="H914" t="inlineStr">
        <is>
          <t>Sveaskog</t>
        </is>
      </c>
      <c r="I914" t="n">
        <v>0.7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s="2" t="inlineStr"/>
    </row>
    <row r="915" ht="15" customHeight="1">
      <c r="A915" t="inlineStr">
        <is>
          <t>S 3580-2025</t>
        </is>
      </c>
      <c r="B915" t="inlineStr">
        <is>
          <t>samrådsanmälan</t>
        </is>
      </c>
      <c r="C915" t="inlineStr">
        <is>
          <t>Annan skogsbruksåtgärd</t>
        </is>
      </c>
      <c r="D915" s="1" t="n">
        <v>46018</v>
      </c>
      <c r="E915" s="1" t="n">
        <v>46323</v>
      </c>
      <c r="F915" t="inlineStr">
        <is>
          <t>NORRBOTTENS LÄN</t>
        </is>
      </c>
      <c r="G915" t="inlineStr">
        <is>
          <t>BODEN</t>
        </is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s="2" t="inlineStr"/>
    </row>
    <row r="916" ht="15" customHeight="1">
      <c r="A916" t="inlineStr">
        <is>
          <t>S 1267-2026</t>
        </is>
      </c>
      <c r="B916" t="inlineStr">
        <is>
          <t>samrådsanmälan</t>
        </is>
      </c>
      <c r="C916" t="inlineStr">
        <is>
          <t>Skogsgödsling</t>
        </is>
      </c>
      <c r="D916" s="1" t="n">
        <v>46147</v>
      </c>
      <c r="E916" s="1" t="n">
        <v>46323</v>
      </c>
      <c r="F916" t="inlineStr">
        <is>
          <t>NORRBOTTENS LÄN</t>
        </is>
      </c>
      <c r="G916" t="inlineStr">
        <is>
          <t>BODEN</t>
        </is>
      </c>
      <c r="I916" t="n">
        <v>57.4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s="2" t="inlineStr"/>
    </row>
    <row r="917" ht="15" customHeight="1">
      <c r="A917" t="inlineStr">
        <is>
          <t>S 1261-2026</t>
        </is>
      </c>
      <c r="B917" t="inlineStr">
        <is>
          <t>samrådsanmälan</t>
        </is>
      </c>
      <c r="C917" t="inlineStr">
        <is>
          <t>Skogsgödsling</t>
        </is>
      </c>
      <c r="D917" s="1" t="n">
        <v>46147</v>
      </c>
      <c r="E917" s="1" t="n">
        <v>46323</v>
      </c>
      <c r="F917" t="inlineStr">
        <is>
          <t>NORRBOTTENS LÄN</t>
        </is>
      </c>
      <c r="G917" t="inlineStr">
        <is>
          <t>BODEN</t>
        </is>
      </c>
      <c r="I917" t="n">
        <v>16.9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s="2" t="inlineStr"/>
    </row>
    <row r="918" ht="15" customHeight="1">
      <c r="A918" t="inlineStr">
        <is>
          <t>S 1262-2026</t>
        </is>
      </c>
      <c r="B918" t="inlineStr">
        <is>
          <t>samrådsanmälan</t>
        </is>
      </c>
      <c r="C918" t="inlineStr">
        <is>
          <t>Skogsgödsling</t>
        </is>
      </c>
      <c r="D918" s="1" t="n">
        <v>46147</v>
      </c>
      <c r="E918" s="1" t="n">
        <v>46323</v>
      </c>
      <c r="F918" t="inlineStr">
        <is>
          <t>NORRBOTTENS LÄN</t>
        </is>
      </c>
      <c r="G918" t="inlineStr">
        <is>
          <t>BODEN</t>
        </is>
      </c>
      <c r="H918" t="inlineStr">
        <is>
          <t>Kommuner</t>
        </is>
      </c>
      <c r="I918" t="n">
        <v>16.2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s="2" t="inlineStr"/>
    </row>
    <row r="919" ht="15" customHeight="1">
      <c r="A919" t="inlineStr">
        <is>
          <t>S 1356-2026</t>
        </is>
      </c>
      <c r="B919" t="inlineStr">
        <is>
          <t>samrådsanmälan</t>
        </is>
      </c>
      <c r="C919" t="inlineStr">
        <is>
          <t>Skogsgödsling</t>
        </is>
      </c>
      <c r="D919" s="1" t="n">
        <v>46152</v>
      </c>
      <c r="E919" s="1" t="n">
        <v>46323</v>
      </c>
      <c r="F919" t="inlineStr">
        <is>
          <t>NORRBOTTENS LÄN</t>
        </is>
      </c>
      <c r="G919" t="inlineStr">
        <is>
          <t>BODEN</t>
        </is>
      </c>
      <c r="I919" t="n">
        <v>124.7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s="2" t="inlineStr"/>
    </row>
    <row r="920" ht="15" customHeight="1">
      <c r="A920" t="inlineStr">
        <is>
          <t>S 1357-2026</t>
        </is>
      </c>
      <c r="B920" t="inlineStr">
        <is>
          <t>samrådsanmälan</t>
        </is>
      </c>
      <c r="C920" t="inlineStr">
        <is>
          <t>Skogsgödsling</t>
        </is>
      </c>
      <c r="D920" s="1" t="n">
        <v>46152</v>
      </c>
      <c r="E920" s="1" t="n">
        <v>46323</v>
      </c>
      <c r="F920" t="inlineStr">
        <is>
          <t>NORRBOTTENS LÄN</t>
        </is>
      </c>
      <c r="G920" t="inlineStr">
        <is>
          <t>BODEN</t>
        </is>
      </c>
      <c r="I920" t="n">
        <v>38.2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s="2" t="inlineStr"/>
    </row>
    <row r="921">
      <c r="A921" t="inlineStr">
        <is>
          <t>S 1297-2026</t>
        </is>
      </c>
      <c r="B921" t="inlineStr">
        <is>
          <t>samrådsanmälan</t>
        </is>
      </c>
      <c r="C921" t="inlineStr">
        <is>
          <t>Skogsgödsling</t>
        </is>
      </c>
      <c r="D921" s="1" t="n">
        <v>46148</v>
      </c>
      <c r="E921" s="1" t="n">
        <v>46323</v>
      </c>
      <c r="F921" t="inlineStr">
        <is>
          <t>NORRBOTTENS LÄN</t>
        </is>
      </c>
      <c r="G921" t="inlineStr">
        <is>
          <t>BODEN</t>
        </is>
      </c>
      <c r="I921" t="n">
        <v>20.5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2026-10-28T03:16:50Z</dcterms:created>
  <dcterms:modified xmlns:dcterms="http://purl.org/dc/terms/" xmlns:xsi="http://www.w3.org/2001/XMLSchema-instance" xsi:type="dcterms:W3CDTF">2026-10-28T03:16:51Z</dcterms:modified>
</cp:coreProperties>
</file>