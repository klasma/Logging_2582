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46255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46255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46255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46255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46255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46255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46255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46255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46255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46255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46255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46255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46255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46255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46255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46255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51389-2022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46255</v>
      </c>
      <c r="F24" t="inlineStr">
        <is>
          <t>NORRBOTTENS LÄN</t>
        </is>
      </c>
      <c r="G24" t="inlineStr">
        <is>
          <t>BODEN</t>
        </is>
      </c>
      <c r="H24" t="inlineStr">
        <is>
          <t>Övriga statliga verk och myndigheter</t>
        </is>
      </c>
      <c r="I24" t="n">
        <v>15.6</v>
      </c>
      <c r="J24" t="n">
        <v>6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3</v>
      </c>
      <c r="V24" s="2" t="inlineStr">
        <is>
          <t>Pärluggla
Grönsångare
Talltita
Järpe
Tallbit
Orre</t>
        </is>
      </c>
      <c r="W24">
        <f>HYPERLINK("https://klasma.github.io/Logging_2582/artfynd/A 51389-2022 artfynd.xlsx", "A 51389-2022")</f>
        <v/>
      </c>
      <c r="X24">
        <f>HYPERLINK("https://klasma.github.io/Logging_2582/kartor/A 51389-2022 karta.png", "A 51389-2022")</f>
        <v/>
      </c>
      <c r="Y24">
        <f>HYPERLINK("https://klasma.github.io/Logging_2582/kartor_geotiff/A 51389-2022 georefererad karta.tif", "A 51389-2022")</f>
        <v/>
      </c>
      <c r="AA24">
        <f>HYPERLINK("https://klasma.github.io/Logging_2582/klagomål/A 51389-2022 FSC-klagomål.docx", "A 51389-2022")</f>
        <v/>
      </c>
      <c r="AB24">
        <f>HYPERLINK("https://klasma.github.io/Logging_2582/klagomålsmail/A 51389-2022 FSC-klagomål mail.docx", "A 51389-2022")</f>
        <v/>
      </c>
      <c r="AC24">
        <f>HYPERLINK("https://klasma.github.io/Logging_2582/tillsyn/A 51389-2022 tillsynsbegäran.docx", "A 51389-2022")</f>
        <v/>
      </c>
      <c r="AD24">
        <f>HYPERLINK("https://klasma.github.io/Logging_2582/tillsynsmail/A 51389-2022 tillsynsbegäran mail.docx", "A 51389-2022")</f>
        <v/>
      </c>
      <c r="AE24">
        <f>HYPERLINK("https://klasma.github.io/Logging_2582/fåglar/A 51389-2022 prioriterade fågelarter.docx", "A 51389-2022")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46255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46255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46255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46255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46255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46255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46255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46255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46255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46255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46255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31197-2026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46209</v>
      </c>
      <c r="E36" s="1" t="n">
        <v>46255</v>
      </c>
      <c r="F36" t="inlineStr">
        <is>
          <t>NORRBOTTENS LÄN</t>
        </is>
      </c>
      <c r="G36" t="inlineStr">
        <is>
          <t>BODEN</t>
        </is>
      </c>
      <c r="H36" t="inlineStr">
        <is>
          <t>Kommuner</t>
        </is>
      </c>
      <c r="I36" t="n">
        <v>2.7</v>
      </c>
      <c r="J36" t="n">
        <v>4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6</v>
      </c>
      <c r="U36" t="n">
        <v>0</v>
      </c>
      <c r="V36" s="2" t="inlineStr">
        <is>
          <t>Tornseglare
Älvstarr
Grönsiska
Svartvit flugsnappare
Vanlig groda</t>
        </is>
      </c>
      <c r="W36">
        <f>HYPERLINK("https://klasma.github.io/Logging_2582/artfynd/A 31197-2026 artfynd.xlsx", "A 31197-2026")</f>
        <v/>
      </c>
      <c r="X36">
        <f>HYPERLINK("https://klasma.github.io/Logging_2582/kartor/A 31197-2026 karta.png", "A 31197-2026")</f>
        <v/>
      </c>
      <c r="Y36">
        <f>HYPERLINK("https://klasma.github.io/Logging_2582/kartor_geotiff/A 31197-2026 georefererad karta.tif", "A 31197-2026")</f>
        <v/>
      </c>
      <c r="AA36">
        <f>HYPERLINK("https://klasma.github.io/Logging_2582/klagomål/A 31197-2026 FSC-klagomål.docx", "A 31197-2026")</f>
        <v/>
      </c>
      <c r="AB36">
        <f>HYPERLINK("https://klasma.github.io/Logging_2582/klagomålsmail/A 31197-2026 FSC-klagomål mail.docx", "A 31197-2026")</f>
        <v/>
      </c>
      <c r="AC36">
        <f>HYPERLINK("https://klasma.github.io/Logging_2582/tillsyn/A 31197-2026 tillsynsbegäran.docx", "A 31197-2026")</f>
        <v/>
      </c>
      <c r="AD36">
        <f>HYPERLINK("https://klasma.github.io/Logging_2582/tillsynsmail/A 31197-2026 tillsynsbegäran mail.docx", "A 31197-2026")</f>
        <v/>
      </c>
      <c r="AE36">
        <f>HYPERLINK("https://klasma.github.io/Logging_2582/fåglar/A 31197-2026 prioriterade fågelarter.docx", "A 31197-2026")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46255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30513-2026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46210</v>
      </c>
      <c r="E38" s="1" t="n">
        <v>46255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10.2</v>
      </c>
      <c r="J38" t="n">
        <v>1</v>
      </c>
      <c r="K38" t="n">
        <v>1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14</v>
      </c>
      <c r="U38" t="n">
        <v>5</v>
      </c>
      <c r="V38" s="2" t="inlineStr">
        <is>
          <t>Gräddporing
Knärot
Nordtagging
Tallticka
Grönpyrola</t>
        </is>
      </c>
      <c r="W38">
        <f>HYPERLINK("https://klasma.github.io/Logging_2582/artfynd/A 30513-2026 artfynd.xlsx", "A 30513-2026")</f>
        <v/>
      </c>
      <c r="X38">
        <f>HYPERLINK("https://klasma.github.io/Logging_2582/kartor/A 30513-2026 karta.png", "A 30513-2026")</f>
        <v/>
      </c>
      <c r="Y38">
        <f>HYPERLINK("https://klasma.github.io/Logging_2582/kartor_geotiff/A 30513-2026 georefererad karta.tif", "A 30513-2026")</f>
        <v/>
      </c>
      <c r="Z38">
        <f>HYPERLINK("https://klasma.github.io/Logging_2582/knärot/A 30513-2026 karta knärot.png", "A 30513-2026")</f>
        <v/>
      </c>
      <c r="AA38">
        <f>HYPERLINK("https://klasma.github.io/Logging_2582/klagomål/A 30513-2026 FSC-klagomål.docx", "A 30513-2026")</f>
        <v/>
      </c>
      <c r="AB38">
        <f>HYPERLINK("https://klasma.github.io/Logging_2582/klagomålsmail/A 30513-2026 FSC-klagomål mail.docx", "A 30513-2026")</f>
        <v/>
      </c>
      <c r="AC38">
        <f>HYPERLINK("https://klasma.github.io/Logging_2582/tillsyn/A 30513-2026 tillsynsbegäran.docx", "A 30513-2026")</f>
        <v/>
      </c>
      <c r="AD38">
        <f>HYPERLINK("https://klasma.github.io/Logging_2582/tillsynsmail/A 30513-2026 tillsynsbegäran mail.docx", "A 30513-2026")</f>
        <v/>
      </c>
    </row>
    <row r="39" ht="15" customHeight="1">
      <c r="A39" t="inlineStr">
        <is>
          <t>A 19324-2024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46255</v>
      </c>
      <c r="F39" t="inlineStr">
        <is>
          <t>NORRBOTTENS LÄN</t>
        </is>
      </c>
      <c r="G39" t="inlineStr">
        <is>
          <t>BODEN</t>
        </is>
      </c>
      <c r="I39" t="n">
        <v>3.8</v>
      </c>
      <c r="J39" t="n">
        <v>3</v>
      </c>
      <c r="K39" t="n">
        <v>1</v>
      </c>
      <c r="L39" t="n">
        <v>0</v>
      </c>
      <c r="M39" t="n">
        <v>2</v>
      </c>
      <c r="N39" t="n">
        <v>1</v>
      </c>
      <c r="O39" t="n">
        <v>0</v>
      </c>
      <c r="P39" t="n">
        <v>0</v>
      </c>
      <c r="Q39" t="n">
        <v>3</v>
      </c>
      <c r="R39" t="n">
        <v>3</v>
      </c>
      <c r="S39" t="n">
        <v>5</v>
      </c>
      <c r="T39" t="n">
        <v>6</v>
      </c>
      <c r="U39" t="n">
        <v>5</v>
      </c>
      <c r="V39" s="2" t="inlineStr">
        <is>
          <t>Bitter taggsvamp
Knärot
Norna
Ögonpyrola
Nattviol</t>
        </is>
      </c>
      <c r="W39">
        <f>HYPERLINK("https://klasma.github.io/Logging_2582/artfynd/A 19324-2024 artfynd.xlsx", "A 19324-2024")</f>
        <v/>
      </c>
      <c r="X39">
        <f>HYPERLINK("https://klasma.github.io/Logging_2582/kartor/A 19324-2024 karta.png", "A 19324-2024")</f>
        <v/>
      </c>
      <c r="Y39">
        <f>HYPERLINK("https://klasma.github.io/Logging_2582/kartor_geotiff/A 19324-2024 georefererad karta.tif", "A 19324-2024")</f>
        <v/>
      </c>
      <c r="Z39">
        <f>HYPERLINK("https://klasma.github.io/Logging_2582/knärot/A 19324-2024 karta knärot.png", "A 19324-2024")</f>
        <v/>
      </c>
      <c r="AA39">
        <f>HYPERLINK("https://klasma.github.io/Logging_2582/klagomål/A 19324-2024 FSC-klagomål.docx", "A 19324-2024")</f>
        <v/>
      </c>
      <c r="AB39">
        <f>HYPERLINK("https://klasma.github.io/Logging_2582/klagomålsmail/A 19324-2024 FSC-klagomål mail.docx", "A 19324-2024")</f>
        <v/>
      </c>
      <c r="AC39">
        <f>HYPERLINK("https://klasma.github.io/Logging_2582/tillsyn/A 19324-2024 tillsynsbegäran.docx", "A 19324-2024")</f>
        <v/>
      </c>
      <c r="AD39">
        <f>HYPERLINK("https://klasma.github.io/Logging_2582/tillsynsmail/A 19324-2024 tillsynsbegäran mail.docx", "A 19324-2024")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46255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46255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46255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46255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46255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46255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46255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46255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46255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10087-2026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46073</v>
      </c>
      <c r="E50" s="1" t="n">
        <v>46255</v>
      </c>
      <c r="F50" t="inlineStr">
        <is>
          <t>NORRBOTTENS LÄN</t>
        </is>
      </c>
      <c r="G50" t="inlineStr">
        <is>
          <t>BODEN</t>
        </is>
      </c>
      <c r="I50" t="n">
        <v>5.9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Korthornad vedstekel
Skogsödla
Vanlig padda</t>
        </is>
      </c>
      <c r="W50">
        <f>HYPERLINK("https://klasma.github.io/Logging_2582/artfynd/A 10087-2026 artfynd.xlsx", "A 10087-2026")</f>
        <v/>
      </c>
      <c r="X50">
        <f>HYPERLINK("https://klasma.github.io/Logging_2582/kartor/A 10087-2026 karta.png", "A 10087-2026")</f>
        <v/>
      </c>
      <c r="Y50">
        <f>HYPERLINK("https://klasma.github.io/Logging_2582/kartor_geotiff/A 10087-2026 georefererad karta.tif", "A 10087-2026")</f>
        <v/>
      </c>
      <c r="AA50">
        <f>HYPERLINK("https://klasma.github.io/Logging_2582/klagomål/A 10087-2026 FSC-klagomål.docx", "A 10087-2026")</f>
        <v/>
      </c>
      <c r="AB50">
        <f>HYPERLINK("https://klasma.github.io/Logging_2582/klagomålsmail/A 10087-2026 FSC-klagomål mail.docx", "A 10087-2026")</f>
        <v/>
      </c>
      <c r="AC50">
        <f>HYPERLINK("https://klasma.github.io/Logging_2582/tillsyn/A 10087-2026 tillsynsbegäran.docx", "A 10087-2026")</f>
        <v/>
      </c>
      <c r="AD50">
        <f>HYPERLINK("https://klasma.github.io/Logging_2582/tillsynsmail/A 10087-2026 tillsynsbegäran mail.docx", "A 10087-2026")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46255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46255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46255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46255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46255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6118-2025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46255</v>
      </c>
      <c r="F56" t="inlineStr">
        <is>
          <t>NORRBOTTENS LÄN</t>
        </is>
      </c>
      <c r="G56" t="inlineStr">
        <is>
          <t>BODEN</t>
        </is>
      </c>
      <c r="H56" t="inlineStr">
        <is>
          <t>SCA</t>
        </is>
      </c>
      <c r="I56" t="n">
        <v>3.7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14</v>
      </c>
      <c r="U56" t="n">
        <v>14</v>
      </c>
      <c r="V56" s="2" t="inlineStr">
        <is>
          <t>Garnlav
Tretåig hackspett
Spillkråka</t>
        </is>
      </c>
      <c r="W56">
        <f>HYPERLINK("https://klasma.github.io/Logging_2582/artfynd/A 6118-2025 artfynd.xlsx", "A 6118-2025")</f>
        <v/>
      </c>
      <c r="X56">
        <f>HYPERLINK("https://klasma.github.io/Logging_2582/kartor/A 6118-2025 karta.png", "A 6118-2025")</f>
        <v/>
      </c>
      <c r="Y56">
        <f>HYPERLINK("https://klasma.github.io/Logging_2582/kartor_geotiff/A 6118-2025 georefererad karta.tif", "A 6118-2025")</f>
        <v/>
      </c>
      <c r="AA56">
        <f>HYPERLINK("https://klasma.github.io/Logging_2582/klagomål/A 6118-2025 FSC-klagomål.docx", "A 6118-2025")</f>
        <v/>
      </c>
      <c r="AB56">
        <f>HYPERLINK("https://klasma.github.io/Logging_2582/klagomålsmail/A 6118-2025 FSC-klagomål mail.docx", "A 6118-2025")</f>
        <v/>
      </c>
      <c r="AC56">
        <f>HYPERLINK("https://klasma.github.io/Logging_2582/tillsyn/A 6118-2025 tillsynsbegäran.docx", "A 6118-2025")</f>
        <v/>
      </c>
      <c r="AD56">
        <f>HYPERLINK("https://klasma.github.io/Logging_2582/tillsynsmail/A 6118-2025 tillsynsbegäran mail.docx", "A 6118-2025")</f>
        <v/>
      </c>
      <c r="AE56">
        <f>HYPERLINK("https://klasma.github.io/Logging_2582/fåglar/A 6118-2025 prioriterade fågelarter.docx", "A 6118-2025")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46255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46255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46255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46255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46255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46255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46255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58196-2021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46255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Gammelgransskål
Lunglav</t>
        </is>
      </c>
      <c r="W64">
        <f>HYPERLINK("https://klasma.github.io/Logging_2582/artfynd/A 58196-2021 artfynd.xlsx", "A 58196-2021")</f>
        <v/>
      </c>
      <c r="X64">
        <f>HYPERLINK("https://klasma.github.io/Logging_2582/kartor/A 58196-2021 karta.png", "A 58196-2021")</f>
        <v/>
      </c>
      <c r="Y64">
        <f>HYPERLINK("https://klasma.github.io/Logging_2582/kartor_geotiff/A 58196-2021 georefererad karta.tif", "A 58196-2021")</f>
        <v/>
      </c>
      <c r="AA64">
        <f>HYPERLINK("https://klasma.github.io/Logging_2582/klagomål/A 58196-2021 FSC-klagomål.docx", "A 58196-2021")</f>
        <v/>
      </c>
      <c r="AB64">
        <f>HYPERLINK("https://klasma.github.io/Logging_2582/klagomålsmail/A 58196-2021 FSC-klagomål mail.docx", "A 58196-2021")</f>
        <v/>
      </c>
      <c r="AC64">
        <f>HYPERLINK("https://klasma.github.io/Logging_2582/tillsyn/A 58196-2021 tillsynsbegäran.docx", "A 58196-2021")</f>
        <v/>
      </c>
      <c r="AD64">
        <f>HYPERLINK("https://klasma.github.io/Logging_2582/tillsynsmail/A 58196-2021 tillsynsbegäran mail.docx", "A 58196-2021")</f>
        <v/>
      </c>
    </row>
    <row r="65" ht="15" customHeight="1">
      <c r="A65" t="inlineStr">
        <is>
          <t>A 13659-2022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46255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7.3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Bollvitmossa
Ögonpyrola</t>
        </is>
      </c>
      <c r="W65">
        <f>HYPERLINK("https://klasma.github.io/Logging_2582/artfynd/A 13659-2022 artfynd.xlsx", "A 13659-2022")</f>
        <v/>
      </c>
      <c r="X65">
        <f>HYPERLINK("https://klasma.github.io/Logging_2582/kartor/A 13659-2022 karta.png", "A 13659-2022")</f>
        <v/>
      </c>
      <c r="Y65">
        <f>HYPERLINK("https://klasma.github.io/Logging_2582/kartor_geotiff/A 13659-2022 georefererad karta.tif", "A 13659-2022")</f>
        <v/>
      </c>
      <c r="AA65">
        <f>HYPERLINK("https://klasma.github.io/Logging_2582/klagomål/A 13659-2022 FSC-klagomål.docx", "A 13659-2022")</f>
        <v/>
      </c>
      <c r="AB65">
        <f>HYPERLINK("https://klasma.github.io/Logging_2582/klagomålsmail/A 13659-2022 FSC-klagomål mail.docx", "A 13659-2022")</f>
        <v/>
      </c>
      <c r="AC65">
        <f>HYPERLINK("https://klasma.github.io/Logging_2582/tillsyn/A 13659-2022 tillsynsbegäran.docx", "A 13659-2022")</f>
        <v/>
      </c>
      <c r="AD65">
        <f>HYPERLINK("https://klasma.github.io/Logging_2582/tillsynsmail/A 13659-2022 tillsynsbegäran mail.docx", "A 13659-2022")</f>
        <v/>
      </c>
    </row>
    <row r="66" ht="15" customHeight="1">
      <c r="A66" t="inlineStr">
        <is>
          <t>A 36629-2022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46255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10</v>
      </c>
      <c r="U66" t="n">
        <v>10</v>
      </c>
      <c r="V66" s="2" t="inlineStr">
        <is>
          <t>Dropptaggsvamp
Skarp dropptaggsvamp</t>
        </is>
      </c>
      <c r="W66">
        <f>HYPERLINK("https://klasma.github.io/Logging_2582/artfynd/A 36629-2022 artfynd.xlsx", "A 36629-2022")</f>
        <v/>
      </c>
      <c r="X66">
        <f>HYPERLINK("https://klasma.github.io/Logging_2582/kartor/A 36629-2022 karta.png", "A 36629-2022")</f>
        <v/>
      </c>
      <c r="Y66">
        <f>HYPERLINK("https://klasma.github.io/Logging_2582/kartor_geotiff/A 36629-2022 georefererad karta.tif", "A 36629-2022")</f>
        <v/>
      </c>
      <c r="AA66">
        <f>HYPERLINK("https://klasma.github.io/Logging_2582/klagomål/A 36629-2022 FSC-klagomål.docx", "A 36629-2022")</f>
        <v/>
      </c>
      <c r="AB66">
        <f>HYPERLINK("https://klasma.github.io/Logging_2582/klagomålsmail/A 36629-2022 FSC-klagomål mail.docx", "A 36629-2022")</f>
        <v/>
      </c>
      <c r="AC66">
        <f>HYPERLINK("https://klasma.github.io/Logging_2582/tillsyn/A 36629-2022 tillsynsbegäran.docx", "A 36629-2022")</f>
        <v/>
      </c>
      <c r="AD66">
        <f>HYPERLINK("https://klasma.github.io/Logging_2582/tillsynsmail/A 36629-2022 tillsynsbegäran mail.docx", "A 36629-2022")</f>
        <v/>
      </c>
    </row>
    <row r="67" ht="15" customHeight="1">
      <c r="A67" t="inlineStr">
        <is>
          <t>A 35037-2022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46255</v>
      </c>
      <c r="F67" t="inlineStr">
        <is>
          <t>NORRBOTTENS LÄN</t>
        </is>
      </c>
      <c r="G67" t="inlineStr">
        <is>
          <t>BODEN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Rödvingetrast
Revlummer</t>
        </is>
      </c>
      <c r="W67">
        <f>HYPERLINK("https://klasma.github.io/Logging_2582/artfynd/A 35037-2022 artfynd.xlsx", "A 35037-2022")</f>
        <v/>
      </c>
      <c r="X67">
        <f>HYPERLINK("https://klasma.github.io/Logging_2582/kartor/A 35037-2022 karta.png", "A 35037-2022")</f>
        <v/>
      </c>
      <c r="Y67">
        <f>HYPERLINK("https://klasma.github.io/Logging_2582/kartor_geotiff/A 35037-2022 georefererad karta.tif", "A 35037-2022")</f>
        <v/>
      </c>
      <c r="AA67">
        <f>HYPERLINK("https://klasma.github.io/Logging_2582/klagomål/A 35037-2022 FSC-klagomål.docx", "A 35037-2022")</f>
        <v/>
      </c>
      <c r="AB67">
        <f>HYPERLINK("https://klasma.github.io/Logging_2582/klagomålsmail/A 35037-2022 FSC-klagomål mail.docx", "A 35037-2022")</f>
        <v/>
      </c>
      <c r="AC67">
        <f>HYPERLINK("https://klasma.github.io/Logging_2582/tillsyn/A 35037-2022 tillsynsbegäran.docx", "A 35037-2022")</f>
        <v/>
      </c>
      <c r="AD67">
        <f>HYPERLINK("https://klasma.github.io/Logging_2582/tillsynsmail/A 35037-2022 tillsynsbegäran mail.docx", "A 35037-2022")</f>
        <v/>
      </c>
      <c r="AE67">
        <f>HYPERLINK("https://klasma.github.io/Logging_2582/fåglar/A 35037-2022 prioriterade fågelarter.docx", "A 35037-2022")</f>
        <v/>
      </c>
    </row>
    <row r="68" ht="15" customHeight="1">
      <c r="A68" t="inlineStr">
        <is>
          <t>A 26346-2022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46255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Blå taggsvamp
Ullticka</t>
        </is>
      </c>
      <c r="W68">
        <f>HYPERLINK("https://klasma.github.io/Logging_2582/artfynd/A 26346-2022 artfynd.xlsx", "A 26346-2022")</f>
        <v/>
      </c>
      <c r="X68">
        <f>HYPERLINK("https://klasma.github.io/Logging_2582/kartor/A 26346-2022 karta.png", "A 26346-2022")</f>
        <v/>
      </c>
      <c r="Y68">
        <f>HYPERLINK("https://klasma.github.io/Logging_2582/kartor_geotiff/A 26346-2022 georefererad karta.tif", "A 26346-2022")</f>
        <v/>
      </c>
      <c r="AA68">
        <f>HYPERLINK("https://klasma.github.io/Logging_2582/klagomål/A 26346-2022 FSC-klagomål.docx", "A 26346-2022")</f>
        <v/>
      </c>
      <c r="AB68">
        <f>HYPERLINK("https://klasma.github.io/Logging_2582/klagomålsmail/A 26346-2022 FSC-klagomål mail.docx", "A 26346-2022")</f>
        <v/>
      </c>
      <c r="AC68">
        <f>HYPERLINK("https://klasma.github.io/Logging_2582/tillsyn/A 26346-2022 tillsynsbegäran.docx", "A 26346-2022")</f>
        <v/>
      </c>
      <c r="AD68">
        <f>HYPERLINK("https://klasma.github.io/Logging_2582/tillsynsmail/A 26346-2022 tillsynsbegäran mail.docx", "A 26346-2022")</f>
        <v/>
      </c>
    </row>
    <row r="69" ht="15" customHeight="1">
      <c r="A69" t="inlineStr">
        <is>
          <t>A 28867-2025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46255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8.199999999999999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12</v>
      </c>
      <c r="U69" t="n">
        <v>12</v>
      </c>
      <c r="V69" s="2" t="inlineStr">
        <is>
          <t>Knärot
Fläcknycklar</t>
        </is>
      </c>
      <c r="W69">
        <f>HYPERLINK("https://klasma.github.io/Logging_2582/artfynd/A 28867-2025 artfynd.xlsx", "A 28867-2025")</f>
        <v/>
      </c>
      <c r="X69">
        <f>HYPERLINK("https://klasma.github.io/Logging_2582/kartor/A 28867-2025 karta.png", "A 28867-2025")</f>
        <v/>
      </c>
      <c r="Y69">
        <f>HYPERLINK("https://klasma.github.io/Logging_2582/kartor_geotiff/A 28867-2025 georefererad karta.tif", "A 28867-2025")</f>
        <v/>
      </c>
      <c r="Z69">
        <f>HYPERLINK("https://klasma.github.io/Logging_2582/knärot/A 28867-2025 karta knärot.png", "A 28867-2025")</f>
        <v/>
      </c>
      <c r="AA69">
        <f>HYPERLINK("https://klasma.github.io/Logging_2582/klagomål/A 28867-2025 FSC-klagomål.docx", "A 28867-2025")</f>
        <v/>
      </c>
      <c r="AB69">
        <f>HYPERLINK("https://klasma.github.io/Logging_2582/klagomålsmail/A 28867-2025 FSC-klagomål mail.docx", "A 28867-2025")</f>
        <v/>
      </c>
      <c r="AC69">
        <f>HYPERLINK("https://klasma.github.io/Logging_2582/tillsyn/A 28867-2025 tillsynsbegäran.docx", "A 28867-2025")</f>
        <v/>
      </c>
      <c r="AD69">
        <f>HYPERLINK("https://klasma.github.io/Logging_2582/tillsynsmail/A 28867-2025 tillsynsbegäran mail.docx", "A 28867-2025")</f>
        <v/>
      </c>
    </row>
    <row r="70" ht="15" customHeight="1">
      <c r="A70" t="inlineStr">
        <is>
          <t>A 1507-2022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46255</v>
      </c>
      <c r="F70" t="inlineStr">
        <is>
          <t>NORRBOTTENS LÄN</t>
        </is>
      </c>
      <c r="G70" t="inlineStr">
        <is>
          <t>BODEN</t>
        </is>
      </c>
      <c r="H70" t="inlineStr">
        <is>
          <t>Övriga statliga verk och myndigheter</t>
        </is>
      </c>
      <c r="I70" t="n">
        <v>15.4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Talltita
Gråspett</t>
        </is>
      </c>
      <c r="W70">
        <f>HYPERLINK("https://klasma.github.io/Logging_2582/artfynd/A 1507-2022 artfynd.xlsx", "A 1507-2022")</f>
        <v/>
      </c>
      <c r="X70">
        <f>HYPERLINK("https://klasma.github.io/Logging_2582/kartor/A 1507-2022 karta.png", "A 1507-2022")</f>
        <v/>
      </c>
      <c r="Y70">
        <f>HYPERLINK("https://klasma.github.io/Logging_2582/kartor_geotiff/A 1507-2022 georefererad karta.tif", "A 1507-2022")</f>
        <v/>
      </c>
      <c r="AA70">
        <f>HYPERLINK("https://klasma.github.io/Logging_2582/klagomål/A 1507-2022 FSC-klagomål.docx", "A 1507-2022")</f>
        <v/>
      </c>
      <c r="AB70">
        <f>HYPERLINK("https://klasma.github.io/Logging_2582/klagomålsmail/A 1507-2022 FSC-klagomål mail.docx", "A 1507-2022")</f>
        <v/>
      </c>
      <c r="AC70">
        <f>HYPERLINK("https://klasma.github.io/Logging_2582/tillsyn/A 1507-2022 tillsynsbegäran.docx", "A 1507-2022")</f>
        <v/>
      </c>
      <c r="AD70">
        <f>HYPERLINK("https://klasma.github.io/Logging_2582/tillsynsmail/A 1507-2022 tillsynsbegäran mail.docx", "A 1507-2022")</f>
        <v/>
      </c>
      <c r="AE70">
        <f>HYPERLINK("https://klasma.github.io/Logging_2582/fåglar/A 1507-2022 prioriterade fågelarter.docx", "A 1507-2022")</f>
        <v/>
      </c>
    </row>
    <row r="71" ht="15" customHeight="1">
      <c r="A71" t="inlineStr">
        <is>
          <t>A 6895-2025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45701</v>
      </c>
      <c r="E71" s="1" t="n">
        <v>46255</v>
      </c>
      <c r="F71" t="inlineStr">
        <is>
          <t>NORRBOTTENS LÄN</t>
        </is>
      </c>
      <c r="G71" t="inlineStr">
        <is>
          <t>BODEN</t>
        </is>
      </c>
      <c r="I71" t="n">
        <v>1.5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Kolflarnlav
Plattlummer</t>
        </is>
      </c>
      <c r="W71">
        <f>HYPERLINK("https://klasma.github.io/Logging_2582/artfynd/A 6895-2025 artfynd.xlsx", "A 6895-2025")</f>
        <v/>
      </c>
      <c r="X71">
        <f>HYPERLINK("https://klasma.github.io/Logging_2582/kartor/A 6895-2025 karta.png", "A 6895-2025")</f>
        <v/>
      </c>
      <c r="Y71">
        <f>HYPERLINK("https://klasma.github.io/Logging_2582/kartor_geotiff/A 6895-2025 georefererad karta.tif", "A 6895-2025")</f>
        <v/>
      </c>
      <c r="AA71">
        <f>HYPERLINK("https://klasma.github.io/Logging_2582/klagomål/A 6895-2025 FSC-klagomål.docx", "A 6895-2025")</f>
        <v/>
      </c>
      <c r="AB71">
        <f>HYPERLINK("https://klasma.github.io/Logging_2582/klagomålsmail/A 6895-2025 FSC-klagomål mail.docx", "A 6895-2025")</f>
        <v/>
      </c>
      <c r="AC71">
        <f>HYPERLINK("https://klasma.github.io/Logging_2582/tillsyn/A 6895-2025 tillsynsbegäran.docx", "A 6895-2025")</f>
        <v/>
      </c>
      <c r="AD71">
        <f>HYPERLINK("https://klasma.github.io/Logging_2582/tillsynsmail/A 6895-2025 tillsynsbegäran mail.docx", "A 6895-2025")</f>
        <v/>
      </c>
    </row>
    <row r="72" ht="15" customHeight="1">
      <c r="A72" t="inlineStr">
        <is>
          <t>A 34737-2024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45526</v>
      </c>
      <c r="E72" s="1" t="n">
        <v>46255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Lunglav
Fläcknycklar</t>
        </is>
      </c>
      <c r="W72">
        <f>HYPERLINK("https://klasma.github.io/Logging_2582/artfynd/A 34737-2024 artfynd.xlsx", "A 34737-2024")</f>
        <v/>
      </c>
      <c r="X72">
        <f>HYPERLINK("https://klasma.github.io/Logging_2582/kartor/A 34737-2024 karta.png", "A 34737-2024")</f>
        <v/>
      </c>
      <c r="Y72">
        <f>HYPERLINK("https://klasma.github.io/Logging_2582/kartor_geotiff/A 34737-2024 georefererad karta.tif", "A 34737-2024")</f>
        <v/>
      </c>
      <c r="AA72">
        <f>HYPERLINK("https://klasma.github.io/Logging_2582/klagomål/A 34737-2024 FSC-klagomål.docx", "A 34737-2024")</f>
        <v/>
      </c>
      <c r="AB72">
        <f>HYPERLINK("https://klasma.github.io/Logging_2582/klagomålsmail/A 34737-2024 FSC-klagomål mail.docx", "A 34737-2024")</f>
        <v/>
      </c>
      <c r="AC72">
        <f>HYPERLINK("https://klasma.github.io/Logging_2582/tillsyn/A 34737-2024 tillsynsbegäran.docx", "A 34737-2024")</f>
        <v/>
      </c>
      <c r="AD72">
        <f>HYPERLINK("https://klasma.github.io/Logging_2582/tillsynsmail/A 34737-2024 tillsynsbegäran mail.docx", "A 34737-2024")</f>
        <v/>
      </c>
    </row>
    <row r="73" ht="15" customHeight="1">
      <c r="A73" t="inlineStr">
        <is>
          <t>A 25701-2025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46255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Öring</t>
        </is>
      </c>
      <c r="W73">
        <f>HYPERLINK("https://klasma.github.io/Logging_2582/artfynd/A 25701-2025 artfynd.xlsx", "A 25701-2025")</f>
        <v/>
      </c>
      <c r="X73">
        <f>HYPERLINK("https://klasma.github.io/Logging_2582/kartor/A 25701-2025 karta.png", "A 25701-2025")</f>
        <v/>
      </c>
      <c r="Y73">
        <f>HYPERLINK("https://klasma.github.io/Logging_2582/kartor_geotiff/A 25701-2025 georefererad karta.tif", "A 25701-2025")</f>
        <v/>
      </c>
      <c r="AA73">
        <f>HYPERLINK("https://klasma.github.io/Logging_2582/klagomål/A 25701-2025 FSC-klagomål.docx", "A 25701-2025")</f>
        <v/>
      </c>
      <c r="AB73">
        <f>HYPERLINK("https://klasma.github.io/Logging_2582/klagomålsmail/A 25701-2025 FSC-klagomål mail.docx", "A 25701-2025")</f>
        <v/>
      </c>
      <c r="AC73">
        <f>HYPERLINK("https://klasma.github.io/Logging_2582/tillsyn/A 25701-2025 tillsynsbegäran.docx", "A 25701-2025")</f>
        <v/>
      </c>
      <c r="AD73">
        <f>HYPERLINK("https://klasma.github.io/Logging_2582/tillsynsmail/A 25701-2025 tillsynsbegäran mail.docx", "A 25701-2025")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46255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46255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37086-2025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46255</v>
      </c>
      <c r="F76" t="inlineStr">
        <is>
          <t>NORRBOTTENS LÄN</t>
        </is>
      </c>
      <c r="G76" t="inlineStr">
        <is>
          <t>BODEN</t>
        </is>
      </c>
      <c r="H76" t="inlineStr">
        <is>
          <t>Övriga Aktiebolag</t>
        </is>
      </c>
      <c r="I76" t="n">
        <v>22.8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37086-2025 artfynd.xlsx", "A 37086-2025")</f>
        <v/>
      </c>
      <c r="X76">
        <f>HYPERLINK("https://klasma.github.io/Logging_2582/kartor/A 37086-2025 karta.png", "A 37086-2025")</f>
        <v/>
      </c>
      <c r="Y76">
        <f>HYPERLINK("https://klasma.github.io/Logging_2582/kartor_geotiff/A 37086-2025 georefererad karta.tif", "A 37086-2025")</f>
        <v/>
      </c>
      <c r="AA76">
        <f>HYPERLINK("https://klasma.github.io/Logging_2582/klagomål/A 37086-2025 FSC-klagomål.docx", "A 37086-2025")</f>
        <v/>
      </c>
      <c r="AB76">
        <f>HYPERLINK("https://klasma.github.io/Logging_2582/klagomålsmail/A 37086-2025 FSC-klagomål mail.docx", "A 37086-2025")</f>
        <v/>
      </c>
      <c r="AC76">
        <f>HYPERLINK("https://klasma.github.io/Logging_2582/tillsyn/A 37086-2025 tillsynsbegäran.docx", "A 37086-2025")</f>
        <v/>
      </c>
      <c r="AD76">
        <f>HYPERLINK("https://klasma.github.io/Logging_2582/tillsynsmail/A 37086-2025 tillsynsbegäran mail.docx", "A 37086-2025")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46255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34164-2023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45137</v>
      </c>
      <c r="E78" s="1" t="n">
        <v>46255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2.2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Tretåig hackspett</t>
        </is>
      </c>
      <c r="W78">
        <f>HYPERLINK("https://klasma.github.io/Logging_2582/artfynd/A 34164-2023 artfynd.xlsx", "A 34164-2023")</f>
        <v/>
      </c>
      <c r="X78">
        <f>HYPERLINK("https://klasma.github.io/Logging_2582/kartor/A 34164-2023 karta.png", "A 34164-2023")</f>
        <v/>
      </c>
      <c r="Y78">
        <f>HYPERLINK("https://klasma.github.io/Logging_2582/kartor_geotiff/A 34164-2023 georefererad karta.tif", "A 34164-2023")</f>
        <v/>
      </c>
      <c r="AA78">
        <f>HYPERLINK("https://klasma.github.io/Logging_2582/klagomål/A 34164-2023 FSC-klagomål.docx", "A 34164-2023")</f>
        <v/>
      </c>
      <c r="AB78">
        <f>HYPERLINK("https://klasma.github.io/Logging_2582/klagomålsmail/A 34164-2023 FSC-klagomål mail.docx", "A 34164-2023")</f>
        <v/>
      </c>
      <c r="AC78">
        <f>HYPERLINK("https://klasma.github.io/Logging_2582/tillsyn/A 34164-2023 tillsynsbegäran.docx", "A 34164-2023")</f>
        <v/>
      </c>
      <c r="AD78">
        <f>HYPERLINK("https://klasma.github.io/Logging_2582/tillsynsmail/A 34164-2023 tillsynsbegäran mail.docx", "A 34164-2023")</f>
        <v/>
      </c>
      <c r="AE78">
        <f>HYPERLINK("https://klasma.github.io/Logging_2582/fåglar/A 34164-2023 prioriterade fågelarter.docx", "A 34164-2023")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46255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46255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Lunglav
Rynkskinn</t>
        </is>
      </c>
      <c r="W80">
        <f>HYPERLINK("https://klasma.github.io/Logging_2582/artfynd/A 9306-2025 artfynd.xlsx", "A 9306-2025")</f>
        <v/>
      </c>
      <c r="X80">
        <f>HYPERLINK("https://klasma.github.io/Logging_2582/kartor/A 9306-2025 karta.png", "A 9306-2025")</f>
        <v/>
      </c>
      <c r="Y80">
        <f>HYPERLINK("https://klasma.github.io/Logging_2582/kartor_geotiff/A 9306-2025 georefererad karta.tif", "A 9306-2025")</f>
        <v/>
      </c>
      <c r="AA80">
        <f>HYPERLINK("https://klasma.github.io/Logging_2582/klagomål/A 9306-2025 FSC-klagomål.docx", "A 9306-2025")</f>
        <v/>
      </c>
      <c r="AB80">
        <f>HYPERLINK("https://klasma.github.io/Logging_2582/klagomålsmail/A 9306-2025 FSC-klagomål mail.docx", "A 9306-2025")</f>
        <v/>
      </c>
      <c r="AC80">
        <f>HYPERLINK("https://klasma.github.io/Logging_2582/tillsyn/A 9306-2025 tillsynsbegäran.docx", "A 9306-2025")</f>
        <v/>
      </c>
      <c r="AD80">
        <f>HYPERLINK("https://klasma.github.io/Logging_2582/tillsynsmail/A 9306-2025 tillsynsbegäran mail.docx", "A 9306-2025")</f>
        <v/>
      </c>
    </row>
    <row r="81" ht="15" customHeight="1">
      <c r="A81" t="inlineStr">
        <is>
          <t>A 17292-2022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44678</v>
      </c>
      <c r="E81" s="1" t="n">
        <v>46255</v>
      </c>
      <c r="F81" t="inlineStr">
        <is>
          <t>NORRBOTTENS LÄN</t>
        </is>
      </c>
      <c r="G81" t="inlineStr">
        <is>
          <t>BODEN</t>
        </is>
      </c>
      <c r="H81" t="inlineStr">
        <is>
          <t>Kyrkan</t>
        </is>
      </c>
      <c r="I81" t="n">
        <v>0.8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Revlummer</t>
        </is>
      </c>
      <c r="W81">
        <f>HYPERLINK("https://klasma.github.io/Logging_2582/artfynd/A 17292-2022 artfynd.xlsx", "A 17292-2022")</f>
        <v/>
      </c>
      <c r="X81">
        <f>HYPERLINK("https://klasma.github.io/Logging_2582/kartor/A 17292-2022 karta.png", "A 17292-2022")</f>
        <v/>
      </c>
      <c r="Y81">
        <f>HYPERLINK("https://klasma.github.io/Logging_2582/kartor_geotiff/A 17292-2022 georefererad karta.tif", "A 17292-2022")</f>
        <v/>
      </c>
      <c r="AA81">
        <f>HYPERLINK("https://klasma.github.io/Logging_2582/klagomål/A 17292-2022 FSC-klagomål.docx", "A 17292-2022")</f>
        <v/>
      </c>
      <c r="AB81">
        <f>HYPERLINK("https://klasma.github.io/Logging_2582/klagomålsmail/A 17292-2022 FSC-klagomål mail.docx", "A 17292-2022")</f>
        <v/>
      </c>
      <c r="AC81">
        <f>HYPERLINK("https://klasma.github.io/Logging_2582/tillsyn/A 17292-2022 tillsynsbegäran.docx", "A 17292-2022")</f>
        <v/>
      </c>
      <c r="AD81">
        <f>HYPERLINK("https://klasma.github.io/Logging_2582/tillsynsmail/A 17292-2022 tillsynsbegäran mail.docx", "A 17292-2022")</f>
        <v/>
      </c>
    </row>
    <row r="82" ht="15" customHeight="1">
      <c r="A82" t="inlineStr">
        <is>
          <t>A 59435-2024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46255</v>
      </c>
      <c r="F82" t="inlineStr">
        <is>
          <t>NORRBOTTENS LÄN</t>
        </is>
      </c>
      <c r="G82" t="inlineStr">
        <is>
          <t>BODEN</t>
        </is>
      </c>
      <c r="I82" t="n">
        <v>2.1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Lappranunkel
Ögonpyrola</t>
        </is>
      </c>
      <c r="W82">
        <f>HYPERLINK("https://klasma.github.io/Logging_2582/artfynd/A 59435-2024 artfynd.xlsx", "A 59435-2024")</f>
        <v/>
      </c>
      <c r="X82">
        <f>HYPERLINK("https://klasma.github.io/Logging_2582/kartor/A 59435-2024 karta.png", "A 59435-2024")</f>
        <v/>
      </c>
      <c r="Y82">
        <f>HYPERLINK("https://klasma.github.io/Logging_2582/kartor_geotiff/A 59435-2024 georefererad karta.tif", "A 59435-2024")</f>
        <v/>
      </c>
      <c r="AA82">
        <f>HYPERLINK("https://klasma.github.io/Logging_2582/klagomål/A 59435-2024 FSC-klagomål.docx", "A 59435-2024")</f>
        <v/>
      </c>
      <c r="AB82">
        <f>HYPERLINK("https://klasma.github.io/Logging_2582/klagomålsmail/A 59435-2024 FSC-klagomål mail.docx", "A 59435-2024")</f>
        <v/>
      </c>
      <c r="AC82">
        <f>HYPERLINK("https://klasma.github.io/Logging_2582/tillsyn/A 59435-2024 tillsynsbegäran.docx", "A 59435-2024")</f>
        <v/>
      </c>
      <c r="AD82">
        <f>HYPERLINK("https://klasma.github.io/Logging_2582/tillsynsmail/A 59435-2024 tillsynsbegäran mail.docx", "A 59435-2024")</f>
        <v/>
      </c>
    </row>
    <row r="83" ht="15" customHeight="1">
      <c r="A83" t="inlineStr">
        <is>
          <t>A 8703-2026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46255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8703-2026 artfynd.xlsx", "A 8703-2026")</f>
        <v/>
      </c>
      <c r="X83">
        <f>HYPERLINK("https://klasma.github.io/Logging_2582/kartor/A 8703-2026 karta.png", "A 8703-2026")</f>
        <v/>
      </c>
      <c r="Y83">
        <f>HYPERLINK("https://klasma.github.io/Logging_2582/kartor_geotiff/A 8703-2026 georefererad karta.tif", "A 8703-2026")</f>
        <v/>
      </c>
      <c r="AA83">
        <f>HYPERLINK("https://klasma.github.io/Logging_2582/klagomål/A 8703-2026 FSC-klagomål.docx", "A 8703-2026")</f>
        <v/>
      </c>
      <c r="AB83">
        <f>HYPERLINK("https://klasma.github.io/Logging_2582/klagomålsmail/A 8703-2026 FSC-klagomål mail.docx", "A 8703-2026")</f>
        <v/>
      </c>
      <c r="AC83">
        <f>HYPERLINK("https://klasma.github.io/Logging_2582/tillsyn/A 8703-2026 tillsynsbegäran.docx", "A 8703-2026")</f>
        <v/>
      </c>
      <c r="AD83">
        <f>HYPERLINK("https://klasma.github.io/Logging_2582/tillsynsmail/A 8703-2026 tillsynsbegäran mail.docx", "A 8703-2026")</f>
        <v/>
      </c>
    </row>
    <row r="84" ht="15" customHeight="1">
      <c r="A84" t="inlineStr">
        <is>
          <t>A 8754-2026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46255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Ullticka</t>
        </is>
      </c>
      <c r="W84">
        <f>HYPERLINK("https://klasma.github.io/Logging_2582/artfynd/A 8754-2026 artfynd.xlsx", "A 8754-2026")</f>
        <v/>
      </c>
      <c r="X84">
        <f>HYPERLINK("https://klasma.github.io/Logging_2582/kartor/A 8754-2026 karta.png", "A 8754-2026")</f>
        <v/>
      </c>
      <c r="Y84">
        <f>HYPERLINK("https://klasma.github.io/Logging_2582/kartor_geotiff/A 8754-2026 georefererad karta.tif", "A 8754-2026")</f>
        <v/>
      </c>
      <c r="AA84">
        <f>HYPERLINK("https://klasma.github.io/Logging_2582/klagomål/A 8754-2026 FSC-klagomål.docx", "A 8754-2026")</f>
        <v/>
      </c>
      <c r="AB84">
        <f>HYPERLINK("https://klasma.github.io/Logging_2582/klagomålsmail/A 8754-2026 FSC-klagomål mail.docx", "A 8754-2026")</f>
        <v/>
      </c>
      <c r="AC84">
        <f>HYPERLINK("https://klasma.github.io/Logging_2582/tillsyn/A 8754-2026 tillsynsbegäran.docx", "A 8754-2026")</f>
        <v/>
      </c>
      <c r="AD84">
        <f>HYPERLINK("https://klasma.github.io/Logging_2582/tillsynsmail/A 8754-2026 tillsynsbegäran mail.docx", "A 8754-2026")</f>
        <v/>
      </c>
    </row>
    <row r="85" ht="15" customHeight="1">
      <c r="A85" t="inlineStr">
        <is>
          <t>A 61210-2024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46255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4</v>
      </c>
      <c r="U85" t="n">
        <v>0</v>
      </c>
      <c r="V85" s="2" t="inlineStr">
        <is>
          <t>Skrovlig taggsvamp
Blå taggsvamp</t>
        </is>
      </c>
      <c r="W85">
        <f>HYPERLINK("https://klasma.github.io/Logging_2582/artfynd/A 61210-2024 artfynd.xlsx", "A 61210-2024")</f>
        <v/>
      </c>
      <c r="X85">
        <f>HYPERLINK("https://klasma.github.io/Logging_2582/kartor/A 61210-2024 karta.png", "A 61210-2024")</f>
        <v/>
      </c>
      <c r="Y85">
        <f>HYPERLINK("https://klasma.github.io/Logging_2582/kartor_geotiff/A 61210-2024 georefererad karta.tif", "A 61210-2024")</f>
        <v/>
      </c>
      <c r="AA85">
        <f>HYPERLINK("https://klasma.github.io/Logging_2582/klagomål/A 61210-2024 FSC-klagomål.docx", "A 61210-2024")</f>
        <v/>
      </c>
      <c r="AB85">
        <f>HYPERLINK("https://klasma.github.io/Logging_2582/klagomålsmail/A 61210-2024 FSC-klagomål mail.docx", "A 61210-2024")</f>
        <v/>
      </c>
      <c r="AC85">
        <f>HYPERLINK("https://klasma.github.io/Logging_2582/tillsyn/A 61210-2024 tillsynsbegäran.docx", "A 61210-2024")</f>
        <v/>
      </c>
      <c r="AD85">
        <f>HYPERLINK("https://klasma.github.io/Logging_2582/tillsynsmail/A 61210-2024 tillsynsbegäran mail.docx", "A 61210-2024")</f>
        <v/>
      </c>
    </row>
    <row r="86" ht="15" customHeight="1">
      <c r="A86" t="inlineStr">
        <is>
          <t>A 1507-2022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46255</v>
      </c>
      <c r="F86" t="inlineStr">
        <is>
          <t>NORRBOTTENS LÄN</t>
        </is>
      </c>
      <c r="G86" t="inlineStr">
        <is>
          <t>BODEN</t>
        </is>
      </c>
      <c r="H86" t="inlineStr">
        <is>
          <t>Övriga statliga verk och myndigheter</t>
        </is>
      </c>
      <c r="I86" t="n">
        <v>15.4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Talltita
Gråspett</t>
        </is>
      </c>
      <c r="W86">
        <f>HYPERLINK("https://klasma.github.io/Logging_2582/artfynd/A 1507-2022 artfynd.xlsx", "A 1507-2022")</f>
        <v/>
      </c>
      <c r="X86">
        <f>HYPERLINK("https://klasma.github.io/Logging_2582/kartor/A 1507-2022 karta.png", "A 1507-2022")</f>
        <v/>
      </c>
      <c r="Y86">
        <f>HYPERLINK("https://klasma.github.io/Logging_2582/kartor_geotiff/A 1507-2022 georefererad karta.tif", "A 1507-2022")</f>
        <v/>
      </c>
      <c r="AA86">
        <f>HYPERLINK("https://klasma.github.io/Logging_2582/klagomål/A 1507-2022 FSC-klagomål.docx", "A 1507-2022")</f>
        <v/>
      </c>
      <c r="AB86">
        <f>HYPERLINK("https://klasma.github.io/Logging_2582/klagomålsmail/A 1507-2022 FSC-klagomål mail.docx", "A 1507-2022")</f>
        <v/>
      </c>
      <c r="AC86">
        <f>HYPERLINK("https://klasma.github.io/Logging_2582/tillsyn/A 1507-2022 tillsynsbegäran.docx", "A 1507-2022")</f>
        <v/>
      </c>
      <c r="AD86">
        <f>HYPERLINK("https://klasma.github.io/Logging_2582/tillsynsmail/A 1507-2022 tillsynsbegäran mail.docx", "A 1507-2022")</f>
        <v/>
      </c>
      <c r="AE86">
        <f>HYPERLINK("https://klasma.github.io/Logging_2582/fåglar/A 1507-2022 prioriterade fågelarter.docx", "A 1507-2022")</f>
        <v/>
      </c>
    </row>
    <row r="87" ht="15" customHeight="1">
      <c r="A87" t="inlineStr">
        <is>
          <t>A 32971-2024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45517</v>
      </c>
      <c r="E87" s="1" t="n">
        <v>46255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5</v>
      </c>
      <c r="U87" t="n">
        <v>4</v>
      </c>
      <c r="V87" s="2" t="inlineStr">
        <is>
          <t>Lunglav
Fläcknycklar</t>
        </is>
      </c>
      <c r="W87">
        <f>HYPERLINK("https://klasma.github.io/Logging_2582/artfynd/A 32971-2024 artfynd.xlsx", "A 32971-2024")</f>
        <v/>
      </c>
      <c r="X87">
        <f>HYPERLINK("https://klasma.github.io/Logging_2582/kartor/A 32971-2024 karta.png", "A 32971-2024")</f>
        <v/>
      </c>
      <c r="Y87">
        <f>HYPERLINK("https://klasma.github.io/Logging_2582/kartor_geotiff/A 32971-2024 georefererad karta.tif", "A 32971-2024")</f>
        <v/>
      </c>
      <c r="AA87">
        <f>HYPERLINK("https://klasma.github.io/Logging_2582/klagomål/A 32971-2024 FSC-klagomål.docx", "A 32971-2024")</f>
        <v/>
      </c>
      <c r="AB87">
        <f>HYPERLINK("https://klasma.github.io/Logging_2582/klagomålsmail/A 32971-2024 FSC-klagomål mail.docx", "A 32971-2024")</f>
        <v/>
      </c>
      <c r="AC87">
        <f>HYPERLINK("https://klasma.github.io/Logging_2582/tillsyn/A 32971-2024 tillsynsbegäran.docx", "A 32971-2024")</f>
        <v/>
      </c>
      <c r="AD87">
        <f>HYPERLINK("https://klasma.github.io/Logging_2582/tillsynsmail/A 32971-2024 tillsynsbegäran mail.docx", "A 32971-2024")</f>
        <v/>
      </c>
    </row>
    <row r="88" ht="15" customHeight="1">
      <c r="A88" t="inlineStr">
        <is>
          <t>A 54167-2025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46255</v>
      </c>
      <c r="F88" t="inlineStr">
        <is>
          <t>NORRBOTTENS LÄN</t>
        </is>
      </c>
      <c r="G88" t="inlineStr">
        <is>
          <t>BODEN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Lunglav
Stiftgelélav</t>
        </is>
      </c>
      <c r="W88">
        <f>HYPERLINK("https://klasma.github.io/Logging_2582/artfynd/A 54167-2025 artfynd.xlsx", "A 54167-2025")</f>
        <v/>
      </c>
      <c r="X88">
        <f>HYPERLINK("https://klasma.github.io/Logging_2582/kartor/A 54167-2025 karta.png", "A 54167-2025")</f>
        <v/>
      </c>
      <c r="Y88">
        <f>HYPERLINK("https://klasma.github.io/Logging_2582/kartor_geotiff/A 54167-2025 georefererad karta.tif", "A 54167-2025")</f>
        <v/>
      </c>
      <c r="AA88">
        <f>HYPERLINK("https://klasma.github.io/Logging_2582/klagomål/A 54167-2025 FSC-klagomål.docx", "A 54167-2025")</f>
        <v/>
      </c>
      <c r="AB88">
        <f>HYPERLINK("https://klasma.github.io/Logging_2582/klagomålsmail/A 54167-2025 FSC-klagomål mail.docx", "A 54167-2025")</f>
        <v/>
      </c>
      <c r="AC88">
        <f>HYPERLINK("https://klasma.github.io/Logging_2582/tillsyn/A 54167-2025 tillsynsbegäran.docx", "A 54167-2025")</f>
        <v/>
      </c>
      <c r="AD88">
        <f>HYPERLINK("https://klasma.github.io/Logging_2582/tillsynsmail/A 54167-2025 tillsynsbegäran mail.docx", "A 54167-2025")</f>
        <v/>
      </c>
    </row>
    <row r="89" ht="15" customHeight="1">
      <c r="A89" t="inlineStr">
        <is>
          <t>A 60774-2025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45999</v>
      </c>
      <c r="E89" s="1" t="n">
        <v>46255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60774-2025 artfynd.xlsx", "A 60774-2025")</f>
        <v/>
      </c>
      <c r="X89">
        <f>HYPERLINK("https://klasma.github.io/Logging_2582/kartor/A 60774-2025 karta.png", "A 60774-2025")</f>
        <v/>
      </c>
      <c r="Y89">
        <f>HYPERLINK("https://klasma.github.io/Logging_2582/kartor_geotiff/A 60774-2025 georefererad karta.tif", "A 60774-2025")</f>
        <v/>
      </c>
      <c r="AA89">
        <f>HYPERLINK("https://klasma.github.io/Logging_2582/klagomål/A 60774-2025 FSC-klagomål.docx", "A 60774-2025")</f>
        <v/>
      </c>
      <c r="AB89">
        <f>HYPERLINK("https://klasma.github.io/Logging_2582/klagomålsmail/A 60774-2025 FSC-klagomål mail.docx", "A 60774-2025")</f>
        <v/>
      </c>
      <c r="AC89">
        <f>HYPERLINK("https://klasma.github.io/Logging_2582/tillsyn/A 60774-2025 tillsynsbegäran.docx", "A 60774-2025")</f>
        <v/>
      </c>
      <c r="AD89">
        <f>HYPERLINK("https://klasma.github.io/Logging_2582/tillsynsmail/A 60774-2025 tillsynsbegäran mail.docx", "A 60774-2025")</f>
        <v/>
      </c>
    </row>
    <row r="90" ht="15" customHeight="1">
      <c r="A90" t="inlineStr">
        <is>
          <t>A 48899-2024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46255</v>
      </c>
      <c r="F90" t="inlineStr">
        <is>
          <t>NORRBOTTENS LÄN</t>
        </is>
      </c>
      <c r="G90" t="inlineStr">
        <is>
          <t>BODEN</t>
        </is>
      </c>
      <c r="H90" t="inlineStr">
        <is>
          <t>SCA</t>
        </is>
      </c>
      <c r="I90" t="n">
        <v>18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Hässlebrodd
Fläcknycklar</t>
        </is>
      </c>
      <c r="W90">
        <f>HYPERLINK("https://klasma.github.io/Logging_2582/artfynd/A 48899-2024 artfynd.xlsx", "A 48899-2024")</f>
        <v/>
      </c>
      <c r="X90">
        <f>HYPERLINK("https://klasma.github.io/Logging_2582/kartor/A 48899-2024 karta.png", "A 48899-2024")</f>
        <v/>
      </c>
      <c r="Y90">
        <f>HYPERLINK("https://klasma.github.io/Logging_2582/kartor_geotiff/A 48899-2024 georefererad karta.tif", "A 48899-2024")</f>
        <v/>
      </c>
      <c r="AA90">
        <f>HYPERLINK("https://klasma.github.io/Logging_2582/klagomål/A 48899-2024 FSC-klagomål.docx", "A 48899-2024")</f>
        <v/>
      </c>
      <c r="AB90">
        <f>HYPERLINK("https://klasma.github.io/Logging_2582/klagomålsmail/A 48899-2024 FSC-klagomål mail.docx", "A 48899-2024")</f>
        <v/>
      </c>
      <c r="AC90">
        <f>HYPERLINK("https://klasma.github.io/Logging_2582/tillsyn/A 48899-2024 tillsynsbegäran.docx", "A 48899-2024")</f>
        <v/>
      </c>
      <c r="AD90">
        <f>HYPERLINK("https://klasma.github.io/Logging_2582/tillsynsmail/A 48899-2024 tillsynsbegäran mail.docx", "A 48899-2024")</f>
        <v/>
      </c>
    </row>
    <row r="91" ht="15" customHeight="1">
      <c r="A91" t="inlineStr">
        <is>
          <t>A 31758-2025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46255</v>
      </c>
      <c r="F91" t="inlineStr">
        <is>
          <t>NORRBOTTENS LÄN</t>
        </is>
      </c>
      <c r="G91" t="inlineStr">
        <is>
          <t>BODEN</t>
        </is>
      </c>
      <c r="I91" t="n">
        <v>19.9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Tretåig hackspett</t>
        </is>
      </c>
      <c r="W91">
        <f>HYPERLINK("https://klasma.github.io/Logging_2582/artfynd/A 31758-2025 artfynd.xlsx", "A 31758-2025")</f>
        <v/>
      </c>
      <c r="X91">
        <f>HYPERLINK("https://klasma.github.io/Logging_2582/kartor/A 31758-2025 karta.png", "A 31758-2025")</f>
        <v/>
      </c>
      <c r="Y91">
        <f>HYPERLINK("https://klasma.github.io/Logging_2582/kartor_geotiff/A 31758-2025 georefererad karta.tif", "A 31758-2025")</f>
        <v/>
      </c>
      <c r="AA91">
        <f>HYPERLINK("https://klasma.github.io/Logging_2582/klagomål/A 31758-2025 FSC-klagomål.docx", "A 31758-2025")</f>
        <v/>
      </c>
      <c r="AB91">
        <f>HYPERLINK("https://klasma.github.io/Logging_2582/klagomålsmail/A 31758-2025 FSC-klagomål mail.docx", "A 31758-2025")</f>
        <v/>
      </c>
      <c r="AC91">
        <f>HYPERLINK("https://klasma.github.io/Logging_2582/tillsyn/A 31758-2025 tillsynsbegäran.docx", "A 31758-2025")</f>
        <v/>
      </c>
      <c r="AD91">
        <f>HYPERLINK("https://klasma.github.io/Logging_2582/tillsynsmail/A 31758-2025 tillsynsbegäran mail.docx", "A 31758-2025")</f>
        <v/>
      </c>
      <c r="AE91">
        <f>HYPERLINK("https://klasma.github.io/Logging_2582/fåglar/A 31758-2025 prioriterade fågelarter.docx", "A 31758-2025")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46255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Orre
Utter</t>
        </is>
      </c>
      <c r="W92">
        <f>HYPERLINK("https://klasma.github.io/Logging_2582/artfynd/A 21657-2026 artfynd.xlsx", "A 21657-2026")</f>
        <v/>
      </c>
      <c r="X92">
        <f>HYPERLINK("https://klasma.github.io/Logging_2582/kartor/A 21657-2026 karta.png", "A 21657-2026")</f>
        <v/>
      </c>
      <c r="Y92">
        <f>HYPERLINK("https://klasma.github.io/Logging_2582/kartor_geotiff/A 21657-2026 georefererad karta.tif", "A 21657-2026")</f>
        <v/>
      </c>
      <c r="AA92">
        <f>HYPERLINK("https://klasma.github.io/Logging_2582/klagomål/A 21657-2026 FSC-klagomål.docx", "A 21657-2026")</f>
        <v/>
      </c>
      <c r="AB92">
        <f>HYPERLINK("https://klasma.github.io/Logging_2582/klagomålsmail/A 21657-2026 FSC-klagomål mail.docx", "A 21657-2026")</f>
        <v/>
      </c>
      <c r="AC92">
        <f>HYPERLINK("https://klasma.github.io/Logging_2582/tillsyn/A 21657-2026 tillsynsbegäran.docx", "A 21657-2026")</f>
        <v/>
      </c>
      <c r="AD92">
        <f>HYPERLINK("https://klasma.github.io/Logging_2582/tillsynsmail/A 21657-2026 tillsynsbegäran mail.docx", "A 21657-2026")</f>
        <v/>
      </c>
      <c r="AE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46255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31233-2026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46255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18.5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Lunglav
Fläcknycklar</t>
        </is>
      </c>
      <c r="W94">
        <f>HYPERLINK("https://klasma.github.io/Logging_2582/artfynd/A 31233-2026 artfynd.xlsx", "A 31233-2026")</f>
        <v/>
      </c>
      <c r="X94">
        <f>HYPERLINK("https://klasma.github.io/Logging_2582/kartor/A 31233-2026 karta.png", "A 31233-2026")</f>
        <v/>
      </c>
      <c r="Y94">
        <f>HYPERLINK("https://klasma.github.io/Logging_2582/kartor_geotiff/A 31233-2026 georefererad karta.tif", "A 31233-2026")</f>
        <v/>
      </c>
      <c r="AA94">
        <f>HYPERLINK("https://klasma.github.io/Logging_2582/klagomål/A 31233-2026 FSC-klagomål.docx", "A 31233-2026")</f>
        <v/>
      </c>
      <c r="AB94">
        <f>HYPERLINK("https://klasma.github.io/Logging_2582/klagomålsmail/A 31233-2026 FSC-klagomål mail.docx", "A 31233-2026")</f>
        <v/>
      </c>
      <c r="AC94">
        <f>HYPERLINK("https://klasma.github.io/Logging_2582/tillsyn/A 31233-2026 tillsynsbegäran.docx", "A 31233-2026")</f>
        <v/>
      </c>
      <c r="AD94">
        <f>HYPERLINK("https://klasma.github.io/Logging_2582/tillsynsmail/A 31233-2026 tillsynsbegäran mail.docx", "A 31233-2026")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46255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46255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42233-2022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44830</v>
      </c>
      <c r="E97" s="1" t="n">
        <v>46255</v>
      </c>
      <c r="F97" t="inlineStr">
        <is>
          <t>NORRBOTTENS LÄN</t>
        </is>
      </c>
      <c r="G97" t="inlineStr">
        <is>
          <t>BODEN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Enkelbeckasin
Svartvit flugsnappare</t>
        </is>
      </c>
      <c r="W97">
        <f>HYPERLINK("https://klasma.github.io/Logging_2582/artfynd/A 42233-2022 artfynd.xlsx", "A 42233-2022")</f>
        <v/>
      </c>
      <c r="X97">
        <f>HYPERLINK("https://klasma.github.io/Logging_2582/kartor/A 42233-2022 karta.png", "A 42233-2022")</f>
        <v/>
      </c>
      <c r="Y97">
        <f>HYPERLINK("https://klasma.github.io/Logging_2582/kartor_geotiff/A 42233-2022 georefererad karta.tif", "A 42233-2022")</f>
        <v/>
      </c>
      <c r="AA97">
        <f>HYPERLINK("https://klasma.github.io/Logging_2582/klagomål/A 42233-2022 FSC-klagomål.docx", "A 42233-2022")</f>
        <v/>
      </c>
      <c r="AB97">
        <f>HYPERLINK("https://klasma.github.io/Logging_2582/klagomålsmail/A 42233-2022 FSC-klagomål mail.docx", "A 42233-2022")</f>
        <v/>
      </c>
      <c r="AC97">
        <f>HYPERLINK("https://klasma.github.io/Logging_2582/tillsyn/A 42233-2022 tillsynsbegäran.docx", "A 42233-2022")</f>
        <v/>
      </c>
      <c r="AD97">
        <f>HYPERLINK("https://klasma.github.io/Logging_2582/tillsynsmail/A 42233-2022 tillsynsbegäran mail.docx", "A 42233-2022")</f>
        <v/>
      </c>
      <c r="AE97">
        <f>HYPERLINK("https://klasma.github.io/Logging_2582/fåglar/A 42233-2022 prioriterade fågelarter.docx", "A 42233-2022")</f>
        <v/>
      </c>
    </row>
    <row r="98" ht="15" customHeight="1">
      <c r="A98" t="inlineStr">
        <is>
          <t>A 33096-2026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46255</v>
      </c>
      <c r="F98" t="inlineStr">
        <is>
          <t>NORRBOTTENS LÄN</t>
        </is>
      </c>
      <c r="G98" t="inlineStr">
        <is>
          <t>BODEN</t>
        </is>
      </c>
      <c r="I98" t="n">
        <v>36.6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Skinnlav</t>
        </is>
      </c>
      <c r="W98">
        <f>HYPERLINK("https://klasma.github.io/Logging_2582/artfynd/A 33096-2026 artfynd.xlsx", "A 33096-2026")</f>
        <v/>
      </c>
      <c r="X98">
        <f>HYPERLINK("https://klasma.github.io/Logging_2582/kartor/A 33096-2026 karta.png", "A 33096-2026")</f>
        <v/>
      </c>
      <c r="Y98">
        <f>HYPERLINK("https://klasma.github.io/Logging_2582/kartor_geotiff/A 33096-2026 georefererad karta.tif", "A 33096-2026")</f>
        <v/>
      </c>
      <c r="AA98">
        <f>HYPERLINK("https://klasma.github.io/Logging_2582/klagomål/A 33096-2026 FSC-klagomål.docx", "A 33096-2026")</f>
        <v/>
      </c>
      <c r="AB98">
        <f>HYPERLINK("https://klasma.github.io/Logging_2582/klagomålsmail/A 33096-2026 FSC-klagomål mail.docx", "A 33096-2026")</f>
        <v/>
      </c>
      <c r="AC98">
        <f>HYPERLINK("https://klasma.github.io/Logging_2582/tillsyn/A 33096-2026 tillsynsbegäran.docx", "A 33096-2026")</f>
        <v/>
      </c>
      <c r="AD98">
        <f>HYPERLINK("https://klasma.github.io/Logging_2582/tillsynsmail/A 33096-2026 tillsynsbegäran mail.docx", "A 33096-2026")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46255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46255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22906-2023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45072</v>
      </c>
      <c r="E101" s="1" t="n">
        <v>46255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3.5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Talltita
Utter</t>
        </is>
      </c>
      <c r="W101">
        <f>HYPERLINK("https://klasma.github.io/Logging_2582/artfynd/A 22906-2023 artfynd.xlsx", "A 22906-2023")</f>
        <v/>
      </c>
      <c r="X101">
        <f>HYPERLINK("https://klasma.github.io/Logging_2582/kartor/A 22906-2023 karta.png", "A 22906-2023")</f>
        <v/>
      </c>
      <c r="Y101">
        <f>HYPERLINK("https://klasma.github.io/Logging_2582/kartor_geotiff/A 22906-2023 georefererad karta.tif", "A 22906-2023")</f>
        <v/>
      </c>
      <c r="AA101">
        <f>HYPERLINK("https://klasma.github.io/Logging_2582/klagomål/A 22906-2023 FSC-klagomål.docx", "A 22906-2023")</f>
        <v/>
      </c>
      <c r="AB101">
        <f>HYPERLINK("https://klasma.github.io/Logging_2582/klagomålsmail/A 22906-2023 FSC-klagomål mail.docx", "A 22906-2023")</f>
        <v/>
      </c>
      <c r="AC101">
        <f>HYPERLINK("https://klasma.github.io/Logging_2582/tillsyn/A 22906-2023 tillsynsbegäran.docx", "A 22906-2023")</f>
        <v/>
      </c>
      <c r="AD101">
        <f>HYPERLINK("https://klasma.github.io/Logging_2582/tillsynsmail/A 22906-2023 tillsynsbegäran mail.docx", "A 22906-2023")</f>
        <v/>
      </c>
      <c r="AE101">
        <f>HYPERLINK("https://klasma.github.io/Logging_2582/fåglar/A 22906-2023 prioriterade fågelarter.docx", "A 22906-2023")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46255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46255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6639-2024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45341</v>
      </c>
      <c r="E104" s="1" t="n">
        <v>46255</v>
      </c>
      <c r="F104" t="inlineStr">
        <is>
          <t>NORRBOTTENS LÄN</t>
        </is>
      </c>
      <c r="G104" t="inlineStr">
        <is>
          <t>BODEN</t>
        </is>
      </c>
      <c r="H104" t="inlineStr">
        <is>
          <t>Övriga statliga verk och myndigheter</t>
        </is>
      </c>
      <c r="I104" t="n">
        <v>23.8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Kungsfågel</t>
        </is>
      </c>
      <c r="W104">
        <f>HYPERLINK("https://klasma.github.io/Logging_2582/artfynd/A 6639-2024 artfynd.xlsx", "A 6639-2024")</f>
        <v/>
      </c>
      <c r="X104">
        <f>HYPERLINK("https://klasma.github.io/Logging_2582/kartor/A 6639-2024 karta.png", "A 6639-2024")</f>
        <v/>
      </c>
      <c r="Y104">
        <f>HYPERLINK("https://klasma.github.io/Logging_2582/kartor_geotiff/A 6639-2024 georefererad karta.tif", "A 6639-2024")</f>
        <v/>
      </c>
      <c r="AA104">
        <f>HYPERLINK("https://klasma.github.io/Logging_2582/klagomål/A 6639-2024 FSC-klagomål.docx", "A 6639-2024")</f>
        <v/>
      </c>
      <c r="AB104">
        <f>HYPERLINK("https://klasma.github.io/Logging_2582/klagomålsmail/A 6639-2024 FSC-klagomål mail.docx", "A 6639-2024")</f>
        <v/>
      </c>
      <c r="AC104">
        <f>HYPERLINK("https://klasma.github.io/Logging_2582/tillsyn/A 6639-2024 tillsynsbegäran.docx", "A 6639-2024")</f>
        <v/>
      </c>
      <c r="AD104">
        <f>HYPERLINK("https://klasma.github.io/Logging_2582/tillsynsmail/A 6639-2024 tillsynsbegäran mail.docx", "A 6639-2024")</f>
        <v/>
      </c>
    </row>
    <row r="105" ht="15" customHeight="1">
      <c r="A105" t="inlineStr">
        <is>
          <t>A 900-2024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45301</v>
      </c>
      <c r="E105" s="1" t="n">
        <v>46255</v>
      </c>
      <c r="F105" t="inlineStr">
        <is>
          <t>NORRBOTTENS LÄN</t>
        </is>
      </c>
      <c r="G105" t="inlineStr">
        <is>
          <t>BODEN</t>
        </is>
      </c>
      <c r="I105" t="n">
        <v>5.2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Knärot
Revlummer</t>
        </is>
      </c>
      <c r="W105">
        <f>HYPERLINK("https://klasma.github.io/Logging_2582/artfynd/A 900-2024 artfynd.xlsx", "A 900-2024")</f>
        <v/>
      </c>
      <c r="X105">
        <f>HYPERLINK("https://klasma.github.io/Logging_2582/kartor/A 900-2024 karta.png", "A 900-2024")</f>
        <v/>
      </c>
      <c r="Y105">
        <f>HYPERLINK("https://klasma.github.io/Logging_2582/kartor_geotiff/A 900-2024 georefererad karta.tif", "A 900-2024")</f>
        <v/>
      </c>
      <c r="Z105">
        <f>HYPERLINK("https://klasma.github.io/Logging_2582/knärot/A 900-2024 karta knärot.png", "A 900-2024")</f>
        <v/>
      </c>
      <c r="AA105">
        <f>HYPERLINK("https://klasma.github.io/Logging_2582/klagomål/A 900-2024 FSC-klagomål.docx", "A 900-2024")</f>
        <v/>
      </c>
      <c r="AB105">
        <f>HYPERLINK("https://klasma.github.io/Logging_2582/klagomålsmail/A 900-2024 FSC-klagomål mail.docx", "A 900-2024")</f>
        <v/>
      </c>
      <c r="AC105">
        <f>HYPERLINK("https://klasma.github.io/Logging_2582/tillsyn/A 900-2024 tillsynsbegäran.docx", "A 900-2024")</f>
        <v/>
      </c>
      <c r="AD105">
        <f>HYPERLINK("https://klasma.github.io/Logging_2582/tillsynsmail/A 900-2024 tillsynsbegäran mail.docx", "A 900-2024")</f>
        <v/>
      </c>
    </row>
    <row r="106" ht="15" customHeight="1">
      <c r="A106" t="inlineStr">
        <is>
          <t>S 884-2024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45376</v>
      </c>
      <c r="E106" s="1" t="n">
        <v>46255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1.6</v>
      </c>
      <c r="J106" t="n">
        <v>1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Spindelblomster
Ögonpyrola</t>
        </is>
      </c>
      <c r="W106">
        <f>HYPERLINK("https://klasma.github.io/Logging_2582/artfynd/S 884-2024 artfynd.xlsx", "S 884-2024")</f>
        <v/>
      </c>
      <c r="X106">
        <f>HYPERLINK("https://klasma.github.io/Logging_2582/kartor/S 884-2024 karta.png", "S 884-2024")</f>
        <v/>
      </c>
      <c r="Y106">
        <f>HYPERLINK("https://klasma.github.io/Logging_2582/kartor_geotiff/S 884-2024 georefererad karta.tif", "S 884-2024")</f>
        <v/>
      </c>
      <c r="Z106">
        <f>HYPERLINK("https://klasma.github.io/Logging_2582/knärot/S 884-2024 karta knärot.png", "S 884-2024")</f>
        <v/>
      </c>
      <c r="AA106">
        <f>HYPERLINK("https://klasma.github.io/Logging_2582/klagomål/S 884-2024 FSC-klagomål.docx", "S 884-2024")</f>
        <v/>
      </c>
      <c r="AB106">
        <f>HYPERLINK("https://klasma.github.io/Logging_2582/klagomålsmail/S 884-2024 FSC-klagomål mail.docx", "S 884-2024")</f>
        <v/>
      </c>
      <c r="AC106">
        <f>HYPERLINK("https://klasma.github.io/Logging_2582/tillsyn/S 884-2024 tillsynsbegäran.docx", "S 884-2024")</f>
        <v/>
      </c>
      <c r="AD106">
        <f>HYPERLINK("https://klasma.github.io/Logging_2582/tillsynsmail/S 884-2024 tillsynsbegäran mail.docx", "S 884-2024")</f>
        <v/>
      </c>
    </row>
    <row r="107" ht="15" customHeight="1">
      <c r="A107" t="inlineStr">
        <is>
          <t>A 13647-2022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46255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Gammelgransskål</t>
        </is>
      </c>
      <c r="W107">
        <f>HYPERLINK("https://klasma.github.io/Logging_2582/artfynd/A 13647-2022 artfynd.xlsx", "A 13647-2022")</f>
        <v/>
      </c>
      <c r="X107">
        <f>HYPERLINK("https://klasma.github.io/Logging_2582/kartor/A 13647-2022 karta.png", "A 13647-2022")</f>
        <v/>
      </c>
      <c r="Y107">
        <f>HYPERLINK("https://klasma.github.io/Logging_2582/kartor_geotiff/A 13647-2022 georefererad karta.tif", "A 13647-2022")</f>
        <v/>
      </c>
      <c r="AA107">
        <f>HYPERLINK("https://klasma.github.io/Logging_2582/klagomål/A 13647-2022 FSC-klagomål.docx", "A 13647-2022")</f>
        <v/>
      </c>
      <c r="AB107">
        <f>HYPERLINK("https://klasma.github.io/Logging_2582/klagomålsmail/A 13647-2022 FSC-klagomål mail.docx", "A 13647-2022")</f>
        <v/>
      </c>
      <c r="AC107">
        <f>HYPERLINK("https://klasma.github.io/Logging_2582/tillsyn/A 13647-2022 tillsynsbegäran.docx", "A 13647-2022")</f>
        <v/>
      </c>
      <c r="AD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47030-2021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44446</v>
      </c>
      <c r="E108" s="1" t="n">
        <v>46255</v>
      </c>
      <c r="F108" t="inlineStr">
        <is>
          <t>NORRBOTTENS LÄN</t>
        </is>
      </c>
      <c r="G108" t="inlineStr">
        <is>
          <t>BODEN</t>
        </is>
      </c>
      <c r="I108" t="n">
        <v>3.3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Svartvit flugsnappare</t>
        </is>
      </c>
      <c r="W108">
        <f>HYPERLINK("https://klasma.github.io/Logging_2582/artfynd/A 47030-2021 artfynd.xlsx", "A 47030-2021")</f>
        <v/>
      </c>
      <c r="X108">
        <f>HYPERLINK("https://klasma.github.io/Logging_2582/kartor/A 47030-2021 karta.png", "A 47030-2021")</f>
        <v/>
      </c>
      <c r="Y108">
        <f>HYPERLINK("https://klasma.github.io/Logging_2582/kartor_geotiff/A 47030-2021 georefererad karta.tif", "A 47030-2021")</f>
        <v/>
      </c>
      <c r="AA108">
        <f>HYPERLINK("https://klasma.github.io/Logging_2582/klagomål/A 47030-2021 FSC-klagomål.docx", "A 47030-2021")</f>
        <v/>
      </c>
      <c r="AB108">
        <f>HYPERLINK("https://klasma.github.io/Logging_2582/klagomålsmail/A 47030-2021 FSC-klagomål mail.docx", "A 47030-2021")</f>
        <v/>
      </c>
      <c r="AC108">
        <f>HYPERLINK("https://klasma.github.io/Logging_2582/tillsyn/A 47030-2021 tillsynsbegäran.docx", "A 47030-2021")</f>
        <v/>
      </c>
      <c r="AD108">
        <f>HYPERLINK("https://klasma.github.io/Logging_2582/tillsynsmail/A 47030-2021 tillsynsbegäran mail.docx", "A 47030-2021")</f>
        <v/>
      </c>
    </row>
    <row r="109" ht="15" customHeight="1">
      <c r="A109" t="inlineStr">
        <is>
          <t>A 44768-2022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46255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6.1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HYPERLINK("https://klasma.github.io/Logging_2582/artfynd/A 44768-2022 artfynd.xlsx", "A 44768-2022")</f>
        <v/>
      </c>
      <c r="X109">
        <f>HYPERLINK("https://klasma.github.io/Logging_2582/kartor/A 44768-2022 karta.png", "A 44768-2022")</f>
        <v/>
      </c>
      <c r="Y109">
        <f>HYPERLINK("https://klasma.github.io/Logging_2582/kartor_geotiff/A 44768-2022 georefererad karta.tif", "A 44768-2022")</f>
        <v/>
      </c>
      <c r="AA109">
        <f>HYPERLINK("https://klasma.github.io/Logging_2582/klagomål/A 44768-2022 FSC-klagomål.docx", "A 44768-2022")</f>
        <v/>
      </c>
      <c r="AB109">
        <f>HYPERLINK("https://klasma.github.io/Logging_2582/klagomålsmail/A 44768-2022 FSC-klagomål mail.docx", "A 44768-2022")</f>
        <v/>
      </c>
      <c r="AC109">
        <f>HYPERLINK("https://klasma.github.io/Logging_2582/tillsyn/A 44768-2022 tillsynsbegäran.docx", "A 44768-2022")</f>
        <v/>
      </c>
      <c r="AD109">
        <f>HYPERLINK("https://klasma.github.io/Logging_2582/tillsynsmail/A 44768-2022 tillsynsbegäran mail.docx", "A 44768-2022")</f>
        <v/>
      </c>
    </row>
    <row r="110" ht="15" customHeight="1">
      <c r="A110" t="inlineStr">
        <is>
          <t>A 18678-2025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46255</v>
      </c>
      <c r="F110" t="inlineStr">
        <is>
          <t>NORRBOTTENS LÄN</t>
        </is>
      </c>
      <c r="G110" t="inlineStr">
        <is>
          <t>BODEN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HYPERLINK("https://klasma.github.io/Logging_2582/artfynd/A 18678-2025 artfynd.xlsx", "A 18678-2025")</f>
        <v/>
      </c>
      <c r="X110">
        <f>HYPERLINK("https://klasma.github.io/Logging_2582/kartor/A 18678-2025 karta.png", "A 18678-2025")</f>
        <v/>
      </c>
      <c r="Y110">
        <f>HYPERLINK("https://klasma.github.io/Logging_2582/kartor_geotiff/A 18678-2025 georefererad karta.tif", "A 18678-2025")</f>
        <v/>
      </c>
      <c r="AA110">
        <f>HYPERLINK("https://klasma.github.io/Logging_2582/klagomål/A 18678-2025 FSC-klagomål.docx", "A 18678-2025")</f>
        <v/>
      </c>
      <c r="AB110">
        <f>HYPERLINK("https://klasma.github.io/Logging_2582/klagomålsmail/A 18678-2025 FSC-klagomål mail.docx", "A 18678-2025")</f>
        <v/>
      </c>
      <c r="AC110">
        <f>HYPERLINK("https://klasma.github.io/Logging_2582/tillsyn/A 18678-2025 tillsynsbegäran.docx", "A 18678-2025")</f>
        <v/>
      </c>
      <c r="AD110">
        <f>HYPERLINK("https://klasma.github.io/Logging_2582/tillsynsmail/A 18678-2025 tillsynsbegäran mail.docx", "A 18678-2025")</f>
        <v/>
      </c>
    </row>
    <row r="111" ht="15" customHeight="1">
      <c r="A111" t="inlineStr">
        <is>
          <t>A 22892-2024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46255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0.8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Bollvitmossa</t>
        </is>
      </c>
      <c r="W111">
        <f>HYPERLINK("https://klasma.github.io/Logging_2582/artfynd/A 22892-2024 artfynd.xlsx", "A 22892-2024")</f>
        <v/>
      </c>
      <c r="X111">
        <f>HYPERLINK("https://klasma.github.io/Logging_2582/kartor/A 22892-2024 karta.png", "A 22892-2024")</f>
        <v/>
      </c>
      <c r="Y111">
        <f>HYPERLINK("https://klasma.github.io/Logging_2582/kartor_geotiff/A 22892-2024 georefererad karta.tif", "A 22892-2024")</f>
        <v/>
      </c>
      <c r="AA111">
        <f>HYPERLINK("https://klasma.github.io/Logging_2582/klagomål/A 22892-2024 FSC-klagomål.docx", "A 22892-2024")</f>
        <v/>
      </c>
      <c r="AB111">
        <f>HYPERLINK("https://klasma.github.io/Logging_2582/klagomålsmail/A 22892-2024 FSC-klagomål mail.docx", "A 22892-2024")</f>
        <v/>
      </c>
      <c r="AC111">
        <f>HYPERLINK("https://klasma.github.io/Logging_2582/tillsyn/A 22892-2024 tillsynsbegäran.docx", "A 22892-2024")</f>
        <v/>
      </c>
      <c r="AD111">
        <f>HYPERLINK("https://klasma.github.io/Logging_2582/tillsynsmail/A 22892-2024 tillsynsbegäran mail.docx", "A 22892-2024")</f>
        <v/>
      </c>
    </row>
    <row r="112" ht="15" customHeight="1">
      <c r="A112" t="inlineStr">
        <is>
          <t>A 13568-2022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46255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Lavskrika</t>
        </is>
      </c>
      <c r="W112">
        <f>HYPERLINK("https://klasma.github.io/Logging_2582/artfynd/A 13568-2022 artfynd.xlsx", "A 13568-2022")</f>
        <v/>
      </c>
      <c r="X112">
        <f>HYPERLINK("https://klasma.github.io/Logging_2582/kartor/A 13568-2022 karta.png", "A 13568-2022")</f>
        <v/>
      </c>
      <c r="Y112">
        <f>HYPERLINK("https://klasma.github.io/Logging_2582/kartor_geotiff/A 13568-2022 georefererad karta.tif", "A 13568-2022")</f>
        <v/>
      </c>
      <c r="AA112">
        <f>HYPERLINK("https://klasma.github.io/Logging_2582/klagomål/A 13568-2022 FSC-klagomål.docx", "A 13568-2022")</f>
        <v/>
      </c>
      <c r="AB112">
        <f>HYPERLINK("https://klasma.github.io/Logging_2582/klagomålsmail/A 13568-2022 FSC-klagomål mail.docx", "A 13568-2022")</f>
        <v/>
      </c>
      <c r="AC112">
        <f>HYPERLINK("https://klasma.github.io/Logging_2582/tillsyn/A 13568-2022 tillsynsbegäran.docx", "A 13568-2022")</f>
        <v/>
      </c>
      <c r="AD112">
        <f>HYPERLINK("https://klasma.github.io/Logging_2582/tillsynsmail/A 13568-2022 tillsynsbegäran mail.docx", "A 13568-2022")</f>
        <v/>
      </c>
      <c r="AE112">
        <f>HYPERLINK("https://klasma.github.io/Logging_2582/fåglar/A 13568-2022 prioriterade fågelarter.docx", "A 13568-2022")</f>
        <v/>
      </c>
    </row>
    <row r="113" ht="15" customHeight="1">
      <c r="A113" t="inlineStr">
        <is>
          <t>A 68560-2021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46255</v>
      </c>
      <c r="F113" t="inlineStr">
        <is>
          <t>NORRBOTTENS LÄN</t>
        </is>
      </c>
      <c r="G113" t="inlineStr">
        <is>
          <t>BODEN</t>
        </is>
      </c>
      <c r="I113" t="n">
        <v>3.5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4</v>
      </c>
      <c r="U113" t="n">
        <v>4</v>
      </c>
      <c r="V113" s="2" t="inlineStr">
        <is>
          <t>Småflikig brosklav</t>
        </is>
      </c>
      <c r="W113">
        <f>HYPERLINK("https://klasma.github.io/Logging_2582/artfynd/A 68560-2021 artfynd.xlsx", "A 68560-2021")</f>
        <v/>
      </c>
      <c r="X113">
        <f>HYPERLINK("https://klasma.github.io/Logging_2582/kartor/A 68560-2021 karta.png", "A 68560-2021")</f>
        <v/>
      </c>
      <c r="Y113">
        <f>HYPERLINK("https://klasma.github.io/Logging_2582/kartor_geotiff/A 68560-2021 georefererad karta.tif", "A 68560-2021")</f>
        <v/>
      </c>
      <c r="AA113">
        <f>HYPERLINK("https://klasma.github.io/Logging_2582/klagomål/A 68560-2021 FSC-klagomål.docx", "A 68560-2021")</f>
        <v/>
      </c>
      <c r="AB113">
        <f>HYPERLINK("https://klasma.github.io/Logging_2582/klagomålsmail/A 68560-2021 FSC-klagomål mail.docx", "A 68560-2021")</f>
        <v/>
      </c>
      <c r="AC113">
        <f>HYPERLINK("https://klasma.github.io/Logging_2582/tillsyn/A 68560-2021 tillsynsbegäran.docx", "A 68560-2021")</f>
        <v/>
      </c>
      <c r="AD113">
        <f>HYPERLINK("https://klasma.github.io/Logging_2582/tillsynsmail/A 68560-2021 tillsynsbegäran mail.docx", "A 68560-2021")</f>
        <v/>
      </c>
    </row>
    <row r="114" ht="15" customHeight="1">
      <c r="A114" t="inlineStr">
        <is>
          <t>A 41087-2024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45559</v>
      </c>
      <c r="E114" s="1" t="n">
        <v>46255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HYPERLINK("https://klasma.github.io/Logging_2582/artfynd/A 41087-2024 artfynd.xlsx", "A 41087-2024")</f>
        <v/>
      </c>
      <c r="X114">
        <f>HYPERLINK("https://klasma.github.io/Logging_2582/kartor/A 41087-2024 karta.png", "A 41087-2024")</f>
        <v/>
      </c>
      <c r="Y114">
        <f>HYPERLINK("https://klasma.github.io/Logging_2582/kartor_geotiff/A 41087-2024 georefererad karta.tif", "A 41087-2024")</f>
        <v/>
      </c>
      <c r="AA114">
        <f>HYPERLINK("https://klasma.github.io/Logging_2582/klagomål/A 41087-2024 FSC-klagomål.docx", "A 41087-2024")</f>
        <v/>
      </c>
      <c r="AB114">
        <f>HYPERLINK("https://klasma.github.io/Logging_2582/klagomålsmail/A 41087-2024 FSC-klagomål mail.docx", "A 41087-2024")</f>
        <v/>
      </c>
      <c r="AC114">
        <f>HYPERLINK("https://klasma.github.io/Logging_2582/tillsyn/A 41087-2024 tillsynsbegäran.docx", "A 41087-2024")</f>
        <v/>
      </c>
      <c r="AD114">
        <f>HYPERLINK("https://klasma.github.io/Logging_2582/tillsynsmail/A 41087-2024 tillsynsbegäran mail.docx", "A 41087-2024")</f>
        <v/>
      </c>
    </row>
    <row r="115" ht="15" customHeight="1">
      <c r="A115" t="inlineStr">
        <is>
          <t>A 32600-2024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45513</v>
      </c>
      <c r="E115" s="1" t="n">
        <v>46255</v>
      </c>
      <c r="F115" t="inlineStr">
        <is>
          <t>NORRBOTTENS LÄN</t>
        </is>
      </c>
      <c r="G115" t="inlineStr">
        <is>
          <t>BODEN</t>
        </is>
      </c>
      <c r="I115" t="n">
        <v>2.5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Lunglav</t>
        </is>
      </c>
      <c r="W115">
        <f>HYPERLINK("https://klasma.github.io/Logging_2582/artfynd/A 32600-2024 artfynd.xlsx", "A 32600-2024")</f>
        <v/>
      </c>
      <c r="X115">
        <f>HYPERLINK("https://klasma.github.io/Logging_2582/kartor/A 32600-2024 karta.png", "A 32600-2024")</f>
        <v/>
      </c>
      <c r="Y115">
        <f>HYPERLINK("https://klasma.github.io/Logging_2582/kartor_geotiff/A 32600-2024 georefererad karta.tif", "A 32600-2024")</f>
        <v/>
      </c>
      <c r="AA115">
        <f>HYPERLINK("https://klasma.github.io/Logging_2582/klagomål/A 32600-2024 FSC-klagomål.docx", "A 32600-2024")</f>
        <v/>
      </c>
      <c r="AB115">
        <f>HYPERLINK("https://klasma.github.io/Logging_2582/klagomålsmail/A 32600-2024 FSC-klagomål mail.docx", "A 32600-2024")</f>
        <v/>
      </c>
      <c r="AC115">
        <f>HYPERLINK("https://klasma.github.io/Logging_2582/tillsyn/A 32600-2024 tillsynsbegäran.docx", "A 32600-2024")</f>
        <v/>
      </c>
      <c r="AD115">
        <f>HYPERLINK("https://klasma.github.io/Logging_2582/tillsynsmail/A 32600-2024 tillsynsbegäran mail.docx", "A 32600-2024")</f>
        <v/>
      </c>
    </row>
    <row r="116" ht="15" customHeight="1">
      <c r="A116" t="inlineStr">
        <is>
          <t>A 41443-2025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45901</v>
      </c>
      <c r="E116" s="1" t="n">
        <v>46255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HYPERLINK("https://klasma.github.io/Logging_2582/artfynd/A 41443-2025 artfynd.xlsx", "A 41443-2025")</f>
        <v/>
      </c>
      <c r="X116">
        <f>HYPERLINK("https://klasma.github.io/Logging_2582/kartor/A 41443-2025 karta.png", "A 41443-2025")</f>
        <v/>
      </c>
      <c r="Y116">
        <f>HYPERLINK("https://klasma.github.io/Logging_2582/kartor_geotiff/A 41443-2025 georefererad karta.tif", "A 41443-2025")</f>
        <v/>
      </c>
      <c r="AA116">
        <f>HYPERLINK("https://klasma.github.io/Logging_2582/klagomål/A 41443-2025 FSC-klagomål.docx", "A 41443-2025")</f>
        <v/>
      </c>
      <c r="AB116">
        <f>HYPERLINK("https://klasma.github.io/Logging_2582/klagomålsmail/A 41443-2025 FSC-klagomål mail.docx", "A 41443-2025")</f>
        <v/>
      </c>
      <c r="AC116">
        <f>HYPERLINK("https://klasma.github.io/Logging_2582/tillsyn/A 41443-2025 tillsynsbegäran.docx", "A 41443-2025")</f>
        <v/>
      </c>
      <c r="AD116">
        <f>HYPERLINK("https://klasma.github.io/Logging_2582/tillsynsmail/A 41443-2025 tillsynsbegäran mail.docx", "A 41443-2025")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46255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Tallticka</t>
        </is>
      </c>
      <c r="W117">
        <f>HYPERLINK("https://klasma.github.io/Logging_2582/artfynd/A 26359-2022 artfynd.xlsx", "A 26359-2022")</f>
        <v/>
      </c>
      <c r="X117">
        <f>HYPERLINK("https://klasma.github.io/Logging_2582/kartor/A 26359-2022 karta.png", "A 26359-2022")</f>
        <v/>
      </c>
      <c r="Y117">
        <f>HYPERLINK("https://klasma.github.io/Logging_2582/kartor_geotiff/A 26359-2022 georefererad karta.tif", "A 26359-2022")</f>
        <v/>
      </c>
      <c r="AA117">
        <f>HYPERLINK("https://klasma.github.io/Logging_2582/klagomål/A 26359-2022 FSC-klagomål.docx", "A 26359-2022")</f>
        <v/>
      </c>
      <c r="AB117">
        <f>HYPERLINK("https://klasma.github.io/Logging_2582/klagomålsmail/A 26359-2022 FSC-klagomål mail.docx", "A 26359-2022")</f>
        <v/>
      </c>
      <c r="AC117">
        <f>HYPERLINK("https://klasma.github.io/Logging_2582/tillsyn/A 26359-2022 tillsynsbegäran.docx", "A 26359-2022")</f>
        <v/>
      </c>
      <c r="AD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49410-2023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46255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Lunglav</t>
        </is>
      </c>
      <c r="W118">
        <f>HYPERLINK("https://klasma.github.io/Logging_2582/artfynd/A 49410-2023 artfynd.xlsx", "A 49410-2023")</f>
        <v/>
      </c>
      <c r="X118">
        <f>HYPERLINK("https://klasma.github.io/Logging_2582/kartor/A 49410-2023 karta.png", "A 49410-2023")</f>
        <v/>
      </c>
      <c r="Y118">
        <f>HYPERLINK("https://klasma.github.io/Logging_2582/kartor_geotiff/A 49410-2023 georefererad karta.tif", "A 49410-2023")</f>
        <v/>
      </c>
      <c r="AA118">
        <f>HYPERLINK("https://klasma.github.io/Logging_2582/klagomål/A 49410-2023 FSC-klagomål.docx", "A 49410-2023")</f>
        <v/>
      </c>
      <c r="AB118">
        <f>HYPERLINK("https://klasma.github.io/Logging_2582/klagomålsmail/A 49410-2023 FSC-klagomål mail.docx", "A 49410-2023")</f>
        <v/>
      </c>
      <c r="AC118">
        <f>HYPERLINK("https://klasma.github.io/Logging_2582/tillsyn/A 49410-2023 tillsynsbegäran.docx", "A 49410-2023")</f>
        <v/>
      </c>
      <c r="AD118">
        <f>HYPERLINK("https://klasma.github.io/Logging_2582/tillsynsmail/A 49410-2023 tillsynsbegäran mail.docx", "A 49410-2023")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46255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46255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46255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46255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46255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46255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HYPERLINK("https://klasma.github.io/Logging_2582/artfynd/A 53180-2025 artfynd.xlsx", "A 53180-2025")</f>
        <v/>
      </c>
      <c r="X124">
        <f>HYPERLINK("https://klasma.github.io/Logging_2582/kartor/A 53180-2025 karta.png", "A 53180-2025")</f>
        <v/>
      </c>
      <c r="Y124">
        <f>HYPERLINK("https://klasma.github.io/Logging_2582/kartor_geotiff/A 53180-2025 georefererad karta.tif", "A 53180-2025")</f>
        <v/>
      </c>
      <c r="AA124">
        <f>HYPERLINK("https://klasma.github.io/Logging_2582/klagomål/A 53180-2025 FSC-klagomål.docx", "A 53180-2025")</f>
        <v/>
      </c>
      <c r="AB124">
        <f>HYPERLINK("https://klasma.github.io/Logging_2582/klagomålsmail/A 53180-2025 FSC-klagomål mail.docx", "A 53180-2025")</f>
        <v/>
      </c>
      <c r="AC124">
        <f>HYPERLINK("https://klasma.github.io/Logging_2582/tillsyn/A 53180-2025 tillsynsbegäran.docx", "A 53180-2025")</f>
        <v/>
      </c>
      <c r="AD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53590-2025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46255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Gulskölding</t>
        </is>
      </c>
      <c r="W125">
        <f>HYPERLINK("https://klasma.github.io/Logging_2582/artfynd/A 53590-2025 artfynd.xlsx", "A 53590-2025")</f>
        <v/>
      </c>
      <c r="X125">
        <f>HYPERLINK("https://klasma.github.io/Logging_2582/kartor/A 53590-2025 karta.png", "A 53590-2025")</f>
        <v/>
      </c>
      <c r="Y125">
        <f>HYPERLINK("https://klasma.github.io/Logging_2582/kartor_geotiff/A 53590-2025 georefererad karta.tif", "A 53590-2025")</f>
        <v/>
      </c>
      <c r="AA125">
        <f>HYPERLINK("https://klasma.github.io/Logging_2582/klagomål/A 53590-2025 FSC-klagomål.docx", "A 53590-2025")</f>
        <v/>
      </c>
      <c r="AB125">
        <f>HYPERLINK("https://klasma.github.io/Logging_2582/klagomålsmail/A 53590-2025 FSC-klagomål mail.docx", "A 53590-2025")</f>
        <v/>
      </c>
      <c r="AC125">
        <f>HYPERLINK("https://klasma.github.io/Logging_2582/tillsyn/A 53590-2025 tillsynsbegäran.docx", "A 53590-2025")</f>
        <v/>
      </c>
      <c r="AD125">
        <f>HYPERLINK("https://klasma.github.io/Logging_2582/tillsynsmail/A 53590-2025 tillsynsbegäran mail.docx", "A 53590-2025")</f>
        <v/>
      </c>
    </row>
    <row r="126" ht="15" customHeight="1">
      <c r="A126" t="inlineStr">
        <is>
          <t>A 54563-2025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46255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10.3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HYPERLINK("https://klasma.github.io/Logging_2582/artfynd/A 54563-2025 artfynd.xlsx", "A 54563-2025")</f>
        <v/>
      </c>
      <c r="X126">
        <f>HYPERLINK("https://klasma.github.io/Logging_2582/kartor/A 54563-2025 karta.png", "A 54563-2025")</f>
        <v/>
      </c>
      <c r="Y126">
        <f>HYPERLINK("https://klasma.github.io/Logging_2582/kartor_geotiff/A 54563-2025 georefererad karta.tif", "A 54563-2025")</f>
        <v/>
      </c>
      <c r="AA126">
        <f>HYPERLINK("https://klasma.github.io/Logging_2582/klagomål/A 54563-2025 FSC-klagomål.docx", "A 54563-2025")</f>
        <v/>
      </c>
      <c r="AB126">
        <f>HYPERLINK("https://klasma.github.io/Logging_2582/klagomålsmail/A 54563-2025 FSC-klagomål mail.docx", "A 54563-2025")</f>
        <v/>
      </c>
      <c r="AC126">
        <f>HYPERLINK("https://klasma.github.io/Logging_2582/tillsyn/A 54563-2025 tillsynsbegäran.docx", "A 54563-2025")</f>
        <v/>
      </c>
      <c r="AD126">
        <f>HYPERLINK("https://klasma.github.io/Logging_2582/tillsynsmail/A 54563-2025 tillsynsbegäran mail.docx", "A 54563-2025")</f>
        <v/>
      </c>
    </row>
    <row r="127" ht="15" customHeight="1">
      <c r="A127" t="inlineStr">
        <is>
          <t>A 12832-2022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46255</v>
      </c>
      <c r="F127" t="inlineStr">
        <is>
          <t>NORRBOTTENS LÄN</t>
        </is>
      </c>
      <c r="G127" t="inlineStr">
        <is>
          <t>BODEN</t>
        </is>
      </c>
      <c r="I127" t="n">
        <v>6.6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Doftticka</t>
        </is>
      </c>
      <c r="W127">
        <f>HYPERLINK("https://klasma.github.io/Logging_2582/artfynd/A 12832-2022 artfynd.xlsx", "A 12832-2022")</f>
        <v/>
      </c>
      <c r="X127">
        <f>HYPERLINK("https://klasma.github.io/Logging_2582/kartor/A 12832-2022 karta.png", "A 12832-2022")</f>
        <v/>
      </c>
      <c r="Y127">
        <f>HYPERLINK("https://klasma.github.io/Logging_2582/kartor_geotiff/A 12832-2022 georefererad karta.tif", "A 12832-2022")</f>
        <v/>
      </c>
      <c r="AA127">
        <f>HYPERLINK("https://klasma.github.io/Logging_2582/klagomål/A 12832-2022 FSC-klagomål.docx", "A 12832-2022")</f>
        <v/>
      </c>
      <c r="AB127">
        <f>HYPERLINK("https://klasma.github.io/Logging_2582/klagomålsmail/A 12832-2022 FSC-klagomål mail.docx", "A 12832-2022")</f>
        <v/>
      </c>
      <c r="AC127">
        <f>HYPERLINK("https://klasma.github.io/Logging_2582/tillsyn/A 12832-2022 tillsynsbegäran.docx", "A 12832-2022")</f>
        <v/>
      </c>
      <c r="AD127">
        <f>HYPERLINK("https://klasma.github.io/Logging_2582/tillsynsmail/A 12832-2022 tillsynsbegäran mail.docx", "A 12832-2022")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46255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14329-2026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46255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HYPERLINK("https://klasma.github.io/Logging_2582/artfynd/A 14329-2026 artfynd.xlsx", "A 14329-2026")</f>
        <v/>
      </c>
      <c r="X129">
        <f>HYPERLINK("https://klasma.github.io/Logging_2582/kartor/A 14329-2026 karta.png", "A 14329-2026")</f>
        <v/>
      </c>
      <c r="Y129">
        <f>HYPERLINK("https://klasma.github.io/Logging_2582/kartor_geotiff/A 14329-2026 georefererad karta.tif", "A 14329-2026")</f>
        <v/>
      </c>
      <c r="AA129">
        <f>HYPERLINK("https://klasma.github.io/Logging_2582/klagomål/A 14329-2026 FSC-klagomål.docx", "A 14329-2026")</f>
        <v/>
      </c>
      <c r="AB129">
        <f>HYPERLINK("https://klasma.github.io/Logging_2582/klagomålsmail/A 14329-2026 FSC-klagomål mail.docx", "A 14329-2026")</f>
        <v/>
      </c>
      <c r="AC129">
        <f>HYPERLINK("https://klasma.github.io/Logging_2582/tillsyn/A 14329-2026 tillsynsbegäran.docx", "A 14329-2026")</f>
        <v/>
      </c>
      <c r="AD129">
        <f>HYPERLINK("https://klasma.github.io/Logging_2582/tillsynsmail/A 14329-2026 tillsynsbegäran mail.docx", "A 14329-2026")</f>
        <v/>
      </c>
      <c r="AE129">
        <f>HYPERLINK("https://klasma.github.io/Logging_2582/fåglar/A 14329-2026 prioriterade fågelarter.docx", "A 14329-2026")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46255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HYPERLINK("https://klasma.github.io/Logging_2582/artfynd/A 60196-2025 artfynd.xlsx", "A 60196-2025")</f>
        <v/>
      </c>
      <c r="X130">
        <f>HYPERLINK("https://klasma.github.io/Logging_2582/kartor/A 60196-2025 karta.png", "A 60196-2025")</f>
        <v/>
      </c>
      <c r="Y130">
        <f>HYPERLINK("https://klasma.github.io/Logging_2582/kartor_geotiff/A 60196-2025 georefererad karta.tif", "A 60196-2025")</f>
        <v/>
      </c>
      <c r="AA130">
        <f>HYPERLINK("https://klasma.github.io/Logging_2582/klagomål/A 60196-2025 FSC-klagomål.docx", "A 60196-2025")</f>
        <v/>
      </c>
      <c r="AB130">
        <f>HYPERLINK("https://klasma.github.io/Logging_2582/klagomålsmail/A 60196-2025 FSC-klagomål mail.docx", "A 60196-2025")</f>
        <v/>
      </c>
      <c r="AC130">
        <f>HYPERLINK("https://klasma.github.io/Logging_2582/tillsyn/A 60196-2025 tillsynsbegäran.docx", "A 60196-2025")</f>
        <v/>
      </c>
      <c r="AD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46255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46255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Vitgrynig nållav</t>
        </is>
      </c>
      <c r="W132">
        <f>HYPERLINK("https://klasma.github.io/Logging_2582/artfynd/A 62002-2025 artfynd.xlsx", "A 62002-2025")</f>
        <v/>
      </c>
      <c r="X132">
        <f>HYPERLINK("https://klasma.github.io/Logging_2582/kartor/A 62002-2025 karta.png", "A 62002-2025")</f>
        <v/>
      </c>
      <c r="Y132">
        <f>HYPERLINK("https://klasma.github.io/Logging_2582/kartor_geotiff/A 62002-2025 georefererad karta.tif", "A 62002-2025")</f>
        <v/>
      </c>
      <c r="AA132">
        <f>HYPERLINK("https://klasma.github.io/Logging_2582/klagomål/A 62002-2025 FSC-klagomål.docx", "A 62002-2025")</f>
        <v/>
      </c>
      <c r="AB132">
        <f>HYPERLINK("https://klasma.github.io/Logging_2582/klagomålsmail/A 62002-2025 FSC-klagomål mail.docx", "A 62002-2025")</f>
        <v/>
      </c>
      <c r="AC132">
        <f>HYPERLINK("https://klasma.github.io/Logging_2582/tillsyn/A 62002-2025 tillsynsbegäran.docx", "A 62002-2025")</f>
        <v/>
      </c>
      <c r="AD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4878-2026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46255</v>
      </c>
      <c r="F133" t="inlineStr">
        <is>
          <t>NORRBOTTENS LÄN</t>
        </is>
      </c>
      <c r="G133" t="inlineStr">
        <is>
          <t>BODEN</t>
        </is>
      </c>
      <c r="I133" t="n">
        <v>1.8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padda</t>
        </is>
      </c>
      <c r="W133">
        <f>HYPERLINK("https://klasma.github.io/Logging_2582/artfynd/A 4878-2026 artfynd.xlsx", "A 4878-2026")</f>
        <v/>
      </c>
      <c r="X133">
        <f>HYPERLINK("https://klasma.github.io/Logging_2582/kartor/A 4878-2026 karta.png", "A 4878-2026")</f>
        <v/>
      </c>
      <c r="Y133">
        <f>HYPERLINK("https://klasma.github.io/Logging_2582/kartor_geotiff/A 4878-2026 georefererad karta.tif", "A 4878-2026")</f>
        <v/>
      </c>
      <c r="AA133">
        <f>HYPERLINK("https://klasma.github.io/Logging_2582/klagomål/A 4878-2026 FSC-klagomål.docx", "A 4878-2026")</f>
        <v/>
      </c>
      <c r="AB133">
        <f>HYPERLINK("https://klasma.github.io/Logging_2582/klagomålsmail/A 4878-2026 FSC-klagomål mail.docx", "A 4878-2026")</f>
        <v/>
      </c>
      <c r="AC133">
        <f>HYPERLINK("https://klasma.github.io/Logging_2582/tillsyn/A 4878-2026 tillsynsbegäran.docx", "A 4878-2026")</f>
        <v/>
      </c>
      <c r="AD133">
        <f>HYPERLINK("https://klasma.github.io/Logging_2582/tillsynsmail/A 4878-2026 tillsynsbegäran mail.docx", "A 4878-2026")</f>
        <v/>
      </c>
    </row>
    <row r="134" ht="15" customHeight="1">
      <c r="A134" t="inlineStr">
        <is>
          <t>A 19580-2026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46255</v>
      </c>
      <c r="F134" t="inlineStr">
        <is>
          <t>NORRBOTTENS LÄN</t>
        </is>
      </c>
      <c r="G134" t="inlineStr">
        <is>
          <t>BODEN</t>
        </is>
      </c>
      <c r="I134" t="n">
        <v>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Dropptaggsvamp</t>
        </is>
      </c>
      <c r="W134">
        <f>HYPERLINK("https://klasma.github.io/Logging_2582/artfynd/A 19580-2026 artfynd.xlsx", "A 19580-2026")</f>
        <v/>
      </c>
      <c r="X134">
        <f>HYPERLINK("https://klasma.github.io/Logging_2582/kartor/A 19580-2026 karta.png", "A 19580-2026")</f>
        <v/>
      </c>
      <c r="Y134">
        <f>HYPERLINK("https://klasma.github.io/Logging_2582/kartor_geotiff/A 19580-2026 georefererad karta.tif", "A 19580-2026")</f>
        <v/>
      </c>
      <c r="AA134">
        <f>HYPERLINK("https://klasma.github.io/Logging_2582/klagomål/A 19580-2026 FSC-klagomål.docx", "A 19580-2026")</f>
        <v/>
      </c>
      <c r="AB134">
        <f>HYPERLINK("https://klasma.github.io/Logging_2582/klagomålsmail/A 19580-2026 FSC-klagomål mail.docx", "A 19580-2026")</f>
        <v/>
      </c>
      <c r="AC134">
        <f>HYPERLINK("https://klasma.github.io/Logging_2582/tillsyn/A 19580-2026 tillsynsbegäran.docx", "A 19580-2026")</f>
        <v/>
      </c>
      <c r="AD134">
        <f>HYPERLINK("https://klasma.github.io/Logging_2582/tillsynsmail/A 19580-2026 tillsynsbegäran mail.docx", "A 19580-2026")</f>
        <v/>
      </c>
    </row>
    <row r="135" ht="15" customHeight="1">
      <c r="A135" t="inlineStr">
        <is>
          <t>A 21310-2026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46255</v>
      </c>
      <c r="F135" t="inlineStr">
        <is>
          <t>NORRBOTTENS LÄN</t>
        </is>
      </c>
      <c r="G135" t="inlineStr">
        <is>
          <t>BODEN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HYPERLINK("https://klasma.github.io/Logging_2582/artfynd/A 21310-2026 artfynd.xlsx", "A 21310-2026")</f>
        <v/>
      </c>
      <c r="X135">
        <f>HYPERLINK("https://klasma.github.io/Logging_2582/kartor/A 21310-2026 karta.png", "A 21310-2026")</f>
        <v/>
      </c>
      <c r="Y135">
        <f>HYPERLINK("https://klasma.github.io/Logging_2582/kartor_geotiff/A 21310-2026 georefererad karta.tif", "A 21310-2026")</f>
        <v/>
      </c>
      <c r="AA135">
        <f>HYPERLINK("https://klasma.github.io/Logging_2582/klagomål/A 21310-2026 FSC-klagomål.docx", "A 21310-2026")</f>
        <v/>
      </c>
      <c r="AB135">
        <f>HYPERLINK("https://klasma.github.io/Logging_2582/klagomålsmail/A 21310-2026 FSC-klagomål mail.docx", "A 21310-2026")</f>
        <v/>
      </c>
      <c r="AC135">
        <f>HYPERLINK("https://klasma.github.io/Logging_2582/tillsyn/A 21310-2026 tillsynsbegäran.docx", "A 21310-2026")</f>
        <v/>
      </c>
      <c r="AD135">
        <f>HYPERLINK("https://klasma.github.io/Logging_2582/tillsynsmail/A 21310-2026 tillsynsbegäran mail.docx", "A 21310-2026")</f>
        <v/>
      </c>
    </row>
    <row r="136" ht="15" customHeight="1">
      <c r="A136" t="inlineStr">
        <is>
          <t>A 19396-2022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46255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HYPERLINK("https://klasma.github.io/Logging_2582/artfynd/A 19396-2022 artfynd.xlsx", "A 19396-2022")</f>
        <v/>
      </c>
      <c r="X136">
        <f>HYPERLINK("https://klasma.github.io/Logging_2582/kartor/A 19396-2022 karta.png", "A 19396-2022")</f>
        <v/>
      </c>
      <c r="Y136">
        <f>HYPERLINK("https://klasma.github.io/Logging_2582/kartor_geotiff/A 19396-2022 georefererad karta.tif", "A 19396-2022")</f>
        <v/>
      </c>
      <c r="AA136">
        <f>HYPERLINK("https://klasma.github.io/Logging_2582/klagomål/A 19396-2022 FSC-klagomål.docx", "A 19396-2022")</f>
        <v/>
      </c>
      <c r="AB136">
        <f>HYPERLINK("https://klasma.github.io/Logging_2582/klagomålsmail/A 19396-2022 FSC-klagomål mail.docx", "A 19396-2022")</f>
        <v/>
      </c>
      <c r="AC136">
        <f>HYPERLINK("https://klasma.github.io/Logging_2582/tillsyn/A 19396-2022 tillsynsbegäran.docx", "A 19396-2022")</f>
        <v/>
      </c>
      <c r="AD136">
        <f>HYPERLINK("https://klasma.github.io/Logging_2582/tillsynsmail/A 19396-2022 tillsynsbegäran mail.docx", "A 19396-2022")</f>
        <v/>
      </c>
    </row>
    <row r="137" ht="15" customHeight="1">
      <c r="A137" t="inlineStr">
        <is>
          <t>A 52078-2021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46255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4</v>
      </c>
      <c r="U137" t="n">
        <v>4</v>
      </c>
      <c r="V137" s="2" t="inlineStr">
        <is>
          <t>Knärot</t>
        </is>
      </c>
      <c r="W137">
        <f>HYPERLINK("https://klasma.github.io/Logging_2582/artfynd/A 52078-2021 artfynd.xlsx", "A 52078-2021")</f>
        <v/>
      </c>
      <c r="X137">
        <f>HYPERLINK("https://klasma.github.io/Logging_2582/kartor/A 52078-2021 karta.png", "A 52078-2021")</f>
        <v/>
      </c>
      <c r="Y137">
        <f>HYPERLINK("https://klasma.github.io/Logging_2582/kartor_geotiff/A 52078-2021 georefererad karta.tif", "A 52078-2021")</f>
        <v/>
      </c>
      <c r="Z137">
        <f>HYPERLINK("https://klasma.github.io/Logging_2582/knärot/A 52078-2021 karta knärot.png", "A 52078-2021")</f>
        <v/>
      </c>
      <c r="AA137">
        <f>HYPERLINK("https://klasma.github.io/Logging_2582/klagomål/A 52078-2021 FSC-klagomål.docx", "A 52078-2021")</f>
        <v/>
      </c>
      <c r="AB137">
        <f>HYPERLINK("https://klasma.github.io/Logging_2582/klagomålsmail/A 52078-2021 FSC-klagomål mail.docx", "A 52078-2021")</f>
        <v/>
      </c>
      <c r="AC137">
        <f>HYPERLINK("https://klasma.github.io/Logging_2582/tillsyn/A 52078-2021 tillsynsbegäran.docx", "A 52078-2021")</f>
        <v/>
      </c>
      <c r="AD137">
        <f>HYPERLINK("https://klasma.github.io/Logging_2582/tillsynsmail/A 52078-2021 tillsynsbegäran mail.docx", "A 52078-2021")</f>
        <v/>
      </c>
    </row>
    <row r="138" ht="15" customHeight="1">
      <c r="A138" t="inlineStr">
        <is>
          <t>A 24429-2026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46255</v>
      </c>
      <c r="F138" t="inlineStr">
        <is>
          <t>NORRBOTTENS LÄN</t>
        </is>
      </c>
      <c r="G138" t="inlineStr">
        <is>
          <t>BODEN</t>
        </is>
      </c>
      <c r="I138" t="n">
        <v>0.5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Fläcknycklar</t>
        </is>
      </c>
      <c r="W138">
        <f>HYPERLINK("https://klasma.github.io/Logging_2582/artfynd/A 24429-2026 artfynd.xlsx", "A 24429-2026")</f>
        <v/>
      </c>
      <c r="X138">
        <f>HYPERLINK("https://klasma.github.io/Logging_2582/kartor/A 24429-2026 karta.png", "A 24429-2026")</f>
        <v/>
      </c>
      <c r="Y138">
        <f>HYPERLINK("https://klasma.github.io/Logging_2582/kartor_geotiff/A 24429-2026 georefererad karta.tif", "A 24429-2026")</f>
        <v/>
      </c>
      <c r="AA138">
        <f>HYPERLINK("https://klasma.github.io/Logging_2582/klagomål/A 24429-2026 FSC-klagomål.docx", "A 24429-2026")</f>
        <v/>
      </c>
      <c r="AB138">
        <f>HYPERLINK("https://klasma.github.io/Logging_2582/klagomålsmail/A 24429-2026 FSC-klagomål mail.docx", "A 24429-2026")</f>
        <v/>
      </c>
      <c r="AC138">
        <f>HYPERLINK("https://klasma.github.io/Logging_2582/tillsyn/A 24429-2026 tillsynsbegäran.docx", "A 24429-2026")</f>
        <v/>
      </c>
      <c r="AD138">
        <f>HYPERLINK("https://klasma.github.io/Logging_2582/tillsynsmail/A 24429-2026 tillsynsbegäran mail.docx", "A 24429-2026")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46255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Duvhök</t>
        </is>
      </c>
      <c r="W139">
        <f>HYPERLINK("https://klasma.github.io/Logging_2582/artfynd/A 665-2023 artfynd.xlsx", "A 665-2023")</f>
        <v/>
      </c>
      <c r="X139">
        <f>HYPERLINK("https://klasma.github.io/Logging_2582/kartor/A 665-2023 karta.png", "A 665-2023")</f>
        <v/>
      </c>
      <c r="Y139">
        <f>HYPERLINK("https://klasma.github.io/Logging_2582/kartor_geotiff/A 665-2023 georefererad karta.tif", "A 665-2023")</f>
        <v/>
      </c>
      <c r="AA139">
        <f>HYPERLINK("https://klasma.github.io/Logging_2582/klagomål/A 665-2023 FSC-klagomål.docx", "A 665-2023")</f>
        <v/>
      </c>
      <c r="AB139">
        <f>HYPERLINK("https://klasma.github.io/Logging_2582/klagomålsmail/A 665-2023 FSC-klagomål mail.docx", "A 665-2023")</f>
        <v/>
      </c>
      <c r="AC139">
        <f>HYPERLINK("https://klasma.github.io/Logging_2582/tillsyn/A 665-2023 tillsynsbegäran.docx", "A 665-2023")</f>
        <v/>
      </c>
      <c r="AD139">
        <f>HYPERLINK("https://klasma.github.io/Logging_2582/tillsynsmail/A 665-2023 tillsynsbegäran mail.docx", "A 665-2023")</f>
        <v/>
      </c>
      <c r="AE139">
        <f>HYPERLINK("https://klasma.github.io/Logging_2582/fåglar/A 665-2023 prioriterade fågelarter.docx", "A 665-2023")</f>
        <v/>
      </c>
    </row>
    <row r="140" ht="15" customHeight="1">
      <c r="A140" t="inlineStr">
        <is>
          <t>A 2568-2024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46255</v>
      </c>
      <c r="F140" t="inlineStr">
        <is>
          <t>NORRBOTTENS LÄN</t>
        </is>
      </c>
      <c r="G140" t="inlineStr">
        <is>
          <t>BODEN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 taggsvamp</t>
        </is>
      </c>
      <c r="W140">
        <f>HYPERLINK("https://klasma.github.io/Logging_2582/artfynd/A 2568-2024 artfynd.xlsx", "A 2568-2024")</f>
        <v/>
      </c>
      <c r="X140">
        <f>HYPERLINK("https://klasma.github.io/Logging_2582/kartor/A 2568-2024 karta.png", "A 2568-2024")</f>
        <v/>
      </c>
      <c r="Y140">
        <f>HYPERLINK("https://klasma.github.io/Logging_2582/kartor_geotiff/A 2568-2024 georefererad karta.tif", "A 2568-2024")</f>
        <v/>
      </c>
      <c r="AA140">
        <f>HYPERLINK("https://klasma.github.io/Logging_2582/klagomål/A 2568-2024 FSC-klagomål.docx", "A 2568-2024")</f>
        <v/>
      </c>
      <c r="AB140">
        <f>HYPERLINK("https://klasma.github.io/Logging_2582/klagomålsmail/A 2568-2024 FSC-klagomål mail.docx", "A 2568-2024")</f>
        <v/>
      </c>
      <c r="AC140">
        <f>HYPERLINK("https://klasma.github.io/Logging_2582/tillsyn/A 2568-2024 tillsynsbegäran.docx", "A 2568-2024")</f>
        <v/>
      </c>
      <c r="AD140">
        <f>HYPERLINK("https://klasma.github.io/Logging_2582/tillsynsmail/A 2568-2024 tillsynsbegäran mail.docx", "A 2568-2024")</f>
        <v/>
      </c>
    </row>
    <row r="141" ht="15" customHeight="1">
      <c r="A141" t="inlineStr">
        <is>
          <t>A 25805-2026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46255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3.6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Plattlummer</t>
        </is>
      </c>
      <c r="W141">
        <f>HYPERLINK("https://klasma.github.io/Logging_2582/artfynd/A 25805-2026 artfynd.xlsx", "A 25805-2026")</f>
        <v/>
      </c>
      <c r="X141">
        <f>HYPERLINK("https://klasma.github.io/Logging_2582/kartor/A 25805-2026 karta.png", "A 25805-2026")</f>
        <v/>
      </c>
      <c r="Y141">
        <f>HYPERLINK("https://klasma.github.io/Logging_2582/kartor_geotiff/A 25805-2026 georefererad karta.tif", "A 25805-2026")</f>
        <v/>
      </c>
      <c r="AA141">
        <f>HYPERLINK("https://klasma.github.io/Logging_2582/klagomål/A 25805-2026 FSC-klagomål.docx", "A 25805-2026")</f>
        <v/>
      </c>
      <c r="AB141">
        <f>HYPERLINK("https://klasma.github.io/Logging_2582/klagomålsmail/A 25805-2026 FSC-klagomål mail.docx", "A 25805-2026")</f>
        <v/>
      </c>
      <c r="AC141">
        <f>HYPERLINK("https://klasma.github.io/Logging_2582/tillsyn/A 25805-2026 tillsynsbegäran.docx", "A 25805-2026")</f>
        <v/>
      </c>
      <c r="AD141">
        <f>HYPERLINK("https://klasma.github.io/Logging_2582/tillsynsmail/A 25805-2026 tillsynsbegäran mail.docx", "A 25805-2026")</f>
        <v/>
      </c>
    </row>
    <row r="142" ht="15" customHeight="1">
      <c r="A142" t="inlineStr">
        <is>
          <t>A 25801-2026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46255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25801-2026 artfynd.xlsx", "A 25801-2026")</f>
        <v/>
      </c>
      <c r="X142">
        <f>HYPERLINK("https://klasma.github.io/Logging_2582/kartor/A 25801-2026 karta.png", "A 25801-2026")</f>
        <v/>
      </c>
      <c r="Y142">
        <f>HYPERLINK("https://klasma.github.io/Logging_2582/kartor_geotiff/A 25801-2026 georefererad karta.tif", "A 25801-2026")</f>
        <v/>
      </c>
      <c r="Z142">
        <f>HYPERLINK("https://klasma.github.io/Logging_2582/knärot/A 25801-2026 karta knärot.png", "A 25801-2026")</f>
        <v/>
      </c>
      <c r="AA142">
        <f>HYPERLINK("https://klasma.github.io/Logging_2582/klagomål/A 25801-2026 FSC-klagomål.docx", "A 25801-2026")</f>
        <v/>
      </c>
      <c r="AB142">
        <f>HYPERLINK("https://klasma.github.io/Logging_2582/klagomålsmail/A 25801-2026 FSC-klagomål mail.docx", "A 25801-2026")</f>
        <v/>
      </c>
      <c r="AC142">
        <f>HYPERLINK("https://klasma.github.io/Logging_2582/tillsyn/A 25801-2026 tillsynsbegäran.docx", "A 25801-2026")</f>
        <v/>
      </c>
      <c r="AD142">
        <f>HYPERLINK("https://klasma.github.io/Logging_2582/tillsynsmail/A 25801-2026 tillsynsbegäran mail.docx", "A 25801-2026")</f>
        <v/>
      </c>
    </row>
    <row r="143" ht="15" customHeight="1">
      <c r="A143" t="inlineStr">
        <is>
          <t>A 25803-2026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46255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9.9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Spindelblomster</t>
        </is>
      </c>
      <c r="W143">
        <f>HYPERLINK("https://klasma.github.io/Logging_2582/artfynd/A 25803-2026 artfynd.xlsx", "A 25803-2026")</f>
        <v/>
      </c>
      <c r="X143">
        <f>HYPERLINK("https://klasma.github.io/Logging_2582/kartor/A 25803-2026 karta.png", "A 25803-2026")</f>
        <v/>
      </c>
      <c r="Y143">
        <f>HYPERLINK("https://klasma.github.io/Logging_2582/kartor_geotiff/A 25803-2026 georefererad karta.tif", "A 25803-2026")</f>
        <v/>
      </c>
      <c r="AA143">
        <f>HYPERLINK("https://klasma.github.io/Logging_2582/klagomål/A 25803-2026 FSC-klagomål.docx", "A 25803-2026")</f>
        <v/>
      </c>
      <c r="AB143">
        <f>HYPERLINK("https://klasma.github.io/Logging_2582/klagomålsmail/A 25803-2026 FSC-klagomål mail.docx", "A 25803-2026")</f>
        <v/>
      </c>
      <c r="AC143">
        <f>HYPERLINK("https://klasma.github.io/Logging_2582/tillsyn/A 25803-2026 tillsynsbegäran.docx", "A 25803-2026")</f>
        <v/>
      </c>
      <c r="AD143">
        <f>HYPERLINK("https://klasma.github.io/Logging_2582/tillsynsmail/A 25803-2026 tillsynsbegäran mail.docx", "A 25803-2026")</f>
        <v/>
      </c>
    </row>
    <row r="144" ht="15" customHeight="1">
      <c r="A144" t="inlineStr">
        <is>
          <t>A 26438-2026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46255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15.9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Kolflarnlav</t>
        </is>
      </c>
      <c r="W144">
        <f>HYPERLINK("https://klasma.github.io/Logging_2582/artfynd/A 26438-2026 artfynd.xlsx", "A 26438-2026")</f>
        <v/>
      </c>
      <c r="X144">
        <f>HYPERLINK("https://klasma.github.io/Logging_2582/kartor/A 26438-2026 karta.png", "A 26438-2026")</f>
        <v/>
      </c>
      <c r="Y144">
        <f>HYPERLINK("https://klasma.github.io/Logging_2582/kartor_geotiff/A 26438-2026 georefererad karta.tif", "A 26438-2026")</f>
        <v/>
      </c>
      <c r="AA144">
        <f>HYPERLINK("https://klasma.github.io/Logging_2582/klagomål/A 26438-2026 FSC-klagomål.docx", "A 26438-2026")</f>
        <v/>
      </c>
      <c r="AB144">
        <f>HYPERLINK("https://klasma.github.io/Logging_2582/klagomålsmail/A 26438-2026 FSC-klagomål mail.docx", "A 26438-2026")</f>
        <v/>
      </c>
      <c r="AC144">
        <f>HYPERLINK("https://klasma.github.io/Logging_2582/tillsyn/A 26438-2026 tillsynsbegäran.docx", "A 26438-2026")</f>
        <v/>
      </c>
      <c r="AD144">
        <f>HYPERLINK("https://klasma.github.io/Logging_2582/tillsynsmail/A 26438-2026 tillsynsbegäran mail.docx", "A 26438-2026")</f>
        <v/>
      </c>
    </row>
    <row r="145" ht="15" customHeight="1">
      <c r="A145" t="inlineStr">
        <is>
          <t>A 26690-2026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46184</v>
      </c>
      <c r="E145" s="1" t="n">
        <v>46255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26690-2026 artfynd.xlsx", "A 26690-2026")</f>
        <v/>
      </c>
      <c r="X145">
        <f>HYPERLINK("https://klasma.github.io/Logging_2582/kartor/A 26690-2026 karta.png", "A 26690-2026")</f>
        <v/>
      </c>
      <c r="Y145">
        <f>HYPERLINK("https://klasma.github.io/Logging_2582/kartor_geotiff/A 26690-2026 georefererad karta.tif", "A 26690-2026")</f>
        <v/>
      </c>
      <c r="Z145">
        <f>HYPERLINK("https://klasma.github.io/Logging_2582/knärot/A 26690-2026 karta knärot.png", "A 26690-2026")</f>
        <v/>
      </c>
      <c r="AA145">
        <f>HYPERLINK("https://klasma.github.io/Logging_2582/klagomål/A 26690-2026 FSC-klagomål.docx", "A 26690-2026")</f>
        <v/>
      </c>
      <c r="AB145">
        <f>HYPERLINK("https://klasma.github.io/Logging_2582/klagomålsmail/A 26690-2026 FSC-klagomål mail.docx", "A 26690-2026")</f>
        <v/>
      </c>
      <c r="AC145">
        <f>HYPERLINK("https://klasma.github.io/Logging_2582/tillsyn/A 26690-2026 tillsynsbegäran.docx", "A 26690-2026")</f>
        <v/>
      </c>
      <c r="AD145">
        <f>HYPERLINK("https://klasma.github.io/Logging_2582/tillsynsmail/A 26690-2026 tillsynsbegäran mail.docx", "A 26690-2026")</f>
        <v/>
      </c>
    </row>
    <row r="146" ht="15" customHeight="1">
      <c r="A146" t="inlineStr">
        <is>
          <t>A 36743-2024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46255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HYPERLINK("https://klasma.github.io/Logging_2582/artfynd/A 36743-2024 artfynd.xlsx", "A 36743-2024")</f>
        <v/>
      </c>
      <c r="X146">
        <f>HYPERLINK("https://klasma.github.io/Logging_2582/kartor/A 36743-2024 karta.png", "A 36743-2024")</f>
        <v/>
      </c>
      <c r="Y146">
        <f>HYPERLINK("https://klasma.github.io/Logging_2582/kartor_geotiff/A 36743-2024 georefererad karta.tif", "A 36743-2024")</f>
        <v/>
      </c>
      <c r="AA146">
        <f>HYPERLINK("https://klasma.github.io/Logging_2582/klagomål/A 36743-2024 FSC-klagomål.docx", "A 36743-2024")</f>
        <v/>
      </c>
      <c r="AB146">
        <f>HYPERLINK("https://klasma.github.io/Logging_2582/klagomålsmail/A 36743-2024 FSC-klagomål mail.docx", "A 36743-2024")</f>
        <v/>
      </c>
      <c r="AC146">
        <f>HYPERLINK("https://klasma.github.io/Logging_2582/tillsyn/A 36743-2024 tillsynsbegäran.docx", "A 36743-2024")</f>
        <v/>
      </c>
      <c r="AD146">
        <f>HYPERLINK("https://klasma.github.io/Logging_2582/tillsynsmail/A 36743-2024 tillsynsbegäran mail.docx", "A 36743-2024")</f>
        <v/>
      </c>
    </row>
    <row r="147" ht="15" customHeight="1">
      <c r="A147" t="inlineStr">
        <is>
          <t>A 2565-2026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46255</v>
      </c>
      <c r="F147" t="inlineStr">
        <is>
          <t>NORRBOTTENS LÄN</t>
        </is>
      </c>
      <c r="G147" t="inlineStr">
        <is>
          <t>BODEN</t>
        </is>
      </c>
      <c r="H147" t="inlineStr">
        <is>
          <t>Naturvårdsverket</t>
        </is>
      </c>
      <c r="I147" t="n">
        <v>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2</v>
      </c>
      <c r="V147" s="2" t="inlineStr">
        <is>
          <t>Garnlav</t>
        </is>
      </c>
      <c r="W147">
        <f>HYPERLINK("https://klasma.github.io/Logging_2582/artfynd/A 2565-2026 artfynd.xlsx", "A 2565-2026")</f>
        <v/>
      </c>
      <c r="X147">
        <f>HYPERLINK("https://klasma.github.io/Logging_2582/kartor/A 2565-2026 karta.png", "A 2565-2026")</f>
        <v/>
      </c>
      <c r="Y147">
        <f>HYPERLINK("https://klasma.github.io/Logging_2582/kartor_geotiff/A 2565-2026 georefererad karta.tif", "A 2565-2026")</f>
        <v/>
      </c>
      <c r="AA147">
        <f>HYPERLINK("https://klasma.github.io/Logging_2582/klagomål/A 2565-2026 FSC-klagomål.docx", "A 2565-2026")</f>
        <v/>
      </c>
      <c r="AB147">
        <f>HYPERLINK("https://klasma.github.io/Logging_2582/klagomålsmail/A 2565-2026 FSC-klagomål mail.docx", "A 2565-2026")</f>
        <v/>
      </c>
      <c r="AC147">
        <f>HYPERLINK("https://klasma.github.io/Logging_2582/tillsyn/A 2565-2026 tillsynsbegäran.docx", "A 2565-2026")</f>
        <v/>
      </c>
      <c r="AD147">
        <f>HYPERLINK("https://klasma.github.io/Logging_2582/tillsynsmail/A 2565-2026 tillsynsbegäran mail.docx", "A 2565-2026")</f>
        <v/>
      </c>
    </row>
    <row r="148" ht="15" customHeight="1">
      <c r="A148" t="inlineStr">
        <is>
          <t>A 32159-2026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46236</v>
      </c>
      <c r="E148" s="1" t="n">
        <v>46255</v>
      </c>
      <c r="F148" t="inlineStr">
        <is>
          <t>NORRBOTTENS LÄN</t>
        </is>
      </c>
      <c r="G148" t="inlineStr">
        <is>
          <t>BODEN</t>
        </is>
      </c>
      <c r="I148" t="n">
        <v>5.8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32159-2026 artfynd.xlsx", "A 32159-2026")</f>
        <v/>
      </c>
      <c r="X148">
        <f>HYPERLINK("https://klasma.github.io/Logging_2582/kartor/A 32159-2026 karta.png", "A 32159-2026")</f>
        <v/>
      </c>
      <c r="Y148">
        <f>HYPERLINK("https://klasma.github.io/Logging_2582/kartor_geotiff/A 32159-2026 georefererad karta.tif", "A 32159-2026")</f>
        <v/>
      </c>
      <c r="AA148">
        <f>HYPERLINK("https://klasma.github.io/Logging_2582/klagomål/A 32159-2026 FSC-klagomål.docx", "A 32159-2026")</f>
        <v/>
      </c>
      <c r="AB148">
        <f>HYPERLINK("https://klasma.github.io/Logging_2582/klagomålsmail/A 32159-2026 FSC-klagomål mail.docx", "A 32159-2026")</f>
        <v/>
      </c>
      <c r="AC148">
        <f>HYPERLINK("https://klasma.github.io/Logging_2582/tillsyn/A 32159-2026 tillsynsbegäran.docx", "A 32159-2026")</f>
        <v/>
      </c>
      <c r="AD148">
        <f>HYPERLINK("https://klasma.github.io/Logging_2582/tillsynsmail/A 32159-2026 tillsynsbegäran mail.docx", "A 32159-2026")</f>
        <v/>
      </c>
    </row>
    <row r="149" ht="15" customHeight="1">
      <c r="A149" t="inlineStr">
        <is>
          <t>A 32664-2026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46240</v>
      </c>
      <c r="E149" s="1" t="n">
        <v>46255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14.3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4</v>
      </c>
      <c r="U149" t="n">
        <v>0</v>
      </c>
      <c r="V149" s="2" t="inlineStr">
        <is>
          <t>Lunglav</t>
        </is>
      </c>
      <c r="W149">
        <f>HYPERLINK("https://klasma.github.io/Logging_2582/artfynd/A 32664-2026 artfynd.xlsx", "A 32664-2026")</f>
        <v/>
      </c>
      <c r="X149">
        <f>HYPERLINK("https://klasma.github.io/Logging_2582/kartor/A 32664-2026 karta.png", "A 32664-2026")</f>
        <v/>
      </c>
      <c r="Y149">
        <f>HYPERLINK("https://klasma.github.io/Logging_2582/kartor_geotiff/A 32664-2026 georefererad karta.tif", "A 32664-2026")</f>
        <v/>
      </c>
      <c r="AA149">
        <f>HYPERLINK("https://klasma.github.io/Logging_2582/klagomål/A 32664-2026 FSC-klagomål.docx", "A 32664-2026")</f>
        <v/>
      </c>
      <c r="AB149">
        <f>HYPERLINK("https://klasma.github.io/Logging_2582/klagomålsmail/A 32664-2026 FSC-klagomål mail.docx", "A 32664-2026")</f>
        <v/>
      </c>
      <c r="AC149">
        <f>HYPERLINK("https://klasma.github.io/Logging_2582/tillsyn/A 32664-2026 tillsynsbegäran.docx", "A 32664-2026")</f>
        <v/>
      </c>
      <c r="AD149">
        <f>HYPERLINK("https://klasma.github.io/Logging_2582/tillsynsmail/A 32664-2026 tillsynsbegäran mail.docx", "A 32664-2026")</f>
        <v/>
      </c>
    </row>
    <row r="150" ht="15" customHeight="1">
      <c r="A150" t="inlineStr">
        <is>
          <t>A 68514-2021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44529</v>
      </c>
      <c r="E150" s="1" t="n">
        <v>46255</v>
      </c>
      <c r="F150" t="inlineStr">
        <is>
          <t>NORRBOTTENS LÄN</t>
        </is>
      </c>
      <c r="G150" t="inlineStr">
        <is>
          <t>BODEN</t>
        </is>
      </c>
      <c r="I150" t="n">
        <v>6.2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Spillkråka</t>
        </is>
      </c>
      <c r="W150">
        <f>HYPERLINK("https://klasma.github.io/Logging_2582/artfynd/A 68514-2021 artfynd.xlsx", "A 68514-2021")</f>
        <v/>
      </c>
      <c r="X150">
        <f>HYPERLINK("https://klasma.github.io/Logging_2582/kartor/A 68514-2021 karta.png", "A 68514-2021")</f>
        <v/>
      </c>
      <c r="Y150">
        <f>HYPERLINK("https://klasma.github.io/Logging_2582/kartor_geotiff/A 68514-2021 georefererad karta.tif", "A 68514-2021")</f>
        <v/>
      </c>
      <c r="Z150">
        <f>HYPERLINK("https://klasma.github.io/Logging_2582/knärot/A 68514-2021 karta knärot.png", "A 68514-2021")</f>
        <v/>
      </c>
      <c r="AA150">
        <f>HYPERLINK("https://klasma.github.io/Logging_2582/klagomål/A 68514-2021 FSC-klagomål.docx", "A 68514-2021")</f>
        <v/>
      </c>
      <c r="AB150">
        <f>HYPERLINK("https://klasma.github.io/Logging_2582/klagomålsmail/A 68514-2021 FSC-klagomål mail.docx", "A 68514-2021")</f>
        <v/>
      </c>
      <c r="AC150">
        <f>HYPERLINK("https://klasma.github.io/Logging_2582/tillsyn/A 68514-2021 tillsynsbegäran.docx", "A 68514-2021")</f>
        <v/>
      </c>
      <c r="AD150">
        <f>HYPERLINK("https://klasma.github.io/Logging_2582/tillsynsmail/A 68514-2021 tillsynsbegäran mail.docx", "A 68514-2021")</f>
        <v/>
      </c>
      <c r="AE150">
        <f>HYPERLINK("https://klasma.github.io/Logging_2582/fåglar/A 68514-2021 prioriterade fågelarter.docx", "A 68514-2021")</f>
        <v/>
      </c>
    </row>
    <row r="151" ht="15" customHeight="1">
      <c r="A151" t="inlineStr">
        <is>
          <t>A 32708-2026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46241</v>
      </c>
      <c r="E151" s="1" t="n">
        <v>46255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Lunglav</t>
        </is>
      </c>
      <c r="W151">
        <f>HYPERLINK("https://klasma.github.io/Logging_2582/artfynd/A 32708-2026 artfynd.xlsx", "A 32708-2026")</f>
        <v/>
      </c>
      <c r="X151">
        <f>HYPERLINK("https://klasma.github.io/Logging_2582/kartor/A 32708-2026 karta.png", "A 32708-2026")</f>
        <v/>
      </c>
      <c r="Y151">
        <f>HYPERLINK("https://klasma.github.io/Logging_2582/kartor_geotiff/A 32708-2026 georefererad karta.tif", "A 32708-2026")</f>
        <v/>
      </c>
      <c r="AA151">
        <f>HYPERLINK("https://klasma.github.io/Logging_2582/klagomål/A 32708-2026 FSC-klagomål.docx", "A 32708-2026")</f>
        <v/>
      </c>
      <c r="AB151">
        <f>HYPERLINK("https://klasma.github.io/Logging_2582/klagomålsmail/A 32708-2026 FSC-klagomål mail.docx", "A 32708-2026")</f>
        <v/>
      </c>
      <c r="AC151">
        <f>HYPERLINK("https://klasma.github.io/Logging_2582/tillsyn/A 32708-2026 tillsynsbegäran.docx", "A 32708-2026")</f>
        <v/>
      </c>
      <c r="AD151">
        <f>HYPERLINK("https://klasma.github.io/Logging_2582/tillsynsmail/A 32708-2026 tillsynsbegäran mail.docx", "A 32708-2026")</f>
        <v/>
      </c>
    </row>
    <row r="152" ht="15" customHeight="1">
      <c r="A152" t="inlineStr">
        <is>
          <t>A 29875-2026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46255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HYPERLINK("https://klasma.github.io/Logging_2582/artfynd/A 29875-2026 artfynd.xlsx", "A 29875-2026")</f>
        <v/>
      </c>
      <c r="X152">
        <f>HYPERLINK("https://klasma.github.io/Logging_2582/kartor/A 29875-2026 karta.png", "A 29875-2026")</f>
        <v/>
      </c>
      <c r="Y152">
        <f>HYPERLINK("https://klasma.github.io/Logging_2582/kartor_geotiff/A 29875-2026 georefererad karta.tif", "A 29875-2026")</f>
        <v/>
      </c>
      <c r="AA152">
        <f>HYPERLINK("https://klasma.github.io/Logging_2582/klagomål/A 29875-2026 FSC-klagomål.docx", "A 29875-2026")</f>
        <v/>
      </c>
      <c r="AB152">
        <f>HYPERLINK("https://klasma.github.io/Logging_2582/klagomålsmail/A 29875-2026 FSC-klagomål mail.docx", "A 29875-2026")</f>
        <v/>
      </c>
      <c r="AC152">
        <f>HYPERLINK("https://klasma.github.io/Logging_2582/tillsyn/A 29875-2026 tillsynsbegäran.docx", "A 29875-2026")</f>
        <v/>
      </c>
      <c r="AD152">
        <f>HYPERLINK("https://klasma.github.io/Logging_2582/tillsynsmail/A 29875-2026 tillsynsbegäran mail.docx", "A 29875-2026")</f>
        <v/>
      </c>
    </row>
    <row r="153" ht="15" customHeight="1">
      <c r="A153" t="inlineStr">
        <is>
          <t>A 16217-2024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45406</v>
      </c>
      <c r="E153" s="1" t="n">
        <v>46255</v>
      </c>
      <c r="F153" t="inlineStr">
        <is>
          <t>NORRBOTTENS LÄN</t>
        </is>
      </c>
      <c r="G153" t="inlineStr">
        <is>
          <t>BODEN</t>
        </is>
      </c>
      <c r="I153" t="n">
        <v>7.2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Videsparv</t>
        </is>
      </c>
      <c r="W153">
        <f>HYPERLINK("https://klasma.github.io/Logging_2582/artfynd/A 16217-2024 artfynd.xlsx", "A 16217-2024")</f>
        <v/>
      </c>
      <c r="X153">
        <f>HYPERLINK("https://klasma.github.io/Logging_2582/kartor/A 16217-2024 karta.png", "A 16217-2024")</f>
        <v/>
      </c>
      <c r="Y153">
        <f>HYPERLINK("https://klasma.github.io/Logging_2582/kartor_geotiff/A 16217-2024 georefererad karta.tif", "A 16217-2024")</f>
        <v/>
      </c>
      <c r="AA153">
        <f>HYPERLINK("https://klasma.github.io/Logging_2582/klagomål/A 16217-2024 FSC-klagomål.docx", "A 16217-2024")</f>
        <v/>
      </c>
      <c r="AB153">
        <f>HYPERLINK("https://klasma.github.io/Logging_2582/klagomålsmail/A 16217-2024 FSC-klagomål mail.docx", "A 16217-2024")</f>
        <v/>
      </c>
      <c r="AC153">
        <f>HYPERLINK("https://klasma.github.io/Logging_2582/tillsyn/A 16217-2024 tillsynsbegäran.docx", "A 16217-2024")</f>
        <v/>
      </c>
      <c r="AD153">
        <f>HYPERLINK("https://klasma.github.io/Logging_2582/tillsynsmail/A 16217-2024 tillsynsbegäran mail.docx", "A 16217-2024")</f>
        <v/>
      </c>
      <c r="AE153">
        <f>HYPERLINK("https://klasma.github.io/Logging_2582/fåglar/A 16217-2024 prioriterade fågelarter.docx", "A 16217-2024")</f>
        <v/>
      </c>
    </row>
    <row r="154" ht="15" customHeight="1">
      <c r="A154" t="inlineStr">
        <is>
          <t>S 187-2023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44944</v>
      </c>
      <c r="E154" s="1" t="n">
        <v>46255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407.1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Duvhök</t>
        </is>
      </c>
      <c r="W154">
        <f>HYPERLINK("https://klasma.github.io/Logging_2582/artfynd/S 187-2023 artfynd.xlsx", "S 187-2023")</f>
        <v/>
      </c>
      <c r="X154">
        <f>HYPERLINK("https://klasma.github.io/Logging_2582/kartor/S 187-2023 karta.png", "S 187-2023")</f>
        <v/>
      </c>
      <c r="Y154">
        <f>HYPERLINK("https://klasma.github.io/Logging_2582/kartor_geotiff/S 187-2023 georefererad karta.tif", "S 187-2023")</f>
        <v/>
      </c>
      <c r="AA154">
        <f>HYPERLINK("https://klasma.github.io/Logging_2582/klagomål/S 187-2023 FSC-klagomål.docx", "S 187-2023")</f>
        <v/>
      </c>
      <c r="AB154">
        <f>HYPERLINK("https://klasma.github.io/Logging_2582/klagomålsmail/S 187-2023 FSC-klagomål mail.docx", "S 187-2023")</f>
        <v/>
      </c>
      <c r="AC154">
        <f>HYPERLINK("https://klasma.github.io/Logging_2582/tillsyn/S 187-2023 tillsynsbegäran.docx", "S 187-2023")</f>
        <v/>
      </c>
      <c r="AD154">
        <f>HYPERLINK("https://klasma.github.io/Logging_2582/tillsynsmail/S 187-2023 tillsynsbegäran mail.docx", "S 187-2023")</f>
        <v/>
      </c>
      <c r="AE154">
        <f>HYPERLINK("https://klasma.github.io/Logging_2582/fåglar/S 187-2023 prioriterade fågelarter.docx", "S 187-2023")</f>
        <v/>
      </c>
    </row>
    <row r="155" ht="15" customHeight="1">
      <c r="A155" t="inlineStr">
        <is>
          <t>S 1448-2024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45418</v>
      </c>
      <c r="E155" s="1" t="n">
        <v>46255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Tallticka</t>
        </is>
      </c>
      <c r="W155">
        <f>HYPERLINK("https://klasma.github.io/Logging_2582/artfynd/S 1448-2024 artfynd.xlsx", "S 1448-2024")</f>
        <v/>
      </c>
      <c r="X155">
        <f>HYPERLINK("https://klasma.github.io/Logging_2582/kartor/S 1448-2024 karta.png", "S 1448-2024")</f>
        <v/>
      </c>
      <c r="Y155">
        <f>HYPERLINK("https://klasma.github.io/Logging_2582/kartor_geotiff/S 1448-2024 georefererad karta.tif", "S 1448-2024")</f>
        <v/>
      </c>
      <c r="AA155">
        <f>HYPERLINK("https://klasma.github.io/Logging_2582/klagomål/S 1448-2024 FSC-klagomål.docx", "S 1448-2024")</f>
        <v/>
      </c>
      <c r="AB155">
        <f>HYPERLINK("https://klasma.github.io/Logging_2582/klagomålsmail/S 1448-2024 FSC-klagomål mail.docx", "S 1448-2024")</f>
        <v/>
      </c>
      <c r="AC155">
        <f>HYPERLINK("https://klasma.github.io/Logging_2582/tillsyn/S 1448-2024 tillsynsbegäran.docx", "S 1448-2024")</f>
        <v/>
      </c>
      <c r="AD155">
        <f>HYPERLINK("https://klasma.github.io/Logging_2582/tillsynsmail/S 1448-2024 tillsynsbegäran mail.docx", "S 1448-2024")</f>
        <v/>
      </c>
    </row>
    <row r="156" ht="15" customHeight="1">
      <c r="A156" t="inlineStr">
        <is>
          <t>S 1234-2023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45028</v>
      </c>
      <c r="E156" s="1" t="n">
        <v>46255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100.1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HYPERLINK("https://klasma.github.io/Logging_2582/artfynd/S 1234-2023 artfynd.xlsx", "S 1234-2023")</f>
        <v/>
      </c>
      <c r="X156">
        <f>HYPERLINK("https://klasma.github.io/Logging_2582/kartor/S 1234-2023 karta.png", "S 1234-2023")</f>
        <v/>
      </c>
      <c r="Y156">
        <f>HYPERLINK("https://klasma.github.io/Logging_2582/kartor_geotiff/S 1234-2023 georefererad karta.tif", "S 1234-2023")</f>
        <v/>
      </c>
      <c r="AA156">
        <f>HYPERLINK("https://klasma.github.io/Logging_2582/klagomål/S 1234-2023 FSC-klagomål.docx", "S 1234-2023")</f>
        <v/>
      </c>
      <c r="AB156">
        <f>HYPERLINK("https://klasma.github.io/Logging_2582/klagomålsmail/S 1234-2023 FSC-klagomål mail.docx", "S 1234-2023")</f>
        <v/>
      </c>
      <c r="AC156">
        <f>HYPERLINK("https://klasma.github.io/Logging_2582/tillsyn/S 1234-2023 tillsynsbegäran.docx", "S 1234-2023")</f>
        <v/>
      </c>
      <c r="AD156">
        <f>HYPERLINK("https://klasma.github.io/Logging_2582/tillsynsmail/S 1234-2023 tillsynsbegäran mail.docx", "S 1234-2023")</f>
        <v/>
      </c>
    </row>
    <row r="157" ht="15" customHeight="1">
      <c r="A157" t="inlineStr">
        <is>
          <t>S 5116-2024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45643</v>
      </c>
      <c r="E157" s="1" t="n">
        <v>46255</v>
      </c>
      <c r="F157" t="inlineStr">
        <is>
          <t>NORRBOTTENS LÄN</t>
        </is>
      </c>
      <c r="G157" t="inlineStr">
        <is>
          <t>BODEN</t>
        </is>
      </c>
      <c r="I157" t="n">
        <v>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Mattlummer</t>
        </is>
      </c>
      <c r="W157">
        <f>HYPERLINK("https://klasma.github.io/Logging_2582/artfynd/S 5116-2024 artfynd.xlsx", "S 5116-2024")</f>
        <v/>
      </c>
      <c r="X157">
        <f>HYPERLINK("https://klasma.github.io/Logging_2582/kartor/S 5116-2024 karta.png", "S 5116-2024")</f>
        <v/>
      </c>
      <c r="Y157">
        <f>HYPERLINK("https://klasma.github.io/Logging_2582/kartor_geotiff/S 5116-2024 georefererad karta.tif", "S 5116-2024")</f>
        <v/>
      </c>
      <c r="AA157">
        <f>HYPERLINK("https://klasma.github.io/Logging_2582/klagomål/S 5116-2024 FSC-klagomål.docx", "S 5116-2024")</f>
        <v/>
      </c>
      <c r="AB157">
        <f>HYPERLINK("https://klasma.github.io/Logging_2582/klagomålsmail/S 5116-2024 FSC-klagomål mail.docx", "S 5116-2024")</f>
        <v/>
      </c>
      <c r="AC157">
        <f>HYPERLINK("https://klasma.github.io/Logging_2582/tillsyn/S 5116-2024 tillsynsbegäran.docx", "S 5116-2024")</f>
        <v/>
      </c>
      <c r="AD157">
        <f>HYPERLINK("https://klasma.github.io/Logging_2582/tillsynsmail/S 5116-2024 tillsynsbegäran mail.docx", "S 5116-2024")</f>
        <v/>
      </c>
    </row>
    <row r="158" ht="15" customHeight="1">
      <c r="A158" t="inlineStr">
        <is>
          <t>S 1634-2025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45799</v>
      </c>
      <c r="E158" s="1" t="n">
        <v>46255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HYPERLINK("https://klasma.github.io/Logging_2582/artfynd/S 1634-2025 artfynd.xlsx", "S 1634-2025")</f>
        <v/>
      </c>
      <c r="X158">
        <f>HYPERLINK("https://klasma.github.io/Logging_2582/kartor/S 1634-2025 karta.png", "S 1634-2025")</f>
        <v/>
      </c>
      <c r="Y158">
        <f>HYPERLINK("https://klasma.github.io/Logging_2582/kartor_geotiff/S 1634-2025 georefererad karta.tif", "S 1634-2025")</f>
        <v/>
      </c>
      <c r="Z158">
        <f>HYPERLINK("https://klasma.github.io/Logging_2582/knärot/S 1634-2025 karta knärot.png", "S 1634-2025")</f>
        <v/>
      </c>
      <c r="AA158">
        <f>HYPERLINK("https://klasma.github.io/Logging_2582/klagomål/S 1634-2025 FSC-klagomål.docx", "S 1634-2025")</f>
        <v/>
      </c>
      <c r="AB158">
        <f>HYPERLINK("https://klasma.github.io/Logging_2582/klagomålsmail/S 1634-2025 FSC-klagomål mail.docx", "S 1634-2025")</f>
        <v/>
      </c>
      <c r="AC158">
        <f>HYPERLINK("https://klasma.github.io/Logging_2582/tillsyn/S 1634-2025 tillsynsbegäran.docx", "S 1634-2025")</f>
        <v/>
      </c>
      <c r="AD158">
        <f>HYPERLINK("https://klasma.github.io/Logging_2582/tillsynsmail/S 1634-2025 tillsynsbegäran mail.docx", "S 1634-2025")</f>
        <v/>
      </c>
    </row>
    <row r="159" ht="15" customHeight="1">
      <c r="A159" t="inlineStr">
        <is>
          <t>S 2450-2025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45901</v>
      </c>
      <c r="E159" s="1" t="n">
        <v>46255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HYPERLINK("https://klasma.github.io/Logging_2582/artfynd/S 2450-2025 artfynd.xlsx", "S 2450-2025")</f>
        <v/>
      </c>
      <c r="X159">
        <f>HYPERLINK("https://klasma.github.io/Logging_2582/kartor/S 2450-2025 karta.png", "S 2450-2025")</f>
        <v/>
      </c>
      <c r="Y159">
        <f>HYPERLINK("https://klasma.github.io/Logging_2582/kartor_geotiff/S 2450-2025 georefererad karta.tif", "S 2450-2025")</f>
        <v/>
      </c>
      <c r="AA159">
        <f>HYPERLINK("https://klasma.github.io/Logging_2582/klagomål/S 2450-2025 FSC-klagomål.docx", "S 2450-2025")</f>
        <v/>
      </c>
      <c r="AB159">
        <f>HYPERLINK("https://klasma.github.io/Logging_2582/klagomålsmail/S 2450-2025 FSC-klagomål mail.docx", "S 2450-2025")</f>
        <v/>
      </c>
      <c r="AC159">
        <f>HYPERLINK("https://klasma.github.io/Logging_2582/tillsyn/S 2450-2025 tillsynsbegäran.docx", "S 2450-2025")</f>
        <v/>
      </c>
      <c r="AD159">
        <f>HYPERLINK("https://klasma.github.io/Logging_2582/tillsynsmail/S 2450-2025 tillsynsbegäran mail.docx", "S 2450-2025")</f>
        <v/>
      </c>
    </row>
    <row r="160" ht="15" customHeight="1">
      <c r="A160" t="inlineStr">
        <is>
          <t>S 2940-2025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45952</v>
      </c>
      <c r="E160" s="1" t="n">
        <v>46255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HYPERLINK("https://klasma.github.io/Logging_2582/artfynd/S 2940-2025 artfynd.xlsx", "S 2940-2025")</f>
        <v/>
      </c>
      <c r="X160">
        <f>HYPERLINK("https://klasma.github.io/Logging_2582/kartor/S 2940-2025 karta.png", "S 2940-2025")</f>
        <v/>
      </c>
      <c r="Y160">
        <f>HYPERLINK("https://klasma.github.io/Logging_2582/kartor_geotiff/S 2940-2025 georefererad karta.tif", "S 2940-2025")</f>
        <v/>
      </c>
      <c r="AA160">
        <f>HYPERLINK("https://klasma.github.io/Logging_2582/klagomål/S 2940-2025 FSC-klagomål.docx", "S 2940-2025")</f>
        <v/>
      </c>
      <c r="AB160">
        <f>HYPERLINK("https://klasma.github.io/Logging_2582/klagomålsmail/S 2940-2025 FSC-klagomål mail.docx", "S 2940-2025")</f>
        <v/>
      </c>
      <c r="AC160">
        <f>HYPERLINK("https://klasma.github.io/Logging_2582/tillsyn/S 2940-2025 tillsynsbegäran.docx", "S 2940-2025")</f>
        <v/>
      </c>
      <c r="AD160">
        <f>HYPERLINK("https://klasma.github.io/Logging_2582/tillsynsmail/S 2940-2025 tillsynsbegäran mail.docx", "S 2940-2025")</f>
        <v/>
      </c>
    </row>
    <row r="161" ht="15" customHeight="1">
      <c r="A161" t="inlineStr">
        <is>
          <t>A 63790-2021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46255</v>
      </c>
      <c r="F161" t="inlineStr">
        <is>
          <t>NORRBOTTENS LÄN</t>
        </is>
      </c>
      <c r="G161" t="inlineStr">
        <is>
          <t>BODEN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44677</v>
      </c>
      <c r="E162" s="1" t="n">
        <v>46255</v>
      </c>
      <c r="F162" t="inlineStr">
        <is>
          <t>NORRBOTTENS LÄN</t>
        </is>
      </c>
      <c r="G162" t="inlineStr">
        <is>
          <t>BODEN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44577</v>
      </c>
      <c r="E163" s="1" t="n">
        <v>46255</v>
      </c>
      <c r="F163" t="inlineStr">
        <is>
          <t>NORRBOTTENS LÄN</t>
        </is>
      </c>
      <c r="G163" t="inlineStr">
        <is>
          <t>BODEN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46255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46255</v>
      </c>
      <c r="F165" t="inlineStr">
        <is>
          <t>NORRBOTTENS LÄN</t>
        </is>
      </c>
      <c r="G165" t="inlineStr">
        <is>
          <t>BODEN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46255</v>
      </c>
      <c r="F166" t="inlineStr">
        <is>
          <t>NORRBOTTENS LÄN</t>
        </is>
      </c>
      <c r="G166" t="inlineStr">
        <is>
          <t>BODEN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46255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46255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46255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44648</v>
      </c>
      <c r="E170" s="1" t="n">
        <v>46255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46255</v>
      </c>
      <c r="F171" t="inlineStr">
        <is>
          <t>NORRBOTTENS LÄN</t>
        </is>
      </c>
      <c r="G171" t="inlineStr">
        <is>
          <t>BODEN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46255</v>
      </c>
      <c r="F172" t="inlineStr">
        <is>
          <t>NORRBOTTENS LÄN</t>
        </is>
      </c>
      <c r="G172" t="inlineStr">
        <is>
          <t>BODEN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46255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46255</v>
      </c>
      <c r="F174" t="inlineStr">
        <is>
          <t>NORRBOTTENS LÄN</t>
        </is>
      </c>
      <c r="G174" t="inlineStr">
        <is>
          <t>BODEN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46255</v>
      </c>
      <c r="F175" t="inlineStr">
        <is>
          <t>NORRBOTTENS LÄN</t>
        </is>
      </c>
      <c r="G175" t="inlineStr">
        <is>
          <t>BODEN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46255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46255</v>
      </c>
      <c r="F177" t="inlineStr">
        <is>
          <t>NORRBOTTENS LÄN</t>
        </is>
      </c>
      <c r="G177" t="inlineStr">
        <is>
          <t>BODEN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46255</v>
      </c>
      <c r="F178" t="inlineStr">
        <is>
          <t>NORRBOTTENS LÄN</t>
        </is>
      </c>
      <c r="G178" t="inlineStr">
        <is>
          <t>BODEN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44671</v>
      </c>
      <c r="E179" s="1" t="n">
        <v>46255</v>
      </c>
      <c r="F179" t="inlineStr">
        <is>
          <t>NORRBOTTENS LÄN</t>
        </is>
      </c>
      <c r="G179" t="inlineStr">
        <is>
          <t>BODEN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51328-2021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46255</v>
      </c>
      <c r="F180" t="inlineStr">
        <is>
          <t>NORRBOTTENS LÄN</t>
        </is>
      </c>
      <c r="G180" t="inlineStr">
        <is>
          <t>BODEN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46255</v>
      </c>
      <c r="F181" t="inlineStr">
        <is>
          <t>NORRBOTTENS LÄN</t>
        </is>
      </c>
      <c r="G181" t="inlineStr">
        <is>
          <t>BODEN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46255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71833-2021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46255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68914-2021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46255</v>
      </c>
      <c r="F184" t="inlineStr">
        <is>
          <t>NORRBOTTENS LÄN</t>
        </is>
      </c>
      <c r="G184" t="inlineStr">
        <is>
          <t>BODEN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46255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46255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44734</v>
      </c>
      <c r="E187" s="1" t="n">
        <v>46255</v>
      </c>
      <c r="F187" t="inlineStr">
        <is>
          <t>NORRBOTTENS LÄN</t>
        </is>
      </c>
      <c r="G187" t="inlineStr">
        <is>
          <t>BODEN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710-2022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46255</v>
      </c>
      <c r="F188" t="inlineStr">
        <is>
          <t>NORRBOTTENS LÄN</t>
        </is>
      </c>
      <c r="G188" t="inlineStr">
        <is>
          <t>BODEN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46255</v>
      </c>
      <c r="F189" t="inlineStr">
        <is>
          <t>NORRBOTTENS LÄN</t>
        </is>
      </c>
      <c r="G189" t="inlineStr">
        <is>
          <t>BODEN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44600</v>
      </c>
      <c r="E190" s="1" t="n">
        <v>46255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29119-2022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44749</v>
      </c>
      <c r="E191" s="1" t="n">
        <v>46255</v>
      </c>
      <c r="F191" t="inlineStr">
        <is>
          <t>NORRBOTTENS LÄN</t>
        </is>
      </c>
      <c r="G191" t="inlineStr">
        <is>
          <t>BODEN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46255</v>
      </c>
      <c r="F192" t="inlineStr">
        <is>
          <t>NORRBOTTENS LÄN</t>
        </is>
      </c>
      <c r="G192" t="inlineStr">
        <is>
          <t>BODEN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45002-2021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44438</v>
      </c>
      <c r="E193" s="1" t="n">
        <v>46255</v>
      </c>
      <c r="F193" t="inlineStr">
        <is>
          <t>NORRBOTTENS LÄN</t>
        </is>
      </c>
      <c r="G193" t="inlineStr">
        <is>
          <t>BODEN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46255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69124-2021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44530</v>
      </c>
      <c r="E195" s="1" t="n">
        <v>46255</v>
      </c>
      <c r="F195" t="inlineStr">
        <is>
          <t>NORRBOTTENS LÄN</t>
        </is>
      </c>
      <c r="G195" t="inlineStr">
        <is>
          <t>BODEN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44565</v>
      </c>
      <c r="E196" s="1" t="n">
        <v>46255</v>
      </c>
      <c r="F196" t="inlineStr">
        <is>
          <t>NORRBOTTENS LÄN</t>
        </is>
      </c>
      <c r="G196" t="inlineStr">
        <is>
          <t>BODEN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46255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44566</v>
      </c>
      <c r="E198" s="1" t="n">
        <v>46255</v>
      </c>
      <c r="F198" t="inlineStr">
        <is>
          <t>NORRBOTTENS LÄN</t>
        </is>
      </c>
      <c r="G198" t="inlineStr">
        <is>
          <t>BODEN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44617</v>
      </c>
      <c r="E199" s="1" t="n">
        <v>46255</v>
      </c>
      <c r="F199" t="inlineStr">
        <is>
          <t>NORRBOTTENS LÄN</t>
        </is>
      </c>
      <c r="G199" t="inlineStr">
        <is>
          <t>BODEN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46255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11.3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46255</v>
      </c>
      <c r="F201" t="inlineStr">
        <is>
          <t>NORRBOTTENS LÄN</t>
        </is>
      </c>
      <c r="G201" t="inlineStr">
        <is>
          <t>BODEN</t>
        </is>
      </c>
      <c r="H201" t="inlineStr">
        <is>
          <t>Övriga statliga verk och myndigheter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44625</v>
      </c>
      <c r="E202" s="1" t="n">
        <v>46255</v>
      </c>
      <c r="F202" t="inlineStr">
        <is>
          <t>NORRBOTTENS LÄN</t>
        </is>
      </c>
      <c r="G202" t="inlineStr">
        <is>
          <t>BODEN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44831</v>
      </c>
      <c r="E203" s="1" t="n">
        <v>46255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44799</v>
      </c>
      <c r="E204" s="1" t="n">
        <v>46255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35753-2022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44799</v>
      </c>
      <c r="E205" s="1" t="n">
        <v>46255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46255</v>
      </c>
      <c r="F206" t="inlineStr">
        <is>
          <t>NORRBOTTENS LÄN</t>
        </is>
      </c>
      <c r="G206" t="inlineStr">
        <is>
          <t>BODEN</t>
        </is>
      </c>
      <c r="I206" t="n">
        <v>13.5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56485-2021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46255</v>
      </c>
      <c r="F207" t="inlineStr">
        <is>
          <t>NORRBOTTENS LÄN</t>
        </is>
      </c>
      <c r="G207" t="inlineStr">
        <is>
          <t>BODEN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68569-2021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44529</v>
      </c>
      <c r="E208" s="1" t="n">
        <v>46255</v>
      </c>
      <c r="F208" t="inlineStr">
        <is>
          <t>NORRBOTTENS LÄN</t>
        </is>
      </c>
      <c r="G208" t="inlineStr">
        <is>
          <t>BODEN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45189-2021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46255</v>
      </c>
      <c r="F209" t="inlineStr">
        <is>
          <t>NORRBOTTENS LÄN</t>
        </is>
      </c>
      <c r="G209" t="inlineStr">
        <is>
          <t>BODEN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46255</v>
      </c>
      <c r="F210" t="inlineStr">
        <is>
          <t>NORRBOTTENS LÄN</t>
        </is>
      </c>
      <c r="G210" t="inlineStr">
        <is>
          <t>BODEN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44635</v>
      </c>
      <c r="E211" s="1" t="n">
        <v>46255</v>
      </c>
      <c r="F211" t="inlineStr">
        <is>
          <t>NORRBOTTENS LÄN</t>
        </is>
      </c>
      <c r="G211" t="inlineStr">
        <is>
          <t>BODEN</t>
        </is>
      </c>
      <c r="H211" t="inlineStr">
        <is>
          <t>Kyrkan</t>
        </is>
      </c>
      <c r="I211" t="n">
        <v>16.5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46255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46255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46255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44484</v>
      </c>
      <c r="E215" s="1" t="n">
        <v>46255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44795</v>
      </c>
      <c r="E216" s="1" t="n">
        <v>46255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44489</v>
      </c>
      <c r="E217" s="1" t="n">
        <v>46255</v>
      </c>
      <c r="F217" t="inlineStr">
        <is>
          <t>NORRBOTTENS LÄN</t>
        </is>
      </c>
      <c r="G217" t="inlineStr">
        <is>
          <t>BODEN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44671</v>
      </c>
      <c r="E218" s="1" t="n">
        <v>46255</v>
      </c>
      <c r="F218" t="inlineStr">
        <is>
          <t>NORRBOTTENS LÄN</t>
        </is>
      </c>
      <c r="G218" t="inlineStr">
        <is>
          <t>BODEN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46255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43969-2024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45572</v>
      </c>
      <c r="E220" s="1" t="n">
        <v>46255</v>
      </c>
      <c r="F220" t="inlineStr">
        <is>
          <t>NORRBOTTENS LÄN</t>
        </is>
      </c>
      <c r="G220" t="inlineStr">
        <is>
          <t>BODEN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44734</v>
      </c>
      <c r="E221" s="1" t="n">
        <v>46255</v>
      </c>
      <c r="F221" t="inlineStr">
        <is>
          <t>NORRBOTTENS LÄN</t>
        </is>
      </c>
      <c r="G221" t="inlineStr">
        <is>
          <t>BODEN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46255</v>
      </c>
      <c r="F222" t="inlineStr">
        <is>
          <t>NORRBOTTENS LÄN</t>
        </is>
      </c>
      <c r="G222" t="inlineStr">
        <is>
          <t>BODEN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46255</v>
      </c>
      <c r="F223" t="inlineStr">
        <is>
          <t>NORRBOTTENS LÄN</t>
        </is>
      </c>
      <c r="G223" t="inlineStr">
        <is>
          <t>BODEN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46255</v>
      </c>
      <c r="F224" t="inlineStr">
        <is>
          <t>NORRBOTTENS LÄN</t>
        </is>
      </c>
      <c r="G224" t="inlineStr">
        <is>
          <t>BODEN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45356</v>
      </c>
      <c r="E225" s="1" t="n">
        <v>46255</v>
      </c>
      <c r="F225" t="inlineStr">
        <is>
          <t>NORRBOTTENS LÄN</t>
        </is>
      </c>
      <c r="G225" t="inlineStr">
        <is>
          <t>BODEN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46255</v>
      </c>
      <c r="F226" t="inlineStr">
        <is>
          <t>NORRBOTTENS LÄN</t>
        </is>
      </c>
      <c r="G226" t="inlineStr">
        <is>
          <t>BODEN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46255</v>
      </c>
      <c r="F227" t="inlineStr">
        <is>
          <t>NORRBOTTENS LÄN</t>
        </is>
      </c>
      <c r="G227" t="inlineStr">
        <is>
          <t>BODEN</t>
        </is>
      </c>
      <c r="H227" t="inlineStr">
        <is>
          <t>Övriga statliga verk och myndigheter</t>
        </is>
      </c>
      <c r="I227" t="n">
        <v>10.4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46255</v>
      </c>
      <c r="F228" t="inlineStr">
        <is>
          <t>NORRBOTTENS LÄN</t>
        </is>
      </c>
      <c r="G228" t="inlineStr">
        <is>
          <t>BODEN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46255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46255</v>
      </c>
      <c r="F230" t="inlineStr">
        <is>
          <t>NORRBOTTENS LÄN</t>
        </is>
      </c>
      <c r="G230" t="inlineStr">
        <is>
          <t>BODEN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44477</v>
      </c>
      <c r="E231" s="1" t="n">
        <v>46255</v>
      </c>
      <c r="F231" t="inlineStr">
        <is>
          <t>NORRBOTTENS LÄN</t>
        </is>
      </c>
      <c r="G231" t="inlineStr">
        <is>
          <t>BODEN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46255</v>
      </c>
      <c r="F232" t="inlineStr">
        <is>
          <t>NORRBOTTENS LÄN</t>
        </is>
      </c>
      <c r="G232" t="inlineStr">
        <is>
          <t>BODEN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45429</v>
      </c>
      <c r="E233" s="1" t="n">
        <v>46255</v>
      </c>
      <c r="F233" t="inlineStr">
        <is>
          <t>NORRBOTTENS LÄN</t>
        </is>
      </c>
      <c r="G233" t="inlineStr">
        <is>
          <t>BODEN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74264-2021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44558</v>
      </c>
      <c r="E234" s="1" t="n">
        <v>46255</v>
      </c>
      <c r="F234" t="inlineStr">
        <is>
          <t>NORRBOTTENS LÄN</t>
        </is>
      </c>
      <c r="G234" t="inlineStr">
        <is>
          <t>BODEN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54590-2022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44883</v>
      </c>
      <c r="E235" s="1" t="n">
        <v>46255</v>
      </c>
      <c r="F235" t="inlineStr">
        <is>
          <t>NORRBOTTENS LÄN</t>
        </is>
      </c>
      <c r="G235" t="inlineStr">
        <is>
          <t>BODEN</t>
        </is>
      </c>
      <c r="H235" t="inlineStr">
        <is>
          <t>Sveaskog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46183-2021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44441</v>
      </c>
      <c r="E236" s="1" t="n">
        <v>46255</v>
      </c>
      <c r="F236" t="inlineStr">
        <is>
          <t>NORRBOTTENS LÄN</t>
        </is>
      </c>
      <c r="G236" t="inlineStr">
        <is>
          <t>BODEN</t>
        </is>
      </c>
      <c r="I236" t="n">
        <v>13.6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46255</v>
      </c>
      <c r="F237" t="inlineStr">
        <is>
          <t>NORRBOTTENS LÄN</t>
        </is>
      </c>
      <c r="G237" t="inlineStr">
        <is>
          <t>BODEN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32906-2024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45516</v>
      </c>
      <c r="E238" s="1" t="n">
        <v>46255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45516</v>
      </c>
      <c r="E239" s="1" t="n">
        <v>46255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34969-2024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46255</v>
      </c>
      <c r="F240" t="inlineStr">
        <is>
          <t>NORRBOTTENS LÄN</t>
        </is>
      </c>
      <c r="G240" t="inlineStr">
        <is>
          <t>BODEN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45589</v>
      </c>
      <c r="E241" s="1" t="n">
        <v>46255</v>
      </c>
      <c r="F241" t="inlineStr">
        <is>
          <t>NORRBOTTENS LÄN</t>
        </is>
      </c>
      <c r="G241" t="inlineStr">
        <is>
          <t>BODEN</t>
        </is>
      </c>
      <c r="H241" t="inlineStr">
        <is>
          <t>Naturvårdsverket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44908</v>
      </c>
      <c r="E242" s="1" t="n">
        <v>46255</v>
      </c>
      <c r="F242" t="inlineStr">
        <is>
          <t>NORRBOTTENS LÄN</t>
        </is>
      </c>
      <c r="G242" t="inlineStr">
        <is>
          <t>BODEN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48415-2024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46255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11651-2023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44994</v>
      </c>
      <c r="E244" s="1" t="n">
        <v>46255</v>
      </c>
      <c r="F244" t="inlineStr">
        <is>
          <t>NORRBOTTENS LÄN</t>
        </is>
      </c>
      <c r="G244" t="inlineStr">
        <is>
          <t>BODEN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46255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46255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46255</v>
      </c>
      <c r="F247" t="inlineStr">
        <is>
          <t>NORRBOTTENS LÄN</t>
        </is>
      </c>
      <c r="G247" t="inlineStr">
        <is>
          <t>BODEN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59028-2022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44903</v>
      </c>
      <c r="E248" s="1" t="n">
        <v>46255</v>
      </c>
      <c r="F248" t="inlineStr">
        <is>
          <t>NORRBOTTENS LÄN</t>
        </is>
      </c>
      <c r="G248" t="inlineStr">
        <is>
          <t>BODEN</t>
        </is>
      </c>
      <c r="I248" t="n">
        <v>16.1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68565-2021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46255</v>
      </c>
      <c r="F249" t="inlineStr">
        <is>
          <t>NORRBOTTENS LÄN</t>
        </is>
      </c>
      <c r="G249" t="inlineStr">
        <is>
          <t>BODEN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56163-2022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44889</v>
      </c>
      <c r="E250" s="1" t="n">
        <v>46255</v>
      </c>
      <c r="F250" t="inlineStr">
        <is>
          <t>NORRBOTTENS LÄN</t>
        </is>
      </c>
      <c r="G250" t="inlineStr">
        <is>
          <t>BODEN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44881</v>
      </c>
      <c r="E251" s="1" t="n">
        <v>46255</v>
      </c>
      <c r="F251" t="inlineStr">
        <is>
          <t>NORRBOTTENS LÄN</t>
        </is>
      </c>
      <c r="G251" t="inlineStr">
        <is>
          <t>BODEN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46255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46255</v>
      </c>
      <c r="F253" t="inlineStr">
        <is>
          <t>NORRBOTTENS LÄN</t>
        </is>
      </c>
      <c r="G253" t="inlineStr">
        <is>
          <t>BODEN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28270-2025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45818</v>
      </c>
      <c r="E254" s="1" t="n">
        <v>46255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45750</v>
      </c>
      <c r="E255" s="1" t="n">
        <v>46255</v>
      </c>
      <c r="F255" t="inlineStr">
        <is>
          <t>NORRBOTTENS LÄN</t>
        </is>
      </c>
      <c r="G255" t="inlineStr">
        <is>
          <t>BODEN</t>
        </is>
      </c>
      <c r="H255" t="inlineStr">
        <is>
          <t>Övriga Aktiebolag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45132</v>
      </c>
      <c r="E256" s="1" t="n">
        <v>46255</v>
      </c>
      <c r="F256" t="inlineStr">
        <is>
          <t>NORRBOTTENS LÄN</t>
        </is>
      </c>
      <c r="G256" t="inlineStr">
        <is>
          <t>BODEN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46255</v>
      </c>
      <c r="F257" t="inlineStr">
        <is>
          <t>NORRBOTTENS LÄN</t>
        </is>
      </c>
      <c r="G257" t="inlineStr">
        <is>
          <t>BODEN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46255</v>
      </c>
      <c r="F258" t="inlineStr">
        <is>
          <t>NORRBOTTENS LÄN</t>
        </is>
      </c>
      <c r="G258" t="inlineStr">
        <is>
          <t>BODEN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46255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46255</v>
      </c>
      <c r="F260" t="inlineStr">
        <is>
          <t>NORRBOTTENS LÄN</t>
        </is>
      </c>
      <c r="G260" t="inlineStr">
        <is>
          <t>BODEN</t>
        </is>
      </c>
      <c r="H260" t="inlineStr">
        <is>
          <t>Övriga Aktiebolag</t>
        </is>
      </c>
      <c r="I260" t="n">
        <v>15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45653</v>
      </c>
      <c r="E261" s="1" t="n">
        <v>46255</v>
      </c>
      <c r="F261" t="inlineStr">
        <is>
          <t>NORRBOTTENS LÄN</t>
        </is>
      </c>
      <c r="G261" t="inlineStr">
        <is>
          <t>BODEN</t>
        </is>
      </c>
      <c r="I261" t="n">
        <v>47.3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46255</v>
      </c>
      <c r="F262" t="inlineStr">
        <is>
          <t>NORRBOTTENS LÄN</t>
        </is>
      </c>
      <c r="G262" t="inlineStr">
        <is>
          <t>BODEN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46255</v>
      </c>
      <c r="F263" t="inlineStr">
        <is>
          <t>NORRBOTTENS LÄN</t>
        </is>
      </c>
      <c r="G263" t="inlineStr">
        <is>
          <t>BODEN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33915-2024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45523</v>
      </c>
      <c r="E264" s="1" t="n">
        <v>46255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46255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46541-2021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44445</v>
      </c>
      <c r="E266" s="1" t="n">
        <v>46255</v>
      </c>
      <c r="F266" t="inlineStr">
        <is>
          <t>NORRBOTTENS LÄN</t>
        </is>
      </c>
      <c r="G266" t="inlineStr">
        <is>
          <t>BODEN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46255</v>
      </c>
      <c r="F267" t="inlineStr">
        <is>
          <t>NORRBOTTENS LÄN</t>
        </is>
      </c>
      <c r="G267" t="inlineStr">
        <is>
          <t>BODEN</t>
        </is>
      </c>
      <c r="H267" t="inlineStr">
        <is>
          <t>Övriga Aktiebolag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46255</v>
      </c>
      <c r="F268" t="inlineStr">
        <is>
          <t>NORRBOTTENS LÄN</t>
        </is>
      </c>
      <c r="G268" t="inlineStr">
        <is>
          <t>BODEN</t>
        </is>
      </c>
      <c r="H268" t="inlineStr">
        <is>
          <t>Övriga Aktiebolag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46255</v>
      </c>
      <c r="F269" t="inlineStr">
        <is>
          <t>NORRBOTTENS LÄN</t>
        </is>
      </c>
      <c r="G269" t="inlineStr">
        <is>
          <t>BODEN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46901-2024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45583</v>
      </c>
      <c r="E270" s="1" t="n">
        <v>46255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46255</v>
      </c>
      <c r="F271" t="inlineStr">
        <is>
          <t>NORRBOTTENS LÄN</t>
        </is>
      </c>
      <c r="G271" t="inlineStr">
        <is>
          <t>BODEN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45835</v>
      </c>
      <c r="E272" s="1" t="n">
        <v>46255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45649</v>
      </c>
      <c r="E273" s="1" t="n">
        <v>46255</v>
      </c>
      <c r="F273" t="inlineStr">
        <is>
          <t>NORRBOTTENS LÄN</t>
        </is>
      </c>
      <c r="G273" t="inlineStr">
        <is>
          <t>BODEN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46255</v>
      </c>
      <c r="F274" t="inlineStr">
        <is>
          <t>NORRBOTTENS LÄN</t>
        </is>
      </c>
      <c r="G274" t="inlineStr">
        <is>
          <t>BODEN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46255</v>
      </c>
      <c r="F275" t="inlineStr">
        <is>
          <t>NORRBOTTENS LÄN</t>
        </is>
      </c>
      <c r="G275" t="inlineStr">
        <is>
          <t>BODEN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8008-2025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45707</v>
      </c>
      <c r="E276" s="1" t="n">
        <v>46255</v>
      </c>
      <c r="F276" t="inlineStr">
        <is>
          <t>NORRBOTTENS LÄN</t>
        </is>
      </c>
      <c r="G276" t="inlineStr">
        <is>
          <t>BODEN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45649</v>
      </c>
      <c r="E277" s="1" t="n">
        <v>46255</v>
      </c>
      <c r="F277" t="inlineStr">
        <is>
          <t>NORRBOTTENS LÄN</t>
        </is>
      </c>
      <c r="G277" t="inlineStr">
        <is>
          <t>BODEN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46255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44726</v>
      </c>
      <c r="E279" s="1" t="n">
        <v>46255</v>
      </c>
      <c r="F279" t="inlineStr">
        <is>
          <t>NORRBOTTENS LÄN</t>
        </is>
      </c>
      <c r="G279" t="inlineStr">
        <is>
          <t>BODEN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46255</v>
      </c>
      <c r="F280" t="inlineStr">
        <is>
          <t>NORRBOTTENS LÄN</t>
        </is>
      </c>
      <c r="G280" t="inlineStr">
        <is>
          <t>BODEN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33130-2025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45840</v>
      </c>
      <c r="E281" s="1" t="n">
        <v>46255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46255</v>
      </c>
      <c r="F282" t="inlineStr">
        <is>
          <t>NORRBOTTENS LÄN</t>
        </is>
      </c>
      <c r="G282" t="inlineStr">
        <is>
          <t>BODEN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46255</v>
      </c>
      <c r="F283" t="inlineStr">
        <is>
          <t>NORRBOTTENS LÄN</t>
        </is>
      </c>
      <c r="G283" t="inlineStr">
        <is>
          <t>BODEN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45649</v>
      </c>
      <c r="E284" s="1" t="n">
        <v>46255</v>
      </c>
      <c r="F284" t="inlineStr">
        <is>
          <t>NORRBOTTENS LÄN</t>
        </is>
      </c>
      <c r="G284" t="inlineStr">
        <is>
          <t>BODEN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60466-2024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45643</v>
      </c>
      <c r="E285" s="1" t="n">
        <v>46255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46255</v>
      </c>
      <c r="F286" t="inlineStr">
        <is>
          <t>NORRBOTTENS LÄN</t>
        </is>
      </c>
      <c r="G286" t="inlineStr">
        <is>
          <t>BODEN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44642</v>
      </c>
      <c r="E287" s="1" t="n">
        <v>46255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45548</v>
      </c>
      <c r="E288" s="1" t="n">
        <v>46255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45054</v>
      </c>
      <c r="E289" s="1" t="n">
        <v>46255</v>
      </c>
      <c r="F289" t="inlineStr">
        <is>
          <t>NORRBOTTENS LÄN</t>
        </is>
      </c>
      <c r="G289" t="inlineStr">
        <is>
          <t>BODEN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33981-2025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45843</v>
      </c>
      <c r="E290" s="1" t="n">
        <v>46255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44963</v>
      </c>
      <c r="E291" s="1" t="n">
        <v>46255</v>
      </c>
      <c r="F291" t="inlineStr">
        <is>
          <t>NORRBOTTENS LÄN</t>
        </is>
      </c>
      <c r="G291" t="inlineStr">
        <is>
          <t>BODEN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45238</v>
      </c>
      <c r="E292" s="1" t="n">
        <v>46255</v>
      </c>
      <c r="F292" t="inlineStr">
        <is>
          <t>NORRBOTTENS LÄN</t>
        </is>
      </c>
      <c r="G292" t="inlineStr">
        <is>
          <t>BODEN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46255</v>
      </c>
      <c r="F293" t="inlineStr">
        <is>
          <t>NORRBOTTENS LÄN</t>
        </is>
      </c>
      <c r="G293" t="inlineStr">
        <is>
          <t>BODEN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46255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46255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46255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9.699999999999999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39717-2025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45891</v>
      </c>
      <c r="E297" s="1" t="n">
        <v>46255</v>
      </c>
      <c r="F297" t="inlineStr">
        <is>
          <t>NORRBOTTENS LÄN</t>
        </is>
      </c>
      <c r="G297" t="inlineStr">
        <is>
          <t>BODEN</t>
        </is>
      </c>
      <c r="I297" t="n">
        <v>13.9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46255</v>
      </c>
      <c r="F298" t="inlineStr">
        <is>
          <t>NORRBOTTENS LÄN</t>
        </is>
      </c>
      <c r="G298" t="inlineStr">
        <is>
          <t>BODEN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46255</v>
      </c>
      <c r="F299" t="inlineStr">
        <is>
          <t>NORRBOTTENS LÄN</t>
        </is>
      </c>
      <c r="G299" t="inlineStr">
        <is>
          <t>BODEN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19051-2025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46255</v>
      </c>
      <c r="F300" t="inlineStr">
        <is>
          <t>NORRBOTTENS LÄN</t>
        </is>
      </c>
      <c r="G300" t="inlineStr">
        <is>
          <t>BODEN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45856</v>
      </c>
      <c r="E301" s="1" t="n">
        <v>46255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46255</v>
      </c>
      <c r="F302" t="inlineStr">
        <is>
          <t>NORRBOTTENS LÄN</t>
        </is>
      </c>
      <c r="G302" t="inlineStr">
        <is>
          <t>BODEN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45770</v>
      </c>
      <c r="E303" s="1" t="n">
        <v>46255</v>
      </c>
      <c r="F303" t="inlineStr">
        <is>
          <t>NORRBOTTENS LÄN</t>
        </is>
      </c>
      <c r="G303" t="inlineStr">
        <is>
          <t>BODEN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45897</v>
      </c>
      <c r="E304" s="1" t="n">
        <v>46255</v>
      </c>
      <c r="F304" t="inlineStr">
        <is>
          <t>NORRBOTTENS LÄN</t>
        </is>
      </c>
      <c r="G304" t="inlineStr">
        <is>
          <t>BODEN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46255</v>
      </c>
      <c r="F305" t="inlineStr">
        <is>
          <t>NORRBOTTENS LÄN</t>
        </is>
      </c>
      <c r="G305" t="inlineStr">
        <is>
          <t>BODEN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15000-2022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44657</v>
      </c>
      <c r="E306" s="1" t="n">
        <v>46255</v>
      </c>
      <c r="F306" t="inlineStr">
        <is>
          <t>NORRBOTTENS LÄN</t>
        </is>
      </c>
      <c r="G306" t="inlineStr">
        <is>
          <t>BODEN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11647-2023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44994</v>
      </c>
      <c r="E307" s="1" t="n">
        <v>46255</v>
      </c>
      <c r="F307" t="inlineStr">
        <is>
          <t>NORRBOTTENS LÄN</t>
        </is>
      </c>
      <c r="G307" t="inlineStr">
        <is>
          <t>BODEN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16741-2022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44673</v>
      </c>
      <c r="E308" s="1" t="n">
        <v>46255</v>
      </c>
      <c r="F308" t="inlineStr">
        <is>
          <t>NORRBOTTENS LÄN</t>
        </is>
      </c>
      <c r="G308" t="inlineStr">
        <is>
          <t>BODEN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46255</v>
      </c>
      <c r="F309" t="inlineStr">
        <is>
          <t>NORRBOTTENS LÄN</t>
        </is>
      </c>
      <c r="G309" t="inlineStr">
        <is>
          <t>BODEN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45674</v>
      </c>
      <c r="E310" s="1" t="n">
        <v>46255</v>
      </c>
      <c r="F310" t="inlineStr">
        <is>
          <t>NORRBOTTENS LÄN</t>
        </is>
      </c>
      <c r="G310" t="inlineStr">
        <is>
          <t>BODEN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45596</v>
      </c>
      <c r="E311" s="1" t="n">
        <v>46255</v>
      </c>
      <c r="F311" t="inlineStr">
        <is>
          <t>NORRBOTTENS LÄN</t>
        </is>
      </c>
      <c r="G311" t="inlineStr">
        <is>
          <t>BODEN</t>
        </is>
      </c>
      <c r="I311" t="n">
        <v>22.7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46255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46255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45863</v>
      </c>
      <c r="E314" s="1" t="n">
        <v>46255</v>
      </c>
      <c r="F314" t="inlineStr">
        <is>
          <t>NORRBOTTENS LÄN</t>
        </is>
      </c>
      <c r="G314" t="inlineStr">
        <is>
          <t>BODEN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46255</v>
      </c>
      <c r="F315" t="inlineStr">
        <is>
          <t>NORRBOTTENS LÄN</t>
        </is>
      </c>
      <c r="G315" t="inlineStr">
        <is>
          <t>BODEN</t>
        </is>
      </c>
      <c r="H315" t="inlineStr">
        <is>
          <t>Naturvårdsverket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46255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41691-2025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45902</v>
      </c>
      <c r="E317" s="1" t="n">
        <v>46255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46255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46255</v>
      </c>
      <c r="F319" t="inlineStr">
        <is>
          <t>NORRBOTTENS LÄN</t>
        </is>
      </c>
      <c r="G319" t="inlineStr">
        <is>
          <t>BODEN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46255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45456</v>
      </c>
      <c r="E321" s="1" t="n">
        <v>46255</v>
      </c>
      <c r="F321" t="inlineStr">
        <is>
          <t>NORRBOTTENS LÄN</t>
        </is>
      </c>
      <c r="G321" t="inlineStr">
        <is>
          <t>BODEN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45905</v>
      </c>
      <c r="E322" s="1" t="n">
        <v>46255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42656-2025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45907</v>
      </c>
      <c r="E323" s="1" t="n">
        <v>46255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46255</v>
      </c>
      <c r="F324" t="inlineStr">
        <is>
          <t>NORRBOTTENS LÄN</t>
        </is>
      </c>
      <c r="G324" t="inlineStr">
        <is>
          <t>BODEN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46255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10730-2024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45369</v>
      </c>
      <c r="E326" s="1" t="n">
        <v>46255</v>
      </c>
      <c r="F326" t="inlineStr">
        <is>
          <t>NORRBOTTENS LÄN</t>
        </is>
      </c>
      <c r="G326" t="inlineStr">
        <is>
          <t>BODEN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46255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45910</v>
      </c>
      <c r="E328" s="1" t="n">
        <v>46255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46255</v>
      </c>
      <c r="F329" t="inlineStr">
        <is>
          <t>NORRBOTTENS LÄN</t>
        </is>
      </c>
      <c r="G329" t="inlineStr">
        <is>
          <t>BODEN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46255</v>
      </c>
      <c r="F330" t="inlineStr">
        <is>
          <t>NORRBOTTENS LÄN</t>
        </is>
      </c>
      <c r="G330" t="inlineStr">
        <is>
          <t>BODEN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45868</v>
      </c>
      <c r="E331" s="1" t="n">
        <v>46255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43711-2025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46255</v>
      </c>
      <c r="F332" t="inlineStr">
        <is>
          <t>NORRBOTTENS LÄN</t>
        </is>
      </c>
      <c r="G332" t="inlineStr">
        <is>
          <t>BODEN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46255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45877</v>
      </c>
      <c r="E334" s="1" t="n">
        <v>46255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45625</v>
      </c>
      <c r="E335" s="1" t="n">
        <v>46255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46255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45881</v>
      </c>
      <c r="E337" s="1" t="n">
        <v>46255</v>
      </c>
      <c r="F337" t="inlineStr">
        <is>
          <t>NORRBOTTENS LÄN</t>
        </is>
      </c>
      <c r="G337" t="inlineStr">
        <is>
          <t>BODEN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59029-2022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46255</v>
      </c>
      <c r="F338" t="inlineStr">
        <is>
          <t>NORRBOTTENS LÄN</t>
        </is>
      </c>
      <c r="G338" t="inlineStr">
        <is>
          <t>BODEN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46255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46255</v>
      </c>
      <c r="F340" t="inlineStr">
        <is>
          <t>NORRBOTTENS LÄN</t>
        </is>
      </c>
      <c r="G340" t="inlineStr">
        <is>
          <t>BODEN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46255</v>
      </c>
      <c r="F341" t="inlineStr">
        <is>
          <t>NORRBOTTENS LÄN</t>
        </is>
      </c>
      <c r="G341" t="inlineStr">
        <is>
          <t>BODEN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38288-2025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46255</v>
      </c>
      <c r="F342" t="inlineStr">
        <is>
          <t>NORRBOTTENS LÄN</t>
        </is>
      </c>
      <c r="G342" t="inlineStr">
        <is>
          <t>BODEN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46255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46255</v>
      </c>
      <c r="F344" t="inlineStr">
        <is>
          <t>NORRBOTTENS LÄN</t>
        </is>
      </c>
      <c r="G344" t="inlineStr">
        <is>
          <t>BODEN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46255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45919</v>
      </c>
      <c r="E346" s="1" t="n">
        <v>46255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45212</v>
      </c>
      <c r="E347" s="1" t="n">
        <v>46255</v>
      </c>
      <c r="F347" t="inlineStr">
        <is>
          <t>NORRBOTTENS LÄN</t>
        </is>
      </c>
      <c r="G347" t="inlineStr">
        <is>
          <t>BODEN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46255</v>
      </c>
      <c r="F348" t="inlineStr">
        <is>
          <t>NORRBOTTENS LÄN</t>
        </is>
      </c>
      <c r="G348" t="inlineStr">
        <is>
          <t>BODEN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46255</v>
      </c>
      <c r="F349" t="inlineStr">
        <is>
          <t>NORRBOTTENS LÄN</t>
        </is>
      </c>
      <c r="G349" t="inlineStr">
        <is>
          <t>BODEN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46255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46255</v>
      </c>
      <c r="F351" t="inlineStr">
        <is>
          <t>NORRBOTTENS LÄN</t>
        </is>
      </c>
      <c r="G351" t="inlineStr">
        <is>
          <t>BODEN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46255</v>
      </c>
      <c r="F352" t="inlineStr">
        <is>
          <t>NORRBOTTENS LÄN</t>
        </is>
      </c>
      <c r="G352" t="inlineStr">
        <is>
          <t>BODEN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45924</v>
      </c>
      <c r="E353" s="1" t="n">
        <v>46255</v>
      </c>
      <c r="F353" t="inlineStr">
        <is>
          <t>NORRBOTTENS LÄN</t>
        </is>
      </c>
      <c r="G353" t="inlineStr">
        <is>
          <t>BODEN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46255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38584-2025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46255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45446</v>
      </c>
      <c r="E356" s="1" t="n">
        <v>46255</v>
      </c>
      <c r="F356" t="inlineStr">
        <is>
          <t>NORRBOTTENS LÄN</t>
        </is>
      </c>
      <c r="G356" t="inlineStr">
        <is>
          <t>BODEN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46255</v>
      </c>
      <c r="F357" t="inlineStr">
        <is>
          <t>NORRBOTTENS LÄN</t>
        </is>
      </c>
      <c r="G357" t="inlineStr">
        <is>
          <t>BODEN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46255</v>
      </c>
      <c r="F358" t="inlineStr">
        <is>
          <t>NORRBOTTENS LÄN</t>
        </is>
      </c>
      <c r="G358" t="inlineStr">
        <is>
          <t>BODEN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44994</v>
      </c>
      <c r="E359" s="1" t="n">
        <v>46255</v>
      </c>
      <c r="F359" t="inlineStr">
        <is>
          <t>NORRBOTTENS LÄN</t>
        </is>
      </c>
      <c r="G359" t="inlineStr">
        <is>
          <t>BODEN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46255</v>
      </c>
      <c r="F360" t="inlineStr">
        <is>
          <t>NORRBOTTENS LÄN</t>
        </is>
      </c>
      <c r="G360" t="inlineStr">
        <is>
          <t>BODEN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46255</v>
      </c>
      <c r="F361" t="inlineStr">
        <is>
          <t>NORRBOTTENS LÄN</t>
        </is>
      </c>
      <c r="G361" t="inlineStr">
        <is>
          <t>BODEN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46255</v>
      </c>
      <c r="F362" t="inlineStr">
        <is>
          <t>NORRBOTTENS LÄN</t>
        </is>
      </c>
      <c r="G362" t="inlineStr">
        <is>
          <t>BODEN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46255</v>
      </c>
      <c r="F363" t="inlineStr">
        <is>
          <t>NORRBOTTENS LÄN</t>
        </is>
      </c>
      <c r="G363" t="inlineStr">
        <is>
          <t>BODEN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46255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45195</v>
      </c>
      <c r="E365" s="1" t="n">
        <v>46255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46255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46084</v>
      </c>
      <c r="E367" s="1" t="n">
        <v>46255</v>
      </c>
      <c r="F367" t="inlineStr">
        <is>
          <t>NORRBOTTENS LÄN</t>
        </is>
      </c>
      <c r="G367" t="inlineStr">
        <is>
          <t>BODEN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46255</v>
      </c>
      <c r="F368" t="inlineStr">
        <is>
          <t>NORRBOTTENS LÄN</t>
        </is>
      </c>
      <c r="G368" t="inlineStr">
        <is>
          <t>BODEN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46084</v>
      </c>
      <c r="E369" s="1" t="n">
        <v>46255</v>
      </c>
      <c r="F369" t="inlineStr">
        <is>
          <t>NORRBOTTENS LÄN</t>
        </is>
      </c>
      <c r="G369" t="inlineStr">
        <is>
          <t>BODEN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44796</v>
      </c>
      <c r="E370" s="1" t="n">
        <v>46255</v>
      </c>
      <c r="F370" t="inlineStr">
        <is>
          <t>NORRBOTTENS LÄN</t>
        </is>
      </c>
      <c r="G370" t="inlineStr">
        <is>
          <t>BODEN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46255</v>
      </c>
      <c r="F371" t="inlineStr">
        <is>
          <t>NORRBOTTENS LÄN</t>
        </is>
      </c>
      <c r="G371" t="inlineStr">
        <is>
          <t>BODEN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38583-2025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45884</v>
      </c>
      <c r="E372" s="1" t="n">
        <v>46255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46255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46255</v>
      </c>
      <c r="F374" t="inlineStr">
        <is>
          <t>NORRBOTTENS LÄN</t>
        </is>
      </c>
      <c r="G374" t="inlineStr">
        <is>
          <t>BODEN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46255</v>
      </c>
      <c r="F375" t="inlineStr">
        <is>
          <t>NORRBOTTENS LÄN</t>
        </is>
      </c>
      <c r="G375" t="inlineStr">
        <is>
          <t>BODEN</t>
        </is>
      </c>
      <c r="I375" t="n">
        <v>9.199999999999999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46255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46255</v>
      </c>
      <c r="F377" t="inlineStr">
        <is>
          <t>NORRBOTTENS LÄN</t>
        </is>
      </c>
      <c r="G377" t="inlineStr">
        <is>
          <t>BODEN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45906</v>
      </c>
      <c r="E378" s="1" t="n">
        <v>46255</v>
      </c>
      <c r="F378" t="inlineStr">
        <is>
          <t>NORRBOTTENS LÄN</t>
        </is>
      </c>
      <c r="G378" t="inlineStr">
        <is>
          <t>BODEN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46255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48091-2025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45933</v>
      </c>
      <c r="E380" s="1" t="n">
        <v>46255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45153</v>
      </c>
      <c r="E381" s="1" t="n">
        <v>46255</v>
      </c>
      <c r="F381" t="inlineStr">
        <is>
          <t>NORRBOTTENS LÄN</t>
        </is>
      </c>
      <c r="G381" t="inlineStr">
        <is>
          <t>BODEN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46086</v>
      </c>
      <c r="E382" s="1" t="n">
        <v>46255</v>
      </c>
      <c r="F382" t="inlineStr">
        <is>
          <t>NORRBOTTENS LÄN</t>
        </is>
      </c>
      <c r="G382" t="inlineStr">
        <is>
          <t>BODEN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46255</v>
      </c>
      <c r="F383" t="inlineStr">
        <is>
          <t>NORRBOTTENS LÄN</t>
        </is>
      </c>
      <c r="G383" t="inlineStr">
        <is>
          <t>BODEN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46255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45649</v>
      </c>
      <c r="E385" s="1" t="n">
        <v>46255</v>
      </c>
      <c r="F385" t="inlineStr">
        <is>
          <t>NORRBOTTENS LÄN</t>
        </is>
      </c>
      <c r="G385" t="inlineStr">
        <is>
          <t>BODEN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46255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36112-2023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45149</v>
      </c>
      <c r="E387" s="1" t="n">
        <v>46255</v>
      </c>
      <c r="F387" t="inlineStr">
        <is>
          <t>NORRBOTTENS LÄN</t>
        </is>
      </c>
      <c r="G387" t="inlineStr">
        <is>
          <t>BODEN</t>
        </is>
      </c>
      <c r="I387" t="n">
        <v>16.1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46255</v>
      </c>
      <c r="F388" t="inlineStr">
        <is>
          <t>NORRBOTTENS LÄN</t>
        </is>
      </c>
      <c r="G388" t="inlineStr">
        <is>
          <t>BODEN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46255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46255</v>
      </c>
      <c r="F390" t="inlineStr">
        <is>
          <t>NORRBOTTENS LÄN</t>
        </is>
      </c>
      <c r="G390" t="inlineStr">
        <is>
          <t>BODEN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46255</v>
      </c>
      <c r="F391" t="inlineStr">
        <is>
          <t>NORRBOTTENS LÄN</t>
        </is>
      </c>
      <c r="G391" t="inlineStr">
        <is>
          <t>BODEN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46255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48107-2022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44856</v>
      </c>
      <c r="E393" s="1" t="n">
        <v>46255</v>
      </c>
      <c r="F393" t="inlineStr">
        <is>
          <t>NORRBOTTENS LÄN</t>
        </is>
      </c>
      <c r="G393" t="inlineStr">
        <is>
          <t>BODEN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46255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46255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28745-2023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46255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50147-2025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45943</v>
      </c>
      <c r="E397" s="1" t="n">
        <v>46255</v>
      </c>
      <c r="F397" t="inlineStr">
        <is>
          <t>NORRBOTTENS LÄN</t>
        </is>
      </c>
      <c r="G397" t="inlineStr">
        <is>
          <t>BODEN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46255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46255</v>
      </c>
      <c r="F399" t="inlineStr">
        <is>
          <t>NORRBOTTENS LÄN</t>
        </is>
      </c>
      <c r="G399" t="inlineStr">
        <is>
          <t>BODEN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44823</v>
      </c>
      <c r="E400" s="1" t="n">
        <v>46255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46255</v>
      </c>
      <c r="F401" t="inlineStr">
        <is>
          <t>NORRBOTTENS LÄN</t>
        </is>
      </c>
      <c r="G401" t="inlineStr">
        <is>
          <t>BODEN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46255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718-2022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44568</v>
      </c>
      <c r="E403" s="1" t="n">
        <v>46255</v>
      </c>
      <c r="F403" t="inlineStr">
        <is>
          <t>NORRBOTTENS LÄN</t>
        </is>
      </c>
      <c r="G403" t="inlineStr">
        <is>
          <t>BODEN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46255</v>
      </c>
      <c r="F404" t="inlineStr">
        <is>
          <t>NORRBOTTENS LÄN</t>
        </is>
      </c>
      <c r="G404" t="inlineStr">
        <is>
          <t>BODEN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46255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45667</v>
      </c>
      <c r="E406" s="1" t="n">
        <v>46255</v>
      </c>
      <c r="F406" t="inlineStr">
        <is>
          <t>NORRBOTTENS LÄN</t>
        </is>
      </c>
      <c r="G406" t="inlineStr">
        <is>
          <t>BODEN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13714-2022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44648</v>
      </c>
      <c r="E407" s="1" t="n">
        <v>46255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59331-2021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44490</v>
      </c>
      <c r="E408" s="1" t="n">
        <v>46255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45499</v>
      </c>
      <c r="E409" s="1" t="n">
        <v>46255</v>
      </c>
      <c r="F409" t="inlineStr">
        <is>
          <t>NORRBOTTENS LÄN</t>
        </is>
      </c>
      <c r="G409" t="inlineStr">
        <is>
          <t>BODEN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46255</v>
      </c>
      <c r="F410" t="inlineStr">
        <is>
          <t>NORRBOTTENS LÄN</t>
        </is>
      </c>
      <c r="G410" t="inlineStr">
        <is>
          <t>BODEN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46255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45194</v>
      </c>
      <c r="E412" s="1" t="n">
        <v>46255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61743-2024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45649</v>
      </c>
      <c r="E413" s="1" t="n">
        <v>46255</v>
      </c>
      <c r="F413" t="inlineStr">
        <is>
          <t>NORRBOTTENS LÄN</t>
        </is>
      </c>
      <c r="G413" t="inlineStr">
        <is>
          <t>BODEN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46255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46255</v>
      </c>
      <c r="F415" t="inlineStr">
        <is>
          <t>NORRBOTTENS LÄN</t>
        </is>
      </c>
      <c r="G415" t="inlineStr">
        <is>
          <t>BODEN</t>
        </is>
      </c>
      <c r="H415" t="inlineStr">
        <is>
          <t>Övriga Aktiebolag</t>
        </is>
      </c>
      <c r="I415" t="n">
        <v>14.3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46255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45764</v>
      </c>
      <c r="E417" s="1" t="n">
        <v>46255</v>
      </c>
      <c r="F417" t="inlineStr">
        <is>
          <t>NORRBOTTENS LÄN</t>
        </is>
      </c>
      <c r="G417" t="inlineStr">
        <is>
          <t>BODEN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45773</v>
      </c>
      <c r="E418" s="1" t="n">
        <v>46255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46255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45955</v>
      </c>
      <c r="E420" s="1" t="n">
        <v>46255</v>
      </c>
      <c r="F420" t="inlineStr">
        <is>
          <t>NORRBOTTENS LÄN</t>
        </is>
      </c>
      <c r="G420" t="inlineStr">
        <is>
          <t>BODEN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45955</v>
      </c>
      <c r="E421" s="1" t="n">
        <v>46255</v>
      </c>
      <c r="F421" t="inlineStr">
        <is>
          <t>NORRBOTTENS LÄN</t>
        </is>
      </c>
      <c r="G421" t="inlineStr">
        <is>
          <t>BODEN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46092</v>
      </c>
      <c r="E422" s="1" t="n">
        <v>46255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53623-2025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45960</v>
      </c>
      <c r="E423" s="1" t="n">
        <v>46255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11.7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46512-2021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44445</v>
      </c>
      <c r="E424" s="1" t="n">
        <v>46255</v>
      </c>
      <c r="F424" t="inlineStr">
        <is>
          <t>NORRBOTTENS LÄN</t>
        </is>
      </c>
      <c r="G424" t="inlineStr">
        <is>
          <t>BODEN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46255</v>
      </c>
      <c r="F425" t="inlineStr">
        <is>
          <t>NORRBOTTENS LÄN</t>
        </is>
      </c>
      <c r="G425" t="inlineStr">
        <is>
          <t>BODEN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45961</v>
      </c>
      <c r="E426" s="1" t="n">
        <v>46255</v>
      </c>
      <c r="F426" t="inlineStr">
        <is>
          <t>NORRBOTTENS LÄN</t>
        </is>
      </c>
      <c r="G426" t="inlineStr">
        <is>
          <t>BODEN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55080-2021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44474</v>
      </c>
      <c r="E427" s="1" t="n">
        <v>46255</v>
      </c>
      <c r="F427" t="inlineStr">
        <is>
          <t>NORRBOTTENS LÄN</t>
        </is>
      </c>
      <c r="G427" t="inlineStr">
        <is>
          <t>BODEN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46255</v>
      </c>
      <c r="F428" t="inlineStr">
        <is>
          <t>NORRBOTTENS LÄN</t>
        </is>
      </c>
      <c r="G428" t="inlineStr">
        <is>
          <t>BODEN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46255</v>
      </c>
      <c r="F429" t="inlineStr">
        <is>
          <t>NORRBOTTENS LÄN</t>
        </is>
      </c>
      <c r="G429" t="inlineStr">
        <is>
          <t>BODEN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54845-2025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45966</v>
      </c>
      <c r="E430" s="1" t="n">
        <v>46255</v>
      </c>
      <c r="F430" t="inlineStr">
        <is>
          <t>NORRBOTTENS LÄN</t>
        </is>
      </c>
      <c r="G430" t="inlineStr">
        <is>
          <t>BODEN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54578-2025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46255</v>
      </c>
      <c r="F431" t="inlineStr">
        <is>
          <t>NORRBOTTENS LÄN</t>
        </is>
      </c>
      <c r="G431" t="inlineStr">
        <is>
          <t>BODEN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46255</v>
      </c>
      <c r="F432" t="inlineStr">
        <is>
          <t>NORRBOTTENS LÄN</t>
        </is>
      </c>
      <c r="G432" t="inlineStr">
        <is>
          <t>BODEN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46255</v>
      </c>
      <c r="F433" t="inlineStr">
        <is>
          <t>NORRBOTTENS LÄN</t>
        </is>
      </c>
      <c r="G433" t="inlineStr">
        <is>
          <t>BODEN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45965</v>
      </c>
      <c r="E434" s="1" t="n">
        <v>46255</v>
      </c>
      <c r="F434" t="inlineStr">
        <is>
          <t>NORRBOTTENS LÄN</t>
        </is>
      </c>
      <c r="G434" t="inlineStr">
        <is>
          <t>BODEN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45748</v>
      </c>
      <c r="E435" s="1" t="n">
        <v>46255</v>
      </c>
      <c r="F435" t="inlineStr">
        <is>
          <t>NORRBOTTENS LÄN</t>
        </is>
      </c>
      <c r="G435" t="inlineStr">
        <is>
          <t>BODEN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46255</v>
      </c>
      <c r="F436" t="inlineStr">
        <is>
          <t>NORRBOTTENS LÄN</t>
        </is>
      </c>
      <c r="G436" t="inlineStr">
        <is>
          <t>BODEN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46255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67438-2021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44524</v>
      </c>
      <c r="E438" s="1" t="n">
        <v>46255</v>
      </c>
      <c r="F438" t="inlineStr">
        <is>
          <t>NORRBOTTENS LÄN</t>
        </is>
      </c>
      <c r="G438" t="inlineStr">
        <is>
          <t>BODEN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18173-2025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45761</v>
      </c>
      <c r="E439" s="1" t="n">
        <v>46255</v>
      </c>
      <c r="F439" t="inlineStr">
        <is>
          <t>NORRBOTTENS LÄN</t>
        </is>
      </c>
      <c r="G439" t="inlineStr">
        <is>
          <t>BODEN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54104-2022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44881</v>
      </c>
      <c r="E440" s="1" t="n">
        <v>46255</v>
      </c>
      <c r="F440" t="inlineStr">
        <is>
          <t>NORRBOTTENS LÄN</t>
        </is>
      </c>
      <c r="G440" t="inlineStr">
        <is>
          <t>BODEN</t>
        </is>
      </c>
      <c r="H440" t="inlineStr">
        <is>
          <t>Sveaskog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58099-2023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45248</v>
      </c>
      <c r="E441" s="1" t="n">
        <v>46255</v>
      </c>
      <c r="F441" t="inlineStr">
        <is>
          <t>NORRBOTTENS LÄN</t>
        </is>
      </c>
      <c r="G441" t="inlineStr">
        <is>
          <t>BODEN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46255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46255</v>
      </c>
      <c r="F443" t="inlineStr">
        <is>
          <t>NORRBOTTENS LÄN</t>
        </is>
      </c>
      <c r="G443" t="inlineStr">
        <is>
          <t>BODEN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14245-2026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46099</v>
      </c>
      <c r="E444" s="1" t="n">
        <v>46255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49127-2023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45210</v>
      </c>
      <c r="E445" s="1" t="n">
        <v>46255</v>
      </c>
      <c r="F445" t="inlineStr">
        <is>
          <t>NORRBOTTENS LÄN</t>
        </is>
      </c>
      <c r="G445" t="inlineStr">
        <is>
          <t>BODEN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55540-2022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46255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45972</v>
      </c>
      <c r="E447" s="1" t="n">
        <v>46255</v>
      </c>
      <c r="F447" t="inlineStr">
        <is>
          <t>NORRBOTTENS LÄN</t>
        </is>
      </c>
      <c r="G447" t="inlineStr">
        <is>
          <t>BODEN</t>
        </is>
      </c>
      <c r="I447" t="n">
        <v>11.9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467-2022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44565</v>
      </c>
      <c r="E448" s="1" t="n">
        <v>46255</v>
      </c>
      <c r="F448" t="inlineStr">
        <is>
          <t>NORRBOTTENS LÄN</t>
        </is>
      </c>
      <c r="G448" t="inlineStr">
        <is>
          <t>BODEN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54616-2023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45233</v>
      </c>
      <c r="E449" s="1" t="n">
        <v>46255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46255</v>
      </c>
      <c r="F450" t="inlineStr">
        <is>
          <t>NORRBOTTENS LÄN</t>
        </is>
      </c>
      <c r="G450" t="inlineStr">
        <is>
          <t>BODEN</t>
        </is>
      </c>
      <c r="H450" t="inlineStr">
        <is>
          <t>Övriga statliga verk och myndigheter</t>
        </is>
      </c>
      <c r="I450" t="n">
        <v>11.5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56560-2025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45975</v>
      </c>
      <c r="E451" s="1" t="n">
        <v>46255</v>
      </c>
      <c r="F451" t="inlineStr">
        <is>
          <t>NORRBOTTENS LÄN</t>
        </is>
      </c>
      <c r="G451" t="inlineStr">
        <is>
          <t>BODEN</t>
        </is>
      </c>
      <c r="H451" t="inlineStr">
        <is>
          <t>Naturvårdsverket</t>
        </is>
      </c>
      <c r="I451" t="n">
        <v>9.800000000000001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46255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45070</v>
      </c>
      <c r="E453" s="1" t="n">
        <v>46255</v>
      </c>
      <c r="F453" t="inlineStr">
        <is>
          <t>NORRBOTTENS LÄN</t>
        </is>
      </c>
      <c r="G453" t="inlineStr">
        <is>
          <t>BODEN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46255</v>
      </c>
      <c r="F454" t="inlineStr">
        <is>
          <t>NORRBOTTENS LÄN</t>
        </is>
      </c>
      <c r="G454" t="inlineStr">
        <is>
          <t>BODEN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46255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45115-2021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44438</v>
      </c>
      <c r="E456" s="1" t="n">
        <v>46255</v>
      </c>
      <c r="F456" t="inlineStr">
        <is>
          <t>NORRBOTTENS LÄN</t>
        </is>
      </c>
      <c r="G456" t="inlineStr">
        <is>
          <t>BODEN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45677-2021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44441</v>
      </c>
      <c r="E457" s="1" t="n">
        <v>46255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68591-2021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44529</v>
      </c>
      <c r="E458" s="1" t="n">
        <v>46255</v>
      </c>
      <c r="F458" t="inlineStr">
        <is>
          <t>NORRBOTTENS LÄN</t>
        </is>
      </c>
      <c r="G458" t="inlineStr">
        <is>
          <t>BODEN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56439-2025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46255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46255</v>
      </c>
      <c r="F460" t="inlineStr">
        <is>
          <t>NORRBOTTENS LÄN</t>
        </is>
      </c>
      <c r="G460" t="inlineStr">
        <is>
          <t>BODEN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46255</v>
      </c>
      <c r="F461" t="inlineStr">
        <is>
          <t>NORRBOTTENS LÄN</t>
        </is>
      </c>
      <c r="G461" t="inlineStr">
        <is>
          <t>BODEN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52075-2021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44463</v>
      </c>
      <c r="E462" s="1" t="n">
        <v>46255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46100</v>
      </c>
      <c r="E463" s="1" t="n">
        <v>46255</v>
      </c>
      <c r="F463" t="inlineStr">
        <is>
          <t>NORRBOTTENS LÄN</t>
        </is>
      </c>
      <c r="G463" t="inlineStr">
        <is>
          <t>BODEN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45981</v>
      </c>
      <c r="E464" s="1" t="n">
        <v>46255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46255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46255</v>
      </c>
      <c r="F466" t="inlineStr">
        <is>
          <t>NORRBOTTENS LÄN</t>
        </is>
      </c>
      <c r="G466" t="inlineStr">
        <is>
          <t>BODEN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46255</v>
      </c>
      <c r="F467" t="inlineStr">
        <is>
          <t>NORRBOTTENS LÄN</t>
        </is>
      </c>
      <c r="G467" t="inlineStr">
        <is>
          <t>BODEN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46255</v>
      </c>
      <c r="F468" t="inlineStr">
        <is>
          <t>NORRBOTTENS LÄN</t>
        </is>
      </c>
      <c r="G468" t="inlineStr">
        <is>
          <t>BODEN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38219-2022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44812</v>
      </c>
      <c r="E469" s="1" t="n">
        <v>46255</v>
      </c>
      <c r="F469" t="inlineStr">
        <is>
          <t>NORRBOTTENS LÄN</t>
        </is>
      </c>
      <c r="G469" t="inlineStr">
        <is>
          <t>BODEN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46255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25387-2023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46255</v>
      </c>
      <c r="F471" t="inlineStr">
        <is>
          <t>NORRBOTTENS LÄN</t>
        </is>
      </c>
      <c r="G471" t="inlineStr">
        <is>
          <t>BODEN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14984-2026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46255</v>
      </c>
      <c r="F472" t="inlineStr">
        <is>
          <t>NORRBOTTENS LÄN</t>
        </is>
      </c>
      <c r="G472" t="inlineStr">
        <is>
          <t>BODEN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58203-2025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45984</v>
      </c>
      <c r="E473" s="1" t="n">
        <v>46255</v>
      </c>
      <c r="F473" t="inlineStr">
        <is>
          <t>NORRBOTTENS LÄN</t>
        </is>
      </c>
      <c r="G473" t="inlineStr">
        <is>
          <t>BODEN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59031-2025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45988</v>
      </c>
      <c r="E474" s="1" t="n">
        <v>46255</v>
      </c>
      <c r="F474" t="inlineStr">
        <is>
          <t>NORRBOTTENS LÄN</t>
        </is>
      </c>
      <c r="G474" t="inlineStr">
        <is>
          <t>BODEN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45102</v>
      </c>
      <c r="E475" s="1" t="n">
        <v>46255</v>
      </c>
      <c r="F475" t="inlineStr">
        <is>
          <t>NORRBOTTENS LÄN</t>
        </is>
      </c>
      <c r="G475" t="inlineStr">
        <is>
          <t>BODEN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46255</v>
      </c>
      <c r="F476" t="inlineStr">
        <is>
          <t>NORRBOTTENS LÄN</t>
        </is>
      </c>
      <c r="G476" t="inlineStr">
        <is>
          <t>BODEN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48592-2024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45593</v>
      </c>
      <c r="E477" s="1" t="n">
        <v>46255</v>
      </c>
      <c r="F477" t="inlineStr">
        <is>
          <t>NORRBOTTENS LÄN</t>
        </is>
      </c>
      <c r="G477" t="inlineStr">
        <is>
          <t>BODEN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46255</v>
      </c>
      <c r="F478" t="inlineStr">
        <is>
          <t>NORRBOTTENS LÄN</t>
        </is>
      </c>
      <c r="G478" t="inlineStr">
        <is>
          <t>BODEN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46255</v>
      </c>
      <c r="F479" t="inlineStr">
        <is>
          <t>NORRBOTTENS LÄN</t>
        </is>
      </c>
      <c r="G479" t="inlineStr">
        <is>
          <t>BODEN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45994</v>
      </c>
      <c r="E480" s="1" t="n">
        <v>46255</v>
      </c>
      <c r="F480" t="inlineStr">
        <is>
          <t>NORRBOTTENS LÄN</t>
        </is>
      </c>
      <c r="G480" t="inlineStr">
        <is>
          <t>BODEN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45994</v>
      </c>
      <c r="E481" s="1" t="n">
        <v>46255</v>
      </c>
      <c r="F481" t="inlineStr">
        <is>
          <t>NORRBOTTENS LÄN</t>
        </is>
      </c>
      <c r="G481" t="inlineStr">
        <is>
          <t>BODEN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45994</v>
      </c>
      <c r="E482" s="1" t="n">
        <v>46255</v>
      </c>
      <c r="F482" t="inlineStr">
        <is>
          <t>NORRBOTTENS LÄN</t>
        </is>
      </c>
      <c r="G482" t="inlineStr">
        <is>
          <t>BODEN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60225-2025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45994</v>
      </c>
      <c r="E483" s="1" t="n">
        <v>46255</v>
      </c>
      <c r="F483" t="inlineStr">
        <is>
          <t>NORRBOTTENS LÄN</t>
        </is>
      </c>
      <c r="G483" t="inlineStr">
        <is>
          <t>BODEN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60236-2025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45994</v>
      </c>
      <c r="E484" s="1" t="n">
        <v>46255</v>
      </c>
      <c r="F484" t="inlineStr">
        <is>
          <t>NORRBOTTENS LÄN</t>
        </is>
      </c>
      <c r="G484" t="inlineStr">
        <is>
          <t>BODEN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60397-2025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46255</v>
      </c>
      <c r="F485" t="inlineStr">
        <is>
          <t>NORRBOTTENS LÄN</t>
        </is>
      </c>
      <c r="G485" t="inlineStr">
        <is>
          <t>BODEN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46255</v>
      </c>
      <c r="F486" t="inlineStr">
        <is>
          <t>NORRBOTTENS LÄN</t>
        </is>
      </c>
      <c r="G486" t="inlineStr">
        <is>
          <t>BODEN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60423-2025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46255</v>
      </c>
      <c r="F487" t="inlineStr">
        <is>
          <t>NORRBOTTENS LÄN</t>
        </is>
      </c>
      <c r="G487" t="inlineStr">
        <is>
          <t>BODEN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45995</v>
      </c>
      <c r="E488" s="1" t="n">
        <v>46255</v>
      </c>
      <c r="F488" t="inlineStr">
        <is>
          <t>NORRBOTTENS LÄN</t>
        </is>
      </c>
      <c r="G488" t="inlineStr">
        <is>
          <t>BODEN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45996</v>
      </c>
      <c r="E489" s="1" t="n">
        <v>46255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46255</v>
      </c>
      <c r="F490" t="inlineStr">
        <is>
          <t>NORRBOTTENS LÄN</t>
        </is>
      </c>
      <c r="G490" t="inlineStr">
        <is>
          <t>BODEN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45406</v>
      </c>
      <c r="E491" s="1" t="n">
        <v>46255</v>
      </c>
      <c r="F491" t="inlineStr">
        <is>
          <t>NORRBOTTENS LÄN</t>
        </is>
      </c>
      <c r="G491" t="inlineStr">
        <is>
          <t>BODEN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42652-2025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45906</v>
      </c>
      <c r="E492" s="1" t="n">
        <v>46255</v>
      </c>
      <c r="F492" t="inlineStr">
        <is>
          <t>NORRBOTTENS LÄN</t>
        </is>
      </c>
      <c r="G492" t="inlineStr">
        <is>
          <t>BODEN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46255</v>
      </c>
      <c r="F493" t="inlineStr">
        <is>
          <t>NORRBOTTENS LÄN</t>
        </is>
      </c>
      <c r="G493" t="inlineStr">
        <is>
          <t>BODEN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46255</v>
      </c>
      <c r="F494" t="inlineStr">
        <is>
          <t>NORRBOTTENS LÄN</t>
        </is>
      </c>
      <c r="G494" t="inlineStr">
        <is>
          <t>BODEN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58877-2021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46255</v>
      </c>
      <c r="F495" t="inlineStr">
        <is>
          <t>NORRBOTTENS LÄN</t>
        </is>
      </c>
      <c r="G495" t="inlineStr">
        <is>
          <t>BODEN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46001</v>
      </c>
      <c r="E496" s="1" t="n">
        <v>46255</v>
      </c>
      <c r="F496" t="inlineStr">
        <is>
          <t>NORRBOTTENS LÄN</t>
        </is>
      </c>
      <c r="G496" t="inlineStr">
        <is>
          <t>BODEN</t>
        </is>
      </c>
      <c r="I496" t="n">
        <v>17.1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46001</v>
      </c>
      <c r="E497" s="1" t="n">
        <v>46255</v>
      </c>
      <c r="F497" t="inlineStr">
        <is>
          <t>NORRBOTTENS LÄN</t>
        </is>
      </c>
      <c r="G497" t="inlineStr">
        <is>
          <t>BODEN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46255</v>
      </c>
      <c r="F498" t="inlineStr">
        <is>
          <t>NORRBOTTENS LÄN</t>
        </is>
      </c>
      <c r="G498" t="inlineStr">
        <is>
          <t>BODEN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46255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61103-2022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44908</v>
      </c>
      <c r="E500" s="1" t="n">
        <v>46255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46255</v>
      </c>
      <c r="F501" t="inlineStr">
        <is>
          <t>NORRBOTTENS LÄN</t>
        </is>
      </c>
      <c r="G501" t="inlineStr">
        <is>
          <t>BODEN</t>
        </is>
      </c>
      <c r="I501" t="n">
        <v>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61949-2025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46255</v>
      </c>
      <c r="F502" t="inlineStr">
        <is>
          <t>NORRBOTTENS LÄN</t>
        </is>
      </c>
      <c r="G502" t="inlineStr">
        <is>
          <t>BODEN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46255</v>
      </c>
      <c r="F503" t="inlineStr">
        <is>
          <t>NORRBOTTENS LÄN</t>
        </is>
      </c>
      <c r="G503" t="inlineStr">
        <is>
          <t>BODEN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46008</v>
      </c>
      <c r="E504" s="1" t="n">
        <v>46255</v>
      </c>
      <c r="F504" t="inlineStr">
        <is>
          <t>NORRBOTTENS LÄN</t>
        </is>
      </c>
      <c r="G504" t="inlineStr">
        <is>
          <t>BODEN</t>
        </is>
      </c>
      <c r="I504" t="n">
        <v>10.1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62673-2025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46008</v>
      </c>
      <c r="E505" s="1" t="n">
        <v>46255</v>
      </c>
      <c r="F505" t="inlineStr">
        <is>
          <t>NORRBOTTENS LÄN</t>
        </is>
      </c>
      <c r="G505" t="inlineStr">
        <is>
          <t>BODEN</t>
        </is>
      </c>
      <c r="I505" t="n">
        <v>18.6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63329-2025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46255</v>
      </c>
      <c r="F506" t="inlineStr">
        <is>
          <t>NORRBOTTENS LÄN</t>
        </is>
      </c>
      <c r="G506" t="inlineStr">
        <is>
          <t>BODEN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46009</v>
      </c>
      <c r="E507" s="1" t="n">
        <v>46255</v>
      </c>
      <c r="F507" t="inlineStr">
        <is>
          <t>NORRBOTTENS LÄN</t>
        </is>
      </c>
      <c r="G507" t="inlineStr">
        <is>
          <t>BODEN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46255</v>
      </c>
      <c r="F508" t="inlineStr">
        <is>
          <t>NORRBOTTENS LÄN</t>
        </is>
      </c>
      <c r="G508" t="inlineStr">
        <is>
          <t>BODEN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46255</v>
      </c>
      <c r="F509" t="inlineStr">
        <is>
          <t>NORRBOTTENS LÄN</t>
        </is>
      </c>
      <c r="G509" t="inlineStr">
        <is>
          <t>BODEN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63398-2025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46012</v>
      </c>
      <c r="E510" s="1" t="n">
        <v>46255</v>
      </c>
      <c r="F510" t="inlineStr">
        <is>
          <t>NORRBOTTENS LÄN</t>
        </is>
      </c>
      <c r="G510" t="inlineStr">
        <is>
          <t>BODEN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46012</v>
      </c>
      <c r="E511" s="1" t="n">
        <v>46255</v>
      </c>
      <c r="F511" t="inlineStr">
        <is>
          <t>NORRBOTTENS LÄN</t>
        </is>
      </c>
      <c r="G511" t="inlineStr">
        <is>
          <t>BODEN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46012</v>
      </c>
      <c r="E512" s="1" t="n">
        <v>46255</v>
      </c>
      <c r="F512" t="inlineStr">
        <is>
          <t>NORRBOTTENS LÄN</t>
        </is>
      </c>
      <c r="G512" t="inlineStr">
        <is>
          <t>BODEN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42173-2025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45902</v>
      </c>
      <c r="E513" s="1" t="n">
        <v>46255</v>
      </c>
      <c r="F513" t="inlineStr">
        <is>
          <t>NORRBOTTENS LÄN</t>
        </is>
      </c>
      <c r="G513" t="inlineStr">
        <is>
          <t>BODEN</t>
        </is>
      </c>
      <c r="H513" t="inlineStr">
        <is>
          <t>Övriga statliga verk och myndigheter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45980</v>
      </c>
      <c r="E514" s="1" t="n">
        <v>46255</v>
      </c>
      <c r="F514" t="inlineStr">
        <is>
          <t>NORRBOTTENS LÄN</t>
        </is>
      </c>
      <c r="G514" t="inlineStr">
        <is>
          <t>BODEN</t>
        </is>
      </c>
      <c r="I514" t="n">
        <v>19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46255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46020</v>
      </c>
      <c r="E516" s="1" t="n">
        <v>46255</v>
      </c>
      <c r="F516" t="inlineStr">
        <is>
          <t>NORRBOTTENS LÄN</t>
        </is>
      </c>
      <c r="G516" t="inlineStr">
        <is>
          <t>BODEN</t>
        </is>
      </c>
      <c r="I516" t="n">
        <v>12.5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39272-2024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45551</v>
      </c>
      <c r="E517" s="1" t="n">
        <v>46255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46255</v>
      </c>
      <c r="F518" t="inlineStr">
        <is>
          <t>NORRBOTTENS LÄN</t>
        </is>
      </c>
      <c r="G518" t="inlineStr">
        <is>
          <t>BODEN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46255</v>
      </c>
      <c r="F519" t="inlineStr">
        <is>
          <t>NORRBOTTENS LÄN</t>
        </is>
      </c>
      <c r="G519" t="inlineStr">
        <is>
          <t>BODEN</t>
        </is>
      </c>
      <c r="I519" t="n">
        <v>9.6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46255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31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46255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17909-2026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46255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37866-2024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45544</v>
      </c>
      <c r="E523" s="1" t="n">
        <v>46255</v>
      </c>
      <c r="F523" t="inlineStr">
        <is>
          <t>NORRBOTTENS LÄN</t>
        </is>
      </c>
      <c r="G523" t="inlineStr">
        <is>
          <t>BODEN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44553-2024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45574</v>
      </c>
      <c r="E524" s="1" t="n">
        <v>46255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46255</v>
      </c>
      <c r="F525" t="inlineStr">
        <is>
          <t>NORRBOTTENS LÄN</t>
        </is>
      </c>
      <c r="G525" t="inlineStr">
        <is>
          <t>BODEN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44567-2024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45574</v>
      </c>
      <c r="E526" s="1" t="n">
        <v>46255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46255</v>
      </c>
      <c r="F527" t="inlineStr">
        <is>
          <t>NORRBOTTENS LÄN</t>
        </is>
      </c>
      <c r="G527" t="inlineStr">
        <is>
          <t>BODEN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46255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64649-2023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46255</v>
      </c>
      <c r="F529" t="inlineStr">
        <is>
          <t>NORRBOTTENS LÄN</t>
        </is>
      </c>
      <c r="G529" t="inlineStr">
        <is>
          <t>BODEN</t>
        </is>
      </c>
      <c r="H529" t="inlineStr">
        <is>
          <t>Sveaskog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68611-2021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44529</v>
      </c>
      <c r="E530" s="1" t="n">
        <v>46255</v>
      </c>
      <c r="F530" t="inlineStr">
        <is>
          <t>NORRBOTTENS LÄN</t>
        </is>
      </c>
      <c r="G530" t="inlineStr">
        <is>
          <t>BODEN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63841-2025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46020</v>
      </c>
      <c r="E531" s="1" t="n">
        <v>46255</v>
      </c>
      <c r="F531" t="inlineStr">
        <is>
          <t>NORRBOTTENS LÄN</t>
        </is>
      </c>
      <c r="G531" t="inlineStr">
        <is>
          <t>BODEN</t>
        </is>
      </c>
      <c r="I531" t="n">
        <v>10.9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46255</v>
      </c>
      <c r="F532" t="inlineStr">
        <is>
          <t>NORRBOTTENS LÄN</t>
        </is>
      </c>
      <c r="G532" t="inlineStr">
        <is>
          <t>BODEN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46126</v>
      </c>
      <c r="E533" s="1" t="n">
        <v>46255</v>
      </c>
      <c r="F533" t="inlineStr">
        <is>
          <t>NORRBOTTENS LÄN</t>
        </is>
      </c>
      <c r="G533" t="inlineStr">
        <is>
          <t>BODEN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18448-2026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46127</v>
      </c>
      <c r="E534" s="1" t="n">
        <v>46255</v>
      </c>
      <c r="F534" t="inlineStr">
        <is>
          <t>NORRBOTTENS LÄN</t>
        </is>
      </c>
      <c r="G534" t="inlineStr">
        <is>
          <t>BODEN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2771-2026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46036</v>
      </c>
      <c r="E535" s="1" t="n">
        <v>46255</v>
      </c>
      <c r="F535" t="inlineStr">
        <is>
          <t>NORRBOTTENS LÄN</t>
        </is>
      </c>
      <c r="G535" t="inlineStr">
        <is>
          <t>BODEN</t>
        </is>
      </c>
      <c r="H535" t="inlineStr">
        <is>
          <t>Kommuner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37384-2023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45156</v>
      </c>
      <c r="E536" s="1" t="n">
        <v>46255</v>
      </c>
      <c r="F536" t="inlineStr">
        <is>
          <t>NORRBOTTENS LÄN</t>
        </is>
      </c>
      <c r="G536" t="inlineStr">
        <is>
          <t>BODEN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46132</v>
      </c>
      <c r="E537" s="1" t="n">
        <v>46255</v>
      </c>
      <c r="F537" t="inlineStr">
        <is>
          <t>NORRBOTTENS LÄN</t>
        </is>
      </c>
      <c r="G537" t="inlineStr">
        <is>
          <t>BODEN</t>
        </is>
      </c>
      <c r="I537" t="n">
        <v>11.7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44983</v>
      </c>
      <c r="E538" s="1" t="n">
        <v>46255</v>
      </c>
      <c r="F538" t="inlineStr">
        <is>
          <t>NORRBOTTENS LÄN</t>
        </is>
      </c>
      <c r="G538" t="inlineStr">
        <is>
          <t>BODEN</t>
        </is>
      </c>
      <c r="I538" t="n">
        <v>37.1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46255</v>
      </c>
      <c r="F539" t="inlineStr">
        <is>
          <t>NORRBOTTENS LÄN</t>
        </is>
      </c>
      <c r="G539" t="inlineStr">
        <is>
          <t>BODEN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54718-2024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45618</v>
      </c>
      <c r="E540" s="1" t="n">
        <v>46255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46255</v>
      </c>
      <c r="F541" t="inlineStr">
        <is>
          <t>NORRBOTTENS LÄN</t>
        </is>
      </c>
      <c r="G541" t="inlineStr">
        <is>
          <t>BODEN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19049-2026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46132</v>
      </c>
      <c r="E542" s="1" t="n">
        <v>46255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51614-2024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45604</v>
      </c>
      <c r="E543" s="1" t="n">
        <v>46255</v>
      </c>
      <c r="F543" t="inlineStr">
        <is>
          <t>NORRBOTTENS LÄN</t>
        </is>
      </c>
      <c r="G543" t="inlineStr">
        <is>
          <t>BODEN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46255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45772</v>
      </c>
      <c r="E545" s="1" t="n">
        <v>46255</v>
      </c>
      <c r="F545" t="inlineStr">
        <is>
          <t>NORRBOTTENS LÄN</t>
        </is>
      </c>
      <c r="G545" t="inlineStr">
        <is>
          <t>BODEN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46255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46255</v>
      </c>
      <c r="F547" t="inlineStr">
        <is>
          <t>NORRBOTTENS LÄN</t>
        </is>
      </c>
      <c r="G547" t="inlineStr">
        <is>
          <t>BODEN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67068-2021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44522</v>
      </c>
      <c r="E548" s="1" t="n">
        <v>46255</v>
      </c>
      <c r="F548" t="inlineStr">
        <is>
          <t>NORRBOTTENS LÄN</t>
        </is>
      </c>
      <c r="G548" t="inlineStr">
        <is>
          <t>BODEN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46255</v>
      </c>
      <c r="F549" t="inlineStr">
        <is>
          <t>NORRBOTTENS LÄN</t>
        </is>
      </c>
      <c r="G549" t="inlineStr">
        <is>
          <t>BODEN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48472-2024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45591</v>
      </c>
      <c r="E550" s="1" t="n">
        <v>46255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8120-2022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44609</v>
      </c>
      <c r="E551" s="1" t="n">
        <v>46255</v>
      </c>
      <c r="F551" t="inlineStr">
        <is>
          <t>NORRBOTTENS LÄN</t>
        </is>
      </c>
      <c r="G551" t="inlineStr">
        <is>
          <t>BODEN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46255</v>
      </c>
      <c r="F552" t="inlineStr">
        <is>
          <t>NORRBOTTENS LÄN</t>
        </is>
      </c>
      <c r="G552" t="inlineStr">
        <is>
          <t>BODEN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38371-2023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45161</v>
      </c>
      <c r="E553" s="1" t="n">
        <v>46255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45161</v>
      </c>
      <c r="E554" s="1" t="n">
        <v>46255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7.9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46255</v>
      </c>
      <c r="F555" t="inlineStr">
        <is>
          <t>NORRBOTTENS LÄN</t>
        </is>
      </c>
      <c r="G555" t="inlineStr">
        <is>
          <t>BODEN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46255</v>
      </c>
      <c r="F556" t="inlineStr">
        <is>
          <t>NORRBOTTENS LÄN</t>
        </is>
      </c>
      <c r="G556" t="inlineStr">
        <is>
          <t>BODEN</t>
        </is>
      </c>
      <c r="I556" t="n">
        <v>9.800000000000001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6708-2026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46255</v>
      </c>
      <c r="F557" t="inlineStr">
        <is>
          <t>NORRBOTTENS LÄN</t>
        </is>
      </c>
      <c r="G557" t="inlineStr">
        <is>
          <t>BODEN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34760-2022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44795</v>
      </c>
      <c r="E558" s="1" t="n">
        <v>46255</v>
      </c>
      <c r="F558" t="inlineStr">
        <is>
          <t>NORRBOTTENS LÄN</t>
        </is>
      </c>
      <c r="G558" t="inlineStr">
        <is>
          <t>BODEN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46057</v>
      </c>
      <c r="E559" s="1" t="n">
        <v>46255</v>
      </c>
      <c r="F559" t="inlineStr">
        <is>
          <t>NORRBOTTENS LÄN</t>
        </is>
      </c>
      <c r="G559" t="inlineStr">
        <is>
          <t>BODEN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46255</v>
      </c>
      <c r="F560" t="inlineStr">
        <is>
          <t>NORRBOTTENS LÄN</t>
        </is>
      </c>
      <c r="G560" t="inlineStr">
        <is>
          <t>BODEN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38511-2025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45884</v>
      </c>
      <c r="E561" s="1" t="n">
        <v>46255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50327-2023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45216</v>
      </c>
      <c r="E562" s="1" t="n">
        <v>46255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46255</v>
      </c>
      <c r="F563" t="inlineStr">
        <is>
          <t>NORRBOTTENS LÄN</t>
        </is>
      </c>
      <c r="G563" t="inlineStr">
        <is>
          <t>BODEN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49730-2024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45596</v>
      </c>
      <c r="E564" s="1" t="n">
        <v>46255</v>
      </c>
      <c r="F564" t="inlineStr">
        <is>
          <t>NORRBOTTENS LÄN</t>
        </is>
      </c>
      <c r="G564" t="inlineStr">
        <is>
          <t>BODEN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50103-2024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46255</v>
      </c>
      <c r="F565" t="inlineStr">
        <is>
          <t>NORRBOTTENS LÄN</t>
        </is>
      </c>
      <c r="G565" t="inlineStr">
        <is>
          <t>BODEN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50107-2024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45600</v>
      </c>
      <c r="E566" s="1" t="n">
        <v>46255</v>
      </c>
      <c r="F566" t="inlineStr">
        <is>
          <t>NORRBOTTENS LÄN</t>
        </is>
      </c>
      <c r="G566" t="inlineStr">
        <is>
          <t>BODEN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706-2022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44566</v>
      </c>
      <c r="E567" s="1" t="n">
        <v>46255</v>
      </c>
      <c r="F567" t="inlineStr">
        <is>
          <t>NORRBOTTENS LÄN</t>
        </is>
      </c>
      <c r="G567" t="inlineStr">
        <is>
          <t>BODEN</t>
        </is>
      </c>
      <c r="I567" t="n">
        <v>12.4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62589-2025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46007</v>
      </c>
      <c r="E568" s="1" t="n">
        <v>46255</v>
      </c>
      <c r="F568" t="inlineStr">
        <is>
          <t>NORRBOTTENS LÄN</t>
        </is>
      </c>
      <c r="G568" t="inlineStr">
        <is>
          <t>BODEN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28758-2024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46255</v>
      </c>
      <c r="F569" t="inlineStr">
        <is>
          <t>NORRBOTTENS LÄN</t>
        </is>
      </c>
      <c r="G569" t="inlineStr">
        <is>
          <t>BODEN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57600-2021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44484</v>
      </c>
      <c r="E570" s="1" t="n">
        <v>46255</v>
      </c>
      <c r="F570" t="inlineStr">
        <is>
          <t>NORRBOTTENS LÄN</t>
        </is>
      </c>
      <c r="G570" t="inlineStr">
        <is>
          <t>BODEN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10240-2026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46255</v>
      </c>
      <c r="F571" t="inlineStr">
        <is>
          <t>NORRBOTTENS LÄN</t>
        </is>
      </c>
      <c r="G571" t="inlineStr">
        <is>
          <t>BODEN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45411</v>
      </c>
      <c r="E572" s="1" t="n">
        <v>46255</v>
      </c>
      <c r="F572" t="inlineStr">
        <is>
          <t>NORRBOTTENS LÄN</t>
        </is>
      </c>
      <c r="G572" t="inlineStr">
        <is>
          <t>BODEN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48459-2025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45935</v>
      </c>
      <c r="E573" s="1" t="n">
        <v>46255</v>
      </c>
      <c r="F573" t="inlineStr">
        <is>
          <t>NORRBOTTENS LÄN</t>
        </is>
      </c>
      <c r="G573" t="inlineStr">
        <is>
          <t>BODEN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2426-2024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45310</v>
      </c>
      <c r="E574" s="1" t="n">
        <v>46255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47024-2024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45586</v>
      </c>
      <c r="E575" s="1" t="n">
        <v>46255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12.8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11092-2022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44628</v>
      </c>
      <c r="E576" s="1" t="n">
        <v>46255</v>
      </c>
      <c r="F576" t="inlineStr">
        <is>
          <t>NORRBOTTENS LÄN</t>
        </is>
      </c>
      <c r="G576" t="inlineStr">
        <is>
          <t>BODEN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45561</v>
      </c>
      <c r="E577" s="1" t="n">
        <v>46255</v>
      </c>
      <c r="F577" t="inlineStr">
        <is>
          <t>NORRBOTTENS LÄN</t>
        </is>
      </c>
      <c r="G577" t="inlineStr">
        <is>
          <t>BODEN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32347-2024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45512</v>
      </c>
      <c r="E578" s="1" t="n">
        <v>46255</v>
      </c>
      <c r="F578" t="inlineStr">
        <is>
          <t>NORRBOTTENS LÄN</t>
        </is>
      </c>
      <c r="G578" t="inlineStr">
        <is>
          <t>BODEN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46136</v>
      </c>
      <c r="E579" s="1" t="n">
        <v>46255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50561-2025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45944</v>
      </c>
      <c r="E580" s="1" t="n">
        <v>46255</v>
      </c>
      <c r="F580" t="inlineStr">
        <is>
          <t>NORRBOTTENS LÄN</t>
        </is>
      </c>
      <c r="G580" t="inlineStr">
        <is>
          <t>BODEN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45832</v>
      </c>
      <c r="E581" s="1" t="n">
        <v>46255</v>
      </c>
      <c r="F581" t="inlineStr">
        <is>
          <t>NORRBOTTENS LÄN</t>
        </is>
      </c>
      <c r="G581" t="inlineStr">
        <is>
          <t>BODEN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61988-2025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46003</v>
      </c>
      <c r="E582" s="1" t="n">
        <v>46255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48950-2022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44859</v>
      </c>
      <c r="E583" s="1" t="n">
        <v>46255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49859-2023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46255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4630-2025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45687</v>
      </c>
      <c r="E585" s="1" t="n">
        <v>46255</v>
      </c>
      <c r="F585" t="inlineStr">
        <is>
          <t>NORRBOTTENS LÄN</t>
        </is>
      </c>
      <c r="G585" t="inlineStr">
        <is>
          <t>BODEN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41487-2024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45560</v>
      </c>
      <c r="E586" s="1" t="n">
        <v>46255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45770</v>
      </c>
      <c r="E587" s="1" t="n">
        <v>46255</v>
      </c>
      <c r="F587" t="inlineStr">
        <is>
          <t>NORRBOTTENS LÄN</t>
        </is>
      </c>
      <c r="G587" t="inlineStr">
        <is>
          <t>BODEN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32775-2025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45839</v>
      </c>
      <c r="E588" s="1" t="n">
        <v>46255</v>
      </c>
      <c r="F588" t="inlineStr">
        <is>
          <t>NORRBOTTENS LÄN</t>
        </is>
      </c>
      <c r="G588" t="inlineStr">
        <is>
          <t>BODEN</t>
        </is>
      </c>
      <c r="I588" t="n">
        <v>13.6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45860</v>
      </c>
      <c r="E589" s="1" t="n">
        <v>46255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28248-2025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46255</v>
      </c>
      <c r="F590" t="inlineStr">
        <is>
          <t>NORRBOTTENS LÄN</t>
        </is>
      </c>
      <c r="G590" t="inlineStr">
        <is>
          <t>BODEN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45999</v>
      </c>
      <c r="E591" s="1" t="n">
        <v>46255</v>
      </c>
      <c r="F591" t="inlineStr">
        <is>
          <t>NORRBOTTENS LÄN</t>
        </is>
      </c>
      <c r="G591" t="inlineStr">
        <is>
          <t>BODEN</t>
        </is>
      </c>
      <c r="I591" t="n">
        <v>9.6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46029</v>
      </c>
      <c r="E592" s="1" t="n">
        <v>46255</v>
      </c>
      <c r="F592" t="inlineStr">
        <is>
          <t>NORRBOTTENS LÄN</t>
        </is>
      </c>
      <c r="G592" t="inlineStr">
        <is>
          <t>BODEN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45645</v>
      </c>
      <c r="E593" s="1" t="n">
        <v>46255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46029</v>
      </c>
      <c r="E594" s="1" t="n">
        <v>46255</v>
      </c>
      <c r="F594" t="inlineStr">
        <is>
          <t>NORRBOTTENS LÄN</t>
        </is>
      </c>
      <c r="G594" t="inlineStr">
        <is>
          <t>BODEN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46255</v>
      </c>
      <c r="F595" t="inlineStr">
        <is>
          <t>NORRBOTTENS LÄN</t>
        </is>
      </c>
      <c r="G595" t="inlineStr">
        <is>
          <t>BODEN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31456-2024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45505</v>
      </c>
      <c r="E596" s="1" t="n">
        <v>46255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46003</v>
      </c>
      <c r="E597" s="1" t="n">
        <v>46255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10254-2026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46255</v>
      </c>
      <c r="F598" t="inlineStr">
        <is>
          <t>NORRBOTTENS LÄN</t>
        </is>
      </c>
      <c r="G598" t="inlineStr">
        <is>
          <t>BODEN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45460</v>
      </c>
      <c r="E599" s="1" t="n">
        <v>46255</v>
      </c>
      <c r="F599" t="inlineStr">
        <is>
          <t>NORRBOTTENS LÄN</t>
        </is>
      </c>
      <c r="G599" t="inlineStr">
        <is>
          <t>BODEN</t>
        </is>
      </c>
      <c r="H599" t="inlineStr">
        <is>
          <t>Övriga Aktiebolag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55317-2023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45237</v>
      </c>
      <c r="E600" s="1" t="n">
        <v>46255</v>
      </c>
      <c r="F600" t="inlineStr">
        <is>
          <t>NORRBOTTENS LÄN</t>
        </is>
      </c>
      <c r="G600" t="inlineStr">
        <is>
          <t>BODEN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49162-2023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45210</v>
      </c>
      <c r="E601" s="1" t="n">
        <v>46255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45448-2023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45194</v>
      </c>
      <c r="E602" s="1" t="n">
        <v>46255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11634-2026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46084</v>
      </c>
      <c r="E603" s="1" t="n">
        <v>46255</v>
      </c>
      <c r="F603" t="inlineStr">
        <is>
          <t>NORRBOTTENS LÄN</t>
        </is>
      </c>
      <c r="G603" t="inlineStr">
        <is>
          <t>BODEN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38874-2023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45161</v>
      </c>
      <c r="E604" s="1" t="n">
        <v>46255</v>
      </c>
      <c r="F604" t="inlineStr">
        <is>
          <t>NORRBOTTENS LÄN</t>
        </is>
      </c>
      <c r="G604" t="inlineStr">
        <is>
          <t>BODEN</t>
        </is>
      </c>
      <c r="I604" t="n">
        <v>15.5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32754-2022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44783</v>
      </c>
      <c r="E605" s="1" t="n">
        <v>46255</v>
      </c>
      <c r="F605" t="inlineStr">
        <is>
          <t>NORRBOTTENS LÄN</t>
        </is>
      </c>
      <c r="G605" t="inlineStr">
        <is>
          <t>BODEN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45201</v>
      </c>
      <c r="E606" s="1" t="n">
        <v>46255</v>
      </c>
      <c r="F606" t="inlineStr">
        <is>
          <t>NORRBOTTENS LÄN</t>
        </is>
      </c>
      <c r="G606" t="inlineStr">
        <is>
          <t>BODEN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40115-2025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45893</v>
      </c>
      <c r="E607" s="1" t="n">
        <v>46255</v>
      </c>
      <c r="F607" t="inlineStr">
        <is>
          <t>NORRBOTTENS LÄN</t>
        </is>
      </c>
      <c r="G607" t="inlineStr">
        <is>
          <t>BODEN</t>
        </is>
      </c>
      <c r="H607" t="inlineStr">
        <is>
          <t>Övriga statliga verk och myndigheter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33511-2025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46255</v>
      </c>
      <c r="F608" t="inlineStr">
        <is>
          <t>NORRBOTTENS LÄN</t>
        </is>
      </c>
      <c r="G608" t="inlineStr">
        <is>
          <t>BODEN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11865-2025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45728</v>
      </c>
      <c r="E609" s="1" t="n">
        <v>46255</v>
      </c>
      <c r="F609" t="inlineStr">
        <is>
          <t>NORRBOTTENS LÄN</t>
        </is>
      </c>
      <c r="G609" t="inlineStr">
        <is>
          <t>BODEN</t>
        </is>
      </c>
      <c r="H609" t="inlineStr">
        <is>
          <t>Övriga Aktiebolag</t>
        </is>
      </c>
      <c r="I609" t="n">
        <v>10.6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21478-2026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46255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21279-2026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46255</v>
      </c>
      <c r="F611" t="inlineStr">
        <is>
          <t>NORRBOTTENS LÄN</t>
        </is>
      </c>
      <c r="G611" t="inlineStr">
        <is>
          <t>BODEN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46150</v>
      </c>
      <c r="E612" s="1" t="n">
        <v>46255</v>
      </c>
      <c r="F612" t="inlineStr">
        <is>
          <t>NORRBOTTENS LÄN</t>
        </is>
      </c>
      <c r="G612" t="inlineStr">
        <is>
          <t>BODEN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57579-2023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46255</v>
      </c>
      <c r="F613" t="inlineStr">
        <is>
          <t>NORRBOTTENS LÄN</t>
        </is>
      </c>
      <c r="G613" t="inlineStr">
        <is>
          <t>BODEN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45762</v>
      </c>
      <c r="E614" s="1" t="n">
        <v>46255</v>
      </c>
      <c r="F614" t="inlineStr">
        <is>
          <t>NORRBOTTENS LÄN</t>
        </is>
      </c>
      <c r="G614" t="inlineStr">
        <is>
          <t>BODEN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22264-2026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46255</v>
      </c>
      <c r="F615" t="inlineStr">
        <is>
          <t>NORRBOTTENS LÄN</t>
        </is>
      </c>
      <c r="G615" t="inlineStr">
        <is>
          <t>BODEN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46150</v>
      </c>
      <c r="E616" s="1" t="n">
        <v>46255</v>
      </c>
      <c r="F616" t="inlineStr">
        <is>
          <t>NORRBOTTENS LÄN</t>
        </is>
      </c>
      <c r="G616" t="inlineStr">
        <is>
          <t>BODEN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21688-2026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46149</v>
      </c>
      <c r="E617" s="1" t="n">
        <v>46255</v>
      </c>
      <c r="F617" t="inlineStr">
        <is>
          <t>NORRBOTTENS LÄN</t>
        </is>
      </c>
      <c r="G617" t="inlineStr">
        <is>
          <t>BODEN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46149</v>
      </c>
      <c r="E618" s="1" t="n">
        <v>46255</v>
      </c>
      <c r="F618" t="inlineStr">
        <is>
          <t>NORRBOTTENS LÄN</t>
        </is>
      </c>
      <c r="G618" t="inlineStr">
        <is>
          <t>BODEN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39463-2023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45166</v>
      </c>
      <c r="E619" s="1" t="n">
        <v>46255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21703-2026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46149</v>
      </c>
      <c r="E620" s="1" t="n">
        <v>46255</v>
      </c>
      <c r="F620" t="inlineStr">
        <is>
          <t>NORRBOTTENS LÄN</t>
        </is>
      </c>
      <c r="G620" t="inlineStr">
        <is>
          <t>BODEN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9940-2025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45718</v>
      </c>
      <c r="E621" s="1" t="n">
        <v>46255</v>
      </c>
      <c r="F621" t="inlineStr">
        <is>
          <t>NORRBOTTENS LÄN</t>
        </is>
      </c>
      <c r="G621" t="inlineStr">
        <is>
          <t>BODEN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45247</v>
      </c>
      <c r="E622" s="1" t="n">
        <v>46255</v>
      </c>
      <c r="F622" t="inlineStr">
        <is>
          <t>NORRBOTTENS LÄN</t>
        </is>
      </c>
      <c r="G622" t="inlineStr">
        <is>
          <t>BODEN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45314</v>
      </c>
      <c r="E623" s="1" t="n">
        <v>46255</v>
      </c>
      <c r="F623" t="inlineStr">
        <is>
          <t>NORRBOTTENS LÄN</t>
        </is>
      </c>
      <c r="G623" t="inlineStr">
        <is>
          <t>BODEN</t>
        </is>
      </c>
      <c r="I623" t="n">
        <v>17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59688-2023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45256</v>
      </c>
      <c r="E624" s="1" t="n">
        <v>46255</v>
      </c>
      <c r="F624" t="inlineStr">
        <is>
          <t>NORRBOTTENS LÄN</t>
        </is>
      </c>
      <c r="G624" t="inlineStr">
        <is>
          <t>BODEN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57604-2021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44484</v>
      </c>
      <c r="E625" s="1" t="n">
        <v>46255</v>
      </c>
      <c r="F625" t="inlineStr">
        <is>
          <t>NORRBOTTENS LÄN</t>
        </is>
      </c>
      <c r="G625" t="inlineStr">
        <is>
          <t>BODEN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22239-2026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46255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45680</v>
      </c>
      <c r="E627" s="1" t="n">
        <v>46255</v>
      </c>
      <c r="F627" t="inlineStr">
        <is>
          <t>NORRBOTTENS LÄN</t>
        </is>
      </c>
      <c r="G627" t="inlineStr">
        <is>
          <t>BODEN</t>
        </is>
      </c>
      <c r="H627" t="inlineStr">
        <is>
          <t>Naturvårdsverket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16699-2024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45408</v>
      </c>
      <c r="E628" s="1" t="n">
        <v>46255</v>
      </c>
      <c r="F628" t="inlineStr">
        <is>
          <t>NORRBOTTENS LÄN</t>
        </is>
      </c>
      <c r="G628" t="inlineStr">
        <is>
          <t>BODEN</t>
        </is>
      </c>
      <c r="I628" t="n">
        <v>14.9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59890-2023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45254</v>
      </c>
      <c r="E629" s="1" t="n">
        <v>46255</v>
      </c>
      <c r="F629" t="inlineStr">
        <is>
          <t>NORRBOTTENS LÄN</t>
        </is>
      </c>
      <c r="G629" t="inlineStr">
        <is>
          <t>BODEN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19068-2024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45427</v>
      </c>
      <c r="E630" s="1" t="n">
        <v>46255</v>
      </c>
      <c r="F630" t="inlineStr">
        <is>
          <t>NORRBOTTENS LÄN</t>
        </is>
      </c>
      <c r="G630" t="inlineStr">
        <is>
          <t>BODEN</t>
        </is>
      </c>
      <c r="I630" t="n">
        <v>22.1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59983-2023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45257</v>
      </c>
      <c r="E631" s="1" t="n">
        <v>46255</v>
      </c>
      <c r="F631" t="inlineStr">
        <is>
          <t>NORRBOTTENS LÄN</t>
        </is>
      </c>
      <c r="G631" t="inlineStr">
        <is>
          <t>BODEN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46154</v>
      </c>
      <c r="E632" s="1" t="n">
        <v>46255</v>
      </c>
      <c r="F632" t="inlineStr">
        <is>
          <t>NORRBOTTENS LÄN</t>
        </is>
      </c>
      <c r="G632" t="inlineStr">
        <is>
          <t>BODEN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60085-2024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45639</v>
      </c>
      <c r="E633" s="1" t="n">
        <v>46255</v>
      </c>
      <c r="F633" t="inlineStr">
        <is>
          <t>NORRBOTTENS LÄN</t>
        </is>
      </c>
      <c r="G633" t="inlineStr">
        <is>
          <t>BODEN</t>
        </is>
      </c>
      <c r="I633" t="n">
        <v>9.5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44648</v>
      </c>
      <c r="E634" s="1" t="n">
        <v>46255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45264</v>
      </c>
      <c r="E635" s="1" t="n">
        <v>46255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59035-2025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45988</v>
      </c>
      <c r="E636" s="1" t="n">
        <v>46255</v>
      </c>
      <c r="F636" t="inlineStr">
        <is>
          <t>NORRBOTTENS LÄN</t>
        </is>
      </c>
      <c r="G636" t="inlineStr">
        <is>
          <t>BODEN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61587-2024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45646</v>
      </c>
      <c r="E637" s="1" t="n">
        <v>46255</v>
      </c>
      <c r="F637" t="inlineStr">
        <is>
          <t>NORRBOTTENS LÄN</t>
        </is>
      </c>
      <c r="G637" t="inlineStr">
        <is>
          <t>BODEN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8873-2024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45356</v>
      </c>
      <c r="E638" s="1" t="n">
        <v>46255</v>
      </c>
      <c r="F638" t="inlineStr">
        <is>
          <t>NORRBOTTENS LÄN</t>
        </is>
      </c>
      <c r="G638" t="inlineStr">
        <is>
          <t>BODEN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46255</v>
      </c>
      <c r="F639" t="inlineStr">
        <is>
          <t>NORRBOTTENS LÄN</t>
        </is>
      </c>
      <c r="G639" t="inlineStr">
        <is>
          <t>BODEN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21329-2024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45440</v>
      </c>
      <c r="E640" s="1" t="n">
        <v>46255</v>
      </c>
      <c r="F640" t="inlineStr">
        <is>
          <t>NORRBOTTENS LÄN</t>
        </is>
      </c>
      <c r="G640" t="inlineStr">
        <is>
          <t>BODEN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54935-2021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44474</v>
      </c>
      <c r="E641" s="1" t="n">
        <v>46255</v>
      </c>
      <c r="F641" t="inlineStr">
        <is>
          <t>NORRBOTTENS LÄN</t>
        </is>
      </c>
      <c r="G641" t="inlineStr">
        <is>
          <t>BODEN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45694</v>
      </c>
      <c r="E642" s="1" t="n">
        <v>46255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61241-2023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45260</v>
      </c>
      <c r="E643" s="1" t="n">
        <v>46255</v>
      </c>
      <c r="F643" t="inlineStr">
        <is>
          <t>NORRBOTTENS LÄN</t>
        </is>
      </c>
      <c r="G643" t="inlineStr">
        <is>
          <t>BODEN</t>
        </is>
      </c>
      <c r="I643" t="n">
        <v>33.9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15881-2023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45022</v>
      </c>
      <c r="E644" s="1" t="n">
        <v>46255</v>
      </c>
      <c r="F644" t="inlineStr">
        <is>
          <t>NORRBOTTENS LÄN</t>
        </is>
      </c>
      <c r="G644" t="inlineStr">
        <is>
          <t>BODEN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44573</v>
      </c>
      <c r="E645" s="1" t="n">
        <v>46255</v>
      </c>
      <c r="F645" t="inlineStr">
        <is>
          <t>NORRBOTTENS LÄN</t>
        </is>
      </c>
      <c r="G645" t="inlineStr">
        <is>
          <t>BODEN</t>
        </is>
      </c>
      <c r="H645" t="inlineStr">
        <is>
          <t>Övriga statliga verk och myndigheter</t>
        </is>
      </c>
      <c r="I645" t="n">
        <v>9.9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7442-2024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45345</v>
      </c>
      <c r="E646" s="1" t="n">
        <v>46255</v>
      </c>
      <c r="F646" t="inlineStr">
        <is>
          <t>NORRBOTTENS LÄN</t>
        </is>
      </c>
      <c r="G646" t="inlineStr">
        <is>
          <t>BODEN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29377-2024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45483</v>
      </c>
      <c r="E647" s="1" t="n">
        <v>46255</v>
      </c>
      <c r="F647" t="inlineStr">
        <is>
          <t>NORRBOTTENS LÄN</t>
        </is>
      </c>
      <c r="G647" t="inlineStr">
        <is>
          <t>BODEN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45818</v>
      </c>
      <c r="E648" s="1" t="n">
        <v>46255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11.3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64975-2023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45285</v>
      </c>
      <c r="E649" s="1" t="n">
        <v>46255</v>
      </c>
      <c r="F649" t="inlineStr">
        <is>
          <t>NORRBOTTENS LÄN</t>
        </is>
      </c>
      <c r="G649" t="inlineStr">
        <is>
          <t>BODEN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37212-2025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45875</v>
      </c>
      <c r="E650" s="1" t="n">
        <v>46255</v>
      </c>
      <c r="F650" t="inlineStr">
        <is>
          <t>NORRBOTTENS LÄN</t>
        </is>
      </c>
      <c r="G650" t="inlineStr">
        <is>
          <t>BODEN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35115-2024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45529</v>
      </c>
      <c r="E651" s="1" t="n">
        <v>46255</v>
      </c>
      <c r="F651" t="inlineStr">
        <is>
          <t>NORRBOTTENS LÄN</t>
        </is>
      </c>
      <c r="G651" t="inlineStr">
        <is>
          <t>BODEN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45744</v>
      </c>
      <c r="E652" s="1" t="n">
        <v>46255</v>
      </c>
      <c r="F652" t="inlineStr">
        <is>
          <t>NORRBOTTENS LÄN</t>
        </is>
      </c>
      <c r="G652" t="inlineStr">
        <is>
          <t>BODEN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5129-2025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45691</v>
      </c>
      <c r="E653" s="1" t="n">
        <v>46255</v>
      </c>
      <c r="F653" t="inlineStr">
        <is>
          <t>NORRBOTTENS LÄN</t>
        </is>
      </c>
      <c r="G653" t="inlineStr">
        <is>
          <t>BODEN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44732</v>
      </c>
      <c r="E654" s="1" t="n">
        <v>46255</v>
      </c>
      <c r="F654" t="inlineStr">
        <is>
          <t>NORRBOTTENS LÄN</t>
        </is>
      </c>
      <c r="G654" t="inlineStr">
        <is>
          <t>BODEN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45323</v>
      </c>
      <c r="E655" s="1" t="n">
        <v>46255</v>
      </c>
      <c r="F655" t="inlineStr">
        <is>
          <t>NORRBOTTENS LÄN</t>
        </is>
      </c>
      <c r="G655" t="inlineStr">
        <is>
          <t>BODEN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7159-2023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44970</v>
      </c>
      <c r="E656" s="1" t="n">
        <v>46255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23790-2026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46164</v>
      </c>
      <c r="E657" s="1" t="n">
        <v>46255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46255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46164</v>
      </c>
      <c r="E659" s="1" t="n">
        <v>46255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7.1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46255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49124-2023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45210</v>
      </c>
      <c r="E661" s="1" t="n">
        <v>46255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45674</v>
      </c>
      <c r="E662" s="1" t="n">
        <v>46255</v>
      </c>
      <c r="F662" t="inlineStr">
        <is>
          <t>NORRBOTTENS LÄN</t>
        </is>
      </c>
      <c r="G662" t="inlineStr">
        <is>
          <t>BODEN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45692</v>
      </c>
      <c r="E663" s="1" t="n">
        <v>46255</v>
      </c>
      <c r="F663" t="inlineStr">
        <is>
          <t>NORRBOTTENS LÄN</t>
        </is>
      </c>
      <c r="G663" t="inlineStr">
        <is>
          <t>BODEN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46255</v>
      </c>
      <c r="F664" t="inlineStr">
        <is>
          <t>NORRBOTTENS LÄN</t>
        </is>
      </c>
      <c r="G664" t="inlineStr">
        <is>
          <t>BODEN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45509</v>
      </c>
      <c r="E665" s="1" t="n">
        <v>46255</v>
      </c>
      <c r="F665" t="inlineStr">
        <is>
          <t>NORRBOTTENS LÄN</t>
        </is>
      </c>
      <c r="G665" t="inlineStr">
        <is>
          <t>BODEN</t>
        </is>
      </c>
      <c r="I665" t="n">
        <v>11.1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24427-2026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46255</v>
      </c>
      <c r="F666" t="inlineStr">
        <is>
          <t>NORRBOTTENS LÄN</t>
        </is>
      </c>
      <c r="G666" t="inlineStr">
        <is>
          <t>BODEN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46168</v>
      </c>
      <c r="E667" s="1" t="n">
        <v>46255</v>
      </c>
      <c r="F667" t="inlineStr">
        <is>
          <t>NORRBOTTENS LÄN</t>
        </is>
      </c>
      <c r="G667" t="inlineStr">
        <is>
          <t>BODEN</t>
        </is>
      </c>
      <c r="I667" t="n">
        <v>5.9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40157-2025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45894</v>
      </c>
      <c r="E668" s="1" t="n">
        <v>46255</v>
      </c>
      <c r="F668" t="inlineStr">
        <is>
          <t>NORRBOTTENS LÄN</t>
        </is>
      </c>
      <c r="G668" t="inlineStr">
        <is>
          <t>BODEN</t>
        </is>
      </c>
      <c r="H668" t="inlineStr">
        <is>
          <t>Övriga statliga verk och myndigheter</t>
        </is>
      </c>
      <c r="I668" t="n">
        <v>17.6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46255</v>
      </c>
      <c r="F669" t="inlineStr">
        <is>
          <t>NORRBOTTENS LÄN</t>
        </is>
      </c>
      <c r="G669" t="inlineStr">
        <is>
          <t>BODEN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36438-2024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45537</v>
      </c>
      <c r="E670" s="1" t="n">
        <v>46255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24225-2026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46255</v>
      </c>
      <c r="F671" t="inlineStr">
        <is>
          <t>NORRBOTTENS LÄN</t>
        </is>
      </c>
      <c r="G671" t="inlineStr">
        <is>
          <t>BODEN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6242-2023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44964</v>
      </c>
      <c r="E672" s="1" t="n">
        <v>46255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24431-2026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46255</v>
      </c>
      <c r="F673" t="inlineStr">
        <is>
          <t>NORRBOTTENS LÄN</t>
        </is>
      </c>
      <c r="G673" t="inlineStr">
        <is>
          <t>BODEN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24428-2026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46255</v>
      </c>
      <c r="F674" t="inlineStr">
        <is>
          <t>NORRBOTTENS LÄN</t>
        </is>
      </c>
      <c r="G674" t="inlineStr">
        <is>
          <t>BODEN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24221-2026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46255</v>
      </c>
      <c r="F675" t="inlineStr">
        <is>
          <t>NORRBOTTENS LÄN</t>
        </is>
      </c>
      <c r="G675" t="inlineStr">
        <is>
          <t>BODEN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24227-2026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46255</v>
      </c>
      <c r="F676" t="inlineStr">
        <is>
          <t>NORRBOTTENS LÄN</t>
        </is>
      </c>
      <c r="G676" t="inlineStr">
        <is>
          <t>BODEN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37114-2024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45539</v>
      </c>
      <c r="E677" s="1" t="n">
        <v>46255</v>
      </c>
      <c r="F677" t="inlineStr">
        <is>
          <t>NORRBOTTENS LÄN</t>
        </is>
      </c>
      <c r="G677" t="inlineStr">
        <is>
          <t>BODEN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46171</v>
      </c>
      <c r="E678" s="1" t="n">
        <v>46255</v>
      </c>
      <c r="F678" t="inlineStr">
        <is>
          <t>NORRBOTTENS LÄN</t>
        </is>
      </c>
      <c r="G678" t="inlineStr">
        <is>
          <t>BODEN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19563-2024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45429</v>
      </c>
      <c r="E679" s="1" t="n">
        <v>46255</v>
      </c>
      <c r="F679" t="inlineStr">
        <is>
          <t>NORRBOTTENS LÄN</t>
        </is>
      </c>
      <c r="G679" t="inlineStr">
        <is>
          <t>BODEN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24805-2026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46172</v>
      </c>
      <c r="E680" s="1" t="n">
        <v>46255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28432-2022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44747</v>
      </c>
      <c r="E681" s="1" t="n">
        <v>46255</v>
      </c>
      <c r="F681" t="inlineStr">
        <is>
          <t>NORRBOTTENS LÄN</t>
        </is>
      </c>
      <c r="G681" t="inlineStr">
        <is>
          <t>BODEN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21421-2022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44706</v>
      </c>
      <c r="E682" s="1" t="n">
        <v>46255</v>
      </c>
      <c r="F682" t="inlineStr">
        <is>
          <t>NORRBOTTENS LÄN</t>
        </is>
      </c>
      <c r="G682" t="inlineStr">
        <is>
          <t>BODEN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53840-2022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44880</v>
      </c>
      <c r="E683" s="1" t="n">
        <v>46255</v>
      </c>
      <c r="F683" t="inlineStr">
        <is>
          <t>NORRBOTTENS LÄN</t>
        </is>
      </c>
      <c r="G683" t="inlineStr">
        <is>
          <t>BODEN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9969-2023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44979</v>
      </c>
      <c r="E684" s="1" t="n">
        <v>46255</v>
      </c>
      <c r="F684" t="inlineStr">
        <is>
          <t>NORRBOTTENS LÄN</t>
        </is>
      </c>
      <c r="G684" t="inlineStr">
        <is>
          <t>BODEN</t>
        </is>
      </c>
      <c r="H684" t="inlineStr">
        <is>
          <t>Övriga statliga verk och myndigheter</t>
        </is>
      </c>
      <c r="I684" t="n">
        <v>18.8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25042-2026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46255</v>
      </c>
      <c r="F685" t="inlineStr">
        <is>
          <t>NORRBOTTENS LÄN</t>
        </is>
      </c>
      <c r="G685" t="inlineStr">
        <is>
          <t>BODEN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25240-2026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46175</v>
      </c>
      <c r="E686" s="1" t="n">
        <v>46255</v>
      </c>
      <c r="F686" t="inlineStr">
        <is>
          <t>NORRBOTTENS LÄN</t>
        </is>
      </c>
      <c r="G686" t="inlineStr">
        <is>
          <t>BODEN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877-2023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44931</v>
      </c>
      <c r="E687" s="1" t="n">
        <v>46255</v>
      </c>
      <c r="F687" t="inlineStr">
        <is>
          <t>NORRBOTTENS LÄN</t>
        </is>
      </c>
      <c r="G687" t="inlineStr">
        <is>
          <t>BODEN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46217</v>
      </c>
      <c r="E688" s="1" t="n">
        <v>46255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31211-2026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46217</v>
      </c>
      <c r="E689" s="1" t="n">
        <v>46255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43648-2023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45187</v>
      </c>
      <c r="E690" s="1" t="n">
        <v>46255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7.1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31226-2026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46255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48471-2024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45591</v>
      </c>
      <c r="E692" s="1" t="n">
        <v>46255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25571-2026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46255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46255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14757-2023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45014</v>
      </c>
      <c r="E695" s="1" t="n">
        <v>46255</v>
      </c>
      <c r="F695" t="inlineStr">
        <is>
          <t>NORRBOTTENS LÄN</t>
        </is>
      </c>
      <c r="G695" t="inlineStr">
        <is>
          <t>BODEN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37984-2024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45544</v>
      </c>
      <c r="E696" s="1" t="n">
        <v>46255</v>
      </c>
      <c r="F696" t="inlineStr">
        <is>
          <t>NORRBOTTENS LÄN</t>
        </is>
      </c>
      <c r="G696" t="inlineStr">
        <is>
          <t>BODEN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12801-2023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45001</v>
      </c>
      <c r="E697" s="1" t="n">
        <v>46255</v>
      </c>
      <c r="F697" t="inlineStr">
        <is>
          <t>NORRBOTTENS LÄN</t>
        </is>
      </c>
      <c r="G697" t="inlineStr">
        <is>
          <t>BODEN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6244-2023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44964</v>
      </c>
      <c r="E698" s="1" t="n">
        <v>46255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8869-2024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45356</v>
      </c>
      <c r="E699" s="1" t="n">
        <v>46255</v>
      </c>
      <c r="F699" t="inlineStr">
        <is>
          <t>NORRBOTTENS LÄN</t>
        </is>
      </c>
      <c r="G699" t="inlineStr">
        <is>
          <t>BODEN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25817-2026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46178</v>
      </c>
      <c r="E700" s="1" t="n">
        <v>46255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7.5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46255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29309-2023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45105</v>
      </c>
      <c r="E702" s="1" t="n">
        <v>46255</v>
      </c>
      <c r="F702" t="inlineStr">
        <is>
          <t>NORRBOTTENS LÄN</t>
        </is>
      </c>
      <c r="G702" t="inlineStr">
        <is>
          <t>BODEN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3462-2022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44585</v>
      </c>
      <c r="E703" s="1" t="n">
        <v>46255</v>
      </c>
      <c r="F703" t="inlineStr">
        <is>
          <t>NORRBOTTENS LÄN</t>
        </is>
      </c>
      <c r="G703" t="inlineStr">
        <is>
          <t>BODEN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26056-2026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46181</v>
      </c>
      <c r="E704" s="1" t="n">
        <v>46255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46564-2022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44847</v>
      </c>
      <c r="E705" s="1" t="n">
        <v>46255</v>
      </c>
      <c r="F705" t="inlineStr">
        <is>
          <t>NORRBOTTENS LÄN</t>
        </is>
      </c>
      <c r="G705" t="inlineStr">
        <is>
          <t>BODEN</t>
        </is>
      </c>
      <c r="I705" t="n">
        <v>28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31652-2026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46225</v>
      </c>
      <c r="E706" s="1" t="n">
        <v>46255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31655-2026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46225</v>
      </c>
      <c r="E707" s="1" t="n">
        <v>46255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11.1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3146-2024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45316</v>
      </c>
      <c r="E708" s="1" t="n">
        <v>46255</v>
      </c>
      <c r="F708" t="inlineStr">
        <is>
          <t>NORRBOTTENS LÄN</t>
        </is>
      </c>
      <c r="G708" t="inlineStr">
        <is>
          <t>BODEN</t>
        </is>
      </c>
      <c r="I708" t="n">
        <v>8.800000000000001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73910-2021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44552</v>
      </c>
      <c r="E709" s="1" t="n">
        <v>46255</v>
      </c>
      <c r="F709" t="inlineStr">
        <is>
          <t>NORRBOTTENS LÄN</t>
        </is>
      </c>
      <c r="G709" t="inlineStr">
        <is>
          <t>BODEN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46183</v>
      </c>
      <c r="E710" s="1" t="n">
        <v>46255</v>
      </c>
      <c r="F710" t="inlineStr">
        <is>
          <t>NORRBOTTENS LÄN</t>
        </is>
      </c>
      <c r="G710" t="inlineStr">
        <is>
          <t>BODEN</t>
        </is>
      </c>
      <c r="I710" t="n">
        <v>18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8776-2022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44614</v>
      </c>
      <c r="E711" s="1" t="n">
        <v>46255</v>
      </c>
      <c r="F711" t="inlineStr">
        <is>
          <t>NORRBOTTENS LÄN</t>
        </is>
      </c>
      <c r="G711" t="inlineStr">
        <is>
          <t>BODEN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24498-2026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46255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26386-2026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46183</v>
      </c>
      <c r="E713" s="1" t="n">
        <v>46255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46182</v>
      </c>
      <c r="E714" s="1" t="n">
        <v>46255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8.5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26806-2024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45470</v>
      </c>
      <c r="E715" s="1" t="n">
        <v>46255</v>
      </c>
      <c r="F715" t="inlineStr">
        <is>
          <t>NORRBOTTENS LÄN</t>
        </is>
      </c>
      <c r="G715" t="inlineStr">
        <is>
          <t>BODEN</t>
        </is>
      </c>
      <c r="H715" t="inlineStr">
        <is>
          <t>Övriga Aktiebolag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47423-2024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45587</v>
      </c>
      <c r="E716" s="1" t="n">
        <v>46255</v>
      </c>
      <c r="F716" t="inlineStr">
        <is>
          <t>NORRBOTTENS LÄN</t>
        </is>
      </c>
      <c r="G716" t="inlineStr">
        <is>
          <t>BODEN</t>
        </is>
      </c>
      <c r="I716" t="n">
        <v>17.2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46255</v>
      </c>
      <c r="F717" t="inlineStr">
        <is>
          <t>NORRBOTTENS LÄN</t>
        </is>
      </c>
      <c r="G717" t="inlineStr">
        <is>
          <t>BODEN</t>
        </is>
      </c>
      <c r="I717" t="n">
        <v>7.7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708-2022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44566</v>
      </c>
      <c r="E718" s="1" t="n">
        <v>46255</v>
      </c>
      <c r="F718" t="inlineStr">
        <is>
          <t>NORRBOTTENS LÄN</t>
        </is>
      </c>
      <c r="G718" t="inlineStr">
        <is>
          <t>BODEN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4254-2025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45685</v>
      </c>
      <c r="E719" s="1" t="n">
        <v>46255</v>
      </c>
      <c r="F719" t="inlineStr">
        <is>
          <t>NORRBOTTENS LÄN</t>
        </is>
      </c>
      <c r="G719" t="inlineStr">
        <is>
          <t>BODEN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26996-2026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46255</v>
      </c>
      <c r="F720" t="inlineStr">
        <is>
          <t>NORRBOTTENS LÄN</t>
        </is>
      </c>
      <c r="G720" t="inlineStr">
        <is>
          <t>BODEN</t>
        </is>
      </c>
      <c r="I720" t="n">
        <v>5.8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37791-2024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45543</v>
      </c>
      <c r="E721" s="1" t="n">
        <v>46255</v>
      </c>
      <c r="F721" t="inlineStr">
        <is>
          <t>NORRBOTTENS LÄN</t>
        </is>
      </c>
      <c r="G721" t="inlineStr">
        <is>
          <t>BODEN</t>
        </is>
      </c>
      <c r="I721" t="n">
        <v>9.1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26776-2026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46184</v>
      </c>
      <c r="E722" s="1" t="n">
        <v>46255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  <c r="Z722">
        <f>HYPERLINK("https://klasma.github.io/Logging_2582/knärot/A 26776-2026 karta knärot.png", "A 26776-2026")</f>
        <v/>
      </c>
      <c r="AA722">
        <f>HYPERLINK("https://klasma.github.io/Logging_2582/klagomål/A 26776-2026 FSC-klagomål.docx", "A 26776-2026")</f>
        <v/>
      </c>
      <c r="AB722">
        <f>HYPERLINK("https://klasma.github.io/Logging_2582/klagomålsmail/A 26776-2026 FSC-klagomål mail.docx", "A 26776-2026")</f>
        <v/>
      </c>
      <c r="AC722">
        <f>HYPERLINK("https://klasma.github.io/Logging_2582/tillsyn/A 26776-2026 tillsynsbegäran.docx", "A 26776-2026")</f>
        <v/>
      </c>
      <c r="AD722">
        <f>HYPERLINK("https://klasma.github.io/Logging_2582/tillsynsmail/A 26776-2026 tillsynsbegäran mail.docx", "A 26776-2026")</f>
        <v/>
      </c>
    </row>
    <row r="723" ht="15" customHeight="1">
      <c r="A723" t="inlineStr">
        <is>
          <t>A 26714-2026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46184</v>
      </c>
      <c r="E723" s="1" t="n">
        <v>46255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7.2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31209-2026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46255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8.800000000000001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26662-2026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46255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42.2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57563-2023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45246</v>
      </c>
      <c r="E726" s="1" t="n">
        <v>46255</v>
      </c>
      <c r="F726" t="inlineStr">
        <is>
          <t>NORRBOTTENS LÄN</t>
        </is>
      </c>
      <c r="G726" t="inlineStr">
        <is>
          <t>BODEN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45035-2022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44841</v>
      </c>
      <c r="E727" s="1" t="n">
        <v>46255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18436-2025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45762</v>
      </c>
      <c r="E728" s="1" t="n">
        <v>46255</v>
      </c>
      <c r="F728" t="inlineStr">
        <is>
          <t>NORRBOTTENS LÄN</t>
        </is>
      </c>
      <c r="G728" t="inlineStr">
        <is>
          <t>BODEN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28074-2024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45476</v>
      </c>
      <c r="E729" s="1" t="n">
        <v>46255</v>
      </c>
      <c r="F729" t="inlineStr">
        <is>
          <t>NORRBOTTENS LÄN</t>
        </is>
      </c>
      <c r="G729" t="inlineStr">
        <is>
          <t>BODEN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23232-2024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45453</v>
      </c>
      <c r="E730" s="1" t="n">
        <v>46255</v>
      </c>
      <c r="F730" t="inlineStr">
        <is>
          <t>NORRBOTTENS LÄN</t>
        </is>
      </c>
      <c r="G730" t="inlineStr">
        <is>
          <t>BODEN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30105-2023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45099</v>
      </c>
      <c r="E731" s="1" t="n">
        <v>46255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61588-2024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45646</v>
      </c>
      <c r="E732" s="1" t="n">
        <v>46255</v>
      </c>
      <c r="F732" t="inlineStr">
        <is>
          <t>NORRBOTTENS LÄN</t>
        </is>
      </c>
      <c r="G732" t="inlineStr">
        <is>
          <t>BODEN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46234</v>
      </c>
      <c r="E733" s="1" t="n">
        <v>46255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32088-2026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46234</v>
      </c>
      <c r="E734" s="1" t="n">
        <v>46255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32087-2026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46234</v>
      </c>
      <c r="E735" s="1" t="n">
        <v>46255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27749-2026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46191</v>
      </c>
      <c r="E736" s="1" t="n">
        <v>46255</v>
      </c>
      <c r="F736" t="inlineStr">
        <is>
          <t>NORRBOTTENS LÄN</t>
        </is>
      </c>
      <c r="G736" t="inlineStr">
        <is>
          <t>BODEN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32426-2026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46238</v>
      </c>
      <c r="E737" s="1" t="n">
        <v>46255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32427-2026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46238</v>
      </c>
      <c r="E738" s="1" t="n">
        <v>46255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19757-2025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45770</v>
      </c>
      <c r="E739" s="1" t="n">
        <v>46255</v>
      </c>
      <c r="F739" t="inlineStr">
        <is>
          <t>NORRBOTTENS LÄN</t>
        </is>
      </c>
      <c r="G739" t="inlineStr">
        <is>
          <t>BODEN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46029</v>
      </c>
      <c r="E740" s="1" t="n">
        <v>46255</v>
      </c>
      <c r="F740" t="inlineStr">
        <is>
          <t>NORRBOTTENS LÄN</t>
        </is>
      </c>
      <c r="G740" t="inlineStr">
        <is>
          <t>BODEN</t>
        </is>
      </c>
      <c r="H740" t="inlineStr">
        <is>
          <t>Naturvårdsverket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45454</v>
      </c>
      <c r="E741" s="1" t="n">
        <v>46255</v>
      </c>
      <c r="F741" t="inlineStr">
        <is>
          <t>NORRBOTTENS LÄN</t>
        </is>
      </c>
      <c r="G741" t="inlineStr">
        <is>
          <t>BODEN</t>
        </is>
      </c>
      <c r="I741" t="n">
        <v>10.9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45770</v>
      </c>
      <c r="E742" s="1" t="n">
        <v>46255</v>
      </c>
      <c r="F742" t="inlineStr">
        <is>
          <t>NORRBOTTENS LÄN</t>
        </is>
      </c>
      <c r="G742" t="inlineStr">
        <is>
          <t>BODEN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2732-2025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45677</v>
      </c>
      <c r="E743" s="1" t="n">
        <v>46255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45425</v>
      </c>
      <c r="E744" s="1" t="n">
        <v>46255</v>
      </c>
      <c r="F744" t="inlineStr">
        <is>
          <t>NORRBOTTENS LÄN</t>
        </is>
      </c>
      <c r="G744" t="inlineStr">
        <is>
          <t>BODEN</t>
        </is>
      </c>
      <c r="I744" t="n">
        <v>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45771</v>
      </c>
      <c r="E745" s="1" t="n">
        <v>46255</v>
      </c>
      <c r="F745" t="inlineStr">
        <is>
          <t>NORRBOTTENS LÄN</t>
        </is>
      </c>
      <c r="G745" t="inlineStr">
        <is>
          <t>BODEN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10727-2025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45722</v>
      </c>
      <c r="E746" s="1" t="n">
        <v>46255</v>
      </c>
      <c r="F746" t="inlineStr">
        <is>
          <t>NORRBOTTENS LÄN</t>
        </is>
      </c>
      <c r="G746" t="inlineStr">
        <is>
          <t>BODEN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33034-2023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45125</v>
      </c>
      <c r="E747" s="1" t="n">
        <v>46255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28566-2026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46197</v>
      </c>
      <c r="E748" s="1" t="n">
        <v>46255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62140-2024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45646</v>
      </c>
      <c r="E749" s="1" t="n">
        <v>46255</v>
      </c>
      <c r="F749" t="inlineStr">
        <is>
          <t>NORRBOTTENS LÄN</t>
        </is>
      </c>
      <c r="G749" t="inlineStr">
        <is>
          <t>BODEN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28512-2026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46197</v>
      </c>
      <c r="E750" s="1" t="n">
        <v>46255</v>
      </c>
      <c r="F750" t="inlineStr">
        <is>
          <t>NORRBOTTENS LÄN</t>
        </is>
      </c>
      <c r="G750" t="inlineStr">
        <is>
          <t>BODEN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46240</v>
      </c>
      <c r="E751" s="1" t="n">
        <v>46255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45766</v>
      </c>
      <c r="E752" s="1" t="n">
        <v>46255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32562-2026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46255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26.6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28509-2026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46197</v>
      </c>
      <c r="E754" s="1" t="n">
        <v>46255</v>
      </c>
      <c r="F754" t="inlineStr">
        <is>
          <t>NORRBOTTENS LÄN</t>
        </is>
      </c>
      <c r="G754" t="inlineStr">
        <is>
          <t>BODEN</t>
        </is>
      </c>
      <c r="I754" t="n">
        <v>8.9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32590-2026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46240</v>
      </c>
      <c r="E755" s="1" t="n">
        <v>46255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58504-2024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45635</v>
      </c>
      <c r="E756" s="1" t="n">
        <v>46255</v>
      </c>
      <c r="F756" t="inlineStr">
        <is>
          <t>NORRBOTTENS LÄN</t>
        </is>
      </c>
      <c r="G756" t="inlineStr">
        <is>
          <t>BODEN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46255</v>
      </c>
      <c r="F757" t="inlineStr">
        <is>
          <t>NORRBOTTENS LÄN</t>
        </is>
      </c>
      <c r="G757" t="inlineStr">
        <is>
          <t>BODEN</t>
        </is>
      </c>
      <c r="I757" t="n">
        <v>14.5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28241-2026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46196</v>
      </c>
      <c r="E758" s="1" t="n">
        <v>46255</v>
      </c>
      <c r="F758" t="inlineStr">
        <is>
          <t>NORRBOTTENS LÄN</t>
        </is>
      </c>
      <c r="G758" t="inlineStr">
        <is>
          <t>BODEN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46197</v>
      </c>
      <c r="E759" s="1" t="n">
        <v>46255</v>
      </c>
      <c r="F759" t="inlineStr">
        <is>
          <t>NORRBOTTENS LÄN</t>
        </is>
      </c>
      <c r="G759" t="inlineStr">
        <is>
          <t>BODEN</t>
        </is>
      </c>
      <c r="I759" t="n">
        <v>6.1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45643</v>
      </c>
      <c r="E760" s="1" t="n">
        <v>46255</v>
      </c>
      <c r="F760" t="inlineStr">
        <is>
          <t>NORRBOTTENS LÄN</t>
        </is>
      </c>
      <c r="G760" t="inlineStr">
        <is>
          <t>BODEN</t>
        </is>
      </c>
      <c r="I760" t="n">
        <v>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28496-2026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46197</v>
      </c>
      <c r="E761" s="1" t="n">
        <v>46255</v>
      </c>
      <c r="F761" t="inlineStr">
        <is>
          <t>NORRBOTTENS LÄN</t>
        </is>
      </c>
      <c r="G761" t="inlineStr">
        <is>
          <t>BODEN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28357-2023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45099</v>
      </c>
      <c r="E762" s="1" t="n">
        <v>46255</v>
      </c>
      <c r="F762" t="inlineStr">
        <is>
          <t>NORRBOTTENS LÄN</t>
        </is>
      </c>
      <c r="G762" t="inlineStr">
        <is>
          <t>BODEN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32674-2026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46240</v>
      </c>
      <c r="E763" s="1" t="n">
        <v>46255</v>
      </c>
      <c r="F763" t="inlineStr">
        <is>
          <t>NORRBOTTENS LÄN</t>
        </is>
      </c>
      <c r="G763" t="inlineStr">
        <is>
          <t>BODEN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28490-2026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46197</v>
      </c>
      <c r="E764" s="1" t="n">
        <v>46255</v>
      </c>
      <c r="F764" t="inlineStr">
        <is>
          <t>NORRBOTTENS LÄN</t>
        </is>
      </c>
      <c r="G764" t="inlineStr">
        <is>
          <t>BODEN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15017-2022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44657</v>
      </c>
      <c r="E765" s="1" t="n">
        <v>46255</v>
      </c>
      <c r="F765" t="inlineStr">
        <is>
          <t>NORRBOTTENS LÄN</t>
        </is>
      </c>
      <c r="G765" t="inlineStr">
        <is>
          <t>BODEN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61487-2023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45264</v>
      </c>
      <c r="E766" s="1" t="n">
        <v>46255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8028-2024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45350</v>
      </c>
      <c r="E767" s="1" t="n">
        <v>46255</v>
      </c>
      <c r="F767" t="inlineStr">
        <is>
          <t>NORRBOTTENS LÄN</t>
        </is>
      </c>
      <c r="G767" t="inlineStr">
        <is>
          <t>BODEN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12562-2024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45379</v>
      </c>
      <c r="E768" s="1" t="n">
        <v>46255</v>
      </c>
      <c r="F768" t="inlineStr">
        <is>
          <t>NORRBOTTENS LÄN</t>
        </is>
      </c>
      <c r="G768" t="inlineStr">
        <is>
          <t>BODEN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57873-2021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44484</v>
      </c>
      <c r="E769" s="1" t="n">
        <v>46255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57895-2021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44486</v>
      </c>
      <c r="E770" s="1" t="n">
        <v>46255</v>
      </c>
      <c r="F770" t="inlineStr">
        <is>
          <t>NORRBOTTENS LÄN</t>
        </is>
      </c>
      <c r="G770" t="inlineStr">
        <is>
          <t>BODEN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48129-2023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45205</v>
      </c>
      <c r="E771" s="1" t="n">
        <v>46255</v>
      </c>
      <c r="F771" t="inlineStr">
        <is>
          <t>NORRBOTTENS LÄN</t>
        </is>
      </c>
      <c r="G771" t="inlineStr">
        <is>
          <t>BODEN</t>
        </is>
      </c>
      <c r="I771" t="n">
        <v>7.1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46255</v>
      </c>
      <c r="F772" t="inlineStr">
        <is>
          <t>NORRBOTTENS LÄN</t>
        </is>
      </c>
      <c r="G772" t="inlineStr">
        <is>
          <t>BODEN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29555-2026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46204</v>
      </c>
      <c r="E773" s="1" t="n">
        <v>46255</v>
      </c>
      <c r="F773" t="inlineStr">
        <is>
          <t>NORRBOTTENS LÄN</t>
        </is>
      </c>
      <c r="G773" t="inlineStr">
        <is>
          <t>BODEN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46255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29183-2026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46202</v>
      </c>
      <c r="E775" s="1" t="n">
        <v>46255</v>
      </c>
      <c r="F775" t="inlineStr">
        <is>
          <t>NORRBOTTENS LÄN</t>
        </is>
      </c>
      <c r="G775" t="inlineStr">
        <is>
          <t>BODEN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17417-2023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45035</v>
      </c>
      <c r="E776" s="1" t="n">
        <v>46255</v>
      </c>
      <c r="F776" t="inlineStr">
        <is>
          <t>NORRBOTTENS LÄN</t>
        </is>
      </c>
      <c r="G776" t="inlineStr">
        <is>
          <t>BODEN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29147-2026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46202</v>
      </c>
      <c r="E777" s="1" t="n">
        <v>46255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29152-2026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46202</v>
      </c>
      <c r="E778" s="1" t="n">
        <v>46255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29394-2026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46203</v>
      </c>
      <c r="E779" s="1" t="n">
        <v>46255</v>
      </c>
      <c r="F779" t="inlineStr">
        <is>
          <t>NORRBOTTENS LÄN</t>
        </is>
      </c>
      <c r="G779" t="inlineStr">
        <is>
          <t>BODEN</t>
        </is>
      </c>
      <c r="I779" t="n">
        <v>6.2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29746-2026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46255</v>
      </c>
      <c r="F780" t="inlineStr">
        <is>
          <t>NORRBOTTENS LÄN</t>
        </is>
      </c>
      <c r="G780" t="inlineStr">
        <is>
          <t>BODEN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6638-2024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45341</v>
      </c>
      <c r="E781" s="1" t="n">
        <v>46255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statliga verk och myndigheter</t>
        </is>
      </c>
      <c r="I781" t="n">
        <v>12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61932-2024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45653</v>
      </c>
      <c r="E782" s="1" t="n">
        <v>46255</v>
      </c>
      <c r="F782" t="inlineStr">
        <is>
          <t>NORRBOTTENS LÄN</t>
        </is>
      </c>
      <c r="G782" t="inlineStr">
        <is>
          <t>BODEN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41212-2023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45174</v>
      </c>
      <c r="E783" s="1" t="n">
        <v>46255</v>
      </c>
      <c r="F783" t="inlineStr">
        <is>
          <t>NORRBOTTENS LÄN</t>
        </is>
      </c>
      <c r="G783" t="inlineStr">
        <is>
          <t>BODEN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42995-2022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44833</v>
      </c>
      <c r="E784" s="1" t="n">
        <v>46255</v>
      </c>
      <c r="F784" t="inlineStr">
        <is>
          <t>NORRBOTTENS LÄN</t>
        </is>
      </c>
      <c r="G784" t="inlineStr">
        <is>
          <t>BODEN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59893-2023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45254</v>
      </c>
      <c r="E785" s="1" t="n">
        <v>46255</v>
      </c>
      <c r="F785" t="inlineStr">
        <is>
          <t>NORRBOTTENS LÄN</t>
        </is>
      </c>
      <c r="G785" t="inlineStr">
        <is>
          <t>BODEN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46255</v>
      </c>
      <c r="F786" t="inlineStr">
        <is>
          <t>NORRBOTTENS LÄN</t>
        </is>
      </c>
      <c r="G786" t="inlineStr">
        <is>
          <t>BODEN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46255</v>
      </c>
      <c r="F787" t="inlineStr">
        <is>
          <t>NORRBOTTENS LÄN</t>
        </is>
      </c>
      <c r="G787" t="inlineStr">
        <is>
          <t>BODEN</t>
        </is>
      </c>
      <c r="I787" t="n">
        <v>12.2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1017-2023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44935</v>
      </c>
      <c r="E788" s="1" t="n">
        <v>46255</v>
      </c>
      <c r="F788" t="inlineStr">
        <is>
          <t>NORRBOTTENS LÄN</t>
        </is>
      </c>
      <c r="G788" t="inlineStr">
        <is>
          <t>BODEN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33671-2026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46248</v>
      </c>
      <c r="E789" s="1" t="n">
        <v>46255</v>
      </c>
      <c r="F789" t="inlineStr">
        <is>
          <t>NORRBOTTENS LÄN</t>
        </is>
      </c>
      <c r="G789" t="inlineStr">
        <is>
          <t>BODEN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29759-2026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46255</v>
      </c>
      <c r="F790" t="inlineStr">
        <is>
          <t>NORRBOTTENS LÄN</t>
        </is>
      </c>
      <c r="G790" t="inlineStr">
        <is>
          <t>BODEN</t>
        </is>
      </c>
      <c r="I790" t="n">
        <v>38.7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46029</v>
      </c>
      <c r="E791" s="1" t="n">
        <v>46255</v>
      </c>
      <c r="F791" t="inlineStr">
        <is>
          <t>NORRBOTTENS LÄN</t>
        </is>
      </c>
      <c r="G791" t="inlineStr">
        <is>
          <t>BODEN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56837-2023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45244</v>
      </c>
      <c r="E792" s="1" t="n">
        <v>46255</v>
      </c>
      <c r="F792" t="inlineStr">
        <is>
          <t>NORRBOTTENS LÄN</t>
        </is>
      </c>
      <c r="G792" t="inlineStr">
        <is>
          <t>BODEN</t>
        </is>
      </c>
      <c r="H792" t="inlineStr">
        <is>
          <t>Övriga statliga verk och myndigheter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46255</v>
      </c>
      <c r="F793" t="inlineStr">
        <is>
          <t>NORRBOTTENS LÄN</t>
        </is>
      </c>
      <c r="G793" t="inlineStr">
        <is>
          <t>BODEN</t>
        </is>
      </c>
      <c r="H793" t="inlineStr">
        <is>
          <t>Kommuner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61969-2024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45653</v>
      </c>
      <c r="E794" s="1" t="n">
        <v>46255</v>
      </c>
      <c r="F794" t="inlineStr">
        <is>
          <t>NORRBOTTENS LÄN</t>
        </is>
      </c>
      <c r="G794" t="inlineStr">
        <is>
          <t>BODEN</t>
        </is>
      </c>
      <c r="I794" t="n">
        <v>9.699999999999999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34022-2026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46252</v>
      </c>
      <c r="E795" s="1" t="n">
        <v>46255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30023-2026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46255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15.2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45672</v>
      </c>
      <c r="E797" s="1" t="n">
        <v>46255</v>
      </c>
      <c r="F797" t="inlineStr">
        <is>
          <t>NORRBOTTENS LÄN</t>
        </is>
      </c>
      <c r="G797" t="inlineStr">
        <is>
          <t>BODEN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46255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19624-2025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45770</v>
      </c>
      <c r="E799" s="1" t="n">
        <v>46255</v>
      </c>
      <c r="F799" t="inlineStr">
        <is>
          <t>NORRBOTTENS LÄN</t>
        </is>
      </c>
      <c r="G799" t="inlineStr">
        <is>
          <t>BODEN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28079-2024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45476</v>
      </c>
      <c r="E800" s="1" t="n">
        <v>46255</v>
      </c>
      <c r="F800" t="inlineStr">
        <is>
          <t>NORRBOTTENS LÄN</t>
        </is>
      </c>
      <c r="G800" t="inlineStr">
        <is>
          <t>BODEN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33790-2026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46251</v>
      </c>
      <c r="E801" s="1" t="n">
        <v>46255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19048-2025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45764</v>
      </c>
      <c r="E802" s="1" t="n">
        <v>46255</v>
      </c>
      <c r="F802" t="inlineStr">
        <is>
          <t>NORRBOTTENS LÄN</t>
        </is>
      </c>
      <c r="G802" t="inlineStr">
        <is>
          <t>BODEN</t>
        </is>
      </c>
      <c r="I802" t="n">
        <v>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19050-2025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45764</v>
      </c>
      <c r="E803" s="1" t="n">
        <v>46255</v>
      </c>
      <c r="F803" t="inlineStr">
        <is>
          <t>NORRBOTTENS LÄN</t>
        </is>
      </c>
      <c r="G803" t="inlineStr">
        <is>
          <t>BODEN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33864-2026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46251</v>
      </c>
      <c r="E804" s="1" t="n">
        <v>46255</v>
      </c>
      <c r="F804" t="inlineStr">
        <is>
          <t>NORRBOTTENS LÄN</t>
        </is>
      </c>
      <c r="G804" t="inlineStr">
        <is>
          <t>BODEN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30025-2026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46255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5.2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30077-2026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46206</v>
      </c>
      <c r="E806" s="1" t="n">
        <v>46255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54236-2022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44881</v>
      </c>
      <c r="E807" s="1" t="n">
        <v>46255</v>
      </c>
      <c r="F807" t="inlineStr">
        <is>
          <t>NORRBOTTENS LÄN</t>
        </is>
      </c>
      <c r="G807" t="inlineStr">
        <is>
          <t>BODEN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30332-2026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46208</v>
      </c>
      <c r="E808" s="1" t="n">
        <v>46255</v>
      </c>
      <c r="F808" t="inlineStr">
        <is>
          <t>NORRBOTTENS LÄN</t>
        </is>
      </c>
      <c r="G808" t="inlineStr">
        <is>
          <t>BODEN</t>
        </is>
      </c>
      <c r="I808" t="n">
        <v>9.800000000000001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30426-2026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46209</v>
      </c>
      <c r="E809" s="1" t="n">
        <v>46255</v>
      </c>
      <c r="F809" t="inlineStr">
        <is>
          <t>NORRBOTTENS LÄN</t>
        </is>
      </c>
      <c r="G809" t="inlineStr">
        <is>
          <t>BODEN</t>
        </is>
      </c>
      <c r="H809" t="inlineStr">
        <is>
          <t>Kommuner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30430-2026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46209</v>
      </c>
      <c r="E810" s="1" t="n">
        <v>46255</v>
      </c>
      <c r="F810" t="inlineStr">
        <is>
          <t>NORRBOTTENS LÄN</t>
        </is>
      </c>
      <c r="G810" t="inlineStr">
        <is>
          <t>BODEN</t>
        </is>
      </c>
      <c r="H810" t="inlineStr">
        <is>
          <t>Kommuner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14801-2024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45397</v>
      </c>
      <c r="E811" s="1" t="n">
        <v>46255</v>
      </c>
      <c r="F811" t="inlineStr">
        <is>
          <t>NORRBOTTENS LÄN</t>
        </is>
      </c>
      <c r="G811" t="inlineStr">
        <is>
          <t>BODEN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14802-2024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45397</v>
      </c>
      <c r="E812" s="1" t="n">
        <v>46255</v>
      </c>
      <c r="F812" t="inlineStr">
        <is>
          <t>NORRBOTTENS LÄN</t>
        </is>
      </c>
      <c r="G812" t="inlineStr">
        <is>
          <t>BODEN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13925-2024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45391</v>
      </c>
      <c r="E813" s="1" t="n">
        <v>46255</v>
      </c>
      <c r="F813" t="inlineStr">
        <is>
          <t>NORRBOTTENS LÄN</t>
        </is>
      </c>
      <c r="G813" t="inlineStr">
        <is>
          <t>BODEN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30745-2026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46211</v>
      </c>
      <c r="E814" s="1" t="n">
        <v>46255</v>
      </c>
      <c r="F814" t="inlineStr">
        <is>
          <t>NORRBOTTENS LÄN</t>
        </is>
      </c>
      <c r="G814" t="inlineStr">
        <is>
          <t>BODEN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21128-2025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45778</v>
      </c>
      <c r="E815" s="1" t="n">
        <v>46255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21349-2025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45782</v>
      </c>
      <c r="E816" s="1" t="n">
        <v>46255</v>
      </c>
      <c r="F816" t="inlineStr">
        <is>
          <t>NORRBOTTENS LÄN</t>
        </is>
      </c>
      <c r="G816" t="inlineStr">
        <is>
          <t>BODEN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34158-2026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46253</v>
      </c>
      <c r="E817" s="1" t="n">
        <v>46255</v>
      </c>
      <c r="F817" t="inlineStr">
        <is>
          <t>NORRBOTTENS LÄN</t>
        </is>
      </c>
      <c r="G817" t="inlineStr">
        <is>
          <t>BODEN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34333-2026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46254</v>
      </c>
      <c r="E818" s="1" t="n">
        <v>46255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18.5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22372-2025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45786</v>
      </c>
      <c r="E819" s="1" t="n">
        <v>46255</v>
      </c>
      <c r="F819" t="inlineStr">
        <is>
          <t>NORRBOTTENS LÄN</t>
        </is>
      </c>
      <c r="G819" t="inlineStr">
        <is>
          <t>BODEN</t>
        </is>
      </c>
      <c r="H819" t="inlineStr">
        <is>
          <t>Kommuner</t>
        </is>
      </c>
      <c r="I819" t="n">
        <v>16.3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45149</v>
      </c>
      <c r="E820" s="1" t="n">
        <v>46255</v>
      </c>
      <c r="F820" t="inlineStr">
        <is>
          <t>NORRBOTTENS LÄN</t>
        </is>
      </c>
      <c r="G820" t="inlineStr">
        <is>
          <t>BODEN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12558-2024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45379</v>
      </c>
      <c r="E821" s="1" t="n">
        <v>46255</v>
      </c>
      <c r="F821" t="inlineStr">
        <is>
          <t>NORRBOTTENS LÄN</t>
        </is>
      </c>
      <c r="G821" t="inlineStr">
        <is>
          <t>BODEN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23321-2025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45791</v>
      </c>
      <c r="E822" s="1" t="n">
        <v>46255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10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23724-2025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45793</v>
      </c>
      <c r="E823" s="1" t="n">
        <v>46255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48420-2024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45590</v>
      </c>
      <c r="E824" s="1" t="n">
        <v>46255</v>
      </c>
      <c r="F824" t="inlineStr">
        <is>
          <t>NORRBOTTENS LÄN</t>
        </is>
      </c>
      <c r="G824" t="inlineStr">
        <is>
          <t>BODEN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48427-2024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45590</v>
      </c>
      <c r="E825" s="1" t="n">
        <v>46255</v>
      </c>
      <c r="F825" t="inlineStr">
        <is>
          <t>NORRBOTTENS LÄN</t>
        </is>
      </c>
      <c r="G825" t="inlineStr">
        <is>
          <t>BODEN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23763-2025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45793</v>
      </c>
      <c r="E826" s="1" t="n">
        <v>46255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46255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24699-2025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45798</v>
      </c>
      <c r="E828" s="1" t="n">
        <v>46255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11.8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24538-2025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45798</v>
      </c>
      <c r="E829" s="1" t="n">
        <v>46255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15.8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24358-2025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45797</v>
      </c>
      <c r="E830" s="1" t="n">
        <v>46255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24545-2025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45798</v>
      </c>
      <c r="E831" s="1" t="n">
        <v>46255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49806-2022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44862</v>
      </c>
      <c r="E832" s="1" t="n">
        <v>46255</v>
      </c>
      <c r="F832" t="inlineStr">
        <is>
          <t>NORRBOTTENS LÄN</t>
        </is>
      </c>
      <c r="G832" t="inlineStr">
        <is>
          <t>BODEN</t>
        </is>
      </c>
      <c r="I832" t="n">
        <v>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24733-2025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45799</v>
      </c>
      <c r="E833" s="1" t="n">
        <v>46255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25983-2025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45803</v>
      </c>
      <c r="E834" s="1" t="n">
        <v>46255</v>
      </c>
      <c r="F834" t="inlineStr">
        <is>
          <t>NORRBOTTENS LÄN</t>
        </is>
      </c>
      <c r="G834" t="inlineStr">
        <is>
          <t>BODEN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48431-2024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45590</v>
      </c>
      <c r="E835" s="1" t="n">
        <v>46255</v>
      </c>
      <c r="F835" t="inlineStr">
        <is>
          <t>NORRBOTTENS LÄN</t>
        </is>
      </c>
      <c r="G835" t="inlineStr">
        <is>
          <t>BODEN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52247-2024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45608</v>
      </c>
      <c r="E836" s="1" t="n">
        <v>46255</v>
      </c>
      <c r="F836" t="inlineStr">
        <is>
          <t>NORRBOTTENS LÄN</t>
        </is>
      </c>
      <c r="G836" t="inlineStr">
        <is>
          <t>BODEN</t>
        </is>
      </c>
      <c r="I836" t="n">
        <v>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52248-2024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45608</v>
      </c>
      <c r="E837" s="1" t="n">
        <v>46255</v>
      </c>
      <c r="F837" t="inlineStr">
        <is>
          <t>NORRBOTTENS LÄN</t>
        </is>
      </c>
      <c r="G837" t="inlineStr">
        <is>
          <t>BODEN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18671-2025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45763</v>
      </c>
      <c r="E838" s="1" t="n">
        <v>46255</v>
      </c>
      <c r="F838" t="inlineStr">
        <is>
          <t>NORRBOTTENS LÄN</t>
        </is>
      </c>
      <c r="G838" t="inlineStr">
        <is>
          <t>BODEN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38652-2024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45546</v>
      </c>
      <c r="E839" s="1" t="n">
        <v>46255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25735-2024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45464</v>
      </c>
      <c r="E840" s="1" t="n">
        <v>46255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56474-2023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45243</v>
      </c>
      <c r="E841" s="1" t="n">
        <v>46255</v>
      </c>
      <c r="F841" t="inlineStr">
        <is>
          <t>NORRBOTTENS LÄN</t>
        </is>
      </c>
      <c r="G841" t="inlineStr">
        <is>
          <t>BODEN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61031-2024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45645</v>
      </c>
      <c r="E842" s="1" t="n">
        <v>46255</v>
      </c>
      <c r="F842" t="inlineStr">
        <is>
          <t>NORRBOTTENS LÄN</t>
        </is>
      </c>
      <c r="G842" t="inlineStr">
        <is>
          <t>BODEN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19564-2024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45429</v>
      </c>
      <c r="E843" s="1" t="n">
        <v>46255</v>
      </c>
      <c r="F843" t="inlineStr">
        <is>
          <t>NORRBOTTENS LÄN</t>
        </is>
      </c>
      <c r="G843" t="inlineStr">
        <is>
          <t>BODEN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27543-2025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45813</v>
      </c>
      <c r="E844" s="1" t="n">
        <v>46255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27508-2025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45813</v>
      </c>
      <c r="E845" s="1" t="n">
        <v>46255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13.9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27604-2025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45813</v>
      </c>
      <c r="E846" s="1" t="n">
        <v>46255</v>
      </c>
      <c r="F846" t="inlineStr">
        <is>
          <t>NORRBOTTENS LÄN</t>
        </is>
      </c>
      <c r="G846" t="inlineStr">
        <is>
          <t>BODEN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19080-2025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45766</v>
      </c>
      <c r="E847" s="1" t="n">
        <v>46255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28134-2025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45818</v>
      </c>
      <c r="E848" s="1" t="n">
        <v>46255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28297-2025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45818</v>
      </c>
      <c r="E849" s="1" t="n">
        <v>46255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3090-2024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45316</v>
      </c>
      <c r="E850" s="1" t="n">
        <v>46255</v>
      </c>
      <c r="F850" t="inlineStr">
        <is>
          <t>NORRBOTTENS LÄN</t>
        </is>
      </c>
      <c r="G850" t="inlineStr">
        <is>
          <t>BODEN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19060-2024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45427</v>
      </c>
      <c r="E851" s="1" t="n">
        <v>46255</v>
      </c>
      <c r="F851" t="inlineStr">
        <is>
          <t>NORRBOTTENS LÄN</t>
        </is>
      </c>
      <c r="G851" t="inlineStr">
        <is>
          <t>BODEN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44625-2024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46255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29109-2024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45481</v>
      </c>
      <c r="E853" s="1" t="n">
        <v>46255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885-2024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46255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1063-2023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45013</v>
      </c>
      <c r="E855" s="1" t="n">
        <v>46255</v>
      </c>
      <c r="F855" t="inlineStr">
        <is>
          <t>NORRBOTTENS LÄN</t>
        </is>
      </c>
      <c r="G855" t="inlineStr">
        <is>
          <t>BODEN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883-2024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45376</v>
      </c>
      <c r="E856" s="1" t="n">
        <v>46255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52-2025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45667</v>
      </c>
      <c r="E857" s="1" t="n">
        <v>46255</v>
      </c>
      <c r="F857" t="inlineStr">
        <is>
          <t>NORRBOTTENS LÄN</t>
        </is>
      </c>
      <c r="G857" t="inlineStr">
        <is>
          <t>BODEN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190-2023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44945</v>
      </c>
      <c r="E858" s="1" t="n">
        <v>46255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977-2025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45743</v>
      </c>
      <c r="E859" s="1" t="n">
        <v>46255</v>
      </c>
      <c r="F859" t="inlineStr">
        <is>
          <t>NORRBOTTENS LÄN</t>
        </is>
      </c>
      <c r="G859" t="inlineStr">
        <is>
          <t>BODEN</t>
        </is>
      </c>
      <c r="I859" t="n">
        <v>11.1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978-2025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45743</v>
      </c>
      <c r="E860" s="1" t="n">
        <v>46255</v>
      </c>
      <c r="F860" t="inlineStr">
        <is>
          <t>NORRBOTTENS LÄN</t>
        </is>
      </c>
      <c r="G860" t="inlineStr">
        <is>
          <t>BODEN</t>
        </is>
      </c>
      <c r="I860" t="n">
        <v>19.5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1498-2025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45789</v>
      </c>
      <c r="E861" s="1" t="n">
        <v>46255</v>
      </c>
      <c r="F861" t="inlineStr">
        <is>
          <t>NORRBOTTENS LÄN</t>
        </is>
      </c>
      <c r="G861" t="inlineStr">
        <is>
          <t>BODEN</t>
        </is>
      </c>
      <c r="H861" t="inlineStr">
        <is>
          <t>Övriga Aktiebolag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1572-2025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45792</v>
      </c>
      <c r="E862" s="1" t="n">
        <v>46255</v>
      </c>
      <c r="F862" t="inlineStr">
        <is>
          <t>NORRBOTTENS LÄN</t>
        </is>
      </c>
      <c r="G862" t="inlineStr">
        <is>
          <t>BODEN</t>
        </is>
      </c>
      <c r="I862" t="n">
        <v>8.6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46255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1633-2025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46255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1632-2025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45799</v>
      </c>
      <c r="E865" s="1" t="n">
        <v>46255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1734-2025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45810</v>
      </c>
      <c r="E866" s="1" t="n">
        <v>46255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1811-2025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45818</v>
      </c>
      <c r="E867" s="1" t="n">
        <v>46255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2072-2025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45840</v>
      </c>
      <c r="E868" s="1" t="n">
        <v>46255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3580-2025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46018</v>
      </c>
      <c r="E869" s="1" t="n">
        <v>46255</v>
      </c>
      <c r="F869" t="inlineStr">
        <is>
          <t>NORRBOTTENS LÄN</t>
        </is>
      </c>
      <c r="G869" t="inlineStr">
        <is>
          <t>BODEN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46255</v>
      </c>
      <c r="F870" t="inlineStr">
        <is>
          <t>NORRBOTTENS LÄN</t>
        </is>
      </c>
      <c r="G870" t="inlineStr">
        <is>
          <t>BODEN</t>
        </is>
      </c>
      <c r="I870" t="n">
        <v>57.4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1261-2026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46255</v>
      </c>
      <c r="F871" t="inlineStr">
        <is>
          <t>NORRBOTTENS LÄN</t>
        </is>
      </c>
      <c r="G871" t="inlineStr">
        <is>
          <t>BODEN</t>
        </is>
      </c>
      <c r="I871" t="n">
        <v>16.9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1262-2026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46147</v>
      </c>
      <c r="E872" s="1" t="n">
        <v>46255</v>
      </c>
      <c r="F872" t="inlineStr">
        <is>
          <t>NORRBOTTENS LÄN</t>
        </is>
      </c>
      <c r="G872" t="inlineStr">
        <is>
          <t>BODEN</t>
        </is>
      </c>
      <c r="H872" t="inlineStr">
        <is>
          <t>Kommuner</t>
        </is>
      </c>
      <c r="I872" t="n">
        <v>16.2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1356-2026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46152</v>
      </c>
      <c r="E873" s="1" t="n">
        <v>46255</v>
      </c>
      <c r="F873" t="inlineStr">
        <is>
          <t>NORRBOTTENS LÄN</t>
        </is>
      </c>
      <c r="G873" t="inlineStr">
        <is>
          <t>BODEN</t>
        </is>
      </c>
      <c r="I873" t="n">
        <v>124.7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1357-2026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46152</v>
      </c>
      <c r="E874" s="1" t="n">
        <v>46255</v>
      </c>
      <c r="F874" t="inlineStr">
        <is>
          <t>NORRBOTTENS LÄN</t>
        </is>
      </c>
      <c r="G874" t="inlineStr">
        <is>
          <t>BODEN</t>
        </is>
      </c>
      <c r="I874" t="n">
        <v>38.2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>
      <c r="A875" t="inlineStr">
        <is>
          <t>S 1297-2026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46148</v>
      </c>
      <c r="E875" s="1" t="n">
        <v>46255</v>
      </c>
      <c r="F875" t="inlineStr">
        <is>
          <t>NORRBOTTENS LÄN</t>
        </is>
      </c>
      <c r="G875" t="inlineStr">
        <is>
          <t>BODEN</t>
        </is>
      </c>
      <c r="I875" t="n">
        <v>20.5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2026-08-21T01:53:13Z</dcterms:created>
  <dcterms:modified xmlns:dcterms="http://purl.org/dc/terms/" xmlns:xsi="http://www.w3.org/2001/XMLSchema-instance" xsi:type="dcterms:W3CDTF">2026-08-21T01:53:14Z</dcterms:modified>
</cp:coreProperties>
</file>