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45915</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45915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45915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45915</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45915</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45915</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45915</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45915</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45915</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45915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45915</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45915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45915</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45915</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45915</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45915</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45915</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45915</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45915</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43709-2025</t>
        </is>
      </c>
      <c r="B27" s="1" t="n">
        <v>45912.40692129629</v>
      </c>
      <c r="C27" s="1" t="n">
        <v>45915</v>
      </c>
      <c r="D27" t="inlineStr">
        <is>
          <t>NORRBOTTENS LÄN</t>
        </is>
      </c>
      <c r="E27" t="inlineStr">
        <is>
          <t>BODEN</t>
        </is>
      </c>
      <c r="G27" t="n">
        <v>7.7</v>
      </c>
      <c r="H27" t="n">
        <v>4</v>
      </c>
      <c r="I27" t="n">
        <v>1</v>
      </c>
      <c r="J27" t="n">
        <v>3</v>
      </c>
      <c r="K27" t="n">
        <v>0</v>
      </c>
      <c r="L27" t="n">
        <v>0</v>
      </c>
      <c r="M27" t="n">
        <v>1</v>
      </c>
      <c r="N27" t="n">
        <v>0</v>
      </c>
      <c r="O27" t="n">
        <v>4</v>
      </c>
      <c r="P27" t="n">
        <v>1</v>
      </c>
      <c r="Q27" t="n">
        <v>5</v>
      </c>
      <c r="R27" s="2" t="inlineStr">
        <is>
          <t>Vitryggig hackspett
Spillkråka
Talltita
Tretåig hackspett
Björksplintborre</t>
        </is>
      </c>
      <c r="S27">
        <f>HYPERLINK("https://klasma.github.io/Logging_2582/artfynd/A 43709-2025 artfynd.xlsx", "A 43709-2025")</f>
        <v/>
      </c>
      <c r="T27">
        <f>HYPERLINK("https://klasma.github.io/Logging_2582/kartor/A 43709-2025 karta.png", "A 43709-2025")</f>
        <v/>
      </c>
      <c r="V27">
        <f>HYPERLINK("https://klasma.github.io/Logging_2582/klagomål/A 43709-2025 FSC-klagomål.docx", "A 43709-2025")</f>
        <v/>
      </c>
      <c r="W27">
        <f>HYPERLINK("https://klasma.github.io/Logging_2582/klagomålsmail/A 43709-2025 FSC-klagomål mail.docx", "A 43709-2025")</f>
        <v/>
      </c>
      <c r="X27">
        <f>HYPERLINK("https://klasma.github.io/Logging_2582/tillsyn/A 43709-2025 tillsynsbegäran.docx", "A 43709-2025")</f>
        <v/>
      </c>
      <c r="Y27">
        <f>HYPERLINK("https://klasma.github.io/Logging_2582/tillsynsmail/A 43709-2025 tillsynsbegäran mail.docx", "A 43709-2025")</f>
        <v/>
      </c>
      <c r="Z27">
        <f>HYPERLINK("https://klasma.github.io/Logging_2582/fåglar/A 43709-2025 prioriterade fågelarter.docx", "A 43709-2025")</f>
        <v/>
      </c>
    </row>
    <row r="28" ht="15" customHeight="1">
      <c r="A28" t="inlineStr">
        <is>
          <t>A 32325-2024</t>
        </is>
      </c>
      <c r="B28" s="1" t="n">
        <v>45512</v>
      </c>
      <c r="C28" s="1" t="n">
        <v>45915</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1879-2024</t>
        </is>
      </c>
      <c r="B29" s="1" t="n">
        <v>45307</v>
      </c>
      <c r="C29" s="1" t="n">
        <v>45915</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45915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6118-2025</t>
        </is>
      </c>
      <c r="B31" s="1" t="n">
        <v>45698.34423611111</v>
      </c>
      <c r="C31" s="1" t="n">
        <v>45915</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59358-2022</t>
        </is>
      </c>
      <c r="B32" s="1" t="n">
        <v>44904</v>
      </c>
      <c r="C32" s="1" t="n">
        <v>45915</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19324-2024</t>
        </is>
      </c>
      <c r="B33" s="1" t="n">
        <v>45428</v>
      </c>
      <c r="C33" s="1" t="n">
        <v>45915</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52078-2021</t>
        </is>
      </c>
      <c r="B34" s="1" t="n">
        <v>44463.40674768519</v>
      </c>
      <c r="C34" s="1" t="n">
        <v>45915</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55246-2020</t>
        </is>
      </c>
      <c r="B35" s="1" t="n">
        <v>44130</v>
      </c>
      <c r="C35" s="1" t="n">
        <v>45915</v>
      </c>
      <c r="D35" t="inlineStr">
        <is>
          <t>NORRBOTTENS LÄN</t>
        </is>
      </c>
      <c r="E35" t="inlineStr">
        <is>
          <t>BODEN</t>
        </is>
      </c>
      <c r="F35" t="inlineStr">
        <is>
          <t>Sveaskog</t>
        </is>
      </c>
      <c r="G35" t="n">
        <v>4.5</v>
      </c>
      <c r="H35" t="n">
        <v>0</v>
      </c>
      <c r="I35" t="n">
        <v>1</v>
      </c>
      <c r="J35" t="n">
        <v>2</v>
      </c>
      <c r="K35" t="n">
        <v>0</v>
      </c>
      <c r="L35" t="n">
        <v>0</v>
      </c>
      <c r="M35" t="n">
        <v>0</v>
      </c>
      <c r="N35" t="n">
        <v>0</v>
      </c>
      <c r="O35" t="n">
        <v>2</v>
      </c>
      <c r="P35" t="n">
        <v>0</v>
      </c>
      <c r="Q35" t="n">
        <v>3</v>
      </c>
      <c r="R35" s="2" t="inlineStr">
        <is>
          <t>Gammelgransskål
Lunglav
Bronshjon</t>
        </is>
      </c>
      <c r="S35">
        <f>HYPERLINK("https://klasma.github.io/Logging_2582/artfynd/A 55246-2020 artfynd.xlsx", "A 55246-2020")</f>
        <v/>
      </c>
      <c r="T35">
        <f>HYPERLINK("https://klasma.github.io/Logging_2582/kartor/A 55246-2020 karta.png", "A 55246-2020")</f>
        <v/>
      </c>
      <c r="V35">
        <f>HYPERLINK("https://klasma.github.io/Logging_2582/klagomål/A 55246-2020 FSC-klagomål.docx", "A 55246-2020")</f>
        <v/>
      </c>
      <c r="W35">
        <f>HYPERLINK("https://klasma.github.io/Logging_2582/klagomålsmail/A 55246-2020 FSC-klagomål mail.docx", "A 55246-2020")</f>
        <v/>
      </c>
      <c r="X35">
        <f>HYPERLINK("https://klasma.github.io/Logging_2582/tillsyn/A 55246-2020 tillsynsbegäran.docx", "A 55246-2020")</f>
        <v/>
      </c>
      <c r="Y35">
        <f>HYPERLINK("https://klasma.github.io/Logging_2582/tillsynsmail/A 55246-2020 tillsynsbegäran mail.docx", "A 55246-2020")</f>
        <v/>
      </c>
    </row>
    <row r="36" ht="15" customHeight="1">
      <c r="A36" t="inlineStr">
        <is>
          <t>A 39868-2025</t>
        </is>
      </c>
      <c r="B36" s="1" t="n">
        <v>45893</v>
      </c>
      <c r="C36" s="1" t="n">
        <v>45915</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45915</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45915</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45915</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45915</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45915</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45915</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58902-2021</t>
        </is>
      </c>
      <c r="B43" s="1" t="n">
        <v>44489</v>
      </c>
      <c r="C43" s="1" t="n">
        <v>45915</v>
      </c>
      <c r="D43" t="inlineStr">
        <is>
          <t>NORRBOTTENS LÄN</t>
        </is>
      </c>
      <c r="E43" t="inlineStr">
        <is>
          <t>BODEN</t>
        </is>
      </c>
      <c r="G43" t="n">
        <v>4.5</v>
      </c>
      <c r="H43" t="n">
        <v>0</v>
      </c>
      <c r="I43" t="n">
        <v>0</v>
      </c>
      <c r="J43" t="n">
        <v>2</v>
      </c>
      <c r="K43" t="n">
        <v>0</v>
      </c>
      <c r="L43" t="n">
        <v>0</v>
      </c>
      <c r="M43" t="n">
        <v>0</v>
      </c>
      <c r="N43" t="n">
        <v>0</v>
      </c>
      <c r="O43" t="n">
        <v>2</v>
      </c>
      <c r="P43" t="n">
        <v>0</v>
      </c>
      <c r="Q43" t="n">
        <v>2</v>
      </c>
      <c r="R43" s="2" t="inlineStr">
        <is>
          <t>Brunpudrad nållav
Gammelgransskål</t>
        </is>
      </c>
      <c r="S43">
        <f>HYPERLINK("https://klasma.github.io/Logging_2582/artfynd/A 58902-2021 artfynd.xlsx", "A 58902-2021")</f>
        <v/>
      </c>
      <c r="T43">
        <f>HYPERLINK("https://klasma.github.io/Logging_2582/kartor/A 58902-2021 karta.png", "A 58902-2021")</f>
        <v/>
      </c>
      <c r="V43">
        <f>HYPERLINK("https://klasma.github.io/Logging_2582/klagomål/A 58902-2021 FSC-klagomål.docx", "A 58902-2021")</f>
        <v/>
      </c>
      <c r="W43">
        <f>HYPERLINK("https://klasma.github.io/Logging_2582/klagomålsmail/A 58902-2021 FSC-klagomål mail.docx", "A 58902-2021")</f>
        <v/>
      </c>
      <c r="X43">
        <f>HYPERLINK("https://klasma.github.io/Logging_2582/tillsyn/A 58902-2021 tillsynsbegäran.docx", "A 58902-2021")</f>
        <v/>
      </c>
      <c r="Y43">
        <f>HYPERLINK("https://klasma.github.io/Logging_2582/tillsynsmail/A 58902-2021 tillsynsbegäran mail.docx", "A 58902-2021")</f>
        <v/>
      </c>
    </row>
    <row r="44" ht="15" customHeight="1">
      <c r="A44" t="inlineStr">
        <is>
          <t>A 63621-2020</t>
        </is>
      </c>
      <c r="B44" s="1" t="n">
        <v>44165</v>
      </c>
      <c r="C44" s="1" t="n">
        <v>45915</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6639-2024</t>
        </is>
      </c>
      <c r="B45" s="1" t="n">
        <v>45341</v>
      </c>
      <c r="C45" s="1" t="n">
        <v>45915</v>
      </c>
      <c r="D45" t="inlineStr">
        <is>
          <t>NORRBOTTENS LÄN</t>
        </is>
      </c>
      <c r="E45" t="inlineStr">
        <is>
          <t>BODEN</t>
        </is>
      </c>
      <c r="F45" t="inlineStr">
        <is>
          <t>Övriga statliga verk och myndigheter</t>
        </is>
      </c>
      <c r="G45" t="n">
        <v>23.8</v>
      </c>
      <c r="H45" t="n">
        <v>0</v>
      </c>
      <c r="I45" t="n">
        <v>0</v>
      </c>
      <c r="J45" t="n">
        <v>2</v>
      </c>
      <c r="K45" t="n">
        <v>0</v>
      </c>
      <c r="L45" t="n">
        <v>0</v>
      </c>
      <c r="M45" t="n">
        <v>0</v>
      </c>
      <c r="N45" t="n">
        <v>0</v>
      </c>
      <c r="O45" t="n">
        <v>2</v>
      </c>
      <c r="P45" t="n">
        <v>0</v>
      </c>
      <c r="Q45" t="n">
        <v>2</v>
      </c>
      <c r="R45" s="2" t="inlineStr">
        <is>
          <t>Granticka
Lunglav</t>
        </is>
      </c>
      <c r="S45">
        <f>HYPERLINK("https://klasma.github.io/Logging_2582/artfynd/A 6639-2024 artfynd.xlsx", "A 6639-2024")</f>
        <v/>
      </c>
      <c r="T45">
        <f>HYPERLINK("https://klasma.github.io/Logging_2582/kartor/A 6639-2024 karta.png", "A 6639-2024")</f>
        <v/>
      </c>
      <c r="V45">
        <f>HYPERLINK("https://klasma.github.io/Logging_2582/klagomål/A 6639-2024 FSC-klagomål.docx", "A 6639-2024")</f>
        <v/>
      </c>
      <c r="W45">
        <f>HYPERLINK("https://klasma.github.io/Logging_2582/klagomålsmail/A 6639-2024 FSC-klagomål mail.docx", "A 6639-2024")</f>
        <v/>
      </c>
      <c r="X45">
        <f>HYPERLINK("https://klasma.github.io/Logging_2582/tillsyn/A 6639-2024 tillsynsbegäran.docx", "A 6639-2024")</f>
        <v/>
      </c>
      <c r="Y45">
        <f>HYPERLINK("https://klasma.github.io/Logging_2582/tillsynsmail/A 6639-2024 tillsynsbegäran mail.docx", "A 6639-2024")</f>
        <v/>
      </c>
    </row>
    <row r="46" ht="15" customHeight="1">
      <c r="A46" t="inlineStr">
        <is>
          <t>A 17292-2022</t>
        </is>
      </c>
      <c r="B46" s="1" t="n">
        <v>44678</v>
      </c>
      <c r="C46" s="1" t="n">
        <v>45915</v>
      </c>
      <c r="D46" t="inlineStr">
        <is>
          <t>NORRBOTTENS LÄN</t>
        </is>
      </c>
      <c r="E46" t="inlineStr">
        <is>
          <t>BODEN</t>
        </is>
      </c>
      <c r="F46" t="inlineStr">
        <is>
          <t>Kyrkan</t>
        </is>
      </c>
      <c r="G46" t="n">
        <v>0.8</v>
      </c>
      <c r="H46" t="n">
        <v>1</v>
      </c>
      <c r="I46" t="n">
        <v>0</v>
      </c>
      <c r="J46" t="n">
        <v>1</v>
      </c>
      <c r="K46" t="n">
        <v>0</v>
      </c>
      <c r="L46" t="n">
        <v>0</v>
      </c>
      <c r="M46" t="n">
        <v>0</v>
      </c>
      <c r="N46" t="n">
        <v>0</v>
      </c>
      <c r="O46" t="n">
        <v>1</v>
      </c>
      <c r="P46" t="n">
        <v>0</v>
      </c>
      <c r="Q46" t="n">
        <v>2</v>
      </c>
      <c r="R46" s="2" t="inlineStr">
        <is>
          <t>Garnlav
Revlummer</t>
        </is>
      </c>
      <c r="S46">
        <f>HYPERLINK("https://klasma.github.io/Logging_2582/artfynd/A 17292-2022 artfynd.xlsx", "A 17292-2022")</f>
        <v/>
      </c>
      <c r="T46">
        <f>HYPERLINK("https://klasma.github.io/Logging_2582/kartor/A 17292-2022 karta.png", "A 17292-2022")</f>
        <v/>
      </c>
      <c r="V46">
        <f>HYPERLINK("https://klasma.github.io/Logging_2582/klagomål/A 17292-2022 FSC-klagomål.docx", "A 17292-2022")</f>
        <v/>
      </c>
      <c r="W46">
        <f>HYPERLINK("https://klasma.github.io/Logging_2582/klagomålsmail/A 17292-2022 FSC-klagomål mail.docx", "A 17292-2022")</f>
        <v/>
      </c>
      <c r="X46">
        <f>HYPERLINK("https://klasma.github.io/Logging_2582/tillsyn/A 17292-2022 tillsynsbegäran.docx", "A 17292-2022")</f>
        <v/>
      </c>
      <c r="Y46">
        <f>HYPERLINK("https://klasma.github.io/Logging_2582/tillsynsmail/A 17292-2022 tillsynsbegäran mail.docx", "A 17292-2022")</f>
        <v/>
      </c>
    </row>
    <row r="47" ht="15" customHeight="1">
      <c r="A47" t="inlineStr">
        <is>
          <t>A 37014-2023</t>
        </is>
      </c>
      <c r="B47" s="1" t="n">
        <v>45155</v>
      </c>
      <c r="C47" s="1" t="n">
        <v>45915</v>
      </c>
      <c r="D47" t="inlineStr">
        <is>
          <t>NORRBOTTENS LÄN</t>
        </is>
      </c>
      <c r="E47" t="inlineStr">
        <is>
          <t>BODEN</t>
        </is>
      </c>
      <c r="F47" t="inlineStr">
        <is>
          <t>Sveaskog</t>
        </is>
      </c>
      <c r="G47" t="n">
        <v>2.4</v>
      </c>
      <c r="H47" t="n">
        <v>1</v>
      </c>
      <c r="I47" t="n">
        <v>0</v>
      </c>
      <c r="J47" t="n">
        <v>2</v>
      </c>
      <c r="K47" t="n">
        <v>0</v>
      </c>
      <c r="L47" t="n">
        <v>0</v>
      </c>
      <c r="M47" t="n">
        <v>0</v>
      </c>
      <c r="N47" t="n">
        <v>0</v>
      </c>
      <c r="O47" t="n">
        <v>2</v>
      </c>
      <c r="P47" t="n">
        <v>0</v>
      </c>
      <c r="Q47" t="n">
        <v>2</v>
      </c>
      <c r="R47" s="2" t="inlineStr">
        <is>
          <t>Garnlav
Talltita</t>
        </is>
      </c>
      <c r="S47">
        <f>HYPERLINK("https://klasma.github.io/Logging_2582/artfynd/A 37014-2023 artfynd.xlsx", "A 37014-2023")</f>
        <v/>
      </c>
      <c r="T47">
        <f>HYPERLINK("https://klasma.github.io/Logging_2582/kartor/A 37014-2023 karta.png", "A 37014-2023")</f>
        <v/>
      </c>
      <c r="V47">
        <f>HYPERLINK("https://klasma.github.io/Logging_2582/klagomål/A 37014-2023 FSC-klagomål.docx", "A 37014-2023")</f>
        <v/>
      </c>
      <c r="W47">
        <f>HYPERLINK("https://klasma.github.io/Logging_2582/klagomålsmail/A 37014-2023 FSC-klagomål mail.docx", "A 37014-2023")</f>
        <v/>
      </c>
      <c r="X47">
        <f>HYPERLINK("https://klasma.github.io/Logging_2582/tillsyn/A 37014-2023 tillsynsbegäran.docx", "A 37014-2023")</f>
        <v/>
      </c>
      <c r="Y47">
        <f>HYPERLINK("https://klasma.github.io/Logging_2582/tillsynsmail/A 37014-2023 tillsynsbegäran mail.docx", "A 37014-2023")</f>
        <v/>
      </c>
      <c r="Z47">
        <f>HYPERLINK("https://klasma.github.io/Logging_2582/fåglar/A 37014-2023 prioriterade fågelarter.docx", "A 37014-2023")</f>
        <v/>
      </c>
    </row>
    <row r="48" ht="15" customHeight="1">
      <c r="A48" t="inlineStr">
        <is>
          <t>A 9306-2025</t>
        </is>
      </c>
      <c r="B48" s="1" t="n">
        <v>45714</v>
      </c>
      <c r="C48" s="1" t="n">
        <v>45915</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32971-2024</t>
        </is>
      </c>
      <c r="B49" s="1" t="n">
        <v>45517</v>
      </c>
      <c r="C49" s="1" t="n">
        <v>45915</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45915</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41087-2024</t>
        </is>
      </c>
      <c r="B51" s="1" t="n">
        <v>45559</v>
      </c>
      <c r="C51" s="1" t="n">
        <v>45915</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33895-2025</t>
        </is>
      </c>
      <c r="B52" s="1" t="n">
        <v>45842</v>
      </c>
      <c r="C52" s="1" t="n">
        <v>45915</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45915</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45915</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6895-2025</t>
        </is>
      </c>
      <c r="B55" s="1" t="n">
        <v>45701</v>
      </c>
      <c r="C55" s="1" t="n">
        <v>45915</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59435-2024</t>
        </is>
      </c>
      <c r="B56" s="1" t="n">
        <v>45638.43048611111</v>
      </c>
      <c r="C56" s="1" t="n">
        <v>45915</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45915</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45915</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34737-2024</t>
        </is>
      </c>
      <c r="B59" s="1" t="n">
        <v>45526</v>
      </c>
      <c r="C59" s="1" t="n">
        <v>45915</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45915</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42233-2022</t>
        </is>
      </c>
      <c r="B61" s="1" t="n">
        <v>44830</v>
      </c>
      <c r="C61" s="1" t="n">
        <v>45915</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22906-2023</t>
        </is>
      </c>
      <c r="B62" s="1" t="n">
        <v>45072</v>
      </c>
      <c r="C62" s="1" t="n">
        <v>45915</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13647-2022</t>
        </is>
      </c>
      <c r="B63" s="1" t="n">
        <v>44648</v>
      </c>
      <c r="C63" s="1" t="n">
        <v>45915</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45915</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45915</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45915</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45915</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45915</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40779-2021</t>
        </is>
      </c>
      <c r="B69" s="1" t="n">
        <v>44421</v>
      </c>
      <c r="C69" s="1" t="n">
        <v>45915</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30881-2021</t>
        </is>
      </c>
      <c r="B70" s="1" t="n">
        <v>44365</v>
      </c>
      <c r="C70" s="1" t="n">
        <v>45915</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18678-2025</t>
        </is>
      </c>
      <c r="B71" s="1" t="n">
        <v>45763.60056712963</v>
      </c>
      <c r="C71" s="1" t="n">
        <v>45915</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Garnlav</t>
        </is>
      </c>
      <c r="S71">
        <f>HYPERLINK("https://klasma.github.io/Logging_2582/artfynd/A 18678-2025 artfynd.xlsx", "A 18678-2025")</f>
        <v/>
      </c>
      <c r="T71">
        <f>HYPERLINK("https://klasma.github.io/Logging_2582/kartor/A 18678-2025 karta.png", "A 18678-2025")</f>
        <v/>
      </c>
      <c r="V71">
        <f>HYPERLINK("https://klasma.github.io/Logging_2582/klagomål/A 18678-2025 FSC-klagomål.docx", "A 18678-2025")</f>
        <v/>
      </c>
      <c r="W71">
        <f>HYPERLINK("https://klasma.github.io/Logging_2582/klagomålsmail/A 18678-2025 FSC-klagomål mail.docx", "A 18678-2025")</f>
        <v/>
      </c>
      <c r="X71">
        <f>HYPERLINK("https://klasma.github.io/Logging_2582/tillsyn/A 18678-2025 tillsynsbegäran.docx", "A 18678-2025")</f>
        <v/>
      </c>
      <c r="Y71">
        <f>HYPERLINK("https://klasma.github.io/Logging_2582/tillsynsmail/A 18678-2025 tillsynsbegäran mail.docx", "A 18678-2025")</f>
        <v/>
      </c>
    </row>
    <row r="72" ht="15" customHeight="1">
      <c r="A72" t="inlineStr">
        <is>
          <t>A 53142-2024</t>
        </is>
      </c>
      <c r="B72" s="1" t="n">
        <v>45611</v>
      </c>
      <c r="C72" s="1" t="n">
        <v>45915</v>
      </c>
      <c r="D72" t="inlineStr">
        <is>
          <t>NORRBOTTENS LÄN</t>
        </is>
      </c>
      <c r="E72" t="inlineStr">
        <is>
          <t>BODEN</t>
        </is>
      </c>
      <c r="F72" t="inlineStr">
        <is>
          <t>Sveaskog</t>
        </is>
      </c>
      <c r="G72" t="n">
        <v>6.6</v>
      </c>
      <c r="H72" t="n">
        <v>1</v>
      </c>
      <c r="I72" t="n">
        <v>0</v>
      </c>
      <c r="J72" t="n">
        <v>0</v>
      </c>
      <c r="K72" t="n">
        <v>1</v>
      </c>
      <c r="L72" t="n">
        <v>0</v>
      </c>
      <c r="M72" t="n">
        <v>0</v>
      </c>
      <c r="N72" t="n">
        <v>0</v>
      </c>
      <c r="O72" t="n">
        <v>1</v>
      </c>
      <c r="P72" t="n">
        <v>1</v>
      </c>
      <c r="Q72" t="n">
        <v>1</v>
      </c>
      <c r="R72" s="2" t="inlineStr">
        <is>
          <t>Doftticka</t>
        </is>
      </c>
      <c r="S72">
        <f>HYPERLINK("https://klasma.github.io/Logging_2582/artfynd/A 53142-2024 artfynd.xlsx", "A 53142-2024")</f>
        <v/>
      </c>
      <c r="T72">
        <f>HYPERLINK("https://klasma.github.io/Logging_2582/kartor/A 53142-2024 karta.png", "A 53142-2024")</f>
        <v/>
      </c>
      <c r="V72">
        <f>HYPERLINK("https://klasma.github.io/Logging_2582/klagomål/A 53142-2024 FSC-klagomål.docx", "A 53142-2024")</f>
        <v/>
      </c>
      <c r="W72">
        <f>HYPERLINK("https://klasma.github.io/Logging_2582/klagomålsmail/A 53142-2024 FSC-klagomål mail.docx", "A 53142-2024")</f>
        <v/>
      </c>
      <c r="X72">
        <f>HYPERLINK("https://klasma.github.io/Logging_2582/tillsyn/A 53142-2024 tillsynsbegäran.docx", "A 53142-2024")</f>
        <v/>
      </c>
      <c r="Y72">
        <f>HYPERLINK("https://klasma.github.io/Logging_2582/tillsynsmail/A 53142-2024 tillsynsbegäran mail.docx", "A 53142-2024")</f>
        <v/>
      </c>
    </row>
    <row r="73" ht="15" customHeight="1">
      <c r="A73" t="inlineStr">
        <is>
          <t>A 23096-2025</t>
        </is>
      </c>
      <c r="B73" s="1" t="n">
        <v>45791.34502314815</v>
      </c>
      <c r="C73" s="1" t="n">
        <v>45915</v>
      </c>
      <c r="D73" t="inlineStr">
        <is>
          <t>NORRBOTTENS LÄN</t>
        </is>
      </c>
      <c r="E73" t="inlineStr">
        <is>
          <t>BODEN</t>
        </is>
      </c>
      <c r="F73" t="inlineStr">
        <is>
          <t>SCA</t>
        </is>
      </c>
      <c r="G73" t="n">
        <v>1.8</v>
      </c>
      <c r="H73" t="n">
        <v>0</v>
      </c>
      <c r="I73" t="n">
        <v>0</v>
      </c>
      <c r="J73" t="n">
        <v>1</v>
      </c>
      <c r="K73" t="n">
        <v>0</v>
      </c>
      <c r="L73" t="n">
        <v>0</v>
      </c>
      <c r="M73" t="n">
        <v>0</v>
      </c>
      <c r="N73" t="n">
        <v>0</v>
      </c>
      <c r="O73" t="n">
        <v>1</v>
      </c>
      <c r="P73" t="n">
        <v>0</v>
      </c>
      <c r="Q73" t="n">
        <v>1</v>
      </c>
      <c r="R73" s="2" t="inlineStr">
        <is>
          <t>Garnlav</t>
        </is>
      </c>
      <c r="S73">
        <f>HYPERLINK("https://klasma.github.io/Logging_2582/artfynd/A 23096-2025 artfynd.xlsx", "A 23096-2025")</f>
        <v/>
      </c>
      <c r="T73">
        <f>HYPERLINK("https://klasma.github.io/Logging_2582/kartor/A 23096-2025 karta.png", "A 23096-2025")</f>
        <v/>
      </c>
      <c r="V73">
        <f>HYPERLINK("https://klasma.github.io/Logging_2582/klagomål/A 23096-2025 FSC-klagomål.docx", "A 23096-2025")</f>
        <v/>
      </c>
      <c r="W73">
        <f>HYPERLINK("https://klasma.github.io/Logging_2582/klagomålsmail/A 23096-2025 FSC-klagomål mail.docx", "A 23096-2025")</f>
        <v/>
      </c>
      <c r="X73">
        <f>HYPERLINK("https://klasma.github.io/Logging_2582/tillsyn/A 23096-2025 tillsynsbegäran.docx", "A 23096-2025")</f>
        <v/>
      </c>
      <c r="Y73">
        <f>HYPERLINK("https://klasma.github.io/Logging_2582/tillsynsmail/A 23096-2025 tillsynsbegäran mail.docx", "A 23096-2025")</f>
        <v/>
      </c>
    </row>
    <row r="74" ht="15" customHeight="1">
      <c r="A74" t="inlineStr">
        <is>
          <t>A 61219-2024</t>
        </is>
      </c>
      <c r="B74" s="1" t="n">
        <v>45645</v>
      </c>
      <c r="C74" s="1" t="n">
        <v>45915</v>
      </c>
      <c r="D74" t="inlineStr">
        <is>
          <t>NORRBOTTENS LÄN</t>
        </is>
      </c>
      <c r="E74" t="inlineStr">
        <is>
          <t>BODEN</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HYPERLINK("https://klasma.github.io/Logging_2582/artfynd/A 61219-2024 artfynd.xlsx", "A 61219-2024")</f>
        <v/>
      </c>
      <c r="T74">
        <f>HYPERLINK("https://klasma.github.io/Logging_2582/kartor/A 61219-2024 karta.png", "A 61219-2024")</f>
        <v/>
      </c>
      <c r="V74">
        <f>HYPERLINK("https://klasma.github.io/Logging_2582/klagomål/A 61219-2024 FSC-klagomål.docx", "A 61219-2024")</f>
        <v/>
      </c>
      <c r="W74">
        <f>HYPERLINK("https://klasma.github.io/Logging_2582/klagomålsmail/A 61219-2024 FSC-klagomål mail.docx", "A 61219-2024")</f>
        <v/>
      </c>
      <c r="X74">
        <f>HYPERLINK("https://klasma.github.io/Logging_2582/tillsyn/A 61219-2024 tillsynsbegäran.docx", "A 61219-2024")</f>
        <v/>
      </c>
      <c r="Y74">
        <f>HYPERLINK("https://klasma.github.io/Logging_2582/tillsynsmail/A 61219-2024 tillsynsbegäran mail.docx", "A 61219-2024")</f>
        <v/>
      </c>
    </row>
    <row r="75" ht="15" customHeight="1">
      <c r="A75" t="inlineStr">
        <is>
          <t>A 16217-2024</t>
        </is>
      </c>
      <c r="B75" s="1" t="n">
        <v>45406.96350694444</v>
      </c>
      <c r="C75" s="1" t="n">
        <v>45915</v>
      </c>
      <c r="D75" t="inlineStr">
        <is>
          <t>NORRBOTTENS LÄN</t>
        </is>
      </c>
      <c r="E75" t="inlineStr">
        <is>
          <t>BODEN</t>
        </is>
      </c>
      <c r="G75" t="n">
        <v>7.2</v>
      </c>
      <c r="H75" t="n">
        <v>1</v>
      </c>
      <c r="I75" t="n">
        <v>0</v>
      </c>
      <c r="J75" t="n">
        <v>1</v>
      </c>
      <c r="K75" t="n">
        <v>0</v>
      </c>
      <c r="L75" t="n">
        <v>0</v>
      </c>
      <c r="M75" t="n">
        <v>0</v>
      </c>
      <c r="N75" t="n">
        <v>0</v>
      </c>
      <c r="O75" t="n">
        <v>1</v>
      </c>
      <c r="P75" t="n">
        <v>0</v>
      </c>
      <c r="Q75" t="n">
        <v>1</v>
      </c>
      <c r="R75" s="2" t="inlineStr">
        <is>
          <t>Videsparv</t>
        </is>
      </c>
      <c r="S75">
        <f>HYPERLINK("https://klasma.github.io/Logging_2582/artfynd/A 16217-2024 artfynd.xlsx", "A 16217-2024")</f>
        <v/>
      </c>
      <c r="T75">
        <f>HYPERLINK("https://klasma.github.io/Logging_2582/kartor/A 16217-2024 karta.png", "A 16217-2024")</f>
        <v/>
      </c>
      <c r="V75">
        <f>HYPERLINK("https://klasma.github.io/Logging_2582/klagomål/A 16217-2024 FSC-klagomål.docx", "A 16217-2024")</f>
        <v/>
      </c>
      <c r="W75">
        <f>HYPERLINK("https://klasma.github.io/Logging_2582/klagomålsmail/A 16217-2024 FSC-klagomål mail.docx", "A 16217-2024")</f>
        <v/>
      </c>
      <c r="X75">
        <f>HYPERLINK("https://klasma.github.io/Logging_2582/tillsyn/A 16217-2024 tillsynsbegäran.docx", "A 16217-2024")</f>
        <v/>
      </c>
      <c r="Y75">
        <f>HYPERLINK("https://klasma.github.io/Logging_2582/tillsynsmail/A 16217-2024 tillsynsbegäran mail.docx", "A 16217-2024")</f>
        <v/>
      </c>
      <c r="Z75">
        <f>HYPERLINK("https://klasma.github.io/Logging_2582/fåglar/A 16217-2024 prioriterade fågelarter.docx", "A 16217-2024")</f>
        <v/>
      </c>
    </row>
    <row r="76" ht="15" customHeight="1">
      <c r="A76" t="inlineStr">
        <is>
          <t>A 25700-2025</t>
        </is>
      </c>
      <c r="B76" s="1" t="n">
        <v>45803.66833333333</v>
      </c>
      <c r="C76" s="1" t="n">
        <v>45915</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25701-2025</t>
        </is>
      </c>
      <c r="B77" s="1" t="n">
        <v>45803.67</v>
      </c>
      <c r="C77" s="1" t="n">
        <v>45915</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48418-2023</t>
        </is>
      </c>
      <c r="B78" s="1" t="n">
        <v>45205</v>
      </c>
      <c r="C78" s="1" t="n">
        <v>45915</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48899-2024</t>
        </is>
      </c>
      <c r="B79" s="1" t="n">
        <v>45594</v>
      </c>
      <c r="C79" s="1" t="n">
        <v>45915</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32600-2024</t>
        </is>
      </c>
      <c r="B80" s="1" t="n">
        <v>45513</v>
      </c>
      <c r="C80" s="1" t="n">
        <v>45915</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31487-2025</t>
        </is>
      </c>
      <c r="B81" s="1" t="n">
        <v>45833.57443287037</v>
      </c>
      <c r="C81" s="1" t="n">
        <v>45915</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19396-2022</t>
        </is>
      </c>
      <c r="B82" s="1" t="n">
        <v>44692</v>
      </c>
      <c r="C82" s="1" t="n">
        <v>45915</v>
      </c>
      <c r="D82" t="inlineStr">
        <is>
          <t>NORRBOTTENS LÄN</t>
        </is>
      </c>
      <c r="E82" t="inlineStr">
        <is>
          <t>BODEN</t>
        </is>
      </c>
      <c r="F82" t="inlineStr">
        <is>
          <t>SCA</t>
        </is>
      </c>
      <c r="G82" t="n">
        <v>13.1</v>
      </c>
      <c r="H82" t="n">
        <v>0</v>
      </c>
      <c r="I82" t="n">
        <v>0</v>
      </c>
      <c r="J82" t="n">
        <v>1</v>
      </c>
      <c r="K82" t="n">
        <v>0</v>
      </c>
      <c r="L82" t="n">
        <v>0</v>
      </c>
      <c r="M82" t="n">
        <v>0</v>
      </c>
      <c r="N82" t="n">
        <v>0</v>
      </c>
      <c r="O82" t="n">
        <v>1</v>
      </c>
      <c r="P82" t="n">
        <v>0</v>
      </c>
      <c r="Q82" t="n">
        <v>1</v>
      </c>
      <c r="R82" s="2" t="inlineStr">
        <is>
          <t>Tallticka</t>
        </is>
      </c>
      <c r="S82">
        <f>HYPERLINK("https://klasma.github.io/Logging_2582/artfynd/A 19396-2022 artfynd.xlsx", "A 19396-2022")</f>
        <v/>
      </c>
      <c r="T82">
        <f>HYPERLINK("https://klasma.github.io/Logging_2582/kartor/A 19396-2022 karta.png", "A 19396-2022")</f>
        <v/>
      </c>
      <c r="V82">
        <f>HYPERLINK("https://klasma.github.io/Logging_2582/klagomål/A 19396-2022 FSC-klagomål.docx", "A 19396-2022")</f>
        <v/>
      </c>
      <c r="W82">
        <f>HYPERLINK("https://klasma.github.io/Logging_2582/klagomålsmail/A 19396-2022 FSC-klagomål mail.docx", "A 19396-2022")</f>
        <v/>
      </c>
      <c r="X82">
        <f>HYPERLINK("https://klasma.github.io/Logging_2582/tillsyn/A 19396-2022 tillsynsbegäran.docx", "A 19396-2022")</f>
        <v/>
      </c>
      <c r="Y82">
        <f>HYPERLINK("https://klasma.github.io/Logging_2582/tillsynsmail/A 19396-2022 tillsynsbegäran mail.docx", "A 19396-2022")</f>
        <v/>
      </c>
    </row>
    <row r="83" ht="15" customHeight="1">
      <c r="A83" t="inlineStr">
        <is>
          <t>A 32119-2025</t>
        </is>
      </c>
      <c r="B83" s="1" t="n">
        <v>45835.49065972222</v>
      </c>
      <c r="C83" s="1" t="n">
        <v>45915</v>
      </c>
      <c r="D83" t="inlineStr">
        <is>
          <t>NORRBOTTENS LÄN</t>
        </is>
      </c>
      <c r="E83" t="inlineStr">
        <is>
          <t>BODEN</t>
        </is>
      </c>
      <c r="F83" t="inlineStr">
        <is>
          <t>Sveaskog</t>
        </is>
      </c>
      <c r="G83" t="n">
        <v>2</v>
      </c>
      <c r="H83" t="n">
        <v>0</v>
      </c>
      <c r="I83" t="n">
        <v>1</v>
      </c>
      <c r="J83" t="n">
        <v>0</v>
      </c>
      <c r="K83" t="n">
        <v>0</v>
      </c>
      <c r="L83" t="n">
        <v>0</v>
      </c>
      <c r="M83" t="n">
        <v>0</v>
      </c>
      <c r="N83" t="n">
        <v>0</v>
      </c>
      <c r="O83" t="n">
        <v>0</v>
      </c>
      <c r="P83" t="n">
        <v>0</v>
      </c>
      <c r="Q83" t="n">
        <v>1</v>
      </c>
      <c r="R83" s="2" t="inlineStr">
        <is>
          <t>Grönpyrola</t>
        </is>
      </c>
      <c r="S83">
        <f>HYPERLINK("https://klasma.github.io/Logging_2582/artfynd/A 32119-2025 artfynd.xlsx", "A 32119-2025")</f>
        <v/>
      </c>
      <c r="T83">
        <f>HYPERLINK("https://klasma.github.io/Logging_2582/kartor/A 32119-2025 karta.png", "A 32119-2025")</f>
        <v/>
      </c>
      <c r="V83">
        <f>HYPERLINK("https://klasma.github.io/Logging_2582/klagomål/A 32119-2025 FSC-klagomål.docx", "A 32119-2025")</f>
        <v/>
      </c>
      <c r="W83">
        <f>HYPERLINK("https://klasma.github.io/Logging_2582/klagomålsmail/A 32119-2025 FSC-klagomål mail.docx", "A 32119-2025")</f>
        <v/>
      </c>
      <c r="X83">
        <f>HYPERLINK("https://klasma.github.io/Logging_2582/tillsyn/A 32119-2025 tillsynsbegäran.docx", "A 32119-2025")</f>
        <v/>
      </c>
      <c r="Y83">
        <f>HYPERLINK("https://klasma.github.io/Logging_2582/tillsynsmail/A 32119-2025 tillsynsbegäran mail.docx", "A 32119-2025")</f>
        <v/>
      </c>
    </row>
    <row r="84" ht="15" customHeight="1">
      <c r="A84" t="inlineStr">
        <is>
          <t>A 20260-2025</t>
        </is>
      </c>
      <c r="B84" s="1" t="n">
        <v>45773</v>
      </c>
      <c r="C84" s="1" t="n">
        <v>45915</v>
      </c>
      <c r="D84" t="inlineStr">
        <is>
          <t>NORRBOTTENS LÄN</t>
        </is>
      </c>
      <c r="E84" t="inlineStr">
        <is>
          <t>BODEN</t>
        </is>
      </c>
      <c r="F84" t="inlineStr">
        <is>
          <t>SCA</t>
        </is>
      </c>
      <c r="G84" t="n">
        <v>3.3</v>
      </c>
      <c r="H84" t="n">
        <v>1</v>
      </c>
      <c r="I84" t="n">
        <v>0</v>
      </c>
      <c r="J84" t="n">
        <v>0</v>
      </c>
      <c r="K84" t="n">
        <v>0</v>
      </c>
      <c r="L84" t="n">
        <v>0</v>
      </c>
      <c r="M84" t="n">
        <v>0</v>
      </c>
      <c r="N84" t="n">
        <v>0</v>
      </c>
      <c r="O84" t="n">
        <v>0</v>
      </c>
      <c r="P84" t="n">
        <v>0</v>
      </c>
      <c r="Q84" t="n">
        <v>1</v>
      </c>
      <c r="R84" s="2" t="inlineStr">
        <is>
          <t>Grön flodtrollslända</t>
        </is>
      </c>
      <c r="S84">
        <f>HYPERLINK("https://klasma.github.io/Logging_2582/artfynd/A 20260-2025 artfynd.xlsx", "A 20260-2025")</f>
        <v/>
      </c>
      <c r="T84">
        <f>HYPERLINK("https://klasma.github.io/Logging_2582/kartor/A 20260-2025 karta.png", "A 20260-2025")</f>
        <v/>
      </c>
      <c r="V84">
        <f>HYPERLINK("https://klasma.github.io/Logging_2582/klagomål/A 20260-2025 FSC-klagomål.docx", "A 20260-2025")</f>
        <v/>
      </c>
      <c r="W84">
        <f>HYPERLINK("https://klasma.github.io/Logging_2582/klagomålsmail/A 20260-2025 FSC-klagomål mail.docx", "A 20260-2025")</f>
        <v/>
      </c>
      <c r="X84">
        <f>HYPERLINK("https://klasma.github.io/Logging_2582/tillsyn/A 20260-2025 tillsynsbegäran.docx", "A 20260-2025")</f>
        <v/>
      </c>
      <c r="Y84">
        <f>HYPERLINK("https://klasma.github.io/Logging_2582/tillsynsmail/A 20260-2025 tillsynsbegäran mail.docx", "A 20260-2025")</f>
        <v/>
      </c>
    </row>
    <row r="85" ht="15" customHeight="1">
      <c r="A85" t="inlineStr">
        <is>
          <t>A 47018-2024</t>
        </is>
      </c>
      <c r="B85" s="1" t="n">
        <v>45586</v>
      </c>
      <c r="C85" s="1" t="n">
        <v>45915</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34696-2025</t>
        </is>
      </c>
      <c r="B86" s="1" t="n">
        <v>45848.4612037037</v>
      </c>
      <c r="C86" s="1" t="n">
        <v>45915</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39717-2025</t>
        </is>
      </c>
      <c r="B87" s="1" t="n">
        <v>45891.3190625</v>
      </c>
      <c r="C87" s="1" t="n">
        <v>45915</v>
      </c>
      <c r="D87" t="inlineStr">
        <is>
          <t>NORRBOTTENS LÄN</t>
        </is>
      </c>
      <c r="E87" t="inlineStr">
        <is>
          <t>BODEN</t>
        </is>
      </c>
      <c r="G87" t="n">
        <v>13.9</v>
      </c>
      <c r="H87" t="n">
        <v>1</v>
      </c>
      <c r="I87" t="n">
        <v>0</v>
      </c>
      <c r="J87" t="n">
        <v>0</v>
      </c>
      <c r="K87" t="n">
        <v>0</v>
      </c>
      <c r="L87" t="n">
        <v>0</v>
      </c>
      <c r="M87" t="n">
        <v>0</v>
      </c>
      <c r="N87" t="n">
        <v>0</v>
      </c>
      <c r="O87" t="n">
        <v>0</v>
      </c>
      <c r="P87" t="n">
        <v>0</v>
      </c>
      <c r="Q87" t="n">
        <v>1</v>
      </c>
      <c r="R87" s="2" t="inlineStr">
        <is>
          <t>Fläcknycklar</t>
        </is>
      </c>
      <c r="S87">
        <f>HYPERLINK("https://klasma.github.io/Logging_2582/artfynd/A 39717-2025 artfynd.xlsx", "A 39717-2025")</f>
        <v/>
      </c>
      <c r="T87">
        <f>HYPERLINK("https://klasma.github.io/Logging_2582/kartor/A 39717-2025 karta.png", "A 39717-2025")</f>
        <v/>
      </c>
      <c r="V87">
        <f>HYPERLINK("https://klasma.github.io/Logging_2582/klagomål/A 39717-2025 FSC-klagomål.docx", "A 39717-2025")</f>
        <v/>
      </c>
      <c r="W87">
        <f>HYPERLINK("https://klasma.github.io/Logging_2582/klagomålsmail/A 39717-2025 FSC-klagomål mail.docx", "A 39717-2025")</f>
        <v/>
      </c>
      <c r="X87">
        <f>HYPERLINK("https://klasma.github.io/Logging_2582/tillsyn/A 39717-2025 tillsynsbegäran.docx", "A 39717-2025")</f>
        <v/>
      </c>
      <c r="Y87">
        <f>HYPERLINK("https://klasma.github.io/Logging_2582/tillsynsmail/A 39717-2025 tillsynsbegäran mail.docx", "A 39717-2025")</f>
        <v/>
      </c>
    </row>
    <row r="88" ht="15" customHeight="1">
      <c r="A88" t="inlineStr">
        <is>
          <t>A 31079-2025</t>
        </is>
      </c>
      <c r="B88" s="1" t="n">
        <v>45832.58524305555</v>
      </c>
      <c r="C88" s="1" t="n">
        <v>45915</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2568-2024</t>
        </is>
      </c>
      <c r="B89" s="1" t="n">
        <v>45313.6253125</v>
      </c>
      <c r="C89" s="1" t="n">
        <v>45915</v>
      </c>
      <c r="D89" t="inlineStr">
        <is>
          <t>NORRBOTTENS LÄN</t>
        </is>
      </c>
      <c r="E89" t="inlineStr">
        <is>
          <t>BODEN</t>
        </is>
      </c>
      <c r="G89" t="n">
        <v>1.6</v>
      </c>
      <c r="H89" t="n">
        <v>0</v>
      </c>
      <c r="I89" t="n">
        <v>0</v>
      </c>
      <c r="J89" t="n">
        <v>1</v>
      </c>
      <c r="K89" t="n">
        <v>0</v>
      </c>
      <c r="L89" t="n">
        <v>0</v>
      </c>
      <c r="M89" t="n">
        <v>0</v>
      </c>
      <c r="N89" t="n">
        <v>0</v>
      </c>
      <c r="O89" t="n">
        <v>1</v>
      </c>
      <c r="P89" t="n">
        <v>0</v>
      </c>
      <c r="Q89" t="n">
        <v>1</v>
      </c>
      <c r="R89" s="2" t="inlineStr">
        <is>
          <t>Blå taggsvamp</t>
        </is>
      </c>
      <c r="S89">
        <f>HYPERLINK("https://klasma.github.io/Logging_2582/artfynd/A 2568-2024 artfynd.xlsx", "A 2568-2024")</f>
        <v/>
      </c>
      <c r="T89">
        <f>HYPERLINK("https://klasma.github.io/Logging_2582/kartor/A 2568-2024 karta.png", "A 2568-2024")</f>
        <v/>
      </c>
      <c r="V89">
        <f>HYPERLINK("https://klasma.github.io/Logging_2582/klagomål/A 2568-2024 FSC-klagomål.docx", "A 2568-2024")</f>
        <v/>
      </c>
      <c r="W89">
        <f>HYPERLINK("https://klasma.github.io/Logging_2582/klagomålsmail/A 2568-2024 FSC-klagomål mail.docx", "A 2568-2024")</f>
        <v/>
      </c>
      <c r="X89">
        <f>HYPERLINK("https://klasma.github.io/Logging_2582/tillsyn/A 2568-2024 tillsynsbegäran.docx", "A 2568-2024")</f>
        <v/>
      </c>
      <c r="Y89">
        <f>HYPERLINK("https://klasma.github.io/Logging_2582/tillsynsmail/A 2568-2024 tillsynsbegäran mail.docx", "A 2568-2024")</f>
        <v/>
      </c>
    </row>
    <row r="90" ht="15" customHeight="1">
      <c r="A90" t="inlineStr">
        <is>
          <t>A 41436-2025</t>
        </is>
      </c>
      <c r="B90" s="1" t="n">
        <v>45901.40067129629</v>
      </c>
      <c r="C90" s="1" t="n">
        <v>45915</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45915</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36743-2024</t>
        </is>
      </c>
      <c r="B92" s="1" t="n">
        <v>45538</v>
      </c>
      <c r="C92" s="1" t="n">
        <v>45915</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3779-2021</t>
        </is>
      </c>
      <c r="B93" s="1" t="n">
        <v>44217</v>
      </c>
      <c r="C93" s="1" t="n">
        <v>45915</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45915</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45915</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45915</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45915</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45915</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45915</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45915</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45915</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45915</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45915</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45915</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45915</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45915</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45915</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45915</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15406-2022</t>
        </is>
      </c>
      <c r="B109" s="1" t="n">
        <v>44659.6078587963</v>
      </c>
      <c r="C109" s="1" t="n">
        <v>45915</v>
      </c>
      <c r="D109" t="inlineStr">
        <is>
          <t>NORRBOTTENS LÄN</t>
        </is>
      </c>
      <c r="E109" t="inlineStr">
        <is>
          <t>BODEN</t>
        </is>
      </c>
      <c r="G109" t="n">
        <v>11.2</v>
      </c>
      <c r="H109" t="n">
        <v>0</v>
      </c>
      <c r="I109" t="n">
        <v>0</v>
      </c>
      <c r="J109" t="n">
        <v>0</v>
      </c>
      <c r="K109" t="n">
        <v>0</v>
      </c>
      <c r="L109" t="n">
        <v>0</v>
      </c>
      <c r="M109" t="n">
        <v>0</v>
      </c>
      <c r="N109" t="n">
        <v>0</v>
      </c>
      <c r="O109" t="n">
        <v>0</v>
      </c>
      <c r="P109" t="n">
        <v>0</v>
      </c>
      <c r="Q109" t="n">
        <v>0</v>
      </c>
      <c r="R109" s="2" t="inlineStr"/>
    </row>
    <row r="110" ht="15" customHeight="1">
      <c r="A110" t="inlineStr">
        <is>
          <t>A 58975-2021</t>
        </is>
      </c>
      <c r="B110" s="1" t="n">
        <v>44489.94650462963</v>
      </c>
      <c r="C110" s="1" t="n">
        <v>45915</v>
      </c>
      <c r="D110" t="inlineStr">
        <is>
          <t>NORRBOTTENS LÄN</t>
        </is>
      </c>
      <c r="E110" t="inlineStr">
        <is>
          <t>BODEN</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45915</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45915</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45915</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20752-2021</t>
        </is>
      </c>
      <c r="B114" s="1" t="n">
        <v>44313</v>
      </c>
      <c r="C114" s="1" t="n">
        <v>45915</v>
      </c>
      <c r="D114" t="inlineStr">
        <is>
          <t>NORRBOTTENS LÄN</t>
        </is>
      </c>
      <c r="E114" t="inlineStr">
        <is>
          <t>BODEN</t>
        </is>
      </c>
      <c r="G114" t="n">
        <v>9</v>
      </c>
      <c r="H114" t="n">
        <v>0</v>
      </c>
      <c r="I114" t="n">
        <v>0</v>
      </c>
      <c r="J114" t="n">
        <v>0</v>
      </c>
      <c r="K114" t="n">
        <v>0</v>
      </c>
      <c r="L114" t="n">
        <v>0</v>
      </c>
      <c r="M114" t="n">
        <v>0</v>
      </c>
      <c r="N114" t="n">
        <v>0</v>
      </c>
      <c r="O114" t="n">
        <v>0</v>
      </c>
      <c r="P114" t="n">
        <v>0</v>
      </c>
      <c r="Q114" t="n">
        <v>0</v>
      </c>
      <c r="R114" s="2" t="inlineStr"/>
    </row>
    <row r="115" ht="15" customHeight="1">
      <c r="A115" t="inlineStr">
        <is>
          <t>A 51963-2021</t>
        </is>
      </c>
      <c r="B115" s="1" t="n">
        <v>44463.27165509259</v>
      </c>
      <c r="C115" s="1" t="n">
        <v>45915</v>
      </c>
      <c r="D115" t="inlineStr">
        <is>
          <t>NORRBOTTENS LÄN</t>
        </is>
      </c>
      <c r="E115" t="inlineStr">
        <is>
          <t>BODEN</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45915</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45915</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45915</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3537-2021</t>
        </is>
      </c>
      <c r="B119" s="1" t="n">
        <v>44216</v>
      </c>
      <c r="C119" s="1" t="n">
        <v>45915</v>
      </c>
      <c r="D119" t="inlineStr">
        <is>
          <t>NORRBOTTENS LÄN</t>
        </is>
      </c>
      <c r="E119" t="inlineStr">
        <is>
          <t>BODEN</t>
        </is>
      </c>
      <c r="G119" t="n">
        <v>8.6</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45915</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45915</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39689-2021</t>
        </is>
      </c>
      <c r="B122" s="1" t="n">
        <v>44414</v>
      </c>
      <c r="C122" s="1" t="n">
        <v>45915</v>
      </c>
      <c r="D122" t="inlineStr">
        <is>
          <t>NORRBOTTENS LÄN</t>
        </is>
      </c>
      <c r="E122" t="inlineStr">
        <is>
          <t>BODEN</t>
        </is>
      </c>
      <c r="G122" t="n">
        <v>1.5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45915</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45915</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45915</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45915</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45915</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45915</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65378-2020</t>
        </is>
      </c>
      <c r="B129" s="1" t="n">
        <v>44168</v>
      </c>
      <c r="C129" s="1" t="n">
        <v>45915</v>
      </c>
      <c r="D129" t="inlineStr">
        <is>
          <t>NORRBOTTENS LÄN</t>
        </is>
      </c>
      <c r="E129" t="inlineStr">
        <is>
          <t>BODEN</t>
        </is>
      </c>
      <c r="G129" t="n">
        <v>10.8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45915</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45915</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45915</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45915</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13592-2022</t>
        </is>
      </c>
      <c r="B134" s="1" t="n">
        <v>44648</v>
      </c>
      <c r="C134" s="1" t="n">
        <v>45915</v>
      </c>
      <c r="D134" t="inlineStr">
        <is>
          <t>NORRBOTTENS LÄN</t>
        </is>
      </c>
      <c r="E134" t="inlineStr">
        <is>
          <t>BODEN</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45915</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45915</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45915</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45915</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45915</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45915</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45915</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45915</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45915</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45915</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45915</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45915</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45915</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45915</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45915</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45915</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20754-2021</t>
        </is>
      </c>
      <c r="B151" s="1" t="n">
        <v>44313</v>
      </c>
      <c r="C151" s="1" t="n">
        <v>45915</v>
      </c>
      <c r="D151" t="inlineStr">
        <is>
          <t>NORRBOTTENS LÄN</t>
        </is>
      </c>
      <c r="E151" t="inlineStr">
        <is>
          <t>BODEN</t>
        </is>
      </c>
      <c r="G151" t="n">
        <v>2.2</v>
      </c>
      <c r="H151" t="n">
        <v>0</v>
      </c>
      <c r="I151" t="n">
        <v>0</v>
      </c>
      <c r="J151" t="n">
        <v>0</v>
      </c>
      <c r="K151" t="n">
        <v>0</v>
      </c>
      <c r="L151" t="n">
        <v>0</v>
      </c>
      <c r="M151" t="n">
        <v>0</v>
      </c>
      <c r="N151" t="n">
        <v>0</v>
      </c>
      <c r="O151" t="n">
        <v>0</v>
      </c>
      <c r="P151" t="n">
        <v>0</v>
      </c>
      <c r="Q151" t="n">
        <v>0</v>
      </c>
      <c r="R151" s="2" t="inlineStr"/>
    </row>
    <row r="152" ht="15" customHeight="1">
      <c r="A152" t="inlineStr">
        <is>
          <t>A 60047-2020</t>
        </is>
      </c>
      <c r="B152" s="1" t="n">
        <v>44151</v>
      </c>
      <c r="C152" s="1" t="n">
        <v>45915</v>
      </c>
      <c r="D152" t="inlineStr">
        <is>
          <t>NORRBOTTENS LÄN</t>
        </is>
      </c>
      <c r="E152" t="inlineStr">
        <is>
          <t>BODEN</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29107-2021</t>
        </is>
      </c>
      <c r="B153" s="1" t="n">
        <v>44358</v>
      </c>
      <c r="C153" s="1" t="n">
        <v>45915</v>
      </c>
      <c r="D153" t="inlineStr">
        <is>
          <t>NORRBOTTENS LÄN</t>
        </is>
      </c>
      <c r="E153" t="inlineStr">
        <is>
          <t>BODEN</t>
        </is>
      </c>
      <c r="G153" t="n">
        <v>1.5</v>
      </c>
      <c r="H153" t="n">
        <v>0</v>
      </c>
      <c r="I153" t="n">
        <v>0</v>
      </c>
      <c r="J153" t="n">
        <v>0</v>
      </c>
      <c r="K153" t="n">
        <v>0</v>
      </c>
      <c r="L153" t="n">
        <v>0</v>
      </c>
      <c r="M153" t="n">
        <v>0</v>
      </c>
      <c r="N153" t="n">
        <v>0</v>
      </c>
      <c r="O153" t="n">
        <v>0</v>
      </c>
      <c r="P153" t="n">
        <v>0</v>
      </c>
      <c r="Q153" t="n">
        <v>0</v>
      </c>
      <c r="R153" s="2" t="inlineStr"/>
    </row>
    <row r="154" ht="15" customHeight="1">
      <c r="A154" t="inlineStr">
        <is>
          <t>A 35069-2022</t>
        </is>
      </c>
      <c r="B154" s="1" t="n">
        <v>44797.36959490741</v>
      </c>
      <c r="C154" s="1" t="n">
        <v>45915</v>
      </c>
      <c r="D154" t="inlineStr">
        <is>
          <t>NORRBOTTENS LÄN</t>
        </is>
      </c>
      <c r="E154" t="inlineStr">
        <is>
          <t>BODEN</t>
        </is>
      </c>
      <c r="G154" t="n">
        <v>9.1</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45915</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45915</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45915</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35044-2022</t>
        </is>
      </c>
      <c r="B158" s="1" t="n">
        <v>44796</v>
      </c>
      <c r="C158" s="1" t="n">
        <v>45915</v>
      </c>
      <c r="D158" t="inlineStr">
        <is>
          <t>NORRBOTTENS LÄN</t>
        </is>
      </c>
      <c r="E158" t="inlineStr">
        <is>
          <t>BODEN</t>
        </is>
      </c>
      <c r="G158" t="n">
        <v>0.4</v>
      </c>
      <c r="H158" t="n">
        <v>0</v>
      </c>
      <c r="I158" t="n">
        <v>0</v>
      </c>
      <c r="J158" t="n">
        <v>0</v>
      </c>
      <c r="K158" t="n">
        <v>0</v>
      </c>
      <c r="L158" t="n">
        <v>0</v>
      </c>
      <c r="M158" t="n">
        <v>0</v>
      </c>
      <c r="N158" t="n">
        <v>0</v>
      </c>
      <c r="O158" t="n">
        <v>0</v>
      </c>
      <c r="P158" t="n">
        <v>0</v>
      </c>
      <c r="Q158" t="n">
        <v>0</v>
      </c>
      <c r="R158" s="2" t="inlineStr"/>
    </row>
    <row r="159" ht="15" customHeight="1">
      <c r="A159" t="inlineStr">
        <is>
          <t>A 35046-2022</t>
        </is>
      </c>
      <c r="B159" s="1" t="n">
        <v>44796</v>
      </c>
      <c r="C159" s="1" t="n">
        <v>45915</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45915</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29119-2022</t>
        </is>
      </c>
      <c r="B161" s="1" t="n">
        <v>44749</v>
      </c>
      <c r="C161" s="1" t="n">
        <v>45915</v>
      </c>
      <c r="D161" t="inlineStr">
        <is>
          <t>NORRBOTTENS LÄN</t>
        </is>
      </c>
      <c r="E161" t="inlineStr">
        <is>
          <t>BODEN</t>
        </is>
      </c>
      <c r="G161" t="n">
        <v>10.4</v>
      </c>
      <c r="H161" t="n">
        <v>0</v>
      </c>
      <c r="I161" t="n">
        <v>0</v>
      </c>
      <c r="J161" t="n">
        <v>0</v>
      </c>
      <c r="K161" t="n">
        <v>0</v>
      </c>
      <c r="L161" t="n">
        <v>0</v>
      </c>
      <c r="M161" t="n">
        <v>0</v>
      </c>
      <c r="N161" t="n">
        <v>0</v>
      </c>
      <c r="O161" t="n">
        <v>0</v>
      </c>
      <c r="P161" t="n">
        <v>0</v>
      </c>
      <c r="Q161" t="n">
        <v>0</v>
      </c>
      <c r="R161" s="2" t="inlineStr"/>
    </row>
    <row r="162" ht="15" customHeight="1">
      <c r="A162" t="inlineStr">
        <is>
          <t>A 57583-2021</t>
        </is>
      </c>
      <c r="B162" s="1" t="n">
        <v>44484</v>
      </c>
      <c r="C162" s="1" t="n">
        <v>45915</v>
      </c>
      <c r="D162" t="inlineStr">
        <is>
          <t>NORRBOTTENS LÄN</t>
        </is>
      </c>
      <c r="E162" t="inlineStr">
        <is>
          <t>BODEN</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23871-2022</t>
        </is>
      </c>
      <c r="B163" s="1" t="n">
        <v>44722</v>
      </c>
      <c r="C163" s="1" t="n">
        <v>45915</v>
      </c>
      <c r="D163" t="inlineStr">
        <is>
          <t>NORRBOTTENS LÄN</t>
        </is>
      </c>
      <c r="E163" t="inlineStr">
        <is>
          <t>BODEN</t>
        </is>
      </c>
      <c r="G163" t="n">
        <v>4.8</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45915</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14380-2021</t>
        </is>
      </c>
      <c r="B165" s="1" t="n">
        <v>44279.38570601852</v>
      </c>
      <c r="C165" s="1" t="n">
        <v>45915</v>
      </c>
      <c r="D165" t="inlineStr">
        <is>
          <t>NORRBOTTENS LÄN</t>
        </is>
      </c>
      <c r="E165" t="inlineStr">
        <is>
          <t>BODEN</t>
        </is>
      </c>
      <c r="G165" t="n">
        <v>2</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45915</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35752-2022</t>
        </is>
      </c>
      <c r="B167" s="1" t="n">
        <v>44799.94413194444</v>
      </c>
      <c r="C167" s="1" t="n">
        <v>45915</v>
      </c>
      <c r="D167" t="inlineStr">
        <is>
          <t>NORRBOTTENS LÄN</t>
        </is>
      </c>
      <c r="E167" t="inlineStr">
        <is>
          <t>BODEN</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35753-2022</t>
        </is>
      </c>
      <c r="B168" s="1" t="n">
        <v>44799.94417824074</v>
      </c>
      <c r="C168" s="1" t="n">
        <v>45915</v>
      </c>
      <c r="D168" t="inlineStr">
        <is>
          <t>NORRBOTTENS LÄN</t>
        </is>
      </c>
      <c r="E168" t="inlineStr">
        <is>
          <t>BODEN</t>
        </is>
      </c>
      <c r="F168" t="inlineStr">
        <is>
          <t>SCA</t>
        </is>
      </c>
      <c r="G168" t="n">
        <v>4</v>
      </c>
      <c r="H168" t="n">
        <v>0</v>
      </c>
      <c r="I168" t="n">
        <v>0</v>
      </c>
      <c r="J168" t="n">
        <v>0</v>
      </c>
      <c r="K168" t="n">
        <v>0</v>
      </c>
      <c r="L168" t="n">
        <v>0</v>
      </c>
      <c r="M168" t="n">
        <v>0</v>
      </c>
      <c r="N168" t="n">
        <v>0</v>
      </c>
      <c r="O168" t="n">
        <v>0</v>
      </c>
      <c r="P168" t="n">
        <v>0</v>
      </c>
      <c r="Q168" t="n">
        <v>0</v>
      </c>
      <c r="R168" s="2" t="inlineStr"/>
    </row>
    <row r="169" ht="15" customHeight="1">
      <c r="A169" t="inlineStr">
        <is>
          <t>A 20753-2021</t>
        </is>
      </c>
      <c r="B169" s="1" t="n">
        <v>44313</v>
      </c>
      <c r="C169" s="1" t="n">
        <v>45915</v>
      </c>
      <c r="D169" t="inlineStr">
        <is>
          <t>NORRBOTTENS LÄN</t>
        </is>
      </c>
      <c r="E169" t="inlineStr">
        <is>
          <t>BODEN</t>
        </is>
      </c>
      <c r="G169" t="n">
        <v>2.4</v>
      </c>
      <c r="H169" t="n">
        <v>0</v>
      </c>
      <c r="I169" t="n">
        <v>0</v>
      </c>
      <c r="J169" t="n">
        <v>0</v>
      </c>
      <c r="K169" t="n">
        <v>0</v>
      </c>
      <c r="L169" t="n">
        <v>0</v>
      </c>
      <c r="M169" t="n">
        <v>0</v>
      </c>
      <c r="N169" t="n">
        <v>0</v>
      </c>
      <c r="O169" t="n">
        <v>0</v>
      </c>
      <c r="P169" t="n">
        <v>0</v>
      </c>
      <c r="Q169" t="n">
        <v>0</v>
      </c>
      <c r="R169" s="2" t="inlineStr"/>
    </row>
    <row r="170" ht="15" customHeight="1">
      <c r="A170" t="inlineStr">
        <is>
          <t>A 20756-2021</t>
        </is>
      </c>
      <c r="B170" s="1" t="n">
        <v>44313</v>
      </c>
      <c r="C170" s="1" t="n">
        <v>45915</v>
      </c>
      <c r="D170" t="inlineStr">
        <is>
          <t>NORRBOTTENS LÄN</t>
        </is>
      </c>
      <c r="E170" t="inlineStr">
        <is>
          <t>BODEN</t>
        </is>
      </c>
      <c r="G170" t="n">
        <v>5.8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45915</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45915</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45915</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45915</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45915</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27688-2022</t>
        </is>
      </c>
      <c r="B176" s="1" t="n">
        <v>44743.43572916667</v>
      </c>
      <c r="C176" s="1" t="n">
        <v>45915</v>
      </c>
      <c r="D176" t="inlineStr">
        <is>
          <t>NORRBOTTENS LÄN</t>
        </is>
      </c>
      <c r="E176" t="inlineStr">
        <is>
          <t>BODEN</t>
        </is>
      </c>
      <c r="G176" t="n">
        <v>13.5</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45915</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48777-2020</t>
        </is>
      </c>
      <c r="B178" s="1" t="n">
        <v>44099</v>
      </c>
      <c r="C178" s="1" t="n">
        <v>45915</v>
      </c>
      <c r="D178" t="inlineStr">
        <is>
          <t>NORRBOTTENS LÄN</t>
        </is>
      </c>
      <c r="E178" t="inlineStr">
        <is>
          <t>BODEN</t>
        </is>
      </c>
      <c r="G178" t="n">
        <v>2.3</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45915</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45915</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45915</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45915</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54818-2021</t>
        </is>
      </c>
      <c r="B183" s="1" t="n">
        <v>44473</v>
      </c>
      <c r="C183" s="1" t="n">
        <v>45915</v>
      </c>
      <c r="D183" t="inlineStr">
        <is>
          <t>NORRBOTTENS LÄN</t>
        </is>
      </c>
      <c r="E183" t="inlineStr">
        <is>
          <t>BODEN</t>
        </is>
      </c>
      <c r="F183" t="inlineStr">
        <is>
          <t>SCA</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45915</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68267-2020</t>
        </is>
      </c>
      <c r="B185" s="1" t="n">
        <v>44182</v>
      </c>
      <c r="C185" s="1" t="n">
        <v>45915</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68109-2020</t>
        </is>
      </c>
      <c r="B186" s="1" t="n">
        <v>44182</v>
      </c>
      <c r="C186" s="1" t="n">
        <v>45915</v>
      </c>
      <c r="D186" t="inlineStr">
        <is>
          <t>NORRBOTTENS LÄN</t>
        </is>
      </c>
      <c r="E186" t="inlineStr">
        <is>
          <t>BODEN</t>
        </is>
      </c>
      <c r="G186" t="n">
        <v>1.1</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45915</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44820.29530092593</v>
      </c>
      <c r="C188" s="1" t="n">
        <v>45915</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10709-2022</t>
        </is>
      </c>
      <c r="B189" s="1" t="n">
        <v>44625.78322916666</v>
      </c>
      <c r="C189" s="1" t="n">
        <v>45915</v>
      </c>
      <c r="D189" t="inlineStr">
        <is>
          <t>NORRBOTTENS LÄN</t>
        </is>
      </c>
      <c r="E189" t="inlineStr">
        <is>
          <t>BODEN</t>
        </is>
      </c>
      <c r="G189" t="n">
        <v>0.4</v>
      </c>
      <c r="H189" t="n">
        <v>0</v>
      </c>
      <c r="I189" t="n">
        <v>0</v>
      </c>
      <c r="J189" t="n">
        <v>0</v>
      </c>
      <c r="K189" t="n">
        <v>0</v>
      </c>
      <c r="L189" t="n">
        <v>0</v>
      </c>
      <c r="M189" t="n">
        <v>0</v>
      </c>
      <c r="N189" t="n">
        <v>0</v>
      </c>
      <c r="O189" t="n">
        <v>0</v>
      </c>
      <c r="P189" t="n">
        <v>0</v>
      </c>
      <c r="Q189" t="n">
        <v>0</v>
      </c>
      <c r="R189" s="2" t="inlineStr"/>
    </row>
    <row r="190" ht="15" customHeight="1">
      <c r="A190" t="inlineStr">
        <is>
          <t>A 16554-2021</t>
        </is>
      </c>
      <c r="B190" s="1" t="n">
        <v>44293</v>
      </c>
      <c r="C190" s="1" t="n">
        <v>45915</v>
      </c>
      <c r="D190" t="inlineStr">
        <is>
          <t>NORRBOTTENS LÄN</t>
        </is>
      </c>
      <c r="E190" t="inlineStr">
        <is>
          <t>BODEN</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45915</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45915</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34789-2022</t>
        </is>
      </c>
      <c r="B193" s="1" t="n">
        <v>44795</v>
      </c>
      <c r="C193" s="1" t="n">
        <v>45915</v>
      </c>
      <c r="D193" t="inlineStr">
        <is>
          <t>NORRBOTTENS LÄN</t>
        </is>
      </c>
      <c r="E193" t="inlineStr">
        <is>
          <t>BODEN</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58898-2021</t>
        </is>
      </c>
      <c r="B194" s="1" t="n">
        <v>44489</v>
      </c>
      <c r="C194" s="1" t="n">
        <v>45915</v>
      </c>
      <c r="D194" t="inlineStr">
        <is>
          <t>NORRBOTTENS LÄN</t>
        </is>
      </c>
      <c r="E194" t="inlineStr">
        <is>
          <t>BODEN</t>
        </is>
      </c>
      <c r="G194" t="n">
        <v>0.7</v>
      </c>
      <c r="H194" t="n">
        <v>0</v>
      </c>
      <c r="I194" t="n">
        <v>0</v>
      </c>
      <c r="J194" t="n">
        <v>0</v>
      </c>
      <c r="K194" t="n">
        <v>0</v>
      </c>
      <c r="L194" t="n">
        <v>0</v>
      </c>
      <c r="M194" t="n">
        <v>0</v>
      </c>
      <c r="N194" t="n">
        <v>0</v>
      </c>
      <c r="O194" t="n">
        <v>0</v>
      </c>
      <c r="P194" t="n">
        <v>0</v>
      </c>
      <c r="Q194" t="n">
        <v>0</v>
      </c>
      <c r="R194" s="2" t="inlineStr"/>
    </row>
    <row r="195" ht="15" customHeight="1">
      <c r="A195" t="inlineStr">
        <is>
          <t>A 13659-2022</t>
        </is>
      </c>
      <c r="B195" s="1" t="n">
        <v>44648</v>
      </c>
      <c r="C195" s="1" t="n">
        <v>45915</v>
      </c>
      <c r="D195" t="inlineStr">
        <is>
          <t>NORRBOTTENS LÄN</t>
        </is>
      </c>
      <c r="E195" t="inlineStr">
        <is>
          <t>BODEN</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26013-2022</t>
        </is>
      </c>
      <c r="B196" s="1" t="n">
        <v>44734</v>
      </c>
      <c r="C196" s="1" t="n">
        <v>45915</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44831.94553240741</v>
      </c>
      <c r="C197" s="1" t="n">
        <v>45915</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38213-2022</t>
        </is>
      </c>
      <c r="B198" s="1" t="n">
        <v>44812.44233796297</v>
      </c>
      <c r="C198" s="1" t="n">
        <v>45915</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8889-2021</t>
        </is>
      </c>
      <c r="B199" s="1" t="n">
        <v>44248</v>
      </c>
      <c r="C199" s="1" t="n">
        <v>45915</v>
      </c>
      <c r="D199" t="inlineStr">
        <is>
          <t>NORRBOTTENS LÄN</t>
        </is>
      </c>
      <c r="E199" t="inlineStr">
        <is>
          <t>BODEN</t>
        </is>
      </c>
      <c r="G199" t="n">
        <v>3.5</v>
      </c>
      <c r="H199" t="n">
        <v>0</v>
      </c>
      <c r="I199" t="n">
        <v>0</v>
      </c>
      <c r="J199" t="n">
        <v>0</v>
      </c>
      <c r="K199" t="n">
        <v>0</v>
      </c>
      <c r="L199" t="n">
        <v>0</v>
      </c>
      <c r="M199" t="n">
        <v>0</v>
      </c>
      <c r="N199" t="n">
        <v>0</v>
      </c>
      <c r="O199" t="n">
        <v>0</v>
      </c>
      <c r="P199" t="n">
        <v>0</v>
      </c>
      <c r="Q199" t="n">
        <v>0</v>
      </c>
      <c r="R199" s="2" t="inlineStr"/>
    </row>
    <row r="200" ht="15" customHeight="1">
      <c r="A200" t="inlineStr">
        <is>
          <t>A 16531-2022</t>
        </is>
      </c>
      <c r="B200" s="1" t="n">
        <v>44671</v>
      </c>
      <c r="C200" s="1" t="n">
        <v>45915</v>
      </c>
      <c r="D200" t="inlineStr">
        <is>
          <t>NORRBOTTENS LÄN</t>
        </is>
      </c>
      <c r="E200" t="inlineStr">
        <is>
          <t>BODEN</t>
        </is>
      </c>
      <c r="G200" t="n">
        <v>2</v>
      </c>
      <c r="H200" t="n">
        <v>0</v>
      </c>
      <c r="I200" t="n">
        <v>0</v>
      </c>
      <c r="J200" t="n">
        <v>0</v>
      </c>
      <c r="K200" t="n">
        <v>0</v>
      </c>
      <c r="L200" t="n">
        <v>0</v>
      </c>
      <c r="M200" t="n">
        <v>0</v>
      </c>
      <c r="N200" t="n">
        <v>0</v>
      </c>
      <c r="O200" t="n">
        <v>0</v>
      </c>
      <c r="P200" t="n">
        <v>0</v>
      </c>
      <c r="Q200" t="n">
        <v>0</v>
      </c>
      <c r="R200" s="2" t="inlineStr"/>
    </row>
    <row r="201" ht="15" customHeight="1">
      <c r="A201" t="inlineStr">
        <is>
          <t>A 52591-2020</t>
        </is>
      </c>
      <c r="B201" s="1" t="n">
        <v>44116</v>
      </c>
      <c r="C201" s="1" t="n">
        <v>45915</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9384-2025</t>
        </is>
      </c>
      <c r="B202" s="1" t="n">
        <v>45715.34438657408</v>
      </c>
      <c r="C202" s="1" t="n">
        <v>45915</v>
      </c>
      <c r="D202" t="inlineStr">
        <is>
          <t>NORRBOTTENS LÄN</t>
        </is>
      </c>
      <c r="E202" t="inlineStr">
        <is>
          <t>BODEN</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45915</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17597-2021</t>
        </is>
      </c>
      <c r="B204" s="1" t="n">
        <v>44299</v>
      </c>
      <c r="C204" s="1" t="n">
        <v>45915</v>
      </c>
      <c r="D204" t="inlineStr">
        <is>
          <t>NORRBOTTENS LÄN</t>
        </is>
      </c>
      <c r="E204" t="inlineStr">
        <is>
          <t>BODEN</t>
        </is>
      </c>
      <c r="G204" t="n">
        <v>2.1</v>
      </c>
      <c r="H204" t="n">
        <v>0</v>
      </c>
      <c r="I204" t="n">
        <v>0</v>
      </c>
      <c r="J204" t="n">
        <v>0</v>
      </c>
      <c r="K204" t="n">
        <v>0</v>
      </c>
      <c r="L204" t="n">
        <v>0</v>
      </c>
      <c r="M204" t="n">
        <v>0</v>
      </c>
      <c r="N204" t="n">
        <v>0</v>
      </c>
      <c r="O204" t="n">
        <v>0</v>
      </c>
      <c r="P204" t="n">
        <v>0</v>
      </c>
      <c r="Q204" t="n">
        <v>0</v>
      </c>
      <c r="R204" s="2" t="inlineStr"/>
    </row>
    <row r="205" ht="15" customHeight="1">
      <c r="A205" t="inlineStr">
        <is>
          <t>A 20738-2021</t>
        </is>
      </c>
      <c r="B205" s="1" t="n">
        <v>44313</v>
      </c>
      <c r="C205" s="1" t="n">
        <v>45915</v>
      </c>
      <c r="D205" t="inlineStr">
        <is>
          <t>NORRBOTTENS LÄN</t>
        </is>
      </c>
      <c r="E205" t="inlineStr">
        <is>
          <t>BODEN</t>
        </is>
      </c>
      <c r="G205" t="n">
        <v>1.9</v>
      </c>
      <c r="H205" t="n">
        <v>0</v>
      </c>
      <c r="I205" t="n">
        <v>0</v>
      </c>
      <c r="J205" t="n">
        <v>0</v>
      </c>
      <c r="K205" t="n">
        <v>0</v>
      </c>
      <c r="L205" t="n">
        <v>0</v>
      </c>
      <c r="M205" t="n">
        <v>0</v>
      </c>
      <c r="N205" t="n">
        <v>0</v>
      </c>
      <c r="O205" t="n">
        <v>0</v>
      </c>
      <c r="P205" t="n">
        <v>0</v>
      </c>
      <c r="Q205" t="n">
        <v>0</v>
      </c>
      <c r="R205" s="2" t="inlineStr"/>
    </row>
    <row r="206" ht="15" customHeight="1">
      <c r="A206" t="inlineStr">
        <is>
          <t>A 52049-2022</t>
        </is>
      </c>
      <c r="B206" s="1" t="n">
        <v>44873.32177083333</v>
      </c>
      <c r="C206" s="1" t="n">
        <v>45915</v>
      </c>
      <c r="D206" t="inlineStr">
        <is>
          <t>NORRBOTTENS LÄN</t>
        </is>
      </c>
      <c r="E206" t="inlineStr">
        <is>
          <t>BODEN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710-2022</t>
        </is>
      </c>
      <c r="B207" s="1" t="n">
        <v>44566</v>
      </c>
      <c r="C207" s="1" t="n">
        <v>45915</v>
      </c>
      <c r="D207" t="inlineStr">
        <is>
          <t>NORRBOTTENS LÄN</t>
        </is>
      </c>
      <c r="E207" t="inlineStr">
        <is>
          <t>BODEN</t>
        </is>
      </c>
      <c r="G207" t="n">
        <v>4.6</v>
      </c>
      <c r="H207" t="n">
        <v>0</v>
      </c>
      <c r="I207" t="n">
        <v>0</v>
      </c>
      <c r="J207" t="n">
        <v>0</v>
      </c>
      <c r="K207" t="n">
        <v>0</v>
      </c>
      <c r="L207" t="n">
        <v>0</v>
      </c>
      <c r="M207" t="n">
        <v>0</v>
      </c>
      <c r="N207" t="n">
        <v>0</v>
      </c>
      <c r="O207" t="n">
        <v>0</v>
      </c>
      <c r="P207" t="n">
        <v>0</v>
      </c>
      <c r="Q207" t="n">
        <v>0</v>
      </c>
      <c r="R207" s="2" t="inlineStr"/>
    </row>
    <row r="208" ht="15" customHeight="1">
      <c r="A208" t="inlineStr">
        <is>
          <t>A 714-2022</t>
        </is>
      </c>
      <c r="B208" s="1" t="n">
        <v>44566</v>
      </c>
      <c r="C208" s="1" t="n">
        <v>45915</v>
      </c>
      <c r="D208" t="inlineStr">
        <is>
          <t>NORRBOTTENS LÄN</t>
        </is>
      </c>
      <c r="E208" t="inlineStr">
        <is>
          <t>BODEN</t>
        </is>
      </c>
      <c r="G208" t="n">
        <v>5.6</v>
      </c>
      <c r="H208" t="n">
        <v>0</v>
      </c>
      <c r="I208" t="n">
        <v>0</v>
      </c>
      <c r="J208" t="n">
        <v>0</v>
      </c>
      <c r="K208" t="n">
        <v>0</v>
      </c>
      <c r="L208" t="n">
        <v>0</v>
      </c>
      <c r="M208" t="n">
        <v>0</v>
      </c>
      <c r="N208" t="n">
        <v>0</v>
      </c>
      <c r="O208" t="n">
        <v>0</v>
      </c>
      <c r="P208" t="n">
        <v>0</v>
      </c>
      <c r="Q208" t="n">
        <v>0</v>
      </c>
      <c r="R208" s="2" t="inlineStr"/>
    </row>
    <row r="209" ht="15" customHeight="1">
      <c r="A209" t="inlineStr">
        <is>
          <t>A 6181-2022</t>
        </is>
      </c>
      <c r="B209" s="1" t="n">
        <v>44600.31258101852</v>
      </c>
      <c r="C209" s="1" t="n">
        <v>45915</v>
      </c>
      <c r="D209" t="inlineStr">
        <is>
          <t>NORRBOTTENS LÄN</t>
        </is>
      </c>
      <c r="E209" t="inlineStr">
        <is>
          <t>BODEN</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45915</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45915</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39884-2021</t>
        </is>
      </c>
      <c r="B212" s="1" t="n">
        <v>44417.69528935185</v>
      </c>
      <c r="C212" s="1" t="n">
        <v>45915</v>
      </c>
      <c r="D212" t="inlineStr">
        <is>
          <t>NORRBOTTENS LÄN</t>
        </is>
      </c>
      <c r="E212" t="inlineStr">
        <is>
          <t>BODEN</t>
        </is>
      </c>
      <c r="G212" t="n">
        <v>5.1</v>
      </c>
      <c r="H212" t="n">
        <v>0</v>
      </c>
      <c r="I212" t="n">
        <v>0</v>
      </c>
      <c r="J212" t="n">
        <v>0</v>
      </c>
      <c r="K212" t="n">
        <v>0</v>
      </c>
      <c r="L212" t="n">
        <v>0</v>
      </c>
      <c r="M212" t="n">
        <v>0</v>
      </c>
      <c r="N212" t="n">
        <v>0</v>
      </c>
      <c r="O212" t="n">
        <v>0</v>
      </c>
      <c r="P212" t="n">
        <v>0</v>
      </c>
      <c r="Q212" t="n">
        <v>0</v>
      </c>
      <c r="R212" s="2" t="inlineStr"/>
    </row>
    <row r="213" ht="15" customHeight="1">
      <c r="A213" t="inlineStr">
        <is>
          <t>A 29150-2023</t>
        </is>
      </c>
      <c r="B213" s="1" t="n">
        <v>45105</v>
      </c>
      <c r="C213" s="1" t="n">
        <v>45915</v>
      </c>
      <c r="D213" t="inlineStr">
        <is>
          <t>NORRBOTTENS LÄN</t>
        </is>
      </c>
      <c r="E213" t="inlineStr">
        <is>
          <t>BODEN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22127-2023</t>
        </is>
      </c>
      <c r="B214" s="1" t="n">
        <v>45068</v>
      </c>
      <c r="C214" s="1" t="n">
        <v>45915</v>
      </c>
      <c r="D214" t="inlineStr">
        <is>
          <t>NORRBOTTENS LÄN</t>
        </is>
      </c>
      <c r="E214" t="inlineStr">
        <is>
          <t>BODEN</t>
        </is>
      </c>
      <c r="G214" t="n">
        <v>4.1</v>
      </c>
      <c r="H214" t="n">
        <v>0</v>
      </c>
      <c r="I214" t="n">
        <v>0</v>
      </c>
      <c r="J214" t="n">
        <v>0</v>
      </c>
      <c r="K214" t="n">
        <v>0</v>
      </c>
      <c r="L214" t="n">
        <v>0</v>
      </c>
      <c r="M214" t="n">
        <v>0</v>
      </c>
      <c r="N214" t="n">
        <v>0</v>
      </c>
      <c r="O214" t="n">
        <v>0</v>
      </c>
      <c r="P214" t="n">
        <v>0</v>
      </c>
      <c r="Q214" t="n">
        <v>0</v>
      </c>
      <c r="R214" s="2" t="inlineStr"/>
    </row>
    <row r="215" ht="15" customHeight="1">
      <c r="A215" t="inlineStr">
        <is>
          <t>A 43007-2022</t>
        </is>
      </c>
      <c r="B215" s="1" t="n">
        <v>44833</v>
      </c>
      <c r="C215" s="1" t="n">
        <v>45915</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13728-2021</t>
        </is>
      </c>
      <c r="B216" s="1" t="n">
        <v>44274</v>
      </c>
      <c r="C216" s="1" t="n">
        <v>45915</v>
      </c>
      <c r="D216" t="inlineStr">
        <is>
          <t>NORRBOTTENS LÄN</t>
        </is>
      </c>
      <c r="E216" t="inlineStr">
        <is>
          <t>BODEN</t>
        </is>
      </c>
      <c r="G216" t="n">
        <v>10</v>
      </c>
      <c r="H216" t="n">
        <v>0</v>
      </c>
      <c r="I216" t="n">
        <v>0</v>
      </c>
      <c r="J216" t="n">
        <v>0</v>
      </c>
      <c r="K216" t="n">
        <v>0</v>
      </c>
      <c r="L216" t="n">
        <v>0</v>
      </c>
      <c r="M216" t="n">
        <v>0</v>
      </c>
      <c r="N216" t="n">
        <v>0</v>
      </c>
      <c r="O216" t="n">
        <v>0</v>
      </c>
      <c r="P216" t="n">
        <v>0</v>
      </c>
      <c r="Q216" t="n">
        <v>0</v>
      </c>
      <c r="R216" s="2" t="inlineStr"/>
    </row>
    <row r="217" ht="15" customHeight="1">
      <c r="A217" t="inlineStr">
        <is>
          <t>A 19623-2025</t>
        </is>
      </c>
      <c r="B217" s="1" t="n">
        <v>45770.63237268518</v>
      </c>
      <c r="C217" s="1" t="n">
        <v>45915</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54142-2023</t>
        </is>
      </c>
      <c r="B218" s="1" t="n">
        <v>45232.44363425926</v>
      </c>
      <c r="C218" s="1" t="n">
        <v>45915</v>
      </c>
      <c r="D218" t="inlineStr">
        <is>
          <t>NORRBOTTENS LÄN</t>
        </is>
      </c>
      <c r="E218" t="inlineStr">
        <is>
          <t>BODEN</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56485-2021</t>
        </is>
      </c>
      <c r="B219" s="1" t="n">
        <v>44480</v>
      </c>
      <c r="C219" s="1" t="n">
        <v>45915</v>
      </c>
      <c r="D219" t="inlineStr">
        <is>
          <t>NORRBOTTENS LÄN</t>
        </is>
      </c>
      <c r="E219" t="inlineStr">
        <is>
          <t>BODEN</t>
        </is>
      </c>
      <c r="G219" t="n">
        <v>6.1</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45915</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45915</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49410-2023</t>
        </is>
      </c>
      <c r="B222" s="1" t="n">
        <v>45211.44008101852</v>
      </c>
      <c r="C222" s="1" t="n">
        <v>45915</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45915</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45915</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19952-2025</t>
        </is>
      </c>
      <c r="B225" s="1" t="n">
        <v>45771</v>
      </c>
      <c r="C225" s="1" t="n">
        <v>45915</v>
      </c>
      <c r="D225" t="inlineStr">
        <is>
          <t>NORRBOTTENS LÄN</t>
        </is>
      </c>
      <c r="E225" t="inlineStr">
        <is>
          <t>BODEN</t>
        </is>
      </c>
      <c r="G225" t="n">
        <v>2.5</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45915</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45915</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58877-2021</t>
        </is>
      </c>
      <c r="B228" s="1" t="n">
        <v>44489</v>
      </c>
      <c r="C228" s="1" t="n">
        <v>45915</v>
      </c>
      <c r="D228" t="inlineStr">
        <is>
          <t>NORRBOTTENS LÄN</t>
        </is>
      </c>
      <c r="E228" t="inlineStr">
        <is>
          <t>BODEN</t>
        </is>
      </c>
      <c r="G228" t="n">
        <v>5.9</v>
      </c>
      <c r="H228" t="n">
        <v>0</v>
      </c>
      <c r="I228" t="n">
        <v>0</v>
      </c>
      <c r="J228" t="n">
        <v>0</v>
      </c>
      <c r="K228" t="n">
        <v>0</v>
      </c>
      <c r="L228" t="n">
        <v>0</v>
      </c>
      <c r="M228" t="n">
        <v>0</v>
      </c>
      <c r="N228" t="n">
        <v>0</v>
      </c>
      <c r="O228" t="n">
        <v>0</v>
      </c>
      <c r="P228" t="n">
        <v>0</v>
      </c>
      <c r="Q228" t="n">
        <v>0</v>
      </c>
      <c r="R228" s="2" t="inlineStr"/>
    </row>
    <row r="229" ht="15" customHeight="1">
      <c r="A229" t="inlineStr">
        <is>
          <t>A 1961-2025</t>
        </is>
      </c>
      <c r="B229" s="1" t="n">
        <v>45672</v>
      </c>
      <c r="C229" s="1" t="n">
        <v>45915</v>
      </c>
      <c r="D229" t="inlineStr">
        <is>
          <t>NORRBOTTENS LÄN</t>
        </is>
      </c>
      <c r="E229" t="inlineStr">
        <is>
          <t>BODEN</t>
        </is>
      </c>
      <c r="G229" t="n">
        <v>0.5</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45915</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19624-2025</t>
        </is>
      </c>
      <c r="B231" s="1" t="n">
        <v>45770.63423611111</v>
      </c>
      <c r="C231" s="1" t="n">
        <v>45915</v>
      </c>
      <c r="D231" t="inlineStr">
        <is>
          <t>NORRBOTTENS LÄN</t>
        </is>
      </c>
      <c r="E231" t="inlineStr">
        <is>
          <t>BODEN</t>
        </is>
      </c>
      <c r="G231" t="n">
        <v>1.2</v>
      </c>
      <c r="H231" t="n">
        <v>0</v>
      </c>
      <c r="I231" t="n">
        <v>0</v>
      </c>
      <c r="J231" t="n">
        <v>0</v>
      </c>
      <c r="K231" t="n">
        <v>0</v>
      </c>
      <c r="L231" t="n">
        <v>0</v>
      </c>
      <c r="M231" t="n">
        <v>0</v>
      </c>
      <c r="N231" t="n">
        <v>0</v>
      </c>
      <c r="O231" t="n">
        <v>0</v>
      </c>
      <c r="P231" t="n">
        <v>0</v>
      </c>
      <c r="Q231" t="n">
        <v>0</v>
      </c>
      <c r="R231" s="2" t="inlineStr"/>
    </row>
    <row r="232" ht="15" customHeight="1">
      <c r="A232" t="inlineStr">
        <is>
          <t>A 61103-2022</t>
        </is>
      </c>
      <c r="B232" s="1" t="n">
        <v>44908</v>
      </c>
      <c r="C232" s="1" t="n">
        <v>45915</v>
      </c>
      <c r="D232" t="inlineStr">
        <is>
          <t>NORRBOTTENS LÄN</t>
        </is>
      </c>
      <c r="E232" t="inlineStr">
        <is>
          <t>BODEN</t>
        </is>
      </c>
      <c r="G232" t="n">
        <v>1.4</v>
      </c>
      <c r="H232" t="n">
        <v>0</v>
      </c>
      <c r="I232" t="n">
        <v>0</v>
      </c>
      <c r="J232" t="n">
        <v>0</v>
      </c>
      <c r="K232" t="n">
        <v>0</v>
      </c>
      <c r="L232" t="n">
        <v>0</v>
      </c>
      <c r="M232" t="n">
        <v>0</v>
      </c>
      <c r="N232" t="n">
        <v>0</v>
      </c>
      <c r="O232" t="n">
        <v>0</v>
      </c>
      <c r="P232" t="n">
        <v>0</v>
      </c>
      <c r="Q232" t="n">
        <v>0</v>
      </c>
      <c r="R232" s="2" t="inlineStr"/>
    </row>
    <row r="233" ht="15" customHeight="1">
      <c r="A233" t="inlineStr">
        <is>
          <t>A 28079-2024</t>
        </is>
      </c>
      <c r="B233" s="1" t="n">
        <v>45476.58649305555</v>
      </c>
      <c r="C233" s="1" t="n">
        <v>45915</v>
      </c>
      <c r="D233" t="inlineStr">
        <is>
          <t>NORRBOTTENS LÄN</t>
        </is>
      </c>
      <c r="E233" t="inlineStr">
        <is>
          <t>BODEN</t>
        </is>
      </c>
      <c r="G233" t="n">
        <v>6</v>
      </c>
      <c r="H233" t="n">
        <v>0</v>
      </c>
      <c r="I233" t="n">
        <v>0</v>
      </c>
      <c r="J233" t="n">
        <v>0</v>
      </c>
      <c r="K233" t="n">
        <v>0</v>
      </c>
      <c r="L233" t="n">
        <v>0</v>
      </c>
      <c r="M233" t="n">
        <v>0</v>
      </c>
      <c r="N233" t="n">
        <v>0</v>
      </c>
      <c r="O233" t="n">
        <v>0</v>
      </c>
      <c r="P233" t="n">
        <v>0</v>
      </c>
      <c r="Q233" t="n">
        <v>0</v>
      </c>
      <c r="R233" s="2" t="inlineStr"/>
    </row>
    <row r="234" ht="15" customHeight="1">
      <c r="A234" t="inlineStr">
        <is>
          <t>A 28359-2023</t>
        </is>
      </c>
      <c r="B234" s="1" t="n">
        <v>45099</v>
      </c>
      <c r="C234" s="1" t="n">
        <v>45915</v>
      </c>
      <c r="D234" t="inlineStr">
        <is>
          <t>NORRBOTTENS LÄN</t>
        </is>
      </c>
      <c r="E234" t="inlineStr">
        <is>
          <t>BODEN</t>
        </is>
      </c>
      <c r="G234" t="n">
        <v>7.6</v>
      </c>
      <c r="H234" t="n">
        <v>0</v>
      </c>
      <c r="I234" t="n">
        <v>0</v>
      </c>
      <c r="J234" t="n">
        <v>0</v>
      </c>
      <c r="K234" t="n">
        <v>0</v>
      </c>
      <c r="L234" t="n">
        <v>0</v>
      </c>
      <c r="M234" t="n">
        <v>0</v>
      </c>
      <c r="N234" t="n">
        <v>0</v>
      </c>
      <c r="O234" t="n">
        <v>0</v>
      </c>
      <c r="P234" t="n">
        <v>0</v>
      </c>
      <c r="Q234" t="n">
        <v>0</v>
      </c>
      <c r="R234" s="2" t="inlineStr"/>
    </row>
    <row r="235" ht="15" customHeight="1">
      <c r="A235" t="inlineStr">
        <is>
          <t>A 37993-2024</t>
        </is>
      </c>
      <c r="B235" s="1" t="n">
        <v>45544.59535879629</v>
      </c>
      <c r="C235" s="1" t="n">
        <v>45915</v>
      </c>
      <c r="D235" t="inlineStr">
        <is>
          <t>NORRBOTTENS LÄN</t>
        </is>
      </c>
      <c r="E235" t="inlineStr">
        <is>
          <t>BODEN</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61509-2023</t>
        </is>
      </c>
      <c r="B236" s="1" t="n">
        <v>45265.27829861111</v>
      </c>
      <c r="C236" s="1" t="n">
        <v>45915</v>
      </c>
      <c r="D236" t="inlineStr">
        <is>
          <t>NORRBOTTENS LÄN</t>
        </is>
      </c>
      <c r="E236" t="inlineStr">
        <is>
          <t>BODEN</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19048-2025</t>
        </is>
      </c>
      <c r="B237" s="1" t="n">
        <v>45764</v>
      </c>
      <c r="C237" s="1" t="n">
        <v>45915</v>
      </c>
      <c r="D237" t="inlineStr">
        <is>
          <t>NORRBOTTENS LÄN</t>
        </is>
      </c>
      <c r="E237" t="inlineStr">
        <is>
          <t>BODEN</t>
        </is>
      </c>
      <c r="G237" t="n">
        <v>5.7</v>
      </c>
      <c r="H237" t="n">
        <v>0</v>
      </c>
      <c r="I237" t="n">
        <v>0</v>
      </c>
      <c r="J237" t="n">
        <v>0</v>
      </c>
      <c r="K237" t="n">
        <v>0</v>
      </c>
      <c r="L237" t="n">
        <v>0</v>
      </c>
      <c r="M237" t="n">
        <v>0</v>
      </c>
      <c r="N237" t="n">
        <v>0</v>
      </c>
      <c r="O237" t="n">
        <v>0</v>
      </c>
      <c r="P237" t="n">
        <v>0</v>
      </c>
      <c r="Q237" t="n">
        <v>0</v>
      </c>
      <c r="R237" s="2" t="inlineStr"/>
    </row>
    <row r="238" ht="15" customHeight="1">
      <c r="A238" t="inlineStr">
        <is>
          <t>A 19050-2025</t>
        </is>
      </c>
      <c r="B238" s="1" t="n">
        <v>45764</v>
      </c>
      <c r="C238" s="1" t="n">
        <v>45915</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61768-2024</t>
        </is>
      </c>
      <c r="B239" s="1" t="n">
        <v>45649.45255787037</v>
      </c>
      <c r="C239" s="1" t="n">
        <v>45915</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54236-2022</t>
        </is>
      </c>
      <c r="B240" s="1" t="n">
        <v>44881.9272337963</v>
      </c>
      <c r="C240" s="1" t="n">
        <v>45915</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9319-2024</t>
        </is>
      </c>
      <c r="B241" s="1" t="n">
        <v>45358.95780092593</v>
      </c>
      <c r="C241" s="1" t="n">
        <v>45915</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1023-2023</t>
        </is>
      </c>
      <c r="B242" s="1" t="n">
        <v>44935.46053240741</v>
      </c>
      <c r="C242" s="1" t="n">
        <v>45915</v>
      </c>
      <c r="D242" t="inlineStr">
        <is>
          <t>NORRBOTTENS LÄN</t>
        </is>
      </c>
      <c r="E242" t="inlineStr">
        <is>
          <t>BODEN</t>
        </is>
      </c>
      <c r="G242" t="n">
        <v>3.1</v>
      </c>
      <c r="H242" t="n">
        <v>0</v>
      </c>
      <c r="I242" t="n">
        <v>0</v>
      </c>
      <c r="J242" t="n">
        <v>0</v>
      </c>
      <c r="K242" t="n">
        <v>0</v>
      </c>
      <c r="L242" t="n">
        <v>0</v>
      </c>
      <c r="M242" t="n">
        <v>0</v>
      </c>
      <c r="N242" t="n">
        <v>0</v>
      </c>
      <c r="O242" t="n">
        <v>0</v>
      </c>
      <c r="P242" t="n">
        <v>0</v>
      </c>
      <c r="Q242" t="n">
        <v>0</v>
      </c>
      <c r="R242" s="2" t="inlineStr"/>
    </row>
    <row r="243" ht="15" customHeight="1">
      <c r="A243" t="inlineStr">
        <is>
          <t>A 17961-2024</t>
        </is>
      </c>
      <c r="B243" s="1" t="n">
        <v>45419.6787962963</v>
      </c>
      <c r="C243" s="1" t="n">
        <v>45915</v>
      </c>
      <c r="D243" t="inlineStr">
        <is>
          <t>NORRBOTTENS LÄN</t>
        </is>
      </c>
      <c r="E243" t="inlineStr">
        <is>
          <t>BODEN</t>
        </is>
      </c>
      <c r="G243" t="n">
        <v>5.1</v>
      </c>
      <c r="H243" t="n">
        <v>0</v>
      </c>
      <c r="I243" t="n">
        <v>0</v>
      </c>
      <c r="J243" t="n">
        <v>0</v>
      </c>
      <c r="K243" t="n">
        <v>0</v>
      </c>
      <c r="L243" t="n">
        <v>0</v>
      </c>
      <c r="M243" t="n">
        <v>0</v>
      </c>
      <c r="N243" t="n">
        <v>0</v>
      </c>
      <c r="O243" t="n">
        <v>0</v>
      </c>
      <c r="P243" t="n">
        <v>0</v>
      </c>
      <c r="Q243" t="n">
        <v>0</v>
      </c>
      <c r="R243" s="2" t="inlineStr"/>
    </row>
    <row r="244" ht="15" customHeight="1">
      <c r="A244" t="inlineStr">
        <is>
          <t>A 14801-2024</t>
        </is>
      </c>
      <c r="B244" s="1" t="n">
        <v>45397</v>
      </c>
      <c r="C244" s="1" t="n">
        <v>45915</v>
      </c>
      <c r="D244" t="inlineStr">
        <is>
          <t>NORRBOTTENS LÄN</t>
        </is>
      </c>
      <c r="E244" t="inlineStr">
        <is>
          <t>BODEN</t>
        </is>
      </c>
      <c r="G244" t="n">
        <v>1.9</v>
      </c>
      <c r="H244" t="n">
        <v>0</v>
      </c>
      <c r="I244" t="n">
        <v>0</v>
      </c>
      <c r="J244" t="n">
        <v>0</v>
      </c>
      <c r="K244" t="n">
        <v>0</v>
      </c>
      <c r="L244" t="n">
        <v>0</v>
      </c>
      <c r="M244" t="n">
        <v>0</v>
      </c>
      <c r="N244" t="n">
        <v>0</v>
      </c>
      <c r="O244" t="n">
        <v>0</v>
      </c>
      <c r="P244" t="n">
        <v>0</v>
      </c>
      <c r="Q244" t="n">
        <v>0</v>
      </c>
      <c r="R244" s="2" t="inlineStr"/>
    </row>
    <row r="245" ht="15" customHeight="1">
      <c r="A245" t="inlineStr">
        <is>
          <t>A 14802-2024</t>
        </is>
      </c>
      <c r="B245" s="1" t="n">
        <v>45397</v>
      </c>
      <c r="C245" s="1" t="n">
        <v>45915</v>
      </c>
      <c r="D245" t="inlineStr">
        <is>
          <t>NORRBOTTENS LÄN</t>
        </is>
      </c>
      <c r="E245" t="inlineStr">
        <is>
          <t>BODEN</t>
        </is>
      </c>
      <c r="G245" t="n">
        <v>1.6</v>
      </c>
      <c r="H245" t="n">
        <v>0</v>
      </c>
      <c r="I245" t="n">
        <v>0</v>
      </c>
      <c r="J245" t="n">
        <v>0</v>
      </c>
      <c r="K245" t="n">
        <v>0</v>
      </c>
      <c r="L245" t="n">
        <v>0</v>
      </c>
      <c r="M245" t="n">
        <v>0</v>
      </c>
      <c r="N245" t="n">
        <v>0</v>
      </c>
      <c r="O245" t="n">
        <v>0</v>
      </c>
      <c r="P245" t="n">
        <v>0</v>
      </c>
      <c r="Q245" t="n">
        <v>0</v>
      </c>
      <c r="R245" s="2" t="inlineStr"/>
    </row>
    <row r="246" ht="15" customHeight="1">
      <c r="A246" t="inlineStr">
        <is>
          <t>A 60587-2024</t>
        </is>
      </c>
      <c r="B246" s="1" t="n">
        <v>45642</v>
      </c>
      <c r="C246" s="1" t="n">
        <v>45915</v>
      </c>
      <c r="D246" t="inlineStr">
        <is>
          <t>NORRBOTTENS LÄN</t>
        </is>
      </c>
      <c r="E246" t="inlineStr">
        <is>
          <t>BODEN</t>
        </is>
      </c>
      <c r="G246" t="n">
        <v>5.2</v>
      </c>
      <c r="H246" t="n">
        <v>0</v>
      </c>
      <c r="I246" t="n">
        <v>0</v>
      </c>
      <c r="J246" t="n">
        <v>0</v>
      </c>
      <c r="K246" t="n">
        <v>0</v>
      </c>
      <c r="L246" t="n">
        <v>0</v>
      </c>
      <c r="M246" t="n">
        <v>0</v>
      </c>
      <c r="N246" t="n">
        <v>0</v>
      </c>
      <c r="O246" t="n">
        <v>0</v>
      </c>
      <c r="P246" t="n">
        <v>0</v>
      </c>
      <c r="Q246" t="n">
        <v>0</v>
      </c>
      <c r="R246" s="2" t="inlineStr"/>
    </row>
    <row r="247" ht="15" customHeight="1">
      <c r="A247" t="inlineStr">
        <is>
          <t>A 1081-2024</t>
        </is>
      </c>
      <c r="B247" s="1" t="n">
        <v>45301</v>
      </c>
      <c r="C247" s="1" t="n">
        <v>45915</v>
      </c>
      <c r="D247" t="inlineStr">
        <is>
          <t>NORRBOTTENS LÄN</t>
        </is>
      </c>
      <c r="E247" t="inlineStr">
        <is>
          <t>BODEN</t>
        </is>
      </c>
      <c r="F247" t="inlineStr">
        <is>
          <t>Övriga statliga verk och myndigheter</t>
        </is>
      </c>
      <c r="G247" t="n">
        <v>10.4</v>
      </c>
      <c r="H247" t="n">
        <v>0</v>
      </c>
      <c r="I247" t="n">
        <v>0</v>
      </c>
      <c r="J247" t="n">
        <v>0</v>
      </c>
      <c r="K247" t="n">
        <v>0</v>
      </c>
      <c r="L247" t="n">
        <v>0</v>
      </c>
      <c r="M247" t="n">
        <v>0</v>
      </c>
      <c r="N247" t="n">
        <v>0</v>
      </c>
      <c r="O247" t="n">
        <v>0</v>
      </c>
      <c r="P247" t="n">
        <v>0</v>
      </c>
      <c r="Q247" t="n">
        <v>0</v>
      </c>
      <c r="R247" s="2" t="inlineStr"/>
    </row>
    <row r="248" ht="15" customHeight="1">
      <c r="A248" t="inlineStr">
        <is>
          <t>A 59584-2023</t>
        </is>
      </c>
      <c r="B248" s="1" t="n">
        <v>45254</v>
      </c>
      <c r="C248" s="1" t="n">
        <v>45915</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25575-2024</t>
        </is>
      </c>
      <c r="B249" s="1" t="n">
        <v>45463.58862268519</v>
      </c>
      <c r="C249" s="1" t="n">
        <v>45915</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13925-2024</t>
        </is>
      </c>
      <c r="B250" s="1" t="n">
        <v>45391.93160879629</v>
      </c>
      <c r="C250" s="1" t="n">
        <v>45915</v>
      </c>
      <c r="D250" t="inlineStr">
        <is>
          <t>NORRBOTTENS LÄN</t>
        </is>
      </c>
      <c r="E250" t="inlineStr">
        <is>
          <t>BODEN</t>
        </is>
      </c>
      <c r="G250" t="n">
        <v>1.1</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45915</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45915</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16700-2024</t>
        </is>
      </c>
      <c r="B253" s="1" t="n">
        <v>45408.96738425926</v>
      </c>
      <c r="C253" s="1" t="n">
        <v>45915</v>
      </c>
      <c r="D253" t="inlineStr">
        <is>
          <t>NORRBOTTENS LÄN</t>
        </is>
      </c>
      <c r="E253" t="inlineStr">
        <is>
          <t>BODEN</t>
        </is>
      </c>
      <c r="G253" t="n">
        <v>1.3</v>
      </c>
      <c r="H253" t="n">
        <v>0</v>
      </c>
      <c r="I253" t="n">
        <v>0</v>
      </c>
      <c r="J253" t="n">
        <v>0</v>
      </c>
      <c r="K253" t="n">
        <v>0</v>
      </c>
      <c r="L253" t="n">
        <v>0</v>
      </c>
      <c r="M253" t="n">
        <v>0</v>
      </c>
      <c r="N253" t="n">
        <v>0</v>
      </c>
      <c r="O253" t="n">
        <v>0</v>
      </c>
      <c r="P253" t="n">
        <v>0</v>
      </c>
      <c r="Q253" t="n">
        <v>0</v>
      </c>
      <c r="R253" s="2" t="inlineStr"/>
    </row>
    <row r="254" ht="15" customHeight="1">
      <c r="A254" t="inlineStr">
        <is>
          <t>A 30299-2023</t>
        </is>
      </c>
      <c r="B254" s="1" t="n">
        <v>45110</v>
      </c>
      <c r="C254" s="1" t="n">
        <v>45915</v>
      </c>
      <c r="D254" t="inlineStr">
        <is>
          <t>NORRBOTTENS LÄN</t>
        </is>
      </c>
      <c r="E254" t="inlineStr">
        <is>
          <t>BODEN</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21349-2025</t>
        </is>
      </c>
      <c r="B255" s="1" t="n">
        <v>45782.40684027778</v>
      </c>
      <c r="C255" s="1" t="n">
        <v>45915</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68569-2021</t>
        </is>
      </c>
      <c r="B256" s="1" t="n">
        <v>44529</v>
      </c>
      <c r="C256" s="1" t="n">
        <v>45915</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10921-2024</t>
        </is>
      </c>
      <c r="B257" s="1" t="n">
        <v>45370</v>
      </c>
      <c r="C257" s="1" t="n">
        <v>45915</v>
      </c>
      <c r="D257" t="inlineStr">
        <is>
          <t>NORRBOTTENS LÄN</t>
        </is>
      </c>
      <c r="E257" t="inlineStr">
        <is>
          <t>BODEN</t>
        </is>
      </c>
      <c r="G257" t="n">
        <v>2</v>
      </c>
      <c r="H257" t="n">
        <v>0</v>
      </c>
      <c r="I257" t="n">
        <v>0</v>
      </c>
      <c r="J257" t="n">
        <v>0</v>
      </c>
      <c r="K257" t="n">
        <v>0</v>
      </c>
      <c r="L257" t="n">
        <v>0</v>
      </c>
      <c r="M257" t="n">
        <v>0</v>
      </c>
      <c r="N257" t="n">
        <v>0</v>
      </c>
      <c r="O257" t="n">
        <v>0</v>
      </c>
      <c r="P257" t="n">
        <v>0</v>
      </c>
      <c r="Q257" t="n">
        <v>0</v>
      </c>
      <c r="R257" s="2" t="inlineStr"/>
    </row>
    <row r="258" ht="15" customHeight="1">
      <c r="A258" t="inlineStr">
        <is>
          <t>A 21329-2024</t>
        </is>
      </c>
      <c r="B258" s="1" t="n">
        <v>45440.84460648148</v>
      </c>
      <c r="C258" s="1" t="n">
        <v>45915</v>
      </c>
      <c r="D258" t="inlineStr">
        <is>
          <t>NORRBOTTENS LÄN</t>
        </is>
      </c>
      <c r="E258" t="inlineStr">
        <is>
          <t>BODEN</t>
        </is>
      </c>
      <c r="G258" t="n">
        <v>2.7</v>
      </c>
      <c r="H258" t="n">
        <v>0</v>
      </c>
      <c r="I258" t="n">
        <v>0</v>
      </c>
      <c r="J258" t="n">
        <v>0</v>
      </c>
      <c r="K258" t="n">
        <v>0</v>
      </c>
      <c r="L258" t="n">
        <v>0</v>
      </c>
      <c r="M258" t="n">
        <v>0</v>
      </c>
      <c r="N258" t="n">
        <v>0</v>
      </c>
      <c r="O258" t="n">
        <v>0</v>
      </c>
      <c r="P258" t="n">
        <v>0</v>
      </c>
      <c r="Q258" t="n">
        <v>0</v>
      </c>
      <c r="R258" s="2" t="inlineStr"/>
    </row>
    <row r="259" ht="15" customHeight="1">
      <c r="A259" t="inlineStr">
        <is>
          <t>A 21335-2024</t>
        </is>
      </c>
      <c r="B259" s="1" t="n">
        <v>45429</v>
      </c>
      <c r="C259" s="1" t="n">
        <v>45915</v>
      </c>
      <c r="D259" t="inlineStr">
        <is>
          <t>NORRBOTTENS LÄN</t>
        </is>
      </c>
      <c r="E259" t="inlineStr">
        <is>
          <t>BODEN</t>
        </is>
      </c>
      <c r="G259" t="n">
        <v>3</v>
      </c>
      <c r="H259" t="n">
        <v>0</v>
      </c>
      <c r="I259" t="n">
        <v>0</v>
      </c>
      <c r="J259" t="n">
        <v>0</v>
      </c>
      <c r="K259" t="n">
        <v>0</v>
      </c>
      <c r="L259" t="n">
        <v>0</v>
      </c>
      <c r="M259" t="n">
        <v>0</v>
      </c>
      <c r="N259" t="n">
        <v>0</v>
      </c>
      <c r="O259" t="n">
        <v>0</v>
      </c>
      <c r="P259" t="n">
        <v>0</v>
      </c>
      <c r="Q259" t="n">
        <v>0</v>
      </c>
      <c r="R259" s="2" t="inlineStr"/>
    </row>
    <row r="260" ht="15" customHeight="1">
      <c r="A260" t="inlineStr">
        <is>
          <t>A 39272-2024</t>
        </is>
      </c>
      <c r="B260" s="1" t="n">
        <v>45551.34525462963</v>
      </c>
      <c r="C260" s="1" t="n">
        <v>45915</v>
      </c>
      <c r="D260" t="inlineStr">
        <is>
          <t>NORRBOTTENS LÄN</t>
        </is>
      </c>
      <c r="E260" t="inlineStr">
        <is>
          <t>BODEN</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56111-2021</t>
        </is>
      </c>
      <c r="B261" s="1" t="n">
        <v>44477</v>
      </c>
      <c r="C261" s="1" t="n">
        <v>45915</v>
      </c>
      <c r="D261" t="inlineStr">
        <is>
          <t>NORRBOTTENS LÄN</t>
        </is>
      </c>
      <c r="E261" t="inlineStr">
        <is>
          <t>BODEN</t>
        </is>
      </c>
      <c r="G261" t="n">
        <v>2.3</v>
      </c>
      <c r="H261" t="n">
        <v>0</v>
      </c>
      <c r="I261" t="n">
        <v>0</v>
      </c>
      <c r="J261" t="n">
        <v>0</v>
      </c>
      <c r="K261" t="n">
        <v>0</v>
      </c>
      <c r="L261" t="n">
        <v>0</v>
      </c>
      <c r="M261" t="n">
        <v>0</v>
      </c>
      <c r="N261" t="n">
        <v>0</v>
      </c>
      <c r="O261" t="n">
        <v>0</v>
      </c>
      <c r="P261" t="n">
        <v>0</v>
      </c>
      <c r="Q261" t="n">
        <v>0</v>
      </c>
      <c r="R261" s="2" t="inlineStr"/>
    </row>
    <row r="262" ht="15" customHeight="1">
      <c r="A262" t="inlineStr">
        <is>
          <t>A 37866-2024</t>
        </is>
      </c>
      <c r="B262" s="1" t="n">
        <v>45544.39978009259</v>
      </c>
      <c r="C262" s="1" t="n">
        <v>45915</v>
      </c>
      <c r="D262" t="inlineStr">
        <is>
          <t>NORRBOTTENS LÄN</t>
        </is>
      </c>
      <c r="E262" t="inlineStr">
        <is>
          <t>BODEN</t>
        </is>
      </c>
      <c r="G262" t="n">
        <v>4.5</v>
      </c>
      <c r="H262" t="n">
        <v>0</v>
      </c>
      <c r="I262" t="n">
        <v>0</v>
      </c>
      <c r="J262" t="n">
        <v>0</v>
      </c>
      <c r="K262" t="n">
        <v>0</v>
      </c>
      <c r="L262" t="n">
        <v>0</v>
      </c>
      <c r="M262" t="n">
        <v>0</v>
      </c>
      <c r="N262" t="n">
        <v>0</v>
      </c>
      <c r="O262" t="n">
        <v>0</v>
      </c>
      <c r="P262" t="n">
        <v>0</v>
      </c>
      <c r="Q262" t="n">
        <v>0</v>
      </c>
      <c r="R262" s="2" t="inlineStr"/>
    </row>
    <row r="263" ht="15" customHeight="1">
      <c r="A263" t="inlineStr">
        <is>
          <t>A 37976-2024</t>
        </is>
      </c>
      <c r="B263" s="1" t="n">
        <v>45544.57657407408</v>
      </c>
      <c r="C263" s="1" t="n">
        <v>45915</v>
      </c>
      <c r="D263" t="inlineStr">
        <is>
          <t>NORRBOTTENS LÄN</t>
        </is>
      </c>
      <c r="E263" t="inlineStr">
        <is>
          <t>BODEN</t>
        </is>
      </c>
      <c r="G263" t="n">
        <v>0.8</v>
      </c>
      <c r="H263" t="n">
        <v>0</v>
      </c>
      <c r="I263" t="n">
        <v>0</v>
      </c>
      <c r="J263" t="n">
        <v>0</v>
      </c>
      <c r="K263" t="n">
        <v>0</v>
      </c>
      <c r="L263" t="n">
        <v>0</v>
      </c>
      <c r="M263" t="n">
        <v>0</v>
      </c>
      <c r="N263" t="n">
        <v>0</v>
      </c>
      <c r="O263" t="n">
        <v>0</v>
      </c>
      <c r="P263" t="n">
        <v>0</v>
      </c>
      <c r="Q263" t="n">
        <v>0</v>
      </c>
      <c r="R263" s="2" t="inlineStr"/>
    </row>
    <row r="264" ht="15" customHeight="1">
      <c r="A264" t="inlineStr">
        <is>
          <t>A 44553-2024</t>
        </is>
      </c>
      <c r="B264" s="1" t="n">
        <v>45574.46930555555</v>
      </c>
      <c r="C264" s="1" t="n">
        <v>45915</v>
      </c>
      <c r="D264" t="inlineStr">
        <is>
          <t>NORRBOTTENS LÄN</t>
        </is>
      </c>
      <c r="E264" t="inlineStr">
        <is>
          <t>BODEN</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44567-2024</t>
        </is>
      </c>
      <c r="B265" s="1" t="n">
        <v>45574</v>
      </c>
      <c r="C265" s="1" t="n">
        <v>45915</v>
      </c>
      <c r="D265" t="inlineStr">
        <is>
          <t>NORRBOTTENS LÄN</t>
        </is>
      </c>
      <c r="E265" t="inlineStr">
        <is>
          <t>BODEN</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45915</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64649-2023</t>
        </is>
      </c>
      <c r="B267" s="1" t="n">
        <v>45281.57570601852</v>
      </c>
      <c r="C267" s="1" t="n">
        <v>45915</v>
      </c>
      <c r="D267" t="inlineStr">
        <is>
          <t>NORRBOTTENS LÄN</t>
        </is>
      </c>
      <c r="E267" t="inlineStr">
        <is>
          <t>BODEN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68611-2021</t>
        </is>
      </c>
      <c r="B268" s="1" t="n">
        <v>44529</v>
      </c>
      <c r="C268" s="1" t="n">
        <v>45915</v>
      </c>
      <c r="D268" t="inlineStr">
        <is>
          <t>NORRBOTTENS LÄN</t>
        </is>
      </c>
      <c r="E268" t="inlineStr">
        <is>
          <t>BODEN</t>
        </is>
      </c>
      <c r="G268" t="n">
        <v>1.9</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45915</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45915</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37384-2023</t>
        </is>
      </c>
      <c r="B271" s="1" t="n">
        <v>45156</v>
      </c>
      <c r="C271" s="1" t="n">
        <v>45915</v>
      </c>
      <c r="D271" t="inlineStr">
        <is>
          <t>NORRBOTTENS LÄN</t>
        </is>
      </c>
      <c r="E271" t="inlineStr">
        <is>
          <t>BODEN</t>
        </is>
      </c>
      <c r="G271" t="n">
        <v>7</v>
      </c>
      <c r="H271" t="n">
        <v>0</v>
      </c>
      <c r="I271" t="n">
        <v>0</v>
      </c>
      <c r="J271" t="n">
        <v>0</v>
      </c>
      <c r="K271" t="n">
        <v>0</v>
      </c>
      <c r="L271" t="n">
        <v>0</v>
      </c>
      <c r="M271" t="n">
        <v>0</v>
      </c>
      <c r="N271" t="n">
        <v>0</v>
      </c>
      <c r="O271" t="n">
        <v>0</v>
      </c>
      <c r="P271" t="n">
        <v>0</v>
      </c>
      <c r="Q271" t="n">
        <v>0</v>
      </c>
      <c r="R271" s="2" t="inlineStr"/>
    </row>
    <row r="272" ht="15" customHeight="1">
      <c r="A272" t="inlineStr">
        <is>
          <t>A 9596-2023</t>
        </is>
      </c>
      <c r="B272" s="1" t="n">
        <v>44983</v>
      </c>
      <c r="C272" s="1" t="n">
        <v>45915</v>
      </c>
      <c r="D272" t="inlineStr">
        <is>
          <t>NORRBOTTENS LÄN</t>
        </is>
      </c>
      <c r="E272" t="inlineStr">
        <is>
          <t>BODEN</t>
        </is>
      </c>
      <c r="G272" t="n">
        <v>37.1</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45915</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54718-2024</t>
        </is>
      </c>
      <c r="B274" s="1" t="n">
        <v>45618.43688657408</v>
      </c>
      <c r="C274" s="1" t="n">
        <v>45915</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22372-2025</t>
        </is>
      </c>
      <c r="B275" s="1" t="n">
        <v>45786</v>
      </c>
      <c r="C275" s="1" t="n">
        <v>45915</v>
      </c>
      <c r="D275" t="inlineStr">
        <is>
          <t>NORRBOTTENS LÄN</t>
        </is>
      </c>
      <c r="E275" t="inlineStr">
        <is>
          <t>BODEN</t>
        </is>
      </c>
      <c r="F275" t="inlineStr">
        <is>
          <t>Kommuner</t>
        </is>
      </c>
      <c r="G275" t="n">
        <v>16.3</v>
      </c>
      <c r="H275" t="n">
        <v>0</v>
      </c>
      <c r="I275" t="n">
        <v>0</v>
      </c>
      <c r="J275" t="n">
        <v>0</v>
      </c>
      <c r="K275" t="n">
        <v>0</v>
      </c>
      <c r="L275" t="n">
        <v>0</v>
      </c>
      <c r="M275" t="n">
        <v>0</v>
      </c>
      <c r="N275" t="n">
        <v>0</v>
      </c>
      <c r="O275" t="n">
        <v>0</v>
      </c>
      <c r="P275" t="n">
        <v>0</v>
      </c>
      <c r="Q275" t="n">
        <v>0</v>
      </c>
      <c r="R275" s="2" t="inlineStr"/>
    </row>
    <row r="276" ht="15" customHeight="1">
      <c r="A276" t="inlineStr">
        <is>
          <t>A 36115-2023</t>
        </is>
      </c>
      <c r="B276" s="1" t="n">
        <v>45149</v>
      </c>
      <c r="C276" s="1" t="n">
        <v>45915</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36610-2023</t>
        </is>
      </c>
      <c r="B277" s="1" t="n">
        <v>45152</v>
      </c>
      <c r="C277" s="1" t="n">
        <v>45915</v>
      </c>
      <c r="D277" t="inlineStr">
        <is>
          <t>NORRBOTTENS LÄN</t>
        </is>
      </c>
      <c r="E277" t="inlineStr">
        <is>
          <t>BODEN</t>
        </is>
      </c>
      <c r="G277" t="n">
        <v>5.9</v>
      </c>
      <c r="H277" t="n">
        <v>0</v>
      </c>
      <c r="I277" t="n">
        <v>0</v>
      </c>
      <c r="J277" t="n">
        <v>0</v>
      </c>
      <c r="K277" t="n">
        <v>0</v>
      </c>
      <c r="L277" t="n">
        <v>0</v>
      </c>
      <c r="M277" t="n">
        <v>0</v>
      </c>
      <c r="N277" t="n">
        <v>0</v>
      </c>
      <c r="O277" t="n">
        <v>0</v>
      </c>
      <c r="P277" t="n">
        <v>0</v>
      </c>
      <c r="Q277" t="n">
        <v>0</v>
      </c>
      <c r="R277" s="2" t="inlineStr"/>
    </row>
    <row r="278" ht="15" customHeight="1">
      <c r="A278" t="inlineStr">
        <is>
          <t>A 46183-2021</t>
        </is>
      </c>
      <c r="B278" s="1" t="n">
        <v>44441</v>
      </c>
      <c r="C278" s="1" t="n">
        <v>45915</v>
      </c>
      <c r="D278" t="inlineStr">
        <is>
          <t>NORRBOTTENS LÄN</t>
        </is>
      </c>
      <c r="E278" t="inlineStr">
        <is>
          <t>BODEN</t>
        </is>
      </c>
      <c r="G278" t="n">
        <v>13.6</v>
      </c>
      <c r="H278" t="n">
        <v>0</v>
      </c>
      <c r="I278" t="n">
        <v>0</v>
      </c>
      <c r="J278" t="n">
        <v>0</v>
      </c>
      <c r="K278" t="n">
        <v>0</v>
      </c>
      <c r="L278" t="n">
        <v>0</v>
      </c>
      <c r="M278" t="n">
        <v>0</v>
      </c>
      <c r="N278" t="n">
        <v>0</v>
      </c>
      <c r="O278" t="n">
        <v>0</v>
      </c>
      <c r="P278" t="n">
        <v>0</v>
      </c>
      <c r="Q278" t="n">
        <v>0</v>
      </c>
      <c r="R278" s="2" t="inlineStr"/>
    </row>
    <row r="279" ht="15" customHeight="1">
      <c r="A279" t="inlineStr">
        <is>
          <t>A 51614-2024</t>
        </is>
      </c>
      <c r="B279" s="1" t="n">
        <v>45604.69282407407</v>
      </c>
      <c r="C279" s="1" t="n">
        <v>45915</v>
      </c>
      <c r="D279" t="inlineStr">
        <is>
          <t>NORRBOTTENS LÄN</t>
        </is>
      </c>
      <c r="E279" t="inlineStr">
        <is>
          <t>BODEN</t>
        </is>
      </c>
      <c r="G279" t="n">
        <v>2.2</v>
      </c>
      <c r="H279" t="n">
        <v>0</v>
      </c>
      <c r="I279" t="n">
        <v>0</v>
      </c>
      <c r="J279" t="n">
        <v>0</v>
      </c>
      <c r="K279" t="n">
        <v>0</v>
      </c>
      <c r="L279" t="n">
        <v>0</v>
      </c>
      <c r="M279" t="n">
        <v>0</v>
      </c>
      <c r="N279" t="n">
        <v>0</v>
      </c>
      <c r="O279" t="n">
        <v>0</v>
      </c>
      <c r="P279" t="n">
        <v>0</v>
      </c>
      <c r="Q279" t="n">
        <v>0</v>
      </c>
      <c r="R279" s="2" t="inlineStr"/>
    </row>
    <row r="280" ht="15" customHeight="1">
      <c r="A280" t="inlineStr">
        <is>
          <t>A 34021-2021</t>
        </is>
      </c>
      <c r="B280" s="1" t="n">
        <v>44378</v>
      </c>
      <c r="C280" s="1" t="n">
        <v>45915</v>
      </c>
      <c r="D280" t="inlineStr">
        <is>
          <t>NORRBOTTENS LÄN</t>
        </is>
      </c>
      <c r="E280" t="inlineStr">
        <is>
          <t>BODEN</t>
        </is>
      </c>
      <c r="G280" t="n">
        <v>2</v>
      </c>
      <c r="H280" t="n">
        <v>0</v>
      </c>
      <c r="I280" t="n">
        <v>0</v>
      </c>
      <c r="J280" t="n">
        <v>0</v>
      </c>
      <c r="K280" t="n">
        <v>0</v>
      </c>
      <c r="L280" t="n">
        <v>0</v>
      </c>
      <c r="M280" t="n">
        <v>0</v>
      </c>
      <c r="N280" t="n">
        <v>0</v>
      </c>
      <c r="O280" t="n">
        <v>0</v>
      </c>
      <c r="P280" t="n">
        <v>0</v>
      </c>
      <c r="Q280" t="n">
        <v>0</v>
      </c>
      <c r="R280" s="2" t="inlineStr"/>
    </row>
    <row r="281" ht="15" customHeight="1">
      <c r="A281" t="inlineStr">
        <is>
          <t>A 452-2022</t>
        </is>
      </c>
      <c r="B281" s="1" t="n">
        <v>44565</v>
      </c>
      <c r="C281" s="1" t="n">
        <v>45915</v>
      </c>
      <c r="D281" t="inlineStr">
        <is>
          <t>NORRBOTTENS LÄN</t>
        </is>
      </c>
      <c r="E281" t="inlineStr">
        <is>
          <t>BODEN</t>
        </is>
      </c>
      <c r="G281" t="n">
        <v>3.7</v>
      </c>
      <c r="H281" t="n">
        <v>0</v>
      </c>
      <c r="I281" t="n">
        <v>0</v>
      </c>
      <c r="J281" t="n">
        <v>0</v>
      </c>
      <c r="K281" t="n">
        <v>0</v>
      </c>
      <c r="L281" t="n">
        <v>0</v>
      </c>
      <c r="M281" t="n">
        <v>0</v>
      </c>
      <c r="N281" t="n">
        <v>0</v>
      </c>
      <c r="O281" t="n">
        <v>0</v>
      </c>
      <c r="P281" t="n">
        <v>0</v>
      </c>
      <c r="Q281" t="n">
        <v>0</v>
      </c>
      <c r="R281" s="2" t="inlineStr"/>
    </row>
    <row r="282" ht="15" customHeight="1">
      <c r="A282" t="inlineStr">
        <is>
          <t>A 26359-2022</t>
        </is>
      </c>
      <c r="B282" s="1" t="n">
        <v>44735</v>
      </c>
      <c r="C282" s="1" t="n">
        <v>45915</v>
      </c>
      <c r="D282" t="inlineStr">
        <is>
          <t>NORRBOTTENS LÄN</t>
        </is>
      </c>
      <c r="E282" t="inlineStr">
        <is>
          <t>BODEN</t>
        </is>
      </c>
      <c r="F282" t="inlineStr">
        <is>
          <t>Sveaskog</t>
        </is>
      </c>
      <c r="G282" t="n">
        <v>11.4</v>
      </c>
      <c r="H282" t="n">
        <v>0</v>
      </c>
      <c r="I282" t="n">
        <v>0</v>
      </c>
      <c r="J282" t="n">
        <v>0</v>
      </c>
      <c r="K282" t="n">
        <v>0</v>
      </c>
      <c r="L282" t="n">
        <v>0</v>
      </c>
      <c r="M282" t="n">
        <v>0</v>
      </c>
      <c r="N282" t="n">
        <v>0</v>
      </c>
      <c r="O282" t="n">
        <v>0</v>
      </c>
      <c r="P282" t="n">
        <v>0</v>
      </c>
      <c r="Q282" t="n">
        <v>0</v>
      </c>
      <c r="R282" s="2" t="inlineStr"/>
    </row>
    <row r="283" ht="15" customHeight="1">
      <c r="A283" t="inlineStr">
        <is>
          <t>A 45189-2021</t>
        </is>
      </c>
      <c r="B283" s="1" t="n">
        <v>44439</v>
      </c>
      <c r="C283" s="1" t="n">
        <v>45915</v>
      </c>
      <c r="D283" t="inlineStr">
        <is>
          <t>NORRBOTTENS LÄN</t>
        </is>
      </c>
      <c r="E283" t="inlineStr">
        <is>
          <t>BODEN</t>
        </is>
      </c>
      <c r="G283" t="n">
        <v>1</v>
      </c>
      <c r="H283" t="n">
        <v>0</v>
      </c>
      <c r="I283" t="n">
        <v>0</v>
      </c>
      <c r="J283" t="n">
        <v>0</v>
      </c>
      <c r="K283" t="n">
        <v>0</v>
      </c>
      <c r="L283" t="n">
        <v>0</v>
      </c>
      <c r="M283" t="n">
        <v>0</v>
      </c>
      <c r="N283" t="n">
        <v>0</v>
      </c>
      <c r="O283" t="n">
        <v>0</v>
      </c>
      <c r="P283" t="n">
        <v>0</v>
      </c>
      <c r="Q283" t="n">
        <v>0</v>
      </c>
      <c r="R283" s="2" t="inlineStr"/>
    </row>
    <row r="284" ht="15" customHeight="1">
      <c r="A284" t="inlineStr">
        <is>
          <t>A 20028-2025</t>
        </is>
      </c>
      <c r="B284" s="1" t="n">
        <v>45772.35200231482</v>
      </c>
      <c r="C284" s="1" t="n">
        <v>45915</v>
      </c>
      <c r="D284" t="inlineStr">
        <is>
          <t>NORRBOTTENS LÄN</t>
        </is>
      </c>
      <c r="E284" t="inlineStr">
        <is>
          <t>BODEN</t>
        </is>
      </c>
      <c r="G284" t="n">
        <v>2.4</v>
      </c>
      <c r="H284" t="n">
        <v>0</v>
      </c>
      <c r="I284" t="n">
        <v>0</v>
      </c>
      <c r="J284" t="n">
        <v>0</v>
      </c>
      <c r="K284" t="n">
        <v>0</v>
      </c>
      <c r="L284" t="n">
        <v>0</v>
      </c>
      <c r="M284" t="n">
        <v>0</v>
      </c>
      <c r="N284" t="n">
        <v>0</v>
      </c>
      <c r="O284" t="n">
        <v>0</v>
      </c>
      <c r="P284" t="n">
        <v>0</v>
      </c>
      <c r="Q284" t="n">
        <v>0</v>
      </c>
      <c r="R284" s="2" t="inlineStr"/>
    </row>
    <row r="285" ht="15" customHeight="1">
      <c r="A285" t="inlineStr">
        <is>
          <t>A 20041-2025</t>
        </is>
      </c>
      <c r="B285" s="1" t="n">
        <v>45772.37400462963</v>
      </c>
      <c r="C285" s="1" t="n">
        <v>45915</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60337-2024</t>
        </is>
      </c>
      <c r="B286" s="1" t="n">
        <v>45643.40710648148</v>
      </c>
      <c r="C286" s="1" t="n">
        <v>45915</v>
      </c>
      <c r="D286" t="inlineStr">
        <is>
          <t>NORRBOTTENS LÄN</t>
        </is>
      </c>
      <c r="E286" t="inlineStr">
        <is>
          <t>BODEN</t>
        </is>
      </c>
      <c r="G286" t="n">
        <v>8</v>
      </c>
      <c r="H286" t="n">
        <v>0</v>
      </c>
      <c r="I286" t="n">
        <v>0</v>
      </c>
      <c r="J286" t="n">
        <v>0</v>
      </c>
      <c r="K286" t="n">
        <v>0</v>
      </c>
      <c r="L286" t="n">
        <v>0</v>
      </c>
      <c r="M286" t="n">
        <v>0</v>
      </c>
      <c r="N286" t="n">
        <v>0</v>
      </c>
      <c r="O286" t="n">
        <v>0</v>
      </c>
      <c r="P286" t="n">
        <v>0</v>
      </c>
      <c r="Q286" t="n">
        <v>0</v>
      </c>
      <c r="R286" s="2" t="inlineStr"/>
    </row>
    <row r="287" ht="15" customHeight="1">
      <c r="A287" t="inlineStr">
        <is>
          <t>A 61600-2024</t>
        </is>
      </c>
      <c r="B287" s="1" t="n">
        <v>45646.63835648148</v>
      </c>
      <c r="C287" s="1" t="n">
        <v>45915</v>
      </c>
      <c r="D287" t="inlineStr">
        <is>
          <t>NORRBOTTENS LÄN</t>
        </is>
      </c>
      <c r="E287" t="inlineStr">
        <is>
          <t>BODEN</t>
        </is>
      </c>
      <c r="G287" t="n">
        <v>4.3</v>
      </c>
      <c r="H287" t="n">
        <v>0</v>
      </c>
      <c r="I287" t="n">
        <v>0</v>
      </c>
      <c r="J287" t="n">
        <v>0</v>
      </c>
      <c r="K287" t="n">
        <v>0</v>
      </c>
      <c r="L287" t="n">
        <v>0</v>
      </c>
      <c r="M287" t="n">
        <v>0</v>
      </c>
      <c r="N287" t="n">
        <v>0</v>
      </c>
      <c r="O287" t="n">
        <v>0</v>
      </c>
      <c r="P287" t="n">
        <v>0</v>
      </c>
      <c r="Q287" t="n">
        <v>0</v>
      </c>
      <c r="R287" s="2" t="inlineStr"/>
    </row>
    <row r="288" ht="15" customHeight="1">
      <c r="A288" t="inlineStr">
        <is>
          <t>A 17962-2024</t>
        </is>
      </c>
      <c r="B288" s="1" t="n">
        <v>45419</v>
      </c>
      <c r="C288" s="1" t="n">
        <v>45915</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67068-2021</t>
        </is>
      </c>
      <c r="B289" s="1" t="n">
        <v>44522.9206712963</v>
      </c>
      <c r="C289" s="1" t="n">
        <v>45915</v>
      </c>
      <c r="D289" t="inlineStr">
        <is>
          <t>NORRBOTTENS LÄN</t>
        </is>
      </c>
      <c r="E289" t="inlineStr">
        <is>
          <t>BODEN</t>
        </is>
      </c>
      <c r="G289" t="n">
        <v>5.1</v>
      </c>
      <c r="H289" t="n">
        <v>0</v>
      </c>
      <c r="I289" t="n">
        <v>0</v>
      </c>
      <c r="J289" t="n">
        <v>0</v>
      </c>
      <c r="K289" t="n">
        <v>0</v>
      </c>
      <c r="L289" t="n">
        <v>0</v>
      </c>
      <c r="M289" t="n">
        <v>0</v>
      </c>
      <c r="N289" t="n">
        <v>0</v>
      </c>
      <c r="O289" t="n">
        <v>0</v>
      </c>
      <c r="P289" t="n">
        <v>0</v>
      </c>
      <c r="Q289" t="n">
        <v>0</v>
      </c>
      <c r="R289" s="2" t="inlineStr"/>
    </row>
    <row r="290" ht="15" customHeight="1">
      <c r="A290" t="inlineStr">
        <is>
          <t>A 48472-2024</t>
        </is>
      </c>
      <c r="B290" s="1" t="n">
        <v>45591</v>
      </c>
      <c r="C290" s="1" t="n">
        <v>45915</v>
      </c>
      <c r="D290" t="inlineStr">
        <is>
          <t>NORRBOTTENS LÄN</t>
        </is>
      </c>
      <c r="E290" t="inlineStr">
        <is>
          <t>BODEN</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45915</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8120-2022</t>
        </is>
      </c>
      <c r="B292" s="1" t="n">
        <v>44609</v>
      </c>
      <c r="C292" s="1" t="n">
        <v>45915</v>
      </c>
      <c r="D292" t="inlineStr">
        <is>
          <t>NORRBOTTENS LÄN</t>
        </is>
      </c>
      <c r="E292" t="inlineStr">
        <is>
          <t>BODEN</t>
        </is>
      </c>
      <c r="G292" t="n">
        <v>1.7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45915</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45915</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12558-2024</t>
        </is>
      </c>
      <c r="B295" s="1" t="n">
        <v>45379</v>
      </c>
      <c r="C295" s="1" t="n">
        <v>45915</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23092-2025</t>
        </is>
      </c>
      <c r="B296" s="1" t="n">
        <v>45791.34467592592</v>
      </c>
      <c r="C296" s="1" t="n">
        <v>45915</v>
      </c>
      <c r="D296" t="inlineStr">
        <is>
          <t>NORRBOTTENS LÄN</t>
        </is>
      </c>
      <c r="E296" t="inlineStr">
        <is>
          <t>BODEN</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45915</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23315-2025</t>
        </is>
      </c>
      <c r="B298" s="1" t="n">
        <v>45791.61200231482</v>
      </c>
      <c r="C298" s="1" t="n">
        <v>45915</v>
      </c>
      <c r="D298" t="inlineStr">
        <is>
          <t>NORRBOTTENS LÄN</t>
        </is>
      </c>
      <c r="E298" t="inlineStr">
        <is>
          <t>BODEN</t>
        </is>
      </c>
      <c r="F298" t="inlineStr">
        <is>
          <t>Sveaskog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28367-2021</t>
        </is>
      </c>
      <c r="B299" s="1" t="n">
        <v>44356</v>
      </c>
      <c r="C299" s="1" t="n">
        <v>45915</v>
      </c>
      <c r="D299" t="inlineStr">
        <is>
          <t>NORRBOTTENS LÄN</t>
        </is>
      </c>
      <c r="E299" t="inlineStr">
        <is>
          <t>BODEN</t>
        </is>
      </c>
      <c r="G299" t="n">
        <v>1.1</v>
      </c>
      <c r="H299" t="n">
        <v>0</v>
      </c>
      <c r="I299" t="n">
        <v>0</v>
      </c>
      <c r="J299" t="n">
        <v>0</v>
      </c>
      <c r="K299" t="n">
        <v>0</v>
      </c>
      <c r="L299" t="n">
        <v>0</v>
      </c>
      <c r="M299" t="n">
        <v>0</v>
      </c>
      <c r="N299" t="n">
        <v>0</v>
      </c>
      <c r="O299" t="n">
        <v>0</v>
      </c>
      <c r="P299" t="n">
        <v>0</v>
      </c>
      <c r="Q299" t="n">
        <v>0</v>
      </c>
      <c r="R299" s="2" t="inlineStr"/>
    </row>
    <row r="300" ht="15" customHeight="1">
      <c r="A300" t="inlineStr">
        <is>
          <t>A 38371-2023</t>
        </is>
      </c>
      <c r="B300" s="1" t="n">
        <v>45161</v>
      </c>
      <c r="C300" s="1" t="n">
        <v>45915</v>
      </c>
      <c r="D300" t="inlineStr">
        <is>
          <t>NORRBOTTENS LÄN</t>
        </is>
      </c>
      <c r="E300" t="inlineStr">
        <is>
          <t>BODEN</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38372-2023</t>
        </is>
      </c>
      <c r="B301" s="1" t="n">
        <v>45161</v>
      </c>
      <c r="C301" s="1" t="n">
        <v>45915</v>
      </c>
      <c r="D301" t="inlineStr">
        <is>
          <t>NORRBOTTENS LÄN</t>
        </is>
      </c>
      <c r="E301" t="inlineStr">
        <is>
          <t>BODEN</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32906-2024</t>
        </is>
      </c>
      <c r="B302" s="1" t="n">
        <v>45516</v>
      </c>
      <c r="C302" s="1" t="n">
        <v>45915</v>
      </c>
      <c r="D302" t="inlineStr">
        <is>
          <t>NORRBOTTENS LÄN</t>
        </is>
      </c>
      <c r="E302" t="inlineStr">
        <is>
          <t>BODEN</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32913-2024</t>
        </is>
      </c>
      <c r="B303" s="1" t="n">
        <v>45516.94962962963</v>
      </c>
      <c r="C303" s="1" t="n">
        <v>45915</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23302-2025</t>
        </is>
      </c>
      <c r="B304" s="1" t="n">
        <v>45791.59711805556</v>
      </c>
      <c r="C304" s="1" t="n">
        <v>45915</v>
      </c>
      <c r="D304" t="inlineStr">
        <is>
          <t>NORRBOTTENS LÄN</t>
        </is>
      </c>
      <c r="E304" t="inlineStr">
        <is>
          <t>BODEN</t>
        </is>
      </c>
      <c r="F304" t="inlineStr">
        <is>
          <t>Sveaskog</t>
        </is>
      </c>
      <c r="G304" t="n">
        <v>14.5</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45915</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45915</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45915</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45915</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11935-2022</t>
        </is>
      </c>
      <c r="B309" s="1" t="n">
        <v>44635</v>
      </c>
      <c r="C309" s="1" t="n">
        <v>45915</v>
      </c>
      <c r="D309" t="inlineStr">
        <is>
          <t>NORRBOTTENS LÄN</t>
        </is>
      </c>
      <c r="E309" t="inlineStr">
        <is>
          <t>BODEN</t>
        </is>
      </c>
      <c r="F309" t="inlineStr">
        <is>
          <t>Kyrkan</t>
        </is>
      </c>
      <c r="G309" t="n">
        <v>16.5</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45915</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34969-2024</t>
        </is>
      </c>
      <c r="B311" s="1" t="n">
        <v>45527.50440972222</v>
      </c>
      <c r="C311" s="1" t="n">
        <v>45915</v>
      </c>
      <c r="D311" t="inlineStr">
        <is>
          <t>NORRBOTTENS LÄN</t>
        </is>
      </c>
      <c r="E311" t="inlineStr">
        <is>
          <t>BODEN</t>
        </is>
      </c>
      <c r="G311" t="n">
        <v>6.7</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45915</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54614-2020</t>
        </is>
      </c>
      <c r="B313" s="1" t="n">
        <v>44127</v>
      </c>
      <c r="C313" s="1" t="n">
        <v>45915</v>
      </c>
      <c r="D313" t="inlineStr">
        <is>
          <t>NORRBOTTENS LÄN</t>
        </is>
      </c>
      <c r="E313" t="inlineStr">
        <is>
          <t>BODEN</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47920-2024</t>
        </is>
      </c>
      <c r="B314" s="1" t="n">
        <v>45589</v>
      </c>
      <c r="C314" s="1" t="n">
        <v>45915</v>
      </c>
      <c r="D314" t="inlineStr">
        <is>
          <t>NORRBOTTENS LÄN</t>
        </is>
      </c>
      <c r="E314" t="inlineStr">
        <is>
          <t>BODEN</t>
        </is>
      </c>
      <c r="F314" t="inlineStr">
        <is>
          <t>Naturvårdsverket</t>
        </is>
      </c>
      <c r="G314" t="n">
        <v>1.6</v>
      </c>
      <c r="H314" t="n">
        <v>0</v>
      </c>
      <c r="I314" t="n">
        <v>0</v>
      </c>
      <c r="J314" t="n">
        <v>0</v>
      </c>
      <c r="K314" t="n">
        <v>0</v>
      </c>
      <c r="L314" t="n">
        <v>0</v>
      </c>
      <c r="M314" t="n">
        <v>0</v>
      </c>
      <c r="N314" t="n">
        <v>0</v>
      </c>
      <c r="O314" t="n">
        <v>0</v>
      </c>
      <c r="P314" t="n">
        <v>0</v>
      </c>
      <c r="Q314" t="n">
        <v>0</v>
      </c>
      <c r="R314" s="2" t="inlineStr"/>
    </row>
    <row r="315" ht="15" customHeight="1">
      <c r="A315" t="inlineStr">
        <is>
          <t>A 50327-2023</t>
        </is>
      </c>
      <c r="B315" s="1" t="n">
        <v>45216</v>
      </c>
      <c r="C315" s="1" t="n">
        <v>45915</v>
      </c>
      <c r="D315" t="inlineStr">
        <is>
          <t>NORRBOTTENS LÄN</t>
        </is>
      </c>
      <c r="E315" t="inlineStr">
        <is>
          <t>BODEN</t>
        </is>
      </c>
      <c r="F315" t="inlineStr">
        <is>
          <t>Sveaskog</t>
        </is>
      </c>
      <c r="G315" t="n">
        <v>4.3</v>
      </c>
      <c r="H315" t="n">
        <v>0</v>
      </c>
      <c r="I315" t="n">
        <v>0</v>
      </c>
      <c r="J315" t="n">
        <v>0</v>
      </c>
      <c r="K315" t="n">
        <v>0</v>
      </c>
      <c r="L315" t="n">
        <v>0</v>
      </c>
      <c r="M315" t="n">
        <v>0</v>
      </c>
      <c r="N315" t="n">
        <v>0</v>
      </c>
      <c r="O315" t="n">
        <v>0</v>
      </c>
      <c r="P315" t="n">
        <v>0</v>
      </c>
      <c r="Q315" t="n">
        <v>0</v>
      </c>
      <c r="R315" s="2" t="inlineStr"/>
    </row>
    <row r="316" ht="15" customHeight="1">
      <c r="A316" t="inlineStr">
        <is>
          <t>A 49730-2024</t>
        </is>
      </c>
      <c r="B316" s="1" t="n">
        <v>45596</v>
      </c>
      <c r="C316" s="1" t="n">
        <v>45915</v>
      </c>
      <c r="D316" t="inlineStr">
        <is>
          <t>NORRBOTTENS LÄN</t>
        </is>
      </c>
      <c r="E316" t="inlineStr">
        <is>
          <t>BODEN</t>
        </is>
      </c>
      <c r="G316" t="n">
        <v>5.6</v>
      </c>
      <c r="H316" t="n">
        <v>0</v>
      </c>
      <c r="I316" t="n">
        <v>0</v>
      </c>
      <c r="J316" t="n">
        <v>0</v>
      </c>
      <c r="K316" t="n">
        <v>0</v>
      </c>
      <c r="L316" t="n">
        <v>0</v>
      </c>
      <c r="M316" t="n">
        <v>0</v>
      </c>
      <c r="N316" t="n">
        <v>0</v>
      </c>
      <c r="O316" t="n">
        <v>0</v>
      </c>
      <c r="P316" t="n">
        <v>0</v>
      </c>
      <c r="Q316" t="n">
        <v>0</v>
      </c>
      <c r="R316" s="2" t="inlineStr"/>
    </row>
    <row r="317" ht="15" customHeight="1">
      <c r="A317" t="inlineStr">
        <is>
          <t>A 50103-2024</t>
        </is>
      </c>
      <c r="B317" s="1" t="n">
        <v>45600.3993287037</v>
      </c>
      <c r="C317" s="1" t="n">
        <v>45915</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50107-2024</t>
        </is>
      </c>
      <c r="B318" s="1" t="n">
        <v>45600.40488425926</v>
      </c>
      <c r="C318" s="1" t="n">
        <v>45915</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23724-2025</t>
        </is>
      </c>
      <c r="B319" s="1" t="n">
        <v>45793</v>
      </c>
      <c r="C319" s="1" t="n">
        <v>45915</v>
      </c>
      <c r="D319" t="inlineStr">
        <is>
          <t>NORRBOTTENS LÄN</t>
        </is>
      </c>
      <c r="E319" t="inlineStr">
        <is>
          <t>BODEN</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53069-2020</t>
        </is>
      </c>
      <c r="B320" s="1" t="n">
        <v>44120</v>
      </c>
      <c r="C320" s="1" t="n">
        <v>45915</v>
      </c>
      <c r="D320" t="inlineStr">
        <is>
          <t>NORRBOTTENS LÄN</t>
        </is>
      </c>
      <c r="E320" t="inlineStr">
        <is>
          <t>BODEN</t>
        </is>
      </c>
      <c r="G320" t="n">
        <v>2.8</v>
      </c>
      <c r="H320" t="n">
        <v>0</v>
      </c>
      <c r="I320" t="n">
        <v>0</v>
      </c>
      <c r="J320" t="n">
        <v>0</v>
      </c>
      <c r="K320" t="n">
        <v>0</v>
      </c>
      <c r="L320" t="n">
        <v>0</v>
      </c>
      <c r="M320" t="n">
        <v>0</v>
      </c>
      <c r="N320" t="n">
        <v>0</v>
      </c>
      <c r="O320" t="n">
        <v>0</v>
      </c>
      <c r="P320" t="n">
        <v>0</v>
      </c>
      <c r="Q320" t="n">
        <v>0</v>
      </c>
      <c r="R320" s="2" t="inlineStr"/>
    </row>
    <row r="321" ht="15" customHeight="1">
      <c r="A321" t="inlineStr">
        <is>
          <t>A 53102-2020</t>
        </is>
      </c>
      <c r="B321" s="1" t="n">
        <v>44120</v>
      </c>
      <c r="C321" s="1" t="n">
        <v>45915</v>
      </c>
      <c r="D321" t="inlineStr">
        <is>
          <t>NORRBOTTENS LÄN</t>
        </is>
      </c>
      <c r="E321" t="inlineStr">
        <is>
          <t>BODEN</t>
        </is>
      </c>
      <c r="G321" t="n">
        <v>0.8</v>
      </c>
      <c r="H321" t="n">
        <v>0</v>
      </c>
      <c r="I321" t="n">
        <v>0</v>
      </c>
      <c r="J321" t="n">
        <v>0</v>
      </c>
      <c r="K321" t="n">
        <v>0</v>
      </c>
      <c r="L321" t="n">
        <v>0</v>
      </c>
      <c r="M321" t="n">
        <v>0</v>
      </c>
      <c r="N321" t="n">
        <v>0</v>
      </c>
      <c r="O321" t="n">
        <v>0</v>
      </c>
      <c r="P321" t="n">
        <v>0</v>
      </c>
      <c r="Q321" t="n">
        <v>0</v>
      </c>
      <c r="R321" s="2" t="inlineStr"/>
    </row>
    <row r="322" ht="15" customHeight="1">
      <c r="A322" t="inlineStr">
        <is>
          <t>A 706-2022</t>
        </is>
      </c>
      <c r="B322" s="1" t="n">
        <v>44566</v>
      </c>
      <c r="C322" s="1" t="n">
        <v>45915</v>
      </c>
      <c r="D322" t="inlineStr">
        <is>
          <t>NORRBOTTENS LÄN</t>
        </is>
      </c>
      <c r="E322" t="inlineStr">
        <is>
          <t>BODEN</t>
        </is>
      </c>
      <c r="G322" t="n">
        <v>12.4</v>
      </c>
      <c r="H322" t="n">
        <v>0</v>
      </c>
      <c r="I322" t="n">
        <v>0</v>
      </c>
      <c r="J322" t="n">
        <v>0</v>
      </c>
      <c r="K322" t="n">
        <v>0</v>
      </c>
      <c r="L322" t="n">
        <v>0</v>
      </c>
      <c r="M322" t="n">
        <v>0</v>
      </c>
      <c r="N322" t="n">
        <v>0</v>
      </c>
      <c r="O322" t="n">
        <v>0</v>
      </c>
      <c r="P322" t="n">
        <v>0</v>
      </c>
      <c r="Q322" t="n">
        <v>0</v>
      </c>
      <c r="R322" s="2" t="inlineStr"/>
    </row>
    <row r="323" ht="15" customHeight="1">
      <c r="A323" t="inlineStr">
        <is>
          <t>A 48420-2024</t>
        </is>
      </c>
      <c r="B323" s="1" t="n">
        <v>45590</v>
      </c>
      <c r="C323" s="1" t="n">
        <v>45915</v>
      </c>
      <c r="D323" t="inlineStr">
        <is>
          <t>NORRBOTTENS LÄN</t>
        </is>
      </c>
      <c r="E323" t="inlineStr">
        <is>
          <t>BODEN</t>
        </is>
      </c>
      <c r="G323" t="n">
        <v>1.5</v>
      </c>
      <c r="H323" t="n">
        <v>0</v>
      </c>
      <c r="I323" t="n">
        <v>0</v>
      </c>
      <c r="J323" t="n">
        <v>0</v>
      </c>
      <c r="K323" t="n">
        <v>0</v>
      </c>
      <c r="L323" t="n">
        <v>0</v>
      </c>
      <c r="M323" t="n">
        <v>0</v>
      </c>
      <c r="N323" t="n">
        <v>0</v>
      </c>
      <c r="O323" t="n">
        <v>0</v>
      </c>
      <c r="P323" t="n">
        <v>0</v>
      </c>
      <c r="Q323" t="n">
        <v>0</v>
      </c>
      <c r="R323" s="2" t="inlineStr"/>
    </row>
    <row r="324" ht="15" customHeight="1">
      <c r="A324" t="inlineStr">
        <is>
          <t>A 48427-2024</t>
        </is>
      </c>
      <c r="B324" s="1" t="n">
        <v>45590</v>
      </c>
      <c r="C324" s="1" t="n">
        <v>45915</v>
      </c>
      <c r="D324" t="inlineStr">
        <is>
          <t>NORRBOTTENS LÄN</t>
        </is>
      </c>
      <c r="E324" t="inlineStr">
        <is>
          <t>BODEN</t>
        </is>
      </c>
      <c r="G324" t="n">
        <v>1.8</v>
      </c>
      <c r="H324" t="n">
        <v>0</v>
      </c>
      <c r="I324" t="n">
        <v>0</v>
      </c>
      <c r="J324" t="n">
        <v>0</v>
      </c>
      <c r="K324" t="n">
        <v>0</v>
      </c>
      <c r="L324" t="n">
        <v>0</v>
      </c>
      <c r="M324" t="n">
        <v>0</v>
      </c>
      <c r="N324" t="n">
        <v>0</v>
      </c>
      <c r="O324" t="n">
        <v>0</v>
      </c>
      <c r="P324" t="n">
        <v>0</v>
      </c>
      <c r="Q324" t="n">
        <v>0</v>
      </c>
      <c r="R324" s="2" t="inlineStr"/>
    </row>
    <row r="325" ht="15" customHeight="1">
      <c r="A325" t="inlineStr">
        <is>
          <t>A 23763-2025</t>
        </is>
      </c>
      <c r="B325" s="1" t="n">
        <v>45793.4693287037</v>
      </c>
      <c r="C325" s="1" t="n">
        <v>45915</v>
      </c>
      <c r="D325" t="inlineStr">
        <is>
          <t>NORRBOTTENS LÄN</t>
        </is>
      </c>
      <c r="E325" t="inlineStr">
        <is>
          <t>BODEN</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23761-2025</t>
        </is>
      </c>
      <c r="B326" s="1" t="n">
        <v>45793</v>
      </c>
      <c r="C326" s="1" t="n">
        <v>45915</v>
      </c>
      <c r="D326" t="inlineStr">
        <is>
          <t>NORRBOTTENS LÄN</t>
        </is>
      </c>
      <c r="E326" t="inlineStr">
        <is>
          <t>BODEN</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61210-2024</t>
        </is>
      </c>
      <c r="B327" s="1" t="n">
        <v>45645</v>
      </c>
      <c r="C327" s="1" t="n">
        <v>45915</v>
      </c>
      <c r="D327" t="inlineStr">
        <is>
          <t>NORRBOTTENS LÄN</t>
        </is>
      </c>
      <c r="E327" t="inlineStr">
        <is>
          <t>BODEN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24134-2025</t>
        </is>
      </c>
      <c r="B328" s="1" t="n">
        <v>45796.63600694444</v>
      </c>
      <c r="C328" s="1" t="n">
        <v>45915</v>
      </c>
      <c r="D328" t="inlineStr">
        <is>
          <t>NORRBOTTENS LÄN</t>
        </is>
      </c>
      <c r="E328" t="inlineStr">
        <is>
          <t>BODEN</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1507-2022</t>
        </is>
      </c>
      <c r="B329" s="1" t="n">
        <v>44573</v>
      </c>
      <c r="C329" s="1" t="n">
        <v>45915</v>
      </c>
      <c r="D329" t="inlineStr">
        <is>
          <t>NORRBOTTENS LÄN</t>
        </is>
      </c>
      <c r="E329" t="inlineStr">
        <is>
          <t>BODEN</t>
        </is>
      </c>
      <c r="F329" t="inlineStr">
        <is>
          <t>Övriga statliga verk och myndigheter</t>
        </is>
      </c>
      <c r="G329" t="n">
        <v>15.4</v>
      </c>
      <c r="H329" t="n">
        <v>0</v>
      </c>
      <c r="I329" t="n">
        <v>0</v>
      </c>
      <c r="J329" t="n">
        <v>0</v>
      </c>
      <c r="K329" t="n">
        <v>0</v>
      </c>
      <c r="L329" t="n">
        <v>0</v>
      </c>
      <c r="M329" t="n">
        <v>0</v>
      </c>
      <c r="N329" t="n">
        <v>0</v>
      </c>
      <c r="O329" t="n">
        <v>0</v>
      </c>
      <c r="P329" t="n">
        <v>0</v>
      </c>
      <c r="Q329" t="n">
        <v>0</v>
      </c>
      <c r="R329" s="2" t="inlineStr"/>
    </row>
    <row r="330" ht="15" customHeight="1">
      <c r="A330" t="inlineStr">
        <is>
          <t>A 60466-2024</t>
        </is>
      </c>
      <c r="B330" s="1" t="n">
        <v>45643</v>
      </c>
      <c r="C330" s="1" t="n">
        <v>45915</v>
      </c>
      <c r="D330" t="inlineStr">
        <is>
          <t>NORRBOTTENS LÄN</t>
        </is>
      </c>
      <c r="E330" t="inlineStr">
        <is>
          <t>BODEN</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45915</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45915</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45915</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45915</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49806-2022</t>
        </is>
      </c>
      <c r="B335" s="1" t="n">
        <v>44862.66424768518</v>
      </c>
      <c r="C335" s="1" t="n">
        <v>45915</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28758-2024</t>
        </is>
      </c>
      <c r="B336" s="1" t="n">
        <v>45478</v>
      </c>
      <c r="C336" s="1" t="n">
        <v>45915</v>
      </c>
      <c r="D336" t="inlineStr">
        <is>
          <t>NORRBOTTENS LÄN</t>
        </is>
      </c>
      <c r="E336" t="inlineStr">
        <is>
          <t>BODEN</t>
        </is>
      </c>
      <c r="G336" t="n">
        <v>7.5</v>
      </c>
      <c r="H336" t="n">
        <v>0</v>
      </c>
      <c r="I336" t="n">
        <v>0</v>
      </c>
      <c r="J336" t="n">
        <v>0</v>
      </c>
      <c r="K336" t="n">
        <v>0</v>
      </c>
      <c r="L336" t="n">
        <v>0</v>
      </c>
      <c r="M336" t="n">
        <v>0</v>
      </c>
      <c r="N336" t="n">
        <v>0</v>
      </c>
      <c r="O336" t="n">
        <v>0</v>
      </c>
      <c r="P336" t="n">
        <v>0</v>
      </c>
      <c r="Q336" t="n">
        <v>0</v>
      </c>
      <c r="R336" s="2" t="inlineStr"/>
    </row>
    <row r="337" ht="15" customHeight="1">
      <c r="A337" t="inlineStr">
        <is>
          <t>A 24733-2025</t>
        </is>
      </c>
      <c r="B337" s="1" t="n">
        <v>45799.34436342592</v>
      </c>
      <c r="C337" s="1" t="n">
        <v>45915</v>
      </c>
      <c r="D337" t="inlineStr">
        <is>
          <t>NORRBOTTENS LÄN</t>
        </is>
      </c>
      <c r="E337" t="inlineStr">
        <is>
          <t>BODEN</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24738-2025</t>
        </is>
      </c>
      <c r="B338" s="1" t="n">
        <v>45799.34511574074</v>
      </c>
      <c r="C338" s="1" t="n">
        <v>45915</v>
      </c>
      <c r="D338" t="inlineStr">
        <is>
          <t>NORRBOTTENS LÄN</t>
        </is>
      </c>
      <c r="E338" t="inlineStr">
        <is>
          <t>BODEN</t>
        </is>
      </c>
      <c r="F338" t="inlineStr">
        <is>
          <t>SCA</t>
        </is>
      </c>
      <c r="G338" t="n">
        <v>5.1</v>
      </c>
      <c r="H338" t="n">
        <v>0</v>
      </c>
      <c r="I338" t="n">
        <v>0</v>
      </c>
      <c r="J338" t="n">
        <v>0</v>
      </c>
      <c r="K338" t="n">
        <v>0</v>
      </c>
      <c r="L338" t="n">
        <v>0</v>
      </c>
      <c r="M338" t="n">
        <v>0</v>
      </c>
      <c r="N338" t="n">
        <v>0</v>
      </c>
      <c r="O338" t="n">
        <v>0</v>
      </c>
      <c r="P338" t="n">
        <v>0</v>
      </c>
      <c r="Q338" t="n">
        <v>0</v>
      </c>
      <c r="R338" s="2" t="inlineStr"/>
    </row>
    <row r="339" ht="15" customHeight="1">
      <c r="A339" t="inlineStr">
        <is>
          <t>A 42711-2021</t>
        </is>
      </c>
      <c r="B339" s="1" t="n">
        <v>44428.58703703704</v>
      </c>
      <c r="C339" s="1" t="n">
        <v>45915</v>
      </c>
      <c r="D339" t="inlineStr">
        <is>
          <t>NORRBOTTENS LÄN</t>
        </is>
      </c>
      <c r="E339" t="inlineStr">
        <is>
          <t>BODEN</t>
        </is>
      </c>
      <c r="G339" t="n">
        <v>2.7</v>
      </c>
      <c r="H339" t="n">
        <v>0</v>
      </c>
      <c r="I339" t="n">
        <v>0</v>
      </c>
      <c r="J339" t="n">
        <v>0</v>
      </c>
      <c r="K339" t="n">
        <v>0</v>
      </c>
      <c r="L339" t="n">
        <v>0</v>
      </c>
      <c r="M339" t="n">
        <v>0</v>
      </c>
      <c r="N339" t="n">
        <v>0</v>
      </c>
      <c r="O339" t="n">
        <v>0</v>
      </c>
      <c r="P339" t="n">
        <v>0</v>
      </c>
      <c r="Q339" t="n">
        <v>0</v>
      </c>
      <c r="R339" s="2" t="inlineStr"/>
    </row>
    <row r="340" ht="15" customHeight="1">
      <c r="A340" t="inlineStr">
        <is>
          <t>A 16965-2024</t>
        </is>
      </c>
      <c r="B340" s="1" t="n">
        <v>45411</v>
      </c>
      <c r="C340" s="1" t="n">
        <v>45915</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2426-2024</t>
        </is>
      </c>
      <c r="B341" s="1" t="n">
        <v>45310.9390162037</v>
      </c>
      <c r="C341" s="1" t="n">
        <v>45915</v>
      </c>
      <c r="D341" t="inlineStr">
        <is>
          <t>NORRBOTTENS LÄN</t>
        </is>
      </c>
      <c r="E341" t="inlineStr">
        <is>
          <t>BODEN</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61107-2022</t>
        </is>
      </c>
      <c r="B342" s="1" t="n">
        <v>44908</v>
      </c>
      <c r="C342" s="1" t="n">
        <v>45915</v>
      </c>
      <c r="D342" t="inlineStr">
        <is>
          <t>NORRBOTTENS LÄN</t>
        </is>
      </c>
      <c r="E342" t="inlineStr">
        <is>
          <t>BODEN</t>
        </is>
      </c>
      <c r="G342" t="n">
        <v>2.5</v>
      </c>
      <c r="H342" t="n">
        <v>0</v>
      </c>
      <c r="I342" t="n">
        <v>0</v>
      </c>
      <c r="J342" t="n">
        <v>0</v>
      </c>
      <c r="K342" t="n">
        <v>0</v>
      </c>
      <c r="L342" t="n">
        <v>0</v>
      </c>
      <c r="M342" t="n">
        <v>0</v>
      </c>
      <c r="N342" t="n">
        <v>0</v>
      </c>
      <c r="O342" t="n">
        <v>0</v>
      </c>
      <c r="P342" t="n">
        <v>0</v>
      </c>
      <c r="Q342" t="n">
        <v>0</v>
      </c>
      <c r="R342" s="2" t="inlineStr"/>
    </row>
    <row r="343" ht="15" customHeight="1">
      <c r="A343" t="inlineStr">
        <is>
          <t>A 25654-2025</t>
        </is>
      </c>
      <c r="B343" s="1" t="n">
        <v>45803.61491898148</v>
      </c>
      <c r="C343" s="1" t="n">
        <v>45915</v>
      </c>
      <c r="D343" t="inlineStr">
        <is>
          <t>NORRBOTTENS LÄN</t>
        </is>
      </c>
      <c r="E343" t="inlineStr">
        <is>
          <t>BODEN</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25692-2025</t>
        </is>
      </c>
      <c r="B344" s="1" t="n">
        <v>45803.66424768518</v>
      </c>
      <c r="C344" s="1" t="n">
        <v>45915</v>
      </c>
      <c r="D344" t="inlineStr">
        <is>
          <t>NORRBOTTENS LÄN</t>
        </is>
      </c>
      <c r="E344" t="inlineStr">
        <is>
          <t>BODEN</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25983-2025</t>
        </is>
      </c>
      <c r="B345" s="1" t="n">
        <v>45803</v>
      </c>
      <c r="C345" s="1" t="n">
        <v>45915</v>
      </c>
      <c r="D345" t="inlineStr">
        <is>
          <t>NORRBOTTENS LÄN</t>
        </is>
      </c>
      <c r="E345" t="inlineStr">
        <is>
          <t>BODEN</t>
        </is>
      </c>
      <c r="G345" t="n">
        <v>1.6</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45915</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61583-2024</t>
        </is>
      </c>
      <c r="B347" s="1" t="n">
        <v>45646.62667824074</v>
      </c>
      <c r="C347" s="1" t="n">
        <v>45915</v>
      </c>
      <c r="D347" t="inlineStr">
        <is>
          <t>NORRBOTTENS LÄN</t>
        </is>
      </c>
      <c r="E347" t="inlineStr">
        <is>
          <t>BODEN</t>
        </is>
      </c>
      <c r="G347" t="n">
        <v>1.4</v>
      </c>
      <c r="H347" t="n">
        <v>0</v>
      </c>
      <c r="I347" t="n">
        <v>0</v>
      </c>
      <c r="J347" t="n">
        <v>0</v>
      </c>
      <c r="K347" t="n">
        <v>0</v>
      </c>
      <c r="L347" t="n">
        <v>0</v>
      </c>
      <c r="M347" t="n">
        <v>0</v>
      </c>
      <c r="N347" t="n">
        <v>0</v>
      </c>
      <c r="O347" t="n">
        <v>0</v>
      </c>
      <c r="P347" t="n">
        <v>0</v>
      </c>
      <c r="Q347" t="n">
        <v>0</v>
      </c>
      <c r="R347" s="2" t="inlineStr"/>
    </row>
    <row r="348" ht="15" customHeight="1">
      <c r="A348" t="inlineStr">
        <is>
          <t>A 61587-2024</t>
        </is>
      </c>
      <c r="B348" s="1" t="n">
        <v>45646.62850694444</v>
      </c>
      <c r="C348" s="1" t="n">
        <v>45915</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19528-2024</t>
        </is>
      </c>
      <c r="B349" s="1" t="n">
        <v>45429</v>
      </c>
      <c r="C349" s="1" t="n">
        <v>45915</v>
      </c>
      <c r="D349" t="inlineStr">
        <is>
          <t>NORRBOTTENS LÄN</t>
        </is>
      </c>
      <c r="E349" t="inlineStr">
        <is>
          <t>BODEN</t>
        </is>
      </c>
      <c r="G349" t="n">
        <v>3.9</v>
      </c>
      <c r="H349" t="n">
        <v>0</v>
      </c>
      <c r="I349" t="n">
        <v>0</v>
      </c>
      <c r="J349" t="n">
        <v>0</v>
      </c>
      <c r="K349" t="n">
        <v>0</v>
      </c>
      <c r="L349" t="n">
        <v>0</v>
      </c>
      <c r="M349" t="n">
        <v>0</v>
      </c>
      <c r="N349" t="n">
        <v>0</v>
      </c>
      <c r="O349" t="n">
        <v>0</v>
      </c>
      <c r="P349" t="n">
        <v>0</v>
      </c>
      <c r="Q349" t="n">
        <v>0</v>
      </c>
      <c r="R349" s="2" t="inlineStr"/>
    </row>
    <row r="350" ht="15" customHeight="1">
      <c r="A350" t="inlineStr">
        <is>
          <t>A 19533-2024</t>
        </is>
      </c>
      <c r="B350" s="1" t="n">
        <v>45429</v>
      </c>
      <c r="C350" s="1" t="n">
        <v>45915</v>
      </c>
      <c r="D350" t="inlineStr">
        <is>
          <t>NORRBOTTENS LÄN</t>
        </is>
      </c>
      <c r="E350" t="inlineStr">
        <is>
          <t>BODEN</t>
        </is>
      </c>
      <c r="G350" t="n">
        <v>3.2</v>
      </c>
      <c r="H350" t="n">
        <v>0</v>
      </c>
      <c r="I350" t="n">
        <v>0</v>
      </c>
      <c r="J350" t="n">
        <v>0</v>
      </c>
      <c r="K350" t="n">
        <v>0</v>
      </c>
      <c r="L350" t="n">
        <v>0</v>
      </c>
      <c r="M350" t="n">
        <v>0</v>
      </c>
      <c r="N350" t="n">
        <v>0</v>
      </c>
      <c r="O350" t="n">
        <v>0</v>
      </c>
      <c r="P350" t="n">
        <v>0</v>
      </c>
      <c r="Q350" t="n">
        <v>0</v>
      </c>
      <c r="R350" s="2" t="inlineStr"/>
    </row>
    <row r="351" ht="15" customHeight="1">
      <c r="A351" t="inlineStr">
        <is>
          <t>A 61603-2024</t>
        </is>
      </c>
      <c r="B351" s="1" t="n">
        <v>45646.64119212963</v>
      </c>
      <c r="C351" s="1" t="n">
        <v>45915</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25767-2025</t>
        </is>
      </c>
      <c r="B352" s="1" t="n">
        <v>45804.34440972222</v>
      </c>
      <c r="C352" s="1" t="n">
        <v>45915</v>
      </c>
      <c r="D352" t="inlineStr">
        <is>
          <t>NORRBOTTENS LÄN</t>
        </is>
      </c>
      <c r="E352" t="inlineStr">
        <is>
          <t>BODEN</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25839-2025</t>
        </is>
      </c>
      <c r="B353" s="1" t="n">
        <v>45804.45221064815</v>
      </c>
      <c r="C353" s="1" t="n">
        <v>45915</v>
      </c>
      <c r="D353" t="inlineStr">
        <is>
          <t>NORRBOTTENS LÄN</t>
        </is>
      </c>
      <c r="E353" t="inlineStr">
        <is>
          <t>BODEN</t>
        </is>
      </c>
      <c r="G353" t="n">
        <v>1.7</v>
      </c>
      <c r="H353" t="n">
        <v>0</v>
      </c>
      <c r="I353" t="n">
        <v>0</v>
      </c>
      <c r="J353" t="n">
        <v>0</v>
      </c>
      <c r="K353" t="n">
        <v>0</v>
      </c>
      <c r="L353" t="n">
        <v>0</v>
      </c>
      <c r="M353" t="n">
        <v>0</v>
      </c>
      <c r="N353" t="n">
        <v>0</v>
      </c>
      <c r="O353" t="n">
        <v>0</v>
      </c>
      <c r="P353" t="n">
        <v>0</v>
      </c>
      <c r="Q353" t="n">
        <v>0</v>
      </c>
      <c r="R353" s="2" t="inlineStr"/>
    </row>
    <row r="354" ht="15" customHeight="1">
      <c r="A354" t="inlineStr">
        <is>
          <t>A 3833-2025</t>
        </is>
      </c>
      <c r="B354" s="1" t="n">
        <v>45682</v>
      </c>
      <c r="C354" s="1" t="n">
        <v>45915</v>
      </c>
      <c r="D354" t="inlineStr">
        <is>
          <t>NORRBOTTENS LÄN</t>
        </is>
      </c>
      <c r="E354" t="inlineStr">
        <is>
          <t>BODEN</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26010-2025</t>
        </is>
      </c>
      <c r="B355" s="1" t="n">
        <v>45804</v>
      </c>
      <c r="C355" s="1" t="n">
        <v>45915</v>
      </c>
      <c r="D355" t="inlineStr">
        <is>
          <t>NORRBOTTENS LÄN</t>
        </is>
      </c>
      <c r="E355" t="inlineStr">
        <is>
          <t>BODEN</t>
        </is>
      </c>
      <c r="G355" t="n">
        <v>10.2</v>
      </c>
      <c r="H355" t="n">
        <v>0</v>
      </c>
      <c r="I355" t="n">
        <v>0</v>
      </c>
      <c r="J355" t="n">
        <v>0</v>
      </c>
      <c r="K355" t="n">
        <v>0</v>
      </c>
      <c r="L355" t="n">
        <v>0</v>
      </c>
      <c r="M355" t="n">
        <v>0</v>
      </c>
      <c r="N355" t="n">
        <v>0</v>
      </c>
      <c r="O355" t="n">
        <v>0</v>
      </c>
      <c r="P355" t="n">
        <v>0</v>
      </c>
      <c r="Q355" t="n">
        <v>0</v>
      </c>
      <c r="R355" s="2" t="inlineStr"/>
    </row>
    <row r="356" ht="15" customHeight="1">
      <c r="A356" t="inlineStr">
        <is>
          <t>A 20029-2025</t>
        </is>
      </c>
      <c r="B356" s="1" t="n">
        <v>45772.35642361111</v>
      </c>
      <c r="C356" s="1" t="n">
        <v>45915</v>
      </c>
      <c r="D356" t="inlineStr">
        <is>
          <t>NORRBOTTENS LÄN</t>
        </is>
      </c>
      <c r="E356" t="inlineStr">
        <is>
          <t>BODEN</t>
        </is>
      </c>
      <c r="G356" t="n">
        <v>2.2</v>
      </c>
      <c r="H356" t="n">
        <v>0</v>
      </c>
      <c r="I356" t="n">
        <v>0</v>
      </c>
      <c r="J356" t="n">
        <v>0</v>
      </c>
      <c r="K356" t="n">
        <v>0</v>
      </c>
      <c r="L356" t="n">
        <v>0</v>
      </c>
      <c r="M356" t="n">
        <v>0</v>
      </c>
      <c r="N356" t="n">
        <v>0</v>
      </c>
      <c r="O356" t="n">
        <v>0</v>
      </c>
      <c r="P356" t="n">
        <v>0</v>
      </c>
      <c r="Q356" t="n">
        <v>0</v>
      </c>
      <c r="R356" s="2" t="inlineStr"/>
    </row>
    <row r="357" ht="15" customHeight="1">
      <c r="A357" t="inlineStr">
        <is>
          <t>A 48431-2024</t>
        </is>
      </c>
      <c r="B357" s="1" t="n">
        <v>45590</v>
      </c>
      <c r="C357" s="1" t="n">
        <v>45915</v>
      </c>
      <c r="D357" t="inlineStr">
        <is>
          <t>NORRBOTTENS LÄN</t>
        </is>
      </c>
      <c r="E357" t="inlineStr">
        <is>
          <t>BODEN</t>
        </is>
      </c>
      <c r="G357" t="n">
        <v>2.4</v>
      </c>
      <c r="H357" t="n">
        <v>0</v>
      </c>
      <c r="I357" t="n">
        <v>0</v>
      </c>
      <c r="J357" t="n">
        <v>0</v>
      </c>
      <c r="K357" t="n">
        <v>0</v>
      </c>
      <c r="L357" t="n">
        <v>0</v>
      </c>
      <c r="M357" t="n">
        <v>0</v>
      </c>
      <c r="N357" t="n">
        <v>0</v>
      </c>
      <c r="O357" t="n">
        <v>0</v>
      </c>
      <c r="P357" t="n">
        <v>0</v>
      </c>
      <c r="Q357" t="n">
        <v>0</v>
      </c>
      <c r="R357" s="2" t="inlineStr"/>
    </row>
    <row r="358" ht="15" customHeight="1">
      <c r="A358" t="inlineStr">
        <is>
          <t>A 11092-2022</t>
        </is>
      </c>
      <c r="B358" s="1" t="n">
        <v>44628</v>
      </c>
      <c r="C358" s="1" t="n">
        <v>45915</v>
      </c>
      <c r="D358" t="inlineStr">
        <is>
          <t>NORRBOTTENS LÄN</t>
        </is>
      </c>
      <c r="E358" t="inlineStr">
        <is>
          <t>BODEN</t>
        </is>
      </c>
      <c r="G358" t="n">
        <v>4.8</v>
      </c>
      <c r="H358" t="n">
        <v>0</v>
      </c>
      <c r="I358" t="n">
        <v>0</v>
      </c>
      <c r="J358" t="n">
        <v>0</v>
      </c>
      <c r="K358" t="n">
        <v>0</v>
      </c>
      <c r="L358" t="n">
        <v>0</v>
      </c>
      <c r="M358" t="n">
        <v>0</v>
      </c>
      <c r="N358" t="n">
        <v>0</v>
      </c>
      <c r="O358" t="n">
        <v>0</v>
      </c>
      <c r="P358" t="n">
        <v>0</v>
      </c>
      <c r="Q358" t="n">
        <v>0</v>
      </c>
      <c r="R358" s="2" t="inlineStr"/>
    </row>
    <row r="359" ht="15" customHeight="1">
      <c r="A359" t="inlineStr">
        <is>
          <t>A 41957-2024</t>
        </is>
      </c>
      <c r="B359" s="1" t="n">
        <v>45561.5891087963</v>
      </c>
      <c r="C359" s="1" t="n">
        <v>45915</v>
      </c>
      <c r="D359" t="inlineStr">
        <is>
          <t>NORRBOTTENS LÄN</t>
        </is>
      </c>
      <c r="E359" t="inlineStr">
        <is>
          <t>BODEN</t>
        </is>
      </c>
      <c r="G359" t="n">
        <v>0.8</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45915</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22892-2024</t>
        </is>
      </c>
      <c r="B361" s="1" t="n">
        <v>45448</v>
      </c>
      <c r="C361" s="1" t="n">
        <v>45915</v>
      </c>
      <c r="D361" t="inlineStr">
        <is>
          <t>NORRBOTTENS LÄN</t>
        </is>
      </c>
      <c r="E361" t="inlineStr">
        <is>
          <t>BODEN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52246-2024</t>
        </is>
      </c>
      <c r="B362" s="1" t="n">
        <v>45608</v>
      </c>
      <c r="C362" s="1" t="n">
        <v>45915</v>
      </c>
      <c r="D362" t="inlineStr">
        <is>
          <t>NORRBOTTENS LÄN</t>
        </is>
      </c>
      <c r="E362" t="inlineStr">
        <is>
          <t>BODEN</t>
        </is>
      </c>
      <c r="G362" t="n">
        <v>7.9</v>
      </c>
      <c r="H362" t="n">
        <v>0</v>
      </c>
      <c r="I362" t="n">
        <v>0</v>
      </c>
      <c r="J362" t="n">
        <v>0</v>
      </c>
      <c r="K362" t="n">
        <v>0</v>
      </c>
      <c r="L362" t="n">
        <v>0</v>
      </c>
      <c r="M362" t="n">
        <v>0</v>
      </c>
      <c r="N362" t="n">
        <v>0</v>
      </c>
      <c r="O362" t="n">
        <v>0</v>
      </c>
      <c r="P362" t="n">
        <v>0</v>
      </c>
      <c r="Q362" t="n">
        <v>0</v>
      </c>
      <c r="R362" s="2" t="inlineStr"/>
    </row>
    <row r="363" ht="15" customHeight="1">
      <c r="A363" t="inlineStr">
        <is>
          <t>A 52247-2024</t>
        </is>
      </c>
      <c r="B363" s="1" t="n">
        <v>45608</v>
      </c>
      <c r="C363" s="1" t="n">
        <v>45915</v>
      </c>
      <c r="D363" t="inlineStr">
        <is>
          <t>NORRBOTTENS LÄN</t>
        </is>
      </c>
      <c r="E363" t="inlineStr">
        <is>
          <t>BODEN</t>
        </is>
      </c>
      <c r="G363" t="n">
        <v>5</v>
      </c>
      <c r="H363" t="n">
        <v>0</v>
      </c>
      <c r="I363" t="n">
        <v>0</v>
      </c>
      <c r="J363" t="n">
        <v>0</v>
      </c>
      <c r="K363" t="n">
        <v>0</v>
      </c>
      <c r="L363" t="n">
        <v>0</v>
      </c>
      <c r="M363" t="n">
        <v>0</v>
      </c>
      <c r="N363" t="n">
        <v>0</v>
      </c>
      <c r="O363" t="n">
        <v>0</v>
      </c>
      <c r="P363" t="n">
        <v>0</v>
      </c>
      <c r="Q363" t="n">
        <v>0</v>
      </c>
      <c r="R363" s="2" t="inlineStr"/>
    </row>
    <row r="364" ht="15" customHeight="1">
      <c r="A364" t="inlineStr">
        <is>
          <t>A 11651-2023</t>
        </is>
      </c>
      <c r="B364" s="1" t="n">
        <v>44994</v>
      </c>
      <c r="C364" s="1" t="n">
        <v>45915</v>
      </c>
      <c r="D364" t="inlineStr">
        <is>
          <t>NORRBOTTENS LÄN</t>
        </is>
      </c>
      <c r="E364" t="inlineStr">
        <is>
          <t>BODEN</t>
        </is>
      </c>
      <c r="G364" t="n">
        <v>0.7</v>
      </c>
      <c r="H364" t="n">
        <v>0</v>
      </c>
      <c r="I364" t="n">
        <v>0</v>
      </c>
      <c r="J364" t="n">
        <v>0</v>
      </c>
      <c r="K364" t="n">
        <v>0</v>
      </c>
      <c r="L364" t="n">
        <v>0</v>
      </c>
      <c r="M364" t="n">
        <v>0</v>
      </c>
      <c r="N364" t="n">
        <v>0</v>
      </c>
      <c r="O364" t="n">
        <v>0</v>
      </c>
      <c r="P364" t="n">
        <v>0</v>
      </c>
      <c r="Q364" t="n">
        <v>0</v>
      </c>
      <c r="R364" s="2" t="inlineStr"/>
    </row>
    <row r="365" ht="15" customHeight="1">
      <c r="A365" t="inlineStr">
        <is>
          <t>A 48415-2024</t>
        </is>
      </c>
      <c r="B365" s="1" t="n">
        <v>45590.64114583333</v>
      </c>
      <c r="C365" s="1" t="n">
        <v>45915</v>
      </c>
      <c r="D365" t="inlineStr">
        <is>
          <t>NORRBOTTENS LÄN</t>
        </is>
      </c>
      <c r="E365" t="inlineStr">
        <is>
          <t>BODEN</t>
        </is>
      </c>
      <c r="F365" t="inlineStr">
        <is>
          <t>SCA</t>
        </is>
      </c>
      <c r="G365" t="n">
        <v>0.1</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45915</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52248-2024</t>
        </is>
      </c>
      <c r="B367" s="1" t="n">
        <v>45608</v>
      </c>
      <c r="C367" s="1" t="n">
        <v>45915</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61630-2024</t>
        </is>
      </c>
      <c r="B368" s="1" t="n">
        <v>45646.66561342592</v>
      </c>
      <c r="C368" s="1" t="n">
        <v>45915</v>
      </c>
      <c r="D368" t="inlineStr">
        <is>
          <t>NORRBOTTENS LÄN</t>
        </is>
      </c>
      <c r="E368" t="inlineStr">
        <is>
          <t>BODEN</t>
        </is>
      </c>
      <c r="G368" t="n">
        <v>4.7</v>
      </c>
      <c r="H368" t="n">
        <v>0</v>
      </c>
      <c r="I368" t="n">
        <v>0</v>
      </c>
      <c r="J368" t="n">
        <v>0</v>
      </c>
      <c r="K368" t="n">
        <v>0</v>
      </c>
      <c r="L368" t="n">
        <v>0</v>
      </c>
      <c r="M368" t="n">
        <v>0</v>
      </c>
      <c r="N368" t="n">
        <v>0</v>
      </c>
      <c r="O368" t="n">
        <v>0</v>
      </c>
      <c r="P368" t="n">
        <v>0</v>
      </c>
      <c r="Q368" t="n">
        <v>0</v>
      </c>
      <c r="R368" s="2" t="inlineStr"/>
    </row>
    <row r="369" ht="15" customHeight="1">
      <c r="A369" t="inlineStr">
        <is>
          <t>A 46900-2024</t>
        </is>
      </c>
      <c r="B369" s="1" t="n">
        <v>45583</v>
      </c>
      <c r="C369" s="1" t="n">
        <v>45915</v>
      </c>
      <c r="D369" t="inlineStr">
        <is>
          <t>NORRBOTTENS LÄN</t>
        </is>
      </c>
      <c r="E369" t="inlineStr">
        <is>
          <t>BODEN</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46903-2024</t>
        </is>
      </c>
      <c r="B370" s="1" t="n">
        <v>45583.69863425926</v>
      </c>
      <c r="C370" s="1" t="n">
        <v>45915</v>
      </c>
      <c r="D370" t="inlineStr">
        <is>
          <t>NORRBOTTENS LÄN</t>
        </is>
      </c>
      <c r="E370" t="inlineStr">
        <is>
          <t>BODEN</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13568-2022</t>
        </is>
      </c>
      <c r="B371" s="1" t="n">
        <v>44648</v>
      </c>
      <c r="C371" s="1" t="n">
        <v>45915</v>
      </c>
      <c r="D371" t="inlineStr">
        <is>
          <t>NORRBOTTENS LÄN</t>
        </is>
      </c>
      <c r="E371" t="inlineStr">
        <is>
          <t>BODEN</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48417-2023</t>
        </is>
      </c>
      <c r="B372" s="1" t="n">
        <v>45205</v>
      </c>
      <c r="C372" s="1" t="n">
        <v>45915</v>
      </c>
      <c r="D372" t="inlineStr">
        <is>
          <t>NORRBOTTENS LÄN</t>
        </is>
      </c>
      <c r="E372" t="inlineStr">
        <is>
          <t>BODEN</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28134-2024</t>
        </is>
      </c>
      <c r="B373" s="1" t="n">
        <v>45476.69083333333</v>
      </c>
      <c r="C373" s="1" t="n">
        <v>45915</v>
      </c>
      <c r="D373" t="inlineStr">
        <is>
          <t>NORRBOTTENS LÄN</t>
        </is>
      </c>
      <c r="E373" t="inlineStr">
        <is>
          <t>BODEN</t>
        </is>
      </c>
      <c r="G373" t="n">
        <v>2.6</v>
      </c>
      <c r="H373" t="n">
        <v>0</v>
      </c>
      <c r="I373" t="n">
        <v>0</v>
      </c>
      <c r="J373" t="n">
        <v>0</v>
      </c>
      <c r="K373" t="n">
        <v>0</v>
      </c>
      <c r="L373" t="n">
        <v>0</v>
      </c>
      <c r="M373" t="n">
        <v>0</v>
      </c>
      <c r="N373" t="n">
        <v>0</v>
      </c>
      <c r="O373" t="n">
        <v>0</v>
      </c>
      <c r="P373" t="n">
        <v>0</v>
      </c>
      <c r="Q373" t="n">
        <v>0</v>
      </c>
      <c r="R373" s="2" t="inlineStr"/>
    </row>
    <row r="374" ht="15" customHeight="1">
      <c r="A374" t="inlineStr">
        <is>
          <t>A 49113-2023</t>
        </is>
      </c>
      <c r="B374" s="1" t="n">
        <v>45204</v>
      </c>
      <c r="C374" s="1" t="n">
        <v>45915</v>
      </c>
      <c r="D374" t="inlineStr">
        <is>
          <t>NORRBOTTENS LÄN</t>
        </is>
      </c>
      <c r="E374" t="inlineStr">
        <is>
          <t>BODEN</t>
        </is>
      </c>
      <c r="G374" t="n">
        <v>5.6</v>
      </c>
      <c r="H374" t="n">
        <v>0</v>
      </c>
      <c r="I374" t="n">
        <v>0</v>
      </c>
      <c r="J374" t="n">
        <v>0</v>
      </c>
      <c r="K374" t="n">
        <v>0</v>
      </c>
      <c r="L374" t="n">
        <v>0</v>
      </c>
      <c r="M374" t="n">
        <v>0</v>
      </c>
      <c r="N374" t="n">
        <v>0</v>
      </c>
      <c r="O374" t="n">
        <v>0</v>
      </c>
      <c r="P374" t="n">
        <v>0</v>
      </c>
      <c r="Q374" t="n">
        <v>0</v>
      </c>
      <c r="R374" s="2" t="inlineStr"/>
    </row>
    <row r="375" ht="15" customHeight="1">
      <c r="A375" t="inlineStr">
        <is>
          <t>A 48950-2022</t>
        </is>
      </c>
      <c r="B375" s="1" t="n">
        <v>44859.95792824074</v>
      </c>
      <c r="C375" s="1" t="n">
        <v>45915</v>
      </c>
      <c r="D375" t="inlineStr">
        <is>
          <t>NORRBOTTENS LÄN</t>
        </is>
      </c>
      <c r="E375" t="inlineStr">
        <is>
          <t>BODEN</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50618-2020</t>
        </is>
      </c>
      <c r="B376" s="1" t="n">
        <v>44110</v>
      </c>
      <c r="C376" s="1" t="n">
        <v>45915</v>
      </c>
      <c r="D376" t="inlineStr">
        <is>
          <t>NORRBOTTENS LÄN</t>
        </is>
      </c>
      <c r="E376" t="inlineStr">
        <is>
          <t>BODEN</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59775-2020</t>
        </is>
      </c>
      <c r="B377" s="1" t="n">
        <v>44151</v>
      </c>
      <c r="C377" s="1" t="n">
        <v>45915</v>
      </c>
      <c r="D377" t="inlineStr">
        <is>
          <t>NORRBOTTENS LÄN</t>
        </is>
      </c>
      <c r="E377" t="inlineStr">
        <is>
          <t>BODEN</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56163-2022</t>
        </is>
      </c>
      <c r="B378" s="1" t="n">
        <v>44889</v>
      </c>
      <c r="C378" s="1" t="n">
        <v>45915</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49859-2023</t>
        </is>
      </c>
      <c r="B379" s="1" t="n">
        <v>45212</v>
      </c>
      <c r="C379" s="1" t="n">
        <v>45915</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18671-2025</t>
        </is>
      </c>
      <c r="B380" s="1" t="n">
        <v>45763.5946412037</v>
      </c>
      <c r="C380" s="1" t="n">
        <v>45915</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58373-2022</t>
        </is>
      </c>
      <c r="B381" s="1" t="n">
        <v>44901</v>
      </c>
      <c r="C381" s="1" t="n">
        <v>45915</v>
      </c>
      <c r="D381" t="inlineStr">
        <is>
          <t>NORRBOTTENS LÄN</t>
        </is>
      </c>
      <c r="E381" t="inlineStr">
        <is>
          <t>BODEN</t>
        </is>
      </c>
      <c r="G381" t="n">
        <v>1.2</v>
      </c>
      <c r="H381" t="n">
        <v>0</v>
      </c>
      <c r="I381" t="n">
        <v>0</v>
      </c>
      <c r="J381" t="n">
        <v>0</v>
      </c>
      <c r="K381" t="n">
        <v>0</v>
      </c>
      <c r="L381" t="n">
        <v>0</v>
      </c>
      <c r="M381" t="n">
        <v>0</v>
      </c>
      <c r="N381" t="n">
        <v>0</v>
      </c>
      <c r="O381" t="n">
        <v>0</v>
      </c>
      <c r="P381" t="n">
        <v>0</v>
      </c>
      <c r="Q381" t="n">
        <v>0</v>
      </c>
      <c r="R381" s="2" t="inlineStr"/>
    </row>
    <row r="382" ht="15" customHeight="1">
      <c r="A382" t="inlineStr">
        <is>
          <t>A 4630-2025</t>
        </is>
      </c>
      <c r="B382" s="1" t="n">
        <v>45687</v>
      </c>
      <c r="C382" s="1" t="n">
        <v>45915</v>
      </c>
      <c r="D382" t="inlineStr">
        <is>
          <t>NORRBOTTENS LÄN</t>
        </is>
      </c>
      <c r="E382" t="inlineStr">
        <is>
          <t>BODEN</t>
        </is>
      </c>
      <c r="G382" t="n">
        <v>2.4</v>
      </c>
      <c r="H382" t="n">
        <v>0</v>
      </c>
      <c r="I382" t="n">
        <v>0</v>
      </c>
      <c r="J382" t="n">
        <v>0</v>
      </c>
      <c r="K382" t="n">
        <v>0</v>
      </c>
      <c r="L382" t="n">
        <v>0</v>
      </c>
      <c r="M382" t="n">
        <v>0</v>
      </c>
      <c r="N382" t="n">
        <v>0</v>
      </c>
      <c r="O382" t="n">
        <v>0</v>
      </c>
      <c r="P382" t="n">
        <v>0</v>
      </c>
      <c r="Q382" t="n">
        <v>0</v>
      </c>
      <c r="R382" s="2" t="inlineStr"/>
    </row>
    <row r="383" ht="15" customHeight="1">
      <c r="A383" t="inlineStr">
        <is>
          <t>A 18910-2025</t>
        </is>
      </c>
      <c r="B383" s="1" t="n">
        <v>45764.46482638889</v>
      </c>
      <c r="C383" s="1" t="n">
        <v>45915</v>
      </c>
      <c r="D383" t="inlineStr">
        <is>
          <t>NORRBOTTENS LÄN</t>
        </is>
      </c>
      <c r="E383" t="inlineStr">
        <is>
          <t>BODEN</t>
        </is>
      </c>
      <c r="G383" t="n">
        <v>2.8</v>
      </c>
      <c r="H383" t="n">
        <v>0</v>
      </c>
      <c r="I383" t="n">
        <v>0</v>
      </c>
      <c r="J383" t="n">
        <v>0</v>
      </c>
      <c r="K383" t="n">
        <v>0</v>
      </c>
      <c r="L383" t="n">
        <v>0</v>
      </c>
      <c r="M383" t="n">
        <v>0</v>
      </c>
      <c r="N383" t="n">
        <v>0</v>
      </c>
      <c r="O383" t="n">
        <v>0</v>
      </c>
      <c r="P383" t="n">
        <v>0</v>
      </c>
      <c r="Q383" t="n">
        <v>0</v>
      </c>
      <c r="R383" s="2" t="inlineStr"/>
    </row>
    <row r="384" ht="15" customHeight="1">
      <c r="A384" t="inlineStr">
        <is>
          <t>A 41487-2024</t>
        </is>
      </c>
      <c r="B384" s="1" t="n">
        <v>45560.44918981481</v>
      </c>
      <c r="C384" s="1" t="n">
        <v>45915</v>
      </c>
      <c r="D384" t="inlineStr">
        <is>
          <t>NORRBOTTENS LÄN</t>
        </is>
      </c>
      <c r="E384" t="inlineStr">
        <is>
          <t>BODEN</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59028-2022</t>
        </is>
      </c>
      <c r="B385" s="1" t="n">
        <v>44903.92694444444</v>
      </c>
      <c r="C385" s="1" t="n">
        <v>45915</v>
      </c>
      <c r="D385" t="inlineStr">
        <is>
          <t>NORRBOTTENS LÄN</t>
        </is>
      </c>
      <c r="E385" t="inlineStr">
        <is>
          <t>BODEN</t>
        </is>
      </c>
      <c r="G385" t="n">
        <v>16.1</v>
      </c>
      <c r="H385" t="n">
        <v>0</v>
      </c>
      <c r="I385" t="n">
        <v>0</v>
      </c>
      <c r="J385" t="n">
        <v>0</v>
      </c>
      <c r="K385" t="n">
        <v>0</v>
      </c>
      <c r="L385" t="n">
        <v>0</v>
      </c>
      <c r="M385" t="n">
        <v>0</v>
      </c>
      <c r="N385" t="n">
        <v>0</v>
      </c>
      <c r="O385" t="n">
        <v>0</v>
      </c>
      <c r="P385" t="n">
        <v>0</v>
      </c>
      <c r="Q385" t="n">
        <v>0</v>
      </c>
      <c r="R385" s="2" t="inlineStr"/>
    </row>
    <row r="386" ht="15" customHeight="1">
      <c r="A386" t="inlineStr">
        <is>
          <t>A 68560-2021</t>
        </is>
      </c>
      <c r="B386" s="1" t="n">
        <v>44529</v>
      </c>
      <c r="C386" s="1" t="n">
        <v>45915</v>
      </c>
      <c r="D386" t="inlineStr">
        <is>
          <t>NORRBOTTENS LÄN</t>
        </is>
      </c>
      <c r="E386" t="inlineStr">
        <is>
          <t>BODEN</t>
        </is>
      </c>
      <c r="G386" t="n">
        <v>3.5</v>
      </c>
      <c r="H386" t="n">
        <v>0</v>
      </c>
      <c r="I386" t="n">
        <v>0</v>
      </c>
      <c r="J386" t="n">
        <v>0</v>
      </c>
      <c r="K386" t="n">
        <v>0</v>
      </c>
      <c r="L386" t="n">
        <v>0</v>
      </c>
      <c r="M386" t="n">
        <v>0</v>
      </c>
      <c r="N386" t="n">
        <v>0</v>
      </c>
      <c r="O386" t="n">
        <v>0</v>
      </c>
      <c r="P386" t="n">
        <v>0</v>
      </c>
      <c r="Q386" t="n">
        <v>0</v>
      </c>
      <c r="R386" s="2" t="inlineStr"/>
    </row>
    <row r="387" ht="15" customHeight="1">
      <c r="A387" t="inlineStr">
        <is>
          <t>A 68565-2021</t>
        </is>
      </c>
      <c r="B387" s="1" t="n">
        <v>44529</v>
      </c>
      <c r="C387" s="1" t="n">
        <v>45915</v>
      </c>
      <c r="D387" t="inlineStr">
        <is>
          <t>NORRBOTTENS LÄN</t>
        </is>
      </c>
      <c r="E387" t="inlineStr">
        <is>
          <t>BODEN</t>
        </is>
      </c>
      <c r="G387" t="n">
        <v>2.2</v>
      </c>
      <c r="H387" t="n">
        <v>0</v>
      </c>
      <c r="I387" t="n">
        <v>0</v>
      </c>
      <c r="J387" t="n">
        <v>0</v>
      </c>
      <c r="K387" t="n">
        <v>0</v>
      </c>
      <c r="L387" t="n">
        <v>0</v>
      </c>
      <c r="M387" t="n">
        <v>0</v>
      </c>
      <c r="N387" t="n">
        <v>0</v>
      </c>
      <c r="O387" t="n">
        <v>0</v>
      </c>
      <c r="P387" t="n">
        <v>0</v>
      </c>
      <c r="Q387" t="n">
        <v>0</v>
      </c>
      <c r="R387" s="2" t="inlineStr"/>
    </row>
    <row r="388" ht="15" customHeight="1">
      <c r="A388" t="inlineStr">
        <is>
          <t>A 19590-2025</t>
        </is>
      </c>
      <c r="B388" s="1" t="n">
        <v>45770</v>
      </c>
      <c r="C388" s="1" t="n">
        <v>45915</v>
      </c>
      <c r="D388" t="inlineStr">
        <is>
          <t>NORRBOTTENS LÄN</t>
        </is>
      </c>
      <c r="E388" t="inlineStr">
        <is>
          <t>BODEN</t>
        </is>
      </c>
      <c r="G388" t="n">
        <v>2.1</v>
      </c>
      <c r="H388" t="n">
        <v>0</v>
      </c>
      <c r="I388" t="n">
        <v>0</v>
      </c>
      <c r="J388" t="n">
        <v>0</v>
      </c>
      <c r="K388" t="n">
        <v>0</v>
      </c>
      <c r="L388" t="n">
        <v>0</v>
      </c>
      <c r="M388" t="n">
        <v>0</v>
      </c>
      <c r="N388" t="n">
        <v>0</v>
      </c>
      <c r="O388" t="n">
        <v>0</v>
      </c>
      <c r="P388" t="n">
        <v>0</v>
      </c>
      <c r="Q388" t="n">
        <v>0</v>
      </c>
      <c r="R388" s="2" t="inlineStr"/>
    </row>
    <row r="389" ht="15" customHeight="1">
      <c r="A389" t="inlineStr">
        <is>
          <t>A 33289-2024</t>
        </is>
      </c>
      <c r="B389" s="1" t="n">
        <v>45518</v>
      </c>
      <c r="C389" s="1" t="n">
        <v>45915</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38652-2024</t>
        </is>
      </c>
      <c r="B390" s="1" t="n">
        <v>45546</v>
      </c>
      <c r="C390" s="1" t="n">
        <v>45915</v>
      </c>
      <c r="D390" t="inlineStr">
        <is>
          <t>NORRBOTTENS LÄN</t>
        </is>
      </c>
      <c r="E390" t="inlineStr">
        <is>
          <t>BODEN</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5071-2025</t>
        </is>
      </c>
      <c r="B391" s="1" t="n">
        <v>45691.49005787037</v>
      </c>
      <c r="C391" s="1" t="n">
        <v>45915</v>
      </c>
      <c r="D391" t="inlineStr">
        <is>
          <t>NORRBOTTENS LÄN</t>
        </is>
      </c>
      <c r="E391" t="inlineStr">
        <is>
          <t>BODEN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25735-2024</t>
        </is>
      </c>
      <c r="B392" s="1" t="n">
        <v>45464</v>
      </c>
      <c r="C392" s="1" t="n">
        <v>45915</v>
      </c>
      <c r="D392" t="inlineStr">
        <is>
          <t>NORRBOTTENS LÄN</t>
        </is>
      </c>
      <c r="E392" t="inlineStr">
        <is>
          <t>BODEN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56474-2023</t>
        </is>
      </c>
      <c r="B393" s="1" t="n">
        <v>45243.48854166667</v>
      </c>
      <c r="C393" s="1" t="n">
        <v>45915</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54240-2022</t>
        </is>
      </c>
      <c r="B394" s="1" t="n">
        <v>44881</v>
      </c>
      <c r="C394" s="1" t="n">
        <v>45915</v>
      </c>
      <c r="D394" t="inlineStr">
        <is>
          <t>NORRBOTTENS LÄN</t>
        </is>
      </c>
      <c r="E394" t="inlineStr">
        <is>
          <t>BODEN</t>
        </is>
      </c>
      <c r="G394" t="n">
        <v>1.1</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45915</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45915</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23361-2025</t>
        </is>
      </c>
      <c r="B397" s="1" t="n">
        <v>45791.67759259259</v>
      </c>
      <c r="C397" s="1" t="n">
        <v>45915</v>
      </c>
      <c r="D397" t="inlineStr">
        <is>
          <t>NORRBOTTENS LÄN</t>
        </is>
      </c>
      <c r="E397" t="inlineStr">
        <is>
          <t>BODEN</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6776-2023</t>
        </is>
      </c>
      <c r="B398" s="1" t="n">
        <v>44966.95085648148</v>
      </c>
      <c r="C398" s="1" t="n">
        <v>45915</v>
      </c>
      <c r="D398" t="inlineStr">
        <is>
          <t>NORRBOTTENS LÄN</t>
        </is>
      </c>
      <c r="E398" t="inlineStr">
        <is>
          <t>BODEN</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16180-2025</t>
        </is>
      </c>
      <c r="B399" s="1" t="n">
        <v>45750</v>
      </c>
      <c r="C399" s="1" t="n">
        <v>45915</v>
      </c>
      <c r="D399" t="inlineStr">
        <is>
          <t>NORRBOTTENS LÄN</t>
        </is>
      </c>
      <c r="E399" t="inlineStr">
        <is>
          <t>BODEN</t>
        </is>
      </c>
      <c r="F399" t="inlineStr">
        <is>
          <t>Övriga Aktiebolag</t>
        </is>
      </c>
      <c r="G399" t="n">
        <v>7.1</v>
      </c>
      <c r="H399" t="n">
        <v>0</v>
      </c>
      <c r="I399" t="n">
        <v>0</v>
      </c>
      <c r="J399" t="n">
        <v>0</v>
      </c>
      <c r="K399" t="n">
        <v>0</v>
      </c>
      <c r="L399" t="n">
        <v>0</v>
      </c>
      <c r="M399" t="n">
        <v>0</v>
      </c>
      <c r="N399" t="n">
        <v>0</v>
      </c>
      <c r="O399" t="n">
        <v>0</v>
      </c>
      <c r="P399" t="n">
        <v>0</v>
      </c>
      <c r="Q399" t="n">
        <v>0</v>
      </c>
      <c r="R399" s="2" t="inlineStr"/>
    </row>
    <row r="400" ht="15" customHeight="1">
      <c r="A400" t="inlineStr">
        <is>
          <t>A 33697-2023</t>
        </is>
      </c>
      <c r="B400" s="1" t="n">
        <v>45132</v>
      </c>
      <c r="C400" s="1" t="n">
        <v>45915</v>
      </c>
      <c r="D400" t="inlineStr">
        <is>
          <t>NORRBOTTENS LÄN</t>
        </is>
      </c>
      <c r="E400" t="inlineStr">
        <is>
          <t>BODEN</t>
        </is>
      </c>
      <c r="G400" t="n">
        <v>4.5</v>
      </c>
      <c r="H400" t="n">
        <v>0</v>
      </c>
      <c r="I400" t="n">
        <v>0</v>
      </c>
      <c r="J400" t="n">
        <v>0</v>
      </c>
      <c r="K400" t="n">
        <v>0</v>
      </c>
      <c r="L400" t="n">
        <v>0</v>
      </c>
      <c r="M400" t="n">
        <v>0</v>
      </c>
      <c r="N400" t="n">
        <v>0</v>
      </c>
      <c r="O400" t="n">
        <v>0</v>
      </c>
      <c r="P400" t="n">
        <v>0</v>
      </c>
      <c r="Q400" t="n">
        <v>0</v>
      </c>
      <c r="R400" s="2" t="inlineStr"/>
    </row>
    <row r="401" ht="15" customHeight="1">
      <c r="A401" t="inlineStr">
        <is>
          <t>A 14743-2023</t>
        </is>
      </c>
      <c r="B401" s="1" t="n">
        <v>45013</v>
      </c>
      <c r="C401" s="1" t="n">
        <v>45915</v>
      </c>
      <c r="D401" t="inlineStr">
        <is>
          <t>NORRBOTTENS LÄN</t>
        </is>
      </c>
      <c r="E401" t="inlineStr">
        <is>
          <t>BODEN</t>
        </is>
      </c>
      <c r="G401" t="n">
        <v>2.2</v>
      </c>
      <c r="H401" t="n">
        <v>0</v>
      </c>
      <c r="I401" t="n">
        <v>0</v>
      </c>
      <c r="J401" t="n">
        <v>0</v>
      </c>
      <c r="K401" t="n">
        <v>0</v>
      </c>
      <c r="L401" t="n">
        <v>0</v>
      </c>
      <c r="M401" t="n">
        <v>0</v>
      </c>
      <c r="N401" t="n">
        <v>0</v>
      </c>
      <c r="O401" t="n">
        <v>0</v>
      </c>
      <c r="P401" t="n">
        <v>0</v>
      </c>
      <c r="Q401" t="n">
        <v>0</v>
      </c>
      <c r="R401" s="2" t="inlineStr"/>
    </row>
    <row r="402" ht="15" customHeight="1">
      <c r="A402" t="inlineStr">
        <is>
          <t>A 27543-2025</t>
        </is>
      </c>
      <c r="B402" s="1" t="n">
        <v>45813.46928240741</v>
      </c>
      <c r="C402" s="1" t="n">
        <v>45915</v>
      </c>
      <c r="D402" t="inlineStr">
        <is>
          <t>NORRBOTTENS LÄN</t>
        </is>
      </c>
      <c r="E402" t="inlineStr">
        <is>
          <t>BODEN</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27605-2025</t>
        </is>
      </c>
      <c r="B403" s="1" t="n">
        <v>45813</v>
      </c>
      <c r="C403" s="1" t="n">
        <v>45915</v>
      </c>
      <c r="D403" t="inlineStr">
        <is>
          <t>NORRBOTTENS LÄN</t>
        </is>
      </c>
      <c r="E403" t="inlineStr">
        <is>
          <t>BODEN</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27508-2025</t>
        </is>
      </c>
      <c r="B404" s="1" t="n">
        <v>45813.42777777778</v>
      </c>
      <c r="C404" s="1" t="n">
        <v>45915</v>
      </c>
      <c r="D404" t="inlineStr">
        <is>
          <t>NORRBOTTENS LÄN</t>
        </is>
      </c>
      <c r="E404" t="inlineStr">
        <is>
          <t>BODEN</t>
        </is>
      </c>
      <c r="F404" t="inlineStr">
        <is>
          <t>SCA</t>
        </is>
      </c>
      <c r="G404" t="n">
        <v>13.9</v>
      </c>
      <c r="H404" t="n">
        <v>0</v>
      </c>
      <c r="I404" t="n">
        <v>0</v>
      </c>
      <c r="J404" t="n">
        <v>0</v>
      </c>
      <c r="K404" t="n">
        <v>0</v>
      </c>
      <c r="L404" t="n">
        <v>0</v>
      </c>
      <c r="M404" t="n">
        <v>0</v>
      </c>
      <c r="N404" t="n">
        <v>0</v>
      </c>
      <c r="O404" t="n">
        <v>0</v>
      </c>
      <c r="P404" t="n">
        <v>0</v>
      </c>
      <c r="Q404" t="n">
        <v>0</v>
      </c>
      <c r="R404" s="2" t="inlineStr"/>
    </row>
    <row r="405" ht="15" customHeight="1">
      <c r="A405" t="inlineStr">
        <is>
          <t>A 27576-2025</t>
        </is>
      </c>
      <c r="B405" s="1" t="n">
        <v>45813.49092592593</v>
      </c>
      <c r="C405" s="1" t="n">
        <v>45915</v>
      </c>
      <c r="D405" t="inlineStr">
        <is>
          <t>NORRBOTTENS LÄN</t>
        </is>
      </c>
      <c r="E405" t="inlineStr">
        <is>
          <t>BODEN</t>
        </is>
      </c>
      <c r="F405" t="inlineStr">
        <is>
          <t>SCA</t>
        </is>
      </c>
      <c r="G405" t="n">
        <v>17.7</v>
      </c>
      <c r="H405" t="n">
        <v>0</v>
      </c>
      <c r="I405" t="n">
        <v>0</v>
      </c>
      <c r="J405" t="n">
        <v>0</v>
      </c>
      <c r="K405" t="n">
        <v>0</v>
      </c>
      <c r="L405" t="n">
        <v>0</v>
      </c>
      <c r="M405" t="n">
        <v>0</v>
      </c>
      <c r="N405" t="n">
        <v>0</v>
      </c>
      <c r="O405" t="n">
        <v>0</v>
      </c>
      <c r="P405" t="n">
        <v>0</v>
      </c>
      <c r="Q405" t="n">
        <v>0</v>
      </c>
      <c r="R405" s="2" t="inlineStr"/>
    </row>
    <row r="406" ht="15" customHeight="1">
      <c r="A406" t="inlineStr">
        <is>
          <t>A 27602-2025</t>
        </is>
      </c>
      <c r="B406" s="1" t="n">
        <v>45813</v>
      </c>
      <c r="C406" s="1" t="n">
        <v>45915</v>
      </c>
      <c r="D406" t="inlineStr">
        <is>
          <t>NORRBOTTENS LÄN</t>
        </is>
      </c>
      <c r="E406" t="inlineStr">
        <is>
          <t>BODEN</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27507-2025</t>
        </is>
      </c>
      <c r="B407" s="1" t="n">
        <v>45813.42753472222</v>
      </c>
      <c r="C407" s="1" t="n">
        <v>45915</v>
      </c>
      <c r="D407" t="inlineStr">
        <is>
          <t>NORRBOTTENS LÄN</t>
        </is>
      </c>
      <c r="E407" t="inlineStr">
        <is>
          <t>BODEN</t>
        </is>
      </c>
      <c r="F407" t="inlineStr">
        <is>
          <t>Naturvårdsverket</t>
        </is>
      </c>
      <c r="G407" t="n">
        <v>6.7</v>
      </c>
      <c r="H407" t="n">
        <v>0</v>
      </c>
      <c r="I407" t="n">
        <v>0</v>
      </c>
      <c r="J407" t="n">
        <v>0</v>
      </c>
      <c r="K407" t="n">
        <v>0</v>
      </c>
      <c r="L407" t="n">
        <v>0</v>
      </c>
      <c r="M407" t="n">
        <v>0</v>
      </c>
      <c r="N407" t="n">
        <v>0</v>
      </c>
      <c r="O407" t="n">
        <v>0</v>
      </c>
      <c r="P407" t="n">
        <v>0</v>
      </c>
      <c r="Q407" t="n">
        <v>0</v>
      </c>
      <c r="R407" s="2" t="inlineStr"/>
    </row>
    <row r="408" ht="15" customHeight="1">
      <c r="A408" t="inlineStr">
        <is>
          <t>A 61260-2023</t>
        </is>
      </c>
      <c r="B408" s="1" t="n">
        <v>45264.48927083334</v>
      </c>
      <c r="C408" s="1" t="n">
        <v>45915</v>
      </c>
      <c r="D408" t="inlineStr">
        <is>
          <t>NORRBOTTENS LÄN</t>
        </is>
      </c>
      <c r="E408" t="inlineStr">
        <is>
          <t>BODEN</t>
        </is>
      </c>
      <c r="G408" t="n">
        <v>2.1</v>
      </c>
      <c r="H408" t="n">
        <v>0</v>
      </c>
      <c r="I408" t="n">
        <v>0</v>
      </c>
      <c r="J408" t="n">
        <v>0</v>
      </c>
      <c r="K408" t="n">
        <v>0</v>
      </c>
      <c r="L408" t="n">
        <v>0</v>
      </c>
      <c r="M408" t="n">
        <v>0</v>
      </c>
      <c r="N408" t="n">
        <v>0</v>
      </c>
      <c r="O408" t="n">
        <v>0</v>
      </c>
      <c r="P408" t="n">
        <v>0</v>
      </c>
      <c r="Q408" t="n">
        <v>0</v>
      </c>
      <c r="R408" s="2" t="inlineStr"/>
    </row>
    <row r="409" ht="15" customHeight="1">
      <c r="A409" t="inlineStr">
        <is>
          <t>A 4263-2025</t>
        </is>
      </c>
      <c r="B409" s="1" t="n">
        <v>45685</v>
      </c>
      <c r="C409" s="1" t="n">
        <v>45915</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41485-2024</t>
        </is>
      </c>
      <c r="B410" s="1" t="n">
        <v>45560.44894675926</v>
      </c>
      <c r="C410" s="1" t="n">
        <v>45915</v>
      </c>
      <c r="D410" t="inlineStr">
        <is>
          <t>NORRBOTTENS LÄN</t>
        </is>
      </c>
      <c r="E410" t="inlineStr">
        <is>
          <t>BODEN</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45915</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31456-2024</t>
        </is>
      </c>
      <c r="B412" s="1" t="n">
        <v>45505</v>
      </c>
      <c r="C412" s="1" t="n">
        <v>45915</v>
      </c>
      <c r="D412" t="inlineStr">
        <is>
          <t>NORRBOTTENS LÄN</t>
        </is>
      </c>
      <c r="E412" t="inlineStr">
        <is>
          <t>BODEN</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19080-2025</t>
        </is>
      </c>
      <c r="B413" s="1" t="n">
        <v>45766.71910879629</v>
      </c>
      <c r="C413" s="1" t="n">
        <v>45915</v>
      </c>
      <c r="D413" t="inlineStr">
        <is>
          <t>NORRBOTTENS LÄN</t>
        </is>
      </c>
      <c r="E413" t="inlineStr">
        <is>
          <t>BODEN</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59722-2024</t>
        </is>
      </c>
      <c r="B414" s="1" t="n">
        <v>45639</v>
      </c>
      <c r="C414" s="1" t="n">
        <v>45915</v>
      </c>
      <c r="D414" t="inlineStr">
        <is>
          <t>NORRBOTTENS LÄN</t>
        </is>
      </c>
      <c r="E414" t="inlineStr">
        <is>
          <t>BODEN</t>
        </is>
      </c>
      <c r="G414" t="n">
        <v>5</v>
      </c>
      <c r="H414" t="n">
        <v>0</v>
      </c>
      <c r="I414" t="n">
        <v>0</v>
      </c>
      <c r="J414" t="n">
        <v>0</v>
      </c>
      <c r="K414" t="n">
        <v>0</v>
      </c>
      <c r="L414" t="n">
        <v>0</v>
      </c>
      <c r="M414" t="n">
        <v>0</v>
      </c>
      <c r="N414" t="n">
        <v>0</v>
      </c>
      <c r="O414" t="n">
        <v>0</v>
      </c>
      <c r="P414" t="n">
        <v>0</v>
      </c>
      <c r="Q414" t="n">
        <v>0</v>
      </c>
      <c r="R414" s="2" t="inlineStr"/>
    </row>
    <row r="415" ht="15" customHeight="1">
      <c r="A415" t="inlineStr">
        <is>
          <t>A 19571-2025</t>
        </is>
      </c>
      <c r="B415" s="1" t="n">
        <v>45770.54408564815</v>
      </c>
      <c r="C415" s="1" t="n">
        <v>45915</v>
      </c>
      <c r="D415" t="inlineStr">
        <is>
          <t>NORRBOTTENS LÄN</t>
        </is>
      </c>
      <c r="E415" t="inlineStr">
        <is>
          <t>BODEN</t>
        </is>
      </c>
      <c r="G415" t="n">
        <v>3.4</v>
      </c>
      <c r="H415" t="n">
        <v>0</v>
      </c>
      <c r="I415" t="n">
        <v>0</v>
      </c>
      <c r="J415" t="n">
        <v>0</v>
      </c>
      <c r="K415" t="n">
        <v>0</v>
      </c>
      <c r="L415" t="n">
        <v>0</v>
      </c>
      <c r="M415" t="n">
        <v>0</v>
      </c>
      <c r="N415" t="n">
        <v>0</v>
      </c>
      <c r="O415" t="n">
        <v>0</v>
      </c>
      <c r="P415" t="n">
        <v>0</v>
      </c>
      <c r="Q415" t="n">
        <v>0</v>
      </c>
      <c r="R415" s="2" t="inlineStr"/>
    </row>
    <row r="416" ht="15" customHeight="1">
      <c r="A416" t="inlineStr">
        <is>
          <t>A 8170-2025</t>
        </is>
      </c>
      <c r="B416" s="1" t="n">
        <v>45708.36651620371</v>
      </c>
      <c r="C416" s="1" t="n">
        <v>45915</v>
      </c>
      <c r="D416" t="inlineStr">
        <is>
          <t>NORRBOTTENS LÄN</t>
        </is>
      </c>
      <c r="E416" t="inlineStr">
        <is>
          <t>BODEN</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28134-2025</t>
        </is>
      </c>
      <c r="B417" s="1" t="n">
        <v>45818.34452546296</v>
      </c>
      <c r="C417" s="1" t="n">
        <v>45915</v>
      </c>
      <c r="D417" t="inlineStr">
        <is>
          <t>NORRBOTTENS LÄN</t>
        </is>
      </c>
      <c r="E417" t="inlineStr">
        <is>
          <t>BODEN</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7525-2025</t>
        </is>
      </c>
      <c r="B418" s="1" t="n">
        <v>45704</v>
      </c>
      <c r="C418" s="1" t="n">
        <v>45915</v>
      </c>
      <c r="D418" t="inlineStr">
        <is>
          <t>NORRBOTTENS LÄN</t>
        </is>
      </c>
      <c r="E418" t="inlineStr">
        <is>
          <t>BODEN</t>
        </is>
      </c>
      <c r="G418" t="n">
        <v>10.1</v>
      </c>
      <c r="H418" t="n">
        <v>0</v>
      </c>
      <c r="I418" t="n">
        <v>0</v>
      </c>
      <c r="J418" t="n">
        <v>0</v>
      </c>
      <c r="K418" t="n">
        <v>0</v>
      </c>
      <c r="L418" t="n">
        <v>0</v>
      </c>
      <c r="M418" t="n">
        <v>0</v>
      </c>
      <c r="N418" t="n">
        <v>0</v>
      </c>
      <c r="O418" t="n">
        <v>0</v>
      </c>
      <c r="P418" t="n">
        <v>0</v>
      </c>
      <c r="Q418" t="n">
        <v>0</v>
      </c>
      <c r="R418" s="2" t="inlineStr"/>
    </row>
    <row r="419" ht="15" customHeight="1">
      <c r="A419" t="inlineStr">
        <is>
          <t>A 28297-2025</t>
        </is>
      </c>
      <c r="B419" s="1" t="n">
        <v>45818.60010416667</v>
      </c>
      <c r="C419" s="1" t="n">
        <v>45915</v>
      </c>
      <c r="D419" t="inlineStr">
        <is>
          <t>NORRBOTTENS LÄN</t>
        </is>
      </c>
      <c r="E419" t="inlineStr">
        <is>
          <t>BODEN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61921-2024</t>
        </is>
      </c>
      <c r="B420" s="1" t="n">
        <v>45653</v>
      </c>
      <c r="C420" s="1" t="n">
        <v>45915</v>
      </c>
      <c r="D420" t="inlineStr">
        <is>
          <t>NORRBOTTENS LÄN</t>
        </is>
      </c>
      <c r="E420" t="inlineStr">
        <is>
          <t>BODEN</t>
        </is>
      </c>
      <c r="G420" t="n">
        <v>47.3</v>
      </c>
      <c r="H420" t="n">
        <v>0</v>
      </c>
      <c r="I420" t="n">
        <v>0</v>
      </c>
      <c r="J420" t="n">
        <v>0</v>
      </c>
      <c r="K420" t="n">
        <v>0</v>
      </c>
      <c r="L420" t="n">
        <v>0</v>
      </c>
      <c r="M420" t="n">
        <v>0</v>
      </c>
      <c r="N420" t="n">
        <v>0</v>
      </c>
      <c r="O420" t="n">
        <v>0</v>
      </c>
      <c r="P420" t="n">
        <v>0</v>
      </c>
      <c r="Q420" t="n">
        <v>0</v>
      </c>
      <c r="R420" s="2" t="inlineStr"/>
    </row>
    <row r="421" ht="15" customHeight="1">
      <c r="A421" t="inlineStr">
        <is>
          <t>A 3090-2024</t>
        </is>
      </c>
      <c r="B421" s="1" t="n">
        <v>45316.44841435185</v>
      </c>
      <c r="C421" s="1" t="n">
        <v>45915</v>
      </c>
      <c r="D421" t="inlineStr">
        <is>
          <t>NORRBOTTENS LÄN</t>
        </is>
      </c>
      <c r="E421" t="inlineStr">
        <is>
          <t>BODEN</t>
        </is>
      </c>
      <c r="G421" t="n">
        <v>2.3</v>
      </c>
      <c r="H421" t="n">
        <v>0</v>
      </c>
      <c r="I421" t="n">
        <v>0</v>
      </c>
      <c r="J421" t="n">
        <v>0</v>
      </c>
      <c r="K421" t="n">
        <v>0</v>
      </c>
      <c r="L421" t="n">
        <v>0</v>
      </c>
      <c r="M421" t="n">
        <v>0</v>
      </c>
      <c r="N421" t="n">
        <v>0</v>
      </c>
      <c r="O421" t="n">
        <v>0</v>
      </c>
      <c r="P421" t="n">
        <v>0</v>
      </c>
      <c r="Q421" t="n">
        <v>0</v>
      </c>
      <c r="R421" s="2" t="inlineStr"/>
    </row>
    <row r="422" ht="15" customHeight="1">
      <c r="A422" t="inlineStr">
        <is>
          <t>A 19060-2024</t>
        </is>
      </c>
      <c r="B422" s="1" t="n">
        <v>45427.93494212963</v>
      </c>
      <c r="C422" s="1" t="n">
        <v>45915</v>
      </c>
      <c r="D422" t="inlineStr">
        <is>
          <t>NORRBOTTENS LÄN</t>
        </is>
      </c>
      <c r="E422" t="inlineStr">
        <is>
          <t>BODEN</t>
        </is>
      </c>
      <c r="G422" t="n">
        <v>3.3</v>
      </c>
      <c r="H422" t="n">
        <v>0</v>
      </c>
      <c r="I422" t="n">
        <v>0</v>
      </c>
      <c r="J422" t="n">
        <v>0</v>
      </c>
      <c r="K422" t="n">
        <v>0</v>
      </c>
      <c r="L422" t="n">
        <v>0</v>
      </c>
      <c r="M422" t="n">
        <v>0</v>
      </c>
      <c r="N422" t="n">
        <v>0</v>
      </c>
      <c r="O422" t="n">
        <v>0</v>
      </c>
      <c r="P422" t="n">
        <v>0</v>
      </c>
      <c r="Q422" t="n">
        <v>0</v>
      </c>
      <c r="R422" s="2" t="inlineStr"/>
    </row>
    <row r="423" ht="15" customHeight="1">
      <c r="A423" t="inlineStr">
        <is>
          <t>A 22447-2024</t>
        </is>
      </c>
      <c r="B423" s="1" t="n">
        <v>45446</v>
      </c>
      <c r="C423" s="1" t="n">
        <v>45915</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61941-2024</t>
        </is>
      </c>
      <c r="B424" s="1" t="n">
        <v>45653</v>
      </c>
      <c r="C424" s="1" t="n">
        <v>45915</v>
      </c>
      <c r="D424" t="inlineStr">
        <is>
          <t>NORRBOTTENS LÄN</t>
        </is>
      </c>
      <c r="E424" t="inlineStr">
        <is>
          <t>BODEN</t>
        </is>
      </c>
      <c r="G424" t="n">
        <v>17.6</v>
      </c>
      <c r="H424" t="n">
        <v>0</v>
      </c>
      <c r="I424" t="n">
        <v>0</v>
      </c>
      <c r="J424" t="n">
        <v>0</v>
      </c>
      <c r="K424" t="n">
        <v>0</v>
      </c>
      <c r="L424" t="n">
        <v>0</v>
      </c>
      <c r="M424" t="n">
        <v>0</v>
      </c>
      <c r="N424" t="n">
        <v>0</v>
      </c>
      <c r="O424" t="n">
        <v>0</v>
      </c>
      <c r="P424" t="n">
        <v>0</v>
      </c>
      <c r="Q424" t="n">
        <v>0</v>
      </c>
      <c r="R424" s="2" t="inlineStr"/>
    </row>
    <row r="425" ht="15" customHeight="1">
      <c r="A425" t="inlineStr">
        <is>
          <t>A 52976-2023</t>
        </is>
      </c>
      <c r="B425" s="1" t="n">
        <v>45226</v>
      </c>
      <c r="C425" s="1" t="n">
        <v>45915</v>
      </c>
      <c r="D425" t="inlineStr">
        <is>
          <t>NORRBOTTENS LÄN</t>
        </is>
      </c>
      <c r="E425" t="inlineStr">
        <is>
          <t>BODEN</t>
        </is>
      </c>
      <c r="F425" t="inlineStr">
        <is>
          <t>Sveaskog</t>
        </is>
      </c>
      <c r="G425" t="n">
        <v>7.5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45915</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29109-2024</t>
        </is>
      </c>
      <c r="B427" s="1" t="n">
        <v>45481.95275462963</v>
      </c>
      <c r="C427" s="1" t="n">
        <v>45915</v>
      </c>
      <c r="D427" t="inlineStr">
        <is>
          <t>NORRBOTTENS LÄN</t>
        </is>
      </c>
      <c r="E427" t="inlineStr">
        <is>
          <t>BODEN</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28141-2025</t>
        </is>
      </c>
      <c r="B428" s="1" t="n">
        <v>45818</v>
      </c>
      <c r="C428" s="1" t="n">
        <v>45915</v>
      </c>
      <c r="D428" t="inlineStr">
        <is>
          <t>NORRBOTTENS LÄN</t>
        </is>
      </c>
      <c r="E428" t="inlineStr">
        <is>
          <t>BODEN</t>
        </is>
      </c>
      <c r="F428" t="inlineStr">
        <is>
          <t>SCA</t>
        </is>
      </c>
      <c r="G428" t="n">
        <v>19.1</v>
      </c>
      <c r="H428" t="n">
        <v>0</v>
      </c>
      <c r="I428" t="n">
        <v>0</v>
      </c>
      <c r="J428" t="n">
        <v>0</v>
      </c>
      <c r="K428" t="n">
        <v>0</v>
      </c>
      <c r="L428" t="n">
        <v>0</v>
      </c>
      <c r="M428" t="n">
        <v>0</v>
      </c>
      <c r="N428" t="n">
        <v>0</v>
      </c>
      <c r="O428" t="n">
        <v>0</v>
      </c>
      <c r="P428" t="n">
        <v>0</v>
      </c>
      <c r="Q428" t="n">
        <v>0</v>
      </c>
      <c r="R428" s="2" t="inlineStr"/>
    </row>
    <row r="429" ht="15" customHeight="1">
      <c r="A429" t="inlineStr">
        <is>
          <t>A 54139-2023</t>
        </is>
      </c>
      <c r="B429" s="1" t="n">
        <v>45232</v>
      </c>
      <c r="C429" s="1" t="n">
        <v>45915</v>
      </c>
      <c r="D429" t="inlineStr">
        <is>
          <t>NORRBOTTENS LÄN</t>
        </is>
      </c>
      <c r="E429" t="inlineStr">
        <is>
          <t>BODEN</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29751-2021</t>
        </is>
      </c>
      <c r="B430" s="1" t="n">
        <v>44362.48555555556</v>
      </c>
      <c r="C430" s="1" t="n">
        <v>45915</v>
      </c>
      <c r="D430" t="inlineStr">
        <is>
          <t>NORRBOTTENS LÄN</t>
        </is>
      </c>
      <c r="E430" t="inlineStr">
        <is>
          <t>BODEN</t>
        </is>
      </c>
      <c r="G430" t="n">
        <v>5</v>
      </c>
      <c r="H430" t="n">
        <v>0</v>
      </c>
      <c r="I430" t="n">
        <v>0</v>
      </c>
      <c r="J430" t="n">
        <v>0</v>
      </c>
      <c r="K430" t="n">
        <v>0</v>
      </c>
      <c r="L430" t="n">
        <v>0</v>
      </c>
      <c r="M430" t="n">
        <v>0</v>
      </c>
      <c r="N430" t="n">
        <v>0</v>
      </c>
      <c r="O430" t="n">
        <v>0</v>
      </c>
      <c r="P430" t="n">
        <v>0</v>
      </c>
      <c r="Q430" t="n">
        <v>0</v>
      </c>
      <c r="R430" s="2" t="inlineStr"/>
    </row>
    <row r="431" ht="15" customHeight="1">
      <c r="A431" t="inlineStr">
        <is>
          <t>A 24744-2024</t>
        </is>
      </c>
      <c r="B431" s="1" t="n">
        <v>45460</v>
      </c>
      <c r="C431" s="1" t="n">
        <v>45915</v>
      </c>
      <c r="D431" t="inlineStr">
        <is>
          <t>NORRBOTTENS LÄN</t>
        </is>
      </c>
      <c r="E431" t="inlineStr">
        <is>
          <t>BODEN</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33454-2022</t>
        </is>
      </c>
      <c r="B432" s="1" t="n">
        <v>44788.65809027778</v>
      </c>
      <c r="C432" s="1" t="n">
        <v>45915</v>
      </c>
      <c r="D432" t="inlineStr">
        <is>
          <t>NORRBOTTENS LÄN</t>
        </is>
      </c>
      <c r="E432" t="inlineStr">
        <is>
          <t>BODEN</t>
        </is>
      </c>
      <c r="G432" t="n">
        <v>2.7</v>
      </c>
      <c r="H432" t="n">
        <v>0</v>
      </c>
      <c r="I432" t="n">
        <v>0</v>
      </c>
      <c r="J432" t="n">
        <v>0</v>
      </c>
      <c r="K432" t="n">
        <v>0</v>
      </c>
      <c r="L432" t="n">
        <v>0</v>
      </c>
      <c r="M432" t="n">
        <v>0</v>
      </c>
      <c r="N432" t="n">
        <v>0</v>
      </c>
      <c r="O432" t="n">
        <v>0</v>
      </c>
      <c r="P432" t="n">
        <v>0</v>
      </c>
      <c r="Q432" t="n">
        <v>0</v>
      </c>
      <c r="R432" s="2" t="inlineStr"/>
    </row>
    <row r="433" ht="15" customHeight="1">
      <c r="A433" t="inlineStr">
        <is>
          <t>A 40781-2021</t>
        </is>
      </c>
      <c r="B433" s="1" t="n">
        <v>44421.25067129629</v>
      </c>
      <c r="C433" s="1" t="n">
        <v>45915</v>
      </c>
      <c r="D433" t="inlineStr">
        <is>
          <t>NORRBOTTENS LÄN</t>
        </is>
      </c>
      <c r="E433" t="inlineStr">
        <is>
          <t>BODEN</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28139-2025</t>
        </is>
      </c>
      <c r="B434" s="1" t="n">
        <v>45818</v>
      </c>
      <c r="C434" s="1" t="n">
        <v>45915</v>
      </c>
      <c r="D434" t="inlineStr">
        <is>
          <t>NORRBOTTENS LÄN</t>
        </is>
      </c>
      <c r="E434" t="inlineStr">
        <is>
          <t>BODEN</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28197-2025</t>
        </is>
      </c>
      <c r="B435" s="1" t="n">
        <v>45818.43130787037</v>
      </c>
      <c r="C435" s="1" t="n">
        <v>45915</v>
      </c>
      <c r="D435" t="inlineStr">
        <is>
          <t>NORRBOTTENS LÄN</t>
        </is>
      </c>
      <c r="E435" t="inlineStr">
        <is>
          <t>BODEN</t>
        </is>
      </c>
      <c r="F435" t="inlineStr">
        <is>
          <t>Sveaskog</t>
        </is>
      </c>
      <c r="G435" t="n">
        <v>7.2</v>
      </c>
      <c r="H435" t="n">
        <v>0</v>
      </c>
      <c r="I435" t="n">
        <v>0</v>
      </c>
      <c r="J435" t="n">
        <v>0</v>
      </c>
      <c r="K435" t="n">
        <v>0</v>
      </c>
      <c r="L435" t="n">
        <v>0</v>
      </c>
      <c r="M435" t="n">
        <v>0</v>
      </c>
      <c r="N435" t="n">
        <v>0</v>
      </c>
      <c r="O435" t="n">
        <v>0</v>
      </c>
      <c r="P435" t="n">
        <v>0</v>
      </c>
      <c r="Q435" t="n">
        <v>0</v>
      </c>
      <c r="R435" s="2" t="inlineStr"/>
      <c r="U435">
        <f>HYPERLINK("https://klasma.github.io/Logging_2582/knärot/A 28197-2025 karta knärot.png", "A 28197-2025")</f>
        <v/>
      </c>
      <c r="V435">
        <f>HYPERLINK("https://klasma.github.io/Logging_2582/klagomål/A 28197-2025 FSC-klagomål.docx", "A 28197-2025")</f>
        <v/>
      </c>
      <c r="W435">
        <f>HYPERLINK("https://klasma.github.io/Logging_2582/klagomålsmail/A 28197-2025 FSC-klagomål mail.docx", "A 28197-2025")</f>
        <v/>
      </c>
      <c r="X435">
        <f>HYPERLINK("https://klasma.github.io/Logging_2582/tillsyn/A 28197-2025 tillsynsbegäran.docx", "A 28197-2025")</f>
        <v/>
      </c>
      <c r="Y435">
        <f>HYPERLINK("https://klasma.github.io/Logging_2582/tillsynsmail/A 28197-2025 tillsynsbegäran mail.docx", "A 28197-2025")</f>
        <v/>
      </c>
    </row>
    <row r="436" ht="15" customHeight="1">
      <c r="A436" t="inlineStr">
        <is>
          <t>A 28248-2025</t>
        </is>
      </c>
      <c r="B436" s="1" t="n">
        <v>45818.52607638889</v>
      </c>
      <c r="C436" s="1" t="n">
        <v>45915</v>
      </c>
      <c r="D436" t="inlineStr">
        <is>
          <t>NORRBOTTENS LÄN</t>
        </is>
      </c>
      <c r="E436" t="inlineStr">
        <is>
          <t>BODEN</t>
        </is>
      </c>
      <c r="G436" t="n">
        <v>1.3</v>
      </c>
      <c r="H436" t="n">
        <v>0</v>
      </c>
      <c r="I436" t="n">
        <v>0</v>
      </c>
      <c r="J436" t="n">
        <v>0</v>
      </c>
      <c r="K436" t="n">
        <v>0</v>
      </c>
      <c r="L436" t="n">
        <v>0</v>
      </c>
      <c r="M436" t="n">
        <v>0</v>
      </c>
      <c r="N436" t="n">
        <v>0</v>
      </c>
      <c r="O436" t="n">
        <v>0</v>
      </c>
      <c r="P436" t="n">
        <v>0</v>
      </c>
      <c r="Q436" t="n">
        <v>0</v>
      </c>
      <c r="R436" s="2" t="inlineStr"/>
    </row>
    <row r="437" ht="15" customHeight="1">
      <c r="A437" t="inlineStr">
        <is>
          <t>A 28270-2025</t>
        </is>
      </c>
      <c r="B437" s="1" t="n">
        <v>45818.56925925926</v>
      </c>
      <c r="C437" s="1" t="n">
        <v>45915</v>
      </c>
      <c r="D437" t="inlineStr">
        <is>
          <t>NORRBOTTENS LÄN</t>
        </is>
      </c>
      <c r="E437" t="inlineStr">
        <is>
          <t>BODEN</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3922-2025</t>
        </is>
      </c>
      <c r="B438" s="1" t="n">
        <v>45684.44825231482</v>
      </c>
      <c r="C438" s="1" t="n">
        <v>45915</v>
      </c>
      <c r="D438" t="inlineStr">
        <is>
          <t>NORRBOTTENS LÄN</t>
        </is>
      </c>
      <c r="E438" t="inlineStr">
        <is>
          <t>BODEN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33915-2024</t>
        </is>
      </c>
      <c r="B439" s="1" t="n">
        <v>45523.38938657408</v>
      </c>
      <c r="C439" s="1" t="n">
        <v>45915</v>
      </c>
      <c r="D439" t="inlineStr">
        <is>
          <t>NORRBOTTENS LÄN</t>
        </is>
      </c>
      <c r="E439" t="inlineStr">
        <is>
          <t>BODEN</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57691-2024</t>
        </is>
      </c>
      <c r="B440" s="1" t="n">
        <v>45630.65877314815</v>
      </c>
      <c r="C440" s="1" t="n">
        <v>45915</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46541-2021</t>
        </is>
      </c>
      <c r="B441" s="1" t="n">
        <v>44445</v>
      </c>
      <c r="C441" s="1" t="n">
        <v>45915</v>
      </c>
      <c r="D441" t="inlineStr">
        <is>
          <t>NORRBOTTENS LÄN</t>
        </is>
      </c>
      <c r="E441" t="inlineStr">
        <is>
          <t>BODEN</t>
        </is>
      </c>
      <c r="G441" t="n">
        <v>0.8</v>
      </c>
      <c r="H441" t="n">
        <v>0</v>
      </c>
      <c r="I441" t="n">
        <v>0</v>
      </c>
      <c r="J441" t="n">
        <v>0</v>
      </c>
      <c r="K441" t="n">
        <v>0</v>
      </c>
      <c r="L441" t="n">
        <v>0</v>
      </c>
      <c r="M441" t="n">
        <v>0</v>
      </c>
      <c r="N441" t="n">
        <v>0</v>
      </c>
      <c r="O441" t="n">
        <v>0</v>
      </c>
      <c r="P441" t="n">
        <v>0</v>
      </c>
      <c r="Q441" t="n">
        <v>0</v>
      </c>
      <c r="R441" s="2" t="inlineStr"/>
    </row>
    <row r="442" ht="15" customHeight="1">
      <c r="A442" t="inlineStr">
        <is>
          <t>A 36599-2023</t>
        </is>
      </c>
      <c r="B442" s="1" t="n">
        <v>45152</v>
      </c>
      <c r="C442" s="1" t="n">
        <v>45915</v>
      </c>
      <c r="D442" t="inlineStr">
        <is>
          <t>NORRBOTTENS LÄN</t>
        </is>
      </c>
      <c r="E442" t="inlineStr">
        <is>
          <t>BODEN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55317-2023</t>
        </is>
      </c>
      <c r="B443" s="1" t="n">
        <v>45237</v>
      </c>
      <c r="C443" s="1" t="n">
        <v>45915</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28718-2025</t>
        </is>
      </c>
      <c r="B444" s="1" t="n">
        <v>45820.34439814815</v>
      </c>
      <c r="C444" s="1" t="n">
        <v>45915</v>
      </c>
      <c r="D444" t="inlineStr">
        <is>
          <t>NORRBOTTENS LÄN</t>
        </is>
      </c>
      <c r="E444" t="inlineStr">
        <is>
          <t>BODEN</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29451-2025</t>
        </is>
      </c>
      <c r="B445" s="1" t="n">
        <v>45824</v>
      </c>
      <c r="C445" s="1" t="n">
        <v>45915</v>
      </c>
      <c r="D445" t="inlineStr">
        <is>
          <t>NORRBOTTENS LÄN</t>
        </is>
      </c>
      <c r="E445" t="inlineStr">
        <is>
          <t>BODEN</t>
        </is>
      </c>
      <c r="G445" t="n">
        <v>3.3</v>
      </c>
      <c r="H445" t="n">
        <v>0</v>
      </c>
      <c r="I445" t="n">
        <v>0</v>
      </c>
      <c r="J445" t="n">
        <v>0</v>
      </c>
      <c r="K445" t="n">
        <v>0</v>
      </c>
      <c r="L445" t="n">
        <v>0</v>
      </c>
      <c r="M445" t="n">
        <v>0</v>
      </c>
      <c r="N445" t="n">
        <v>0</v>
      </c>
      <c r="O445" t="n">
        <v>0</v>
      </c>
      <c r="P445" t="n">
        <v>0</v>
      </c>
      <c r="Q445" t="n">
        <v>0</v>
      </c>
      <c r="R445" s="2" t="inlineStr"/>
    </row>
    <row r="446" ht="15" customHeight="1">
      <c r="A446" t="inlineStr">
        <is>
          <t>A 49162-2023</t>
        </is>
      </c>
      <c r="B446" s="1" t="n">
        <v>45210.53141203704</v>
      </c>
      <c r="C446" s="1" t="n">
        <v>45915</v>
      </c>
      <c r="D446" t="inlineStr">
        <is>
          <t>NORRBOTTENS LÄN</t>
        </is>
      </c>
      <c r="E446" t="inlineStr">
        <is>
          <t>BODEN</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47424-2024</t>
        </is>
      </c>
      <c r="B447" s="1" t="n">
        <v>45587.49114583333</v>
      </c>
      <c r="C447" s="1" t="n">
        <v>45915</v>
      </c>
      <c r="D447" t="inlineStr">
        <is>
          <t>NORRBOTTENS LÄN</t>
        </is>
      </c>
      <c r="E447" t="inlineStr">
        <is>
          <t>BODEN</t>
        </is>
      </c>
      <c r="G447" t="n">
        <v>1.9</v>
      </c>
      <c r="H447" t="n">
        <v>0</v>
      </c>
      <c r="I447" t="n">
        <v>0</v>
      </c>
      <c r="J447" t="n">
        <v>0</v>
      </c>
      <c r="K447" t="n">
        <v>0</v>
      </c>
      <c r="L447" t="n">
        <v>0</v>
      </c>
      <c r="M447" t="n">
        <v>0</v>
      </c>
      <c r="N447" t="n">
        <v>0</v>
      </c>
      <c r="O447" t="n">
        <v>0</v>
      </c>
      <c r="P447" t="n">
        <v>0</v>
      </c>
      <c r="Q447" t="n">
        <v>0</v>
      </c>
      <c r="R447" s="2" t="inlineStr"/>
    </row>
    <row r="448" ht="15" customHeight="1">
      <c r="A448" t="inlineStr">
        <is>
          <t>A 46901-2024</t>
        </is>
      </c>
      <c r="B448" s="1" t="n">
        <v>45583.69834490741</v>
      </c>
      <c r="C448" s="1" t="n">
        <v>45915</v>
      </c>
      <c r="D448" t="inlineStr">
        <is>
          <t>NORRBOTTENS LÄN</t>
        </is>
      </c>
      <c r="E448" t="inlineStr">
        <is>
          <t>BODEN</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45448-2023</t>
        </is>
      </c>
      <c r="B449" s="1" t="n">
        <v>45194.40741898148</v>
      </c>
      <c r="C449" s="1" t="n">
        <v>45915</v>
      </c>
      <c r="D449" t="inlineStr">
        <is>
          <t>NORRBOTTENS LÄN</t>
        </is>
      </c>
      <c r="E449" t="inlineStr">
        <is>
          <t>BODEN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45915</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18915-2025</t>
        </is>
      </c>
      <c r="B451" s="1" t="n">
        <v>45764</v>
      </c>
      <c r="C451" s="1" t="n">
        <v>45915</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29376-2025</t>
        </is>
      </c>
      <c r="B452" s="1" t="n">
        <v>45824</v>
      </c>
      <c r="C452" s="1" t="n">
        <v>45915</v>
      </c>
      <c r="D452" t="inlineStr">
        <is>
          <t>NORRBOTTENS LÄN</t>
        </is>
      </c>
      <c r="E452" t="inlineStr">
        <is>
          <t>BODEN</t>
        </is>
      </c>
      <c r="G452" t="n">
        <v>4.3</v>
      </c>
      <c r="H452" t="n">
        <v>0</v>
      </c>
      <c r="I452" t="n">
        <v>0</v>
      </c>
      <c r="J452" t="n">
        <v>0</v>
      </c>
      <c r="K452" t="n">
        <v>0</v>
      </c>
      <c r="L452" t="n">
        <v>0</v>
      </c>
      <c r="M452" t="n">
        <v>0</v>
      </c>
      <c r="N452" t="n">
        <v>0</v>
      </c>
      <c r="O452" t="n">
        <v>0</v>
      </c>
      <c r="P452" t="n">
        <v>0</v>
      </c>
      <c r="Q452" t="n">
        <v>0</v>
      </c>
      <c r="R452" s="2" t="inlineStr"/>
    </row>
    <row r="453" ht="15" customHeight="1">
      <c r="A453" t="inlineStr">
        <is>
          <t>A 29797-2022</t>
        </is>
      </c>
      <c r="B453" s="1" t="n">
        <v>44755</v>
      </c>
      <c r="C453" s="1" t="n">
        <v>45915</v>
      </c>
      <c r="D453" t="inlineStr">
        <is>
          <t>NORRBOTTENS LÄN</t>
        </is>
      </c>
      <c r="E453" t="inlineStr">
        <is>
          <t>BODEN</t>
        </is>
      </c>
      <c r="F453" t="inlineStr">
        <is>
          <t>Kyrkan</t>
        </is>
      </c>
      <c r="G453" t="n">
        <v>29.2</v>
      </c>
      <c r="H453" t="n">
        <v>0</v>
      </c>
      <c r="I453" t="n">
        <v>0</v>
      </c>
      <c r="J453" t="n">
        <v>0</v>
      </c>
      <c r="K453" t="n">
        <v>0</v>
      </c>
      <c r="L453" t="n">
        <v>0</v>
      </c>
      <c r="M453" t="n">
        <v>0</v>
      </c>
      <c r="N453" t="n">
        <v>0</v>
      </c>
      <c r="O453" t="n">
        <v>0</v>
      </c>
      <c r="P453" t="n">
        <v>0</v>
      </c>
      <c r="Q453" t="n">
        <v>0</v>
      </c>
      <c r="R453" s="2" t="inlineStr"/>
    </row>
    <row r="454" ht="15" customHeight="1">
      <c r="A454" t="inlineStr">
        <is>
          <t>A 38874-2023</t>
        </is>
      </c>
      <c r="B454" s="1" t="n">
        <v>45161</v>
      </c>
      <c r="C454" s="1" t="n">
        <v>45915</v>
      </c>
      <c r="D454" t="inlineStr">
        <is>
          <t>NORRBOTTENS LÄN</t>
        </is>
      </c>
      <c r="E454" t="inlineStr">
        <is>
          <t>BODEN</t>
        </is>
      </c>
      <c r="G454" t="n">
        <v>15.5</v>
      </c>
      <c r="H454" t="n">
        <v>0</v>
      </c>
      <c r="I454" t="n">
        <v>0</v>
      </c>
      <c r="J454" t="n">
        <v>0</v>
      </c>
      <c r="K454" t="n">
        <v>0</v>
      </c>
      <c r="L454" t="n">
        <v>0</v>
      </c>
      <c r="M454" t="n">
        <v>0</v>
      </c>
      <c r="N454" t="n">
        <v>0</v>
      </c>
      <c r="O454" t="n">
        <v>0</v>
      </c>
      <c r="P454" t="n">
        <v>0</v>
      </c>
      <c r="Q454" t="n">
        <v>0</v>
      </c>
      <c r="R454" s="2" t="inlineStr"/>
    </row>
    <row r="455" ht="15" customHeight="1">
      <c r="A455" t="inlineStr">
        <is>
          <t>A 29951-2025</t>
        </is>
      </c>
      <c r="B455" s="1" t="n">
        <v>45826.46918981482</v>
      </c>
      <c r="C455" s="1" t="n">
        <v>45915</v>
      </c>
      <c r="D455" t="inlineStr">
        <is>
          <t>NORRBOTTENS LÄN</t>
        </is>
      </c>
      <c r="E455" t="inlineStr">
        <is>
          <t>BODEN</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30089-2025</t>
        </is>
      </c>
      <c r="B456" s="1" t="n">
        <v>45826</v>
      </c>
      <c r="C456" s="1" t="n">
        <v>45915</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29971-2025</t>
        </is>
      </c>
      <c r="B457" s="1" t="n">
        <v>45826.49025462963</v>
      </c>
      <c r="C457" s="1" t="n">
        <v>45915</v>
      </c>
      <c r="D457" t="inlineStr">
        <is>
          <t>NORRBOTTENS LÄN</t>
        </is>
      </c>
      <c r="E457" t="inlineStr">
        <is>
          <t>BODEN</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61748-2024</t>
        </is>
      </c>
      <c r="B458" s="1" t="n">
        <v>45649.38905092593</v>
      </c>
      <c r="C458" s="1" t="n">
        <v>45915</v>
      </c>
      <c r="D458" t="inlineStr">
        <is>
          <t>NORRBOTTENS LÄN</t>
        </is>
      </c>
      <c r="E458" t="inlineStr">
        <is>
          <t>BODEN</t>
        </is>
      </c>
      <c r="G458" t="n">
        <v>7.3</v>
      </c>
      <c r="H458" t="n">
        <v>0</v>
      </c>
      <c r="I458" t="n">
        <v>0</v>
      </c>
      <c r="J458" t="n">
        <v>0</v>
      </c>
      <c r="K458" t="n">
        <v>0</v>
      </c>
      <c r="L458" t="n">
        <v>0</v>
      </c>
      <c r="M458" t="n">
        <v>0</v>
      </c>
      <c r="N458" t="n">
        <v>0</v>
      </c>
      <c r="O458" t="n">
        <v>0</v>
      </c>
      <c r="P458" t="n">
        <v>0</v>
      </c>
      <c r="Q458" t="n">
        <v>0</v>
      </c>
      <c r="R458" s="2" t="inlineStr"/>
    </row>
    <row r="459" ht="15" customHeight="1">
      <c r="A459" t="inlineStr">
        <is>
          <t>A 61757-2024</t>
        </is>
      </c>
      <c r="B459" s="1" t="n">
        <v>45649.4091550926</v>
      </c>
      <c r="C459" s="1" t="n">
        <v>45915</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63264-2020</t>
        </is>
      </c>
      <c r="B460" s="1" t="n">
        <v>44164</v>
      </c>
      <c r="C460" s="1" t="n">
        <v>45915</v>
      </c>
      <c r="D460" t="inlineStr">
        <is>
          <t>NORRBOTTENS LÄN</t>
        </is>
      </c>
      <c r="E460" t="inlineStr">
        <is>
          <t>BODEN</t>
        </is>
      </c>
      <c r="F460" t="inlineStr">
        <is>
          <t>Kommuner</t>
        </is>
      </c>
      <c r="G460" t="n">
        <v>6.8</v>
      </c>
      <c r="H460" t="n">
        <v>0</v>
      </c>
      <c r="I460" t="n">
        <v>0</v>
      </c>
      <c r="J460" t="n">
        <v>0</v>
      </c>
      <c r="K460" t="n">
        <v>0</v>
      </c>
      <c r="L460" t="n">
        <v>0</v>
      </c>
      <c r="M460" t="n">
        <v>0</v>
      </c>
      <c r="N460" t="n">
        <v>0</v>
      </c>
      <c r="O460" t="n">
        <v>0</v>
      </c>
      <c r="P460" t="n">
        <v>0</v>
      </c>
      <c r="Q460" t="n">
        <v>0</v>
      </c>
      <c r="R460" s="2" t="inlineStr"/>
    </row>
    <row r="461" ht="15" customHeight="1">
      <c r="A461" t="inlineStr">
        <is>
          <t>A 32754-2022</t>
        </is>
      </c>
      <c r="B461" s="1" t="n">
        <v>44783.85420138889</v>
      </c>
      <c r="C461" s="1" t="n">
        <v>45915</v>
      </c>
      <c r="D461" t="inlineStr">
        <is>
          <t>NORRBOTTENS LÄN</t>
        </is>
      </c>
      <c r="E461" t="inlineStr">
        <is>
          <t>BODEN</t>
        </is>
      </c>
      <c r="G461" t="n">
        <v>0.9</v>
      </c>
      <c r="H461" t="n">
        <v>0</v>
      </c>
      <c r="I461" t="n">
        <v>0</v>
      </c>
      <c r="J461" t="n">
        <v>0</v>
      </c>
      <c r="K461" t="n">
        <v>0</v>
      </c>
      <c r="L461" t="n">
        <v>0</v>
      </c>
      <c r="M461" t="n">
        <v>0</v>
      </c>
      <c r="N461" t="n">
        <v>0</v>
      </c>
      <c r="O461" t="n">
        <v>0</v>
      </c>
      <c r="P461" t="n">
        <v>0</v>
      </c>
      <c r="Q461" t="n">
        <v>0</v>
      </c>
      <c r="R461" s="2" t="inlineStr"/>
    </row>
    <row r="462" ht="15" customHeight="1">
      <c r="A462" t="inlineStr">
        <is>
          <t>A 8008-2025</t>
        </is>
      </c>
      <c r="B462" s="1" t="n">
        <v>45707.53890046296</v>
      </c>
      <c r="C462" s="1" t="n">
        <v>45915</v>
      </c>
      <c r="D462" t="inlineStr">
        <is>
          <t>NORRBOTTENS LÄN</t>
        </is>
      </c>
      <c r="E462" t="inlineStr">
        <is>
          <t>BODEN</t>
        </is>
      </c>
      <c r="G462" t="n">
        <v>11.3</v>
      </c>
      <c r="H462" t="n">
        <v>0</v>
      </c>
      <c r="I462" t="n">
        <v>0</v>
      </c>
      <c r="J462" t="n">
        <v>0</v>
      </c>
      <c r="K462" t="n">
        <v>0</v>
      </c>
      <c r="L462" t="n">
        <v>0</v>
      </c>
      <c r="M462" t="n">
        <v>0</v>
      </c>
      <c r="N462" t="n">
        <v>0</v>
      </c>
      <c r="O462" t="n">
        <v>0</v>
      </c>
      <c r="P462" t="n">
        <v>0</v>
      </c>
      <c r="Q462" t="n">
        <v>0</v>
      </c>
      <c r="R462" s="2" t="inlineStr"/>
    </row>
    <row r="463" ht="15" customHeight="1">
      <c r="A463" t="inlineStr">
        <is>
          <t>A 47097-2023</t>
        </is>
      </c>
      <c r="B463" s="1" t="n">
        <v>45201.64971064815</v>
      </c>
      <c r="C463" s="1" t="n">
        <v>45915</v>
      </c>
      <c r="D463" t="inlineStr">
        <is>
          <t>NORRBOTTENS LÄN</t>
        </is>
      </c>
      <c r="E463" t="inlineStr">
        <is>
          <t>BODEN</t>
        </is>
      </c>
      <c r="G463" t="n">
        <v>5.5</v>
      </c>
      <c r="H463" t="n">
        <v>0</v>
      </c>
      <c r="I463" t="n">
        <v>0</v>
      </c>
      <c r="J463" t="n">
        <v>0</v>
      </c>
      <c r="K463" t="n">
        <v>0</v>
      </c>
      <c r="L463" t="n">
        <v>0</v>
      </c>
      <c r="M463" t="n">
        <v>0</v>
      </c>
      <c r="N463" t="n">
        <v>0</v>
      </c>
      <c r="O463" t="n">
        <v>0</v>
      </c>
      <c r="P463" t="n">
        <v>0</v>
      </c>
      <c r="Q463" t="n">
        <v>0</v>
      </c>
      <c r="R463" s="2" t="inlineStr"/>
    </row>
    <row r="464" ht="15" customHeight="1">
      <c r="A464" t="inlineStr">
        <is>
          <t>A 1049-2024</t>
        </is>
      </c>
      <c r="B464" s="1" t="n">
        <v>45301</v>
      </c>
      <c r="C464" s="1" t="n">
        <v>45915</v>
      </c>
      <c r="D464" t="inlineStr">
        <is>
          <t>NORRBOTTENS LÄN</t>
        </is>
      </c>
      <c r="E464" t="inlineStr">
        <is>
          <t>BODEN</t>
        </is>
      </c>
      <c r="G464" t="n">
        <v>3.6</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45915</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30354-2025</t>
        </is>
      </c>
      <c r="B466" s="1" t="n">
        <v>45827</v>
      </c>
      <c r="C466" s="1" t="n">
        <v>45915</v>
      </c>
      <c r="D466" t="inlineStr">
        <is>
          <t>NORRBOTTENS LÄN</t>
        </is>
      </c>
      <c r="E466" t="inlineStr">
        <is>
          <t>BODEN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30356-2025</t>
        </is>
      </c>
      <c r="B467" s="1" t="n">
        <v>45827</v>
      </c>
      <c r="C467" s="1" t="n">
        <v>45915</v>
      </c>
      <c r="D467" t="inlineStr">
        <is>
          <t>NORRBOTTENS LÄN</t>
        </is>
      </c>
      <c r="E467" t="inlineStr">
        <is>
          <t>BODEN</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30360-2025</t>
        </is>
      </c>
      <c r="B468" s="1" t="n">
        <v>45827</v>
      </c>
      <c r="C468" s="1" t="n">
        <v>45915</v>
      </c>
      <c r="D468" t="inlineStr">
        <is>
          <t>NORRBOTTENS LÄN</t>
        </is>
      </c>
      <c r="E468" t="inlineStr">
        <is>
          <t>BODEN</t>
        </is>
      </c>
      <c r="F468" t="inlineStr">
        <is>
          <t>Sveaskog</t>
        </is>
      </c>
      <c r="G468" t="n">
        <v>10.3</v>
      </c>
      <c r="H468" t="n">
        <v>0</v>
      </c>
      <c r="I468" t="n">
        <v>0</v>
      </c>
      <c r="J468" t="n">
        <v>0</v>
      </c>
      <c r="K468" t="n">
        <v>0</v>
      </c>
      <c r="L468" t="n">
        <v>0</v>
      </c>
      <c r="M468" t="n">
        <v>0</v>
      </c>
      <c r="N468" t="n">
        <v>0</v>
      </c>
      <c r="O468" t="n">
        <v>0</v>
      </c>
      <c r="P468" t="n">
        <v>0</v>
      </c>
      <c r="Q468" t="n">
        <v>0</v>
      </c>
      <c r="R468" s="2" t="inlineStr"/>
    </row>
    <row r="469" ht="15" customHeight="1">
      <c r="A469" t="inlineStr">
        <is>
          <t>A 30700-2025</t>
        </is>
      </c>
      <c r="B469" s="1" t="n">
        <v>45831.5465625</v>
      </c>
      <c r="C469" s="1" t="n">
        <v>45915</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31177-2025</t>
        </is>
      </c>
      <c r="B470" s="1" t="n">
        <v>45832.67101851852</v>
      </c>
      <c r="C470" s="1" t="n">
        <v>45915</v>
      </c>
      <c r="D470" t="inlineStr">
        <is>
          <t>NORRBOTTENS LÄN</t>
        </is>
      </c>
      <c r="E470" t="inlineStr">
        <is>
          <t>BODEN</t>
        </is>
      </c>
      <c r="G470" t="n">
        <v>5.3</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45915</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38994-2024</t>
        </is>
      </c>
      <c r="B472" s="1" t="n">
        <v>45548.41165509259</v>
      </c>
      <c r="C472" s="1" t="n">
        <v>45915</v>
      </c>
      <c r="D472" t="inlineStr">
        <is>
          <t>NORRBOTTENS LÄN</t>
        </is>
      </c>
      <c r="E472" t="inlineStr">
        <is>
          <t>BODEN</t>
        </is>
      </c>
      <c r="G472" t="n">
        <v>1.2</v>
      </c>
      <c r="H472" t="n">
        <v>0</v>
      </c>
      <c r="I472" t="n">
        <v>0</v>
      </c>
      <c r="J472" t="n">
        <v>0</v>
      </c>
      <c r="K472" t="n">
        <v>0</v>
      </c>
      <c r="L472" t="n">
        <v>0</v>
      </c>
      <c r="M472" t="n">
        <v>0</v>
      </c>
      <c r="N472" t="n">
        <v>0</v>
      </c>
      <c r="O472" t="n">
        <v>0</v>
      </c>
      <c r="P472" t="n">
        <v>0</v>
      </c>
      <c r="Q472" t="n">
        <v>0</v>
      </c>
      <c r="R472" s="2" t="inlineStr"/>
    </row>
    <row r="473" ht="15" customHeight="1">
      <c r="A473" t="inlineStr">
        <is>
          <t>A 11865-2025</t>
        </is>
      </c>
      <c r="B473" s="1" t="n">
        <v>45728.4180324074</v>
      </c>
      <c r="C473" s="1" t="n">
        <v>45915</v>
      </c>
      <c r="D473" t="inlineStr">
        <is>
          <t>NORRBOTTENS LÄN</t>
        </is>
      </c>
      <c r="E473" t="inlineStr">
        <is>
          <t>BODEN</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59331-2021</t>
        </is>
      </c>
      <c r="B474" s="1" t="n">
        <v>44490</v>
      </c>
      <c r="C474" s="1" t="n">
        <v>45915</v>
      </c>
      <c r="D474" t="inlineStr">
        <is>
          <t>NORRBOTTENS LÄN</t>
        </is>
      </c>
      <c r="E474" t="inlineStr">
        <is>
          <t>BODEN</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20505-2023</t>
        </is>
      </c>
      <c r="B475" s="1" t="n">
        <v>45054</v>
      </c>
      <c r="C475" s="1" t="n">
        <v>45915</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31203-2025</t>
        </is>
      </c>
      <c r="B476" s="1" t="n">
        <v>45832.6991087963</v>
      </c>
      <c r="C476" s="1" t="n">
        <v>45915</v>
      </c>
      <c r="D476" t="inlineStr">
        <is>
          <t>NORRBOTTENS LÄN</t>
        </is>
      </c>
      <c r="E476" t="inlineStr">
        <is>
          <t>BODEN</t>
        </is>
      </c>
      <c r="G476" t="n">
        <v>2.9</v>
      </c>
      <c r="H476" t="n">
        <v>0</v>
      </c>
      <c r="I476" t="n">
        <v>0</v>
      </c>
      <c r="J476" t="n">
        <v>0</v>
      </c>
      <c r="K476" t="n">
        <v>0</v>
      </c>
      <c r="L476" t="n">
        <v>0</v>
      </c>
      <c r="M476" t="n">
        <v>0</v>
      </c>
      <c r="N476" t="n">
        <v>0</v>
      </c>
      <c r="O476" t="n">
        <v>0</v>
      </c>
      <c r="P476" t="n">
        <v>0</v>
      </c>
      <c r="Q476" t="n">
        <v>0</v>
      </c>
      <c r="R476" s="2" t="inlineStr"/>
    </row>
    <row r="477" ht="15" customHeight="1">
      <c r="A477" t="inlineStr">
        <is>
          <t>A 22893-2024</t>
        </is>
      </c>
      <c r="B477" s="1" t="n">
        <v>45448</v>
      </c>
      <c r="C477" s="1" t="n">
        <v>45915</v>
      </c>
      <c r="D477" t="inlineStr">
        <is>
          <t>NORRBOTTENS LÄN</t>
        </is>
      </c>
      <c r="E477" t="inlineStr">
        <is>
          <t>BODEN</t>
        </is>
      </c>
      <c r="F477" t="inlineStr">
        <is>
          <t>Sveaskog</t>
        </is>
      </c>
      <c r="G477" t="n">
        <v>4.1</v>
      </c>
      <c r="H477" t="n">
        <v>0</v>
      </c>
      <c r="I477" t="n">
        <v>0</v>
      </c>
      <c r="J477" t="n">
        <v>0</v>
      </c>
      <c r="K477" t="n">
        <v>0</v>
      </c>
      <c r="L477" t="n">
        <v>0</v>
      </c>
      <c r="M477" t="n">
        <v>0</v>
      </c>
      <c r="N477" t="n">
        <v>0</v>
      </c>
      <c r="O477" t="n">
        <v>0</v>
      </c>
      <c r="P477" t="n">
        <v>0</v>
      </c>
      <c r="Q477" t="n">
        <v>0</v>
      </c>
      <c r="R477" s="2" t="inlineStr"/>
    </row>
    <row r="478" ht="15" customHeight="1">
      <c r="A478" t="inlineStr">
        <is>
          <t>A 6693-2023</t>
        </is>
      </c>
      <c r="B478" s="1" t="n">
        <v>44963</v>
      </c>
      <c r="C478" s="1" t="n">
        <v>45915</v>
      </c>
      <c r="D478" t="inlineStr">
        <is>
          <t>NORRBOTTENS LÄN</t>
        </is>
      </c>
      <c r="E478" t="inlineStr">
        <is>
          <t>BODEN</t>
        </is>
      </c>
      <c r="G478" t="n">
        <v>2.6</v>
      </c>
      <c r="H478" t="n">
        <v>0</v>
      </c>
      <c r="I478" t="n">
        <v>0</v>
      </c>
      <c r="J478" t="n">
        <v>0</v>
      </c>
      <c r="K478" t="n">
        <v>0</v>
      </c>
      <c r="L478" t="n">
        <v>0</v>
      </c>
      <c r="M478" t="n">
        <v>0</v>
      </c>
      <c r="N478" t="n">
        <v>0</v>
      </c>
      <c r="O478" t="n">
        <v>0</v>
      </c>
      <c r="P478" t="n">
        <v>0</v>
      </c>
      <c r="Q478" t="n">
        <v>0</v>
      </c>
      <c r="R478" s="2" t="inlineStr"/>
    </row>
    <row r="479" ht="15" customHeight="1">
      <c r="A479" t="inlineStr">
        <is>
          <t>A 55628-2023</t>
        </is>
      </c>
      <c r="B479" s="1" t="n">
        <v>45238.9265625</v>
      </c>
      <c r="C479" s="1" t="n">
        <v>45915</v>
      </c>
      <c r="D479" t="inlineStr">
        <is>
          <t>NORRBOTTENS LÄN</t>
        </is>
      </c>
      <c r="E479" t="inlineStr">
        <is>
          <t>BODEN</t>
        </is>
      </c>
      <c r="G479" t="n">
        <v>1.7</v>
      </c>
      <c r="H479" t="n">
        <v>0</v>
      </c>
      <c r="I479" t="n">
        <v>0</v>
      </c>
      <c r="J479" t="n">
        <v>0</v>
      </c>
      <c r="K479" t="n">
        <v>0</v>
      </c>
      <c r="L479" t="n">
        <v>0</v>
      </c>
      <c r="M479" t="n">
        <v>0</v>
      </c>
      <c r="N479" t="n">
        <v>0</v>
      </c>
      <c r="O479" t="n">
        <v>0</v>
      </c>
      <c r="P479" t="n">
        <v>0</v>
      </c>
      <c r="Q479" t="n">
        <v>0</v>
      </c>
      <c r="R479" s="2" t="inlineStr"/>
    </row>
    <row r="480" ht="15" customHeight="1">
      <c r="A480" t="inlineStr">
        <is>
          <t>A 36872-2025</t>
        </is>
      </c>
      <c r="B480" s="1" t="n">
        <v>45874.42918981481</v>
      </c>
      <c r="C480" s="1" t="n">
        <v>45915</v>
      </c>
      <c r="D480" t="inlineStr">
        <is>
          <t>NORRBOTTENS LÄN</t>
        </is>
      </c>
      <c r="E480" t="inlineStr">
        <is>
          <t>BODEN</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30705-2025</t>
        </is>
      </c>
      <c r="B481" s="1" t="n">
        <v>45831.54939814815</v>
      </c>
      <c r="C481" s="1" t="n">
        <v>45915</v>
      </c>
      <c r="D481" t="inlineStr">
        <is>
          <t>NORRBOTTENS LÄN</t>
        </is>
      </c>
      <c r="E481" t="inlineStr">
        <is>
          <t>BODEN</t>
        </is>
      </c>
      <c r="F481" t="inlineStr">
        <is>
          <t>Sveaskog</t>
        </is>
      </c>
      <c r="G481" t="n">
        <v>4.4</v>
      </c>
      <c r="H481" t="n">
        <v>0</v>
      </c>
      <c r="I481" t="n">
        <v>0</v>
      </c>
      <c r="J481" t="n">
        <v>0</v>
      </c>
      <c r="K481" t="n">
        <v>0</v>
      </c>
      <c r="L481" t="n">
        <v>0</v>
      </c>
      <c r="M481" t="n">
        <v>0</v>
      </c>
      <c r="N481" t="n">
        <v>0</v>
      </c>
      <c r="O481" t="n">
        <v>0</v>
      </c>
      <c r="P481" t="n">
        <v>0</v>
      </c>
      <c r="Q481" t="n">
        <v>0</v>
      </c>
      <c r="R481" s="2" t="inlineStr"/>
    </row>
    <row r="482" ht="15" customHeight="1">
      <c r="A482" t="inlineStr">
        <is>
          <t>A 57579-2023</t>
        </is>
      </c>
      <c r="B482" s="1" t="n">
        <v>45246</v>
      </c>
      <c r="C482" s="1" t="n">
        <v>45915</v>
      </c>
      <c r="D482" t="inlineStr">
        <is>
          <t>NORRBOTTENS LÄN</t>
        </is>
      </c>
      <c r="E482" t="inlineStr">
        <is>
          <t>BODEN</t>
        </is>
      </c>
      <c r="G482" t="n">
        <v>3.5</v>
      </c>
      <c r="H482" t="n">
        <v>0</v>
      </c>
      <c r="I482" t="n">
        <v>0</v>
      </c>
      <c r="J482" t="n">
        <v>0</v>
      </c>
      <c r="K482" t="n">
        <v>0</v>
      </c>
      <c r="L482" t="n">
        <v>0</v>
      </c>
      <c r="M482" t="n">
        <v>0</v>
      </c>
      <c r="N482" t="n">
        <v>0</v>
      </c>
      <c r="O482" t="n">
        <v>0</v>
      </c>
      <c r="P482" t="n">
        <v>0</v>
      </c>
      <c r="Q482" t="n">
        <v>0</v>
      </c>
      <c r="R482" s="2" t="inlineStr"/>
    </row>
    <row r="483" ht="15" customHeight="1">
      <c r="A483" t="inlineStr">
        <is>
          <t>A 17412-2024</t>
        </is>
      </c>
      <c r="B483" s="1" t="n">
        <v>45414</v>
      </c>
      <c r="C483" s="1" t="n">
        <v>45915</v>
      </c>
      <c r="D483" t="inlineStr">
        <is>
          <t>NORRBOTTENS LÄN</t>
        </is>
      </c>
      <c r="E483" t="inlineStr">
        <is>
          <t>BODEN</t>
        </is>
      </c>
      <c r="G483" t="n">
        <v>14.6</v>
      </c>
      <c r="H483" t="n">
        <v>0</v>
      </c>
      <c r="I483" t="n">
        <v>0</v>
      </c>
      <c r="J483" t="n">
        <v>0</v>
      </c>
      <c r="K483" t="n">
        <v>0</v>
      </c>
      <c r="L483" t="n">
        <v>0</v>
      </c>
      <c r="M483" t="n">
        <v>0</v>
      </c>
      <c r="N483" t="n">
        <v>0</v>
      </c>
      <c r="O483" t="n">
        <v>0</v>
      </c>
      <c r="P483" t="n">
        <v>0</v>
      </c>
      <c r="Q483" t="n">
        <v>0</v>
      </c>
      <c r="R483" s="2" t="inlineStr"/>
    </row>
    <row r="484" ht="15" customHeight="1">
      <c r="A484" t="inlineStr">
        <is>
          <t>A 17413-2024</t>
        </is>
      </c>
      <c r="B484" s="1" t="n">
        <v>45414.95038194444</v>
      </c>
      <c r="C484" s="1" t="n">
        <v>45915</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31020-2025</t>
        </is>
      </c>
      <c r="B485" s="1" t="n">
        <v>45831</v>
      </c>
      <c r="C485" s="1" t="n">
        <v>45915</v>
      </c>
      <c r="D485" t="inlineStr">
        <is>
          <t>NORRBOTTENS LÄN</t>
        </is>
      </c>
      <c r="E485" t="inlineStr">
        <is>
          <t>BODEN</t>
        </is>
      </c>
      <c r="G485" t="n">
        <v>26.8</v>
      </c>
      <c r="H485" t="n">
        <v>0</v>
      </c>
      <c r="I485" t="n">
        <v>0</v>
      </c>
      <c r="J485" t="n">
        <v>0</v>
      </c>
      <c r="K485" t="n">
        <v>0</v>
      </c>
      <c r="L485" t="n">
        <v>0</v>
      </c>
      <c r="M485" t="n">
        <v>0</v>
      </c>
      <c r="N485" t="n">
        <v>0</v>
      </c>
      <c r="O485" t="n">
        <v>0</v>
      </c>
      <c r="P485" t="n">
        <v>0</v>
      </c>
      <c r="Q485" t="n">
        <v>0</v>
      </c>
      <c r="R485" s="2" t="inlineStr"/>
    </row>
    <row r="486" ht="15" customHeight="1">
      <c r="A486" t="inlineStr">
        <is>
          <t>A 18428-2025</t>
        </is>
      </c>
      <c r="B486" s="1" t="n">
        <v>45762</v>
      </c>
      <c r="C486" s="1" t="n">
        <v>45915</v>
      </c>
      <c r="D486" t="inlineStr">
        <is>
          <t>NORRBOTTENS LÄN</t>
        </is>
      </c>
      <c r="E486" t="inlineStr">
        <is>
          <t>BODEN</t>
        </is>
      </c>
      <c r="G486" t="n">
        <v>5.8</v>
      </c>
      <c r="H486" t="n">
        <v>0</v>
      </c>
      <c r="I486" t="n">
        <v>0</v>
      </c>
      <c r="J486" t="n">
        <v>0</v>
      </c>
      <c r="K486" t="n">
        <v>0</v>
      </c>
      <c r="L486" t="n">
        <v>0</v>
      </c>
      <c r="M486" t="n">
        <v>0</v>
      </c>
      <c r="N486" t="n">
        <v>0</v>
      </c>
      <c r="O486" t="n">
        <v>0</v>
      </c>
      <c r="P486" t="n">
        <v>0</v>
      </c>
      <c r="Q486" t="n">
        <v>0</v>
      </c>
      <c r="R486" s="2" t="inlineStr"/>
    </row>
    <row r="487" ht="15" customHeight="1">
      <c r="A487" t="inlineStr">
        <is>
          <t>A 30765-2025</t>
        </is>
      </c>
      <c r="B487" s="1" t="n">
        <v>45831.60569444444</v>
      </c>
      <c r="C487" s="1" t="n">
        <v>45915</v>
      </c>
      <c r="D487" t="inlineStr">
        <is>
          <t>NORRBOTTENS LÄN</t>
        </is>
      </c>
      <c r="E487" t="inlineStr">
        <is>
          <t>BODEN</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31200-2025</t>
        </is>
      </c>
      <c r="B488" s="1" t="n">
        <v>45832.69638888889</v>
      </c>
      <c r="C488" s="1" t="n">
        <v>45915</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31195-2025</t>
        </is>
      </c>
      <c r="B489" s="1" t="n">
        <v>45832.68653935185</v>
      </c>
      <c r="C489" s="1" t="n">
        <v>45915</v>
      </c>
      <c r="D489" t="inlineStr">
        <is>
          <t>NORRBOTTENS LÄN</t>
        </is>
      </c>
      <c r="E489" t="inlineStr">
        <is>
          <t>BODEN</t>
        </is>
      </c>
      <c r="G489" t="n">
        <v>8.9</v>
      </c>
      <c r="H489" t="n">
        <v>0</v>
      </c>
      <c r="I489" t="n">
        <v>0</v>
      </c>
      <c r="J489" t="n">
        <v>0</v>
      </c>
      <c r="K489" t="n">
        <v>0</v>
      </c>
      <c r="L489" t="n">
        <v>0</v>
      </c>
      <c r="M489" t="n">
        <v>0</v>
      </c>
      <c r="N489" t="n">
        <v>0</v>
      </c>
      <c r="O489" t="n">
        <v>0</v>
      </c>
      <c r="P489" t="n">
        <v>0</v>
      </c>
      <c r="Q489" t="n">
        <v>0</v>
      </c>
      <c r="R489" s="2" t="inlineStr"/>
    </row>
    <row r="490" ht="15" customHeight="1">
      <c r="A490" t="inlineStr">
        <is>
          <t>A 39463-2023</t>
        </is>
      </c>
      <c r="B490" s="1" t="n">
        <v>45166.83878472223</v>
      </c>
      <c r="C490" s="1" t="n">
        <v>45915</v>
      </c>
      <c r="D490" t="inlineStr">
        <is>
          <t>NORRBOTTENS LÄN</t>
        </is>
      </c>
      <c r="E490" t="inlineStr">
        <is>
          <t>BODEN</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31363-2025</t>
        </is>
      </c>
      <c r="B491" s="1" t="n">
        <v>45833.43721064815</v>
      </c>
      <c r="C491" s="1" t="n">
        <v>45915</v>
      </c>
      <c r="D491" t="inlineStr">
        <is>
          <t>NORRBOTTENS LÄN</t>
        </is>
      </c>
      <c r="E491" t="inlineStr">
        <is>
          <t>BODEN</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9940-2025</t>
        </is>
      </c>
      <c r="B492" s="1" t="n">
        <v>45718.80024305556</v>
      </c>
      <c r="C492" s="1" t="n">
        <v>45915</v>
      </c>
      <c r="D492" t="inlineStr">
        <is>
          <t>NORRBOTTENS LÄN</t>
        </is>
      </c>
      <c r="E492" t="inlineStr">
        <is>
          <t>BODEN</t>
        </is>
      </c>
      <c r="G492" t="n">
        <v>6.3</v>
      </c>
      <c r="H492" t="n">
        <v>0</v>
      </c>
      <c r="I492" t="n">
        <v>0</v>
      </c>
      <c r="J492" t="n">
        <v>0</v>
      </c>
      <c r="K492" t="n">
        <v>0</v>
      </c>
      <c r="L492" t="n">
        <v>0</v>
      </c>
      <c r="M492" t="n">
        <v>0</v>
      </c>
      <c r="N492" t="n">
        <v>0</v>
      </c>
      <c r="O492" t="n">
        <v>0</v>
      </c>
      <c r="P492" t="n">
        <v>0</v>
      </c>
      <c r="Q492" t="n">
        <v>0</v>
      </c>
      <c r="R492" s="2" t="inlineStr"/>
    </row>
    <row r="493" ht="15" customHeight="1">
      <c r="A493" t="inlineStr">
        <is>
          <t>A 31836-2025</t>
        </is>
      </c>
      <c r="B493" s="1" t="n">
        <v>45834.59451388889</v>
      </c>
      <c r="C493" s="1" t="n">
        <v>45915</v>
      </c>
      <c r="D493" t="inlineStr">
        <is>
          <t>NORRBOTTENS LÄN</t>
        </is>
      </c>
      <c r="E493" t="inlineStr">
        <is>
          <t>BODEN</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31323-2025</t>
        </is>
      </c>
      <c r="B494" s="1" t="n">
        <v>45833</v>
      </c>
      <c r="C494" s="1" t="n">
        <v>45915</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57968-2023</t>
        </is>
      </c>
      <c r="B495" s="1" t="n">
        <v>45247.58217592593</v>
      </c>
      <c r="C495" s="1" t="n">
        <v>45915</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31834-2025</t>
        </is>
      </c>
      <c r="B496" s="1" t="n">
        <v>45834.59415509259</v>
      </c>
      <c r="C496" s="1" t="n">
        <v>45915</v>
      </c>
      <c r="D496" t="inlineStr">
        <is>
          <t>NORRBOTTENS LÄN</t>
        </is>
      </c>
      <c r="E496" t="inlineStr">
        <is>
          <t>BODEN</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31840-2025</t>
        </is>
      </c>
      <c r="B497" s="1" t="n">
        <v>45834.59708333333</v>
      </c>
      <c r="C497" s="1" t="n">
        <v>45915</v>
      </c>
      <c r="D497" t="inlineStr">
        <is>
          <t>NORRBOTTENS LÄN</t>
        </is>
      </c>
      <c r="E497" t="inlineStr">
        <is>
          <t>BODEN</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2682-2024</t>
        </is>
      </c>
      <c r="B498" s="1" t="n">
        <v>45314</v>
      </c>
      <c r="C498" s="1" t="n">
        <v>45915</v>
      </c>
      <c r="D498" t="inlineStr">
        <is>
          <t>NORRBOTTENS LÄN</t>
        </is>
      </c>
      <c r="E498" t="inlineStr">
        <is>
          <t>BODEN</t>
        </is>
      </c>
      <c r="G498" t="n">
        <v>17</v>
      </c>
      <c r="H498" t="n">
        <v>0</v>
      </c>
      <c r="I498" t="n">
        <v>0</v>
      </c>
      <c r="J498" t="n">
        <v>0</v>
      </c>
      <c r="K498" t="n">
        <v>0</v>
      </c>
      <c r="L498" t="n">
        <v>0</v>
      </c>
      <c r="M498" t="n">
        <v>0</v>
      </c>
      <c r="N498" t="n">
        <v>0</v>
      </c>
      <c r="O498" t="n">
        <v>0</v>
      </c>
      <c r="P498" t="n">
        <v>0</v>
      </c>
      <c r="Q498" t="n">
        <v>0</v>
      </c>
      <c r="R498" s="2" t="inlineStr"/>
    </row>
    <row r="499" ht="15" customHeight="1">
      <c r="A499" t="inlineStr">
        <is>
          <t>A 59688-2023</t>
        </is>
      </c>
      <c r="B499" s="1" t="n">
        <v>45256</v>
      </c>
      <c r="C499" s="1" t="n">
        <v>45915</v>
      </c>
      <c r="D499" t="inlineStr">
        <is>
          <t>NORRBOTTENS LÄN</t>
        </is>
      </c>
      <c r="E499" t="inlineStr">
        <is>
          <t>BODEN</t>
        </is>
      </c>
      <c r="G499" t="n">
        <v>2.4</v>
      </c>
      <c r="H499" t="n">
        <v>0</v>
      </c>
      <c r="I499" t="n">
        <v>0</v>
      </c>
      <c r="J499" t="n">
        <v>0</v>
      </c>
      <c r="K499" t="n">
        <v>0</v>
      </c>
      <c r="L499" t="n">
        <v>0</v>
      </c>
      <c r="M499" t="n">
        <v>0</v>
      </c>
      <c r="N499" t="n">
        <v>0</v>
      </c>
      <c r="O499" t="n">
        <v>0</v>
      </c>
      <c r="P499" t="n">
        <v>0</v>
      </c>
      <c r="Q499" t="n">
        <v>0</v>
      </c>
      <c r="R499" s="2" t="inlineStr"/>
    </row>
    <row r="500" ht="15" customHeight="1">
      <c r="A500" t="inlineStr">
        <is>
          <t>A 57604-2021</t>
        </is>
      </c>
      <c r="B500" s="1" t="n">
        <v>44484</v>
      </c>
      <c r="C500" s="1" t="n">
        <v>45915</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31531-2025</t>
        </is>
      </c>
      <c r="B501" s="1" t="n">
        <v>45833.61671296296</v>
      </c>
      <c r="C501" s="1" t="n">
        <v>45915</v>
      </c>
      <c r="D501" t="inlineStr">
        <is>
          <t>NORRBOTTENS LÄN</t>
        </is>
      </c>
      <c r="E501" t="inlineStr">
        <is>
          <t>BODEN</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19051-2025</t>
        </is>
      </c>
      <c r="B502" s="1" t="n">
        <v>45764</v>
      </c>
      <c r="C502" s="1" t="n">
        <v>45915</v>
      </c>
      <c r="D502" t="inlineStr">
        <is>
          <t>NORRBOTTENS LÄN</t>
        </is>
      </c>
      <c r="E502" t="inlineStr">
        <is>
          <t>BODEN</t>
        </is>
      </c>
      <c r="G502" t="n">
        <v>2.6</v>
      </c>
      <c r="H502" t="n">
        <v>0</v>
      </c>
      <c r="I502" t="n">
        <v>0</v>
      </c>
      <c r="J502" t="n">
        <v>0</v>
      </c>
      <c r="K502" t="n">
        <v>0</v>
      </c>
      <c r="L502" t="n">
        <v>0</v>
      </c>
      <c r="M502" t="n">
        <v>0</v>
      </c>
      <c r="N502" t="n">
        <v>0</v>
      </c>
      <c r="O502" t="n">
        <v>0</v>
      </c>
      <c r="P502" t="n">
        <v>0</v>
      </c>
      <c r="Q502" t="n">
        <v>0</v>
      </c>
      <c r="R502" s="2" t="inlineStr"/>
    </row>
    <row r="503" ht="15" customHeight="1">
      <c r="A503" t="inlineStr">
        <is>
          <t>A 18866-2025</t>
        </is>
      </c>
      <c r="B503" s="1" t="n">
        <v>45764</v>
      </c>
      <c r="C503" s="1" t="n">
        <v>45915</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18890-2025</t>
        </is>
      </c>
      <c r="B504" s="1" t="n">
        <v>45764.44585648148</v>
      </c>
      <c r="C504" s="1" t="n">
        <v>45915</v>
      </c>
      <c r="D504" t="inlineStr">
        <is>
          <t>NORRBOTTENS LÄN</t>
        </is>
      </c>
      <c r="E504" t="inlineStr">
        <is>
          <t>BODEN</t>
        </is>
      </c>
      <c r="G504" t="n">
        <v>1.7</v>
      </c>
      <c r="H504" t="n">
        <v>0</v>
      </c>
      <c r="I504" t="n">
        <v>0</v>
      </c>
      <c r="J504" t="n">
        <v>0</v>
      </c>
      <c r="K504" t="n">
        <v>0</v>
      </c>
      <c r="L504" t="n">
        <v>0</v>
      </c>
      <c r="M504" t="n">
        <v>0</v>
      </c>
      <c r="N504" t="n">
        <v>0</v>
      </c>
      <c r="O504" t="n">
        <v>0</v>
      </c>
      <c r="P504" t="n">
        <v>0</v>
      </c>
      <c r="Q504" t="n">
        <v>0</v>
      </c>
      <c r="R504" s="2" t="inlineStr"/>
    </row>
    <row r="505" ht="15" customHeight="1">
      <c r="A505" t="inlineStr">
        <is>
          <t>A 19584-2025</t>
        </is>
      </c>
      <c r="B505" s="1" t="n">
        <v>45770.56699074074</v>
      </c>
      <c r="C505" s="1" t="n">
        <v>45915</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3438-2025</t>
        </is>
      </c>
      <c r="B506" s="1" t="n">
        <v>45680.4482175926</v>
      </c>
      <c r="C506" s="1" t="n">
        <v>45915</v>
      </c>
      <c r="D506" t="inlineStr">
        <is>
          <t>NORRBOTTENS LÄN</t>
        </is>
      </c>
      <c r="E506" t="inlineStr">
        <is>
          <t>BODEN</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3459-2025</t>
        </is>
      </c>
      <c r="B507" s="1" t="n">
        <v>45680.48986111111</v>
      </c>
      <c r="C507" s="1" t="n">
        <v>45915</v>
      </c>
      <c r="D507" t="inlineStr">
        <is>
          <t>NORRBOTTENS LÄN</t>
        </is>
      </c>
      <c r="E507" t="inlineStr">
        <is>
          <t>BODEN</t>
        </is>
      </c>
      <c r="F507" t="inlineStr">
        <is>
          <t>Naturvårdsverket</t>
        </is>
      </c>
      <c r="G507" t="n">
        <v>1.5</v>
      </c>
      <c r="H507" t="n">
        <v>0</v>
      </c>
      <c r="I507" t="n">
        <v>0</v>
      </c>
      <c r="J507" t="n">
        <v>0</v>
      </c>
      <c r="K507" t="n">
        <v>0</v>
      </c>
      <c r="L507" t="n">
        <v>0</v>
      </c>
      <c r="M507" t="n">
        <v>0</v>
      </c>
      <c r="N507" t="n">
        <v>0</v>
      </c>
      <c r="O507" t="n">
        <v>0</v>
      </c>
      <c r="P507" t="n">
        <v>0</v>
      </c>
      <c r="Q507" t="n">
        <v>0</v>
      </c>
      <c r="R507" s="2" t="inlineStr"/>
    </row>
    <row r="508" ht="15" customHeight="1">
      <c r="A508" t="inlineStr">
        <is>
          <t>A 14995-2022</t>
        </is>
      </c>
      <c r="B508" s="1" t="n">
        <v>44657</v>
      </c>
      <c r="C508" s="1" t="n">
        <v>45915</v>
      </c>
      <c r="D508" t="inlineStr">
        <is>
          <t>NORRBOTTENS LÄN</t>
        </is>
      </c>
      <c r="E508" t="inlineStr">
        <is>
          <t>BODEN</t>
        </is>
      </c>
      <c r="G508" t="n">
        <v>1.3</v>
      </c>
      <c r="H508" t="n">
        <v>0</v>
      </c>
      <c r="I508" t="n">
        <v>0</v>
      </c>
      <c r="J508" t="n">
        <v>0</v>
      </c>
      <c r="K508" t="n">
        <v>0</v>
      </c>
      <c r="L508" t="n">
        <v>0</v>
      </c>
      <c r="M508" t="n">
        <v>0</v>
      </c>
      <c r="N508" t="n">
        <v>0</v>
      </c>
      <c r="O508" t="n">
        <v>0</v>
      </c>
      <c r="P508" t="n">
        <v>0</v>
      </c>
      <c r="Q508" t="n">
        <v>0</v>
      </c>
      <c r="R508" s="2" t="inlineStr"/>
    </row>
    <row r="509" ht="15" customHeight="1">
      <c r="A509" t="inlineStr">
        <is>
          <t>A 15000-2022</t>
        </is>
      </c>
      <c r="B509" s="1" t="n">
        <v>44657</v>
      </c>
      <c r="C509" s="1" t="n">
        <v>45915</v>
      </c>
      <c r="D509" t="inlineStr">
        <is>
          <t>NORRBOTTENS LÄN</t>
        </is>
      </c>
      <c r="E509" t="inlineStr">
        <is>
          <t>BODEN</t>
        </is>
      </c>
      <c r="G509" t="n">
        <v>2.6</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45915</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45915</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45915</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20030-2025</t>
        </is>
      </c>
      <c r="B513" s="1" t="n">
        <v>45772.35878472222</v>
      </c>
      <c r="C513" s="1" t="n">
        <v>45915</v>
      </c>
      <c r="D513" t="inlineStr">
        <is>
          <t>NORRBOTTENS LÄN</t>
        </is>
      </c>
      <c r="E513" t="inlineStr">
        <is>
          <t>BODEN</t>
        </is>
      </c>
      <c r="G513" t="n">
        <v>3.7</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45915</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45915</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45915</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25926-2025</t>
        </is>
      </c>
      <c r="B517" s="1" t="n">
        <v>45803</v>
      </c>
      <c r="C517" s="1" t="n">
        <v>45915</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59890-2023</t>
        </is>
      </c>
      <c r="B518" s="1" t="n">
        <v>45254</v>
      </c>
      <c r="C518" s="1" t="n">
        <v>45915</v>
      </c>
      <c r="D518" t="inlineStr">
        <is>
          <t>NORRBOTTENS LÄN</t>
        </is>
      </c>
      <c r="E518" t="inlineStr">
        <is>
          <t>BODEN</t>
        </is>
      </c>
      <c r="G518" t="n">
        <v>4.3</v>
      </c>
      <c r="H518" t="n">
        <v>0</v>
      </c>
      <c r="I518" t="n">
        <v>0</v>
      </c>
      <c r="J518" t="n">
        <v>0</v>
      </c>
      <c r="K518" t="n">
        <v>0</v>
      </c>
      <c r="L518" t="n">
        <v>0</v>
      </c>
      <c r="M518" t="n">
        <v>0</v>
      </c>
      <c r="N518" t="n">
        <v>0</v>
      </c>
      <c r="O518" t="n">
        <v>0</v>
      </c>
      <c r="P518" t="n">
        <v>0</v>
      </c>
      <c r="Q518" t="n">
        <v>0</v>
      </c>
      <c r="R518" s="2" t="inlineStr"/>
    </row>
    <row r="519" ht="15" customHeight="1">
      <c r="A519" t="inlineStr">
        <is>
          <t>A 23231-2024</t>
        </is>
      </c>
      <c r="B519" s="1" t="n">
        <v>45453.28876157408</v>
      </c>
      <c r="C519" s="1" t="n">
        <v>45915</v>
      </c>
      <c r="D519" t="inlineStr">
        <is>
          <t>NORRBOTTENS LÄN</t>
        </is>
      </c>
      <c r="E519" t="inlineStr">
        <is>
          <t>BODEN</t>
        </is>
      </c>
      <c r="G519" t="n">
        <v>5.1</v>
      </c>
      <c r="H519" t="n">
        <v>0</v>
      </c>
      <c r="I519" t="n">
        <v>0</v>
      </c>
      <c r="J519" t="n">
        <v>0</v>
      </c>
      <c r="K519" t="n">
        <v>0</v>
      </c>
      <c r="L519" t="n">
        <v>0</v>
      </c>
      <c r="M519" t="n">
        <v>0</v>
      </c>
      <c r="N519" t="n">
        <v>0</v>
      </c>
      <c r="O519" t="n">
        <v>0</v>
      </c>
      <c r="P519" t="n">
        <v>0</v>
      </c>
      <c r="Q519" t="n">
        <v>0</v>
      </c>
      <c r="R519" s="2" t="inlineStr"/>
    </row>
    <row r="520" ht="15" customHeight="1">
      <c r="A520" t="inlineStr">
        <is>
          <t>A 59983-2023</t>
        </is>
      </c>
      <c r="B520" s="1" t="n">
        <v>45257.80766203703</v>
      </c>
      <c r="C520" s="1" t="n">
        <v>45915</v>
      </c>
      <c r="D520" t="inlineStr">
        <is>
          <t>NORRBOTTENS LÄN</t>
        </is>
      </c>
      <c r="E520" t="inlineStr">
        <is>
          <t>BODEN</t>
        </is>
      </c>
      <c r="G520" t="n">
        <v>4</v>
      </c>
      <c r="H520" t="n">
        <v>0</v>
      </c>
      <c r="I520" t="n">
        <v>0</v>
      </c>
      <c r="J520" t="n">
        <v>0</v>
      </c>
      <c r="K520" t="n">
        <v>0</v>
      </c>
      <c r="L520" t="n">
        <v>0</v>
      </c>
      <c r="M520" t="n">
        <v>0</v>
      </c>
      <c r="N520" t="n">
        <v>0</v>
      </c>
      <c r="O520" t="n">
        <v>0</v>
      </c>
      <c r="P520" t="n">
        <v>0</v>
      </c>
      <c r="Q520" t="n">
        <v>0</v>
      </c>
      <c r="R520" s="2" t="inlineStr"/>
    </row>
    <row r="521" ht="15" customHeight="1">
      <c r="A521" t="inlineStr">
        <is>
          <t>A 19698-2025</t>
        </is>
      </c>
      <c r="B521" s="1" t="n">
        <v>45770</v>
      </c>
      <c r="C521" s="1" t="n">
        <v>45915</v>
      </c>
      <c r="D521" t="inlineStr">
        <is>
          <t>NORRBOTTENS LÄN</t>
        </is>
      </c>
      <c r="E521" t="inlineStr">
        <is>
          <t>BODEN</t>
        </is>
      </c>
      <c r="G521" t="n">
        <v>4.6</v>
      </c>
      <c r="H521" t="n">
        <v>0</v>
      </c>
      <c r="I521" t="n">
        <v>0</v>
      </c>
      <c r="J521" t="n">
        <v>0</v>
      </c>
      <c r="K521" t="n">
        <v>0</v>
      </c>
      <c r="L521" t="n">
        <v>0</v>
      </c>
      <c r="M521" t="n">
        <v>0</v>
      </c>
      <c r="N521" t="n">
        <v>0</v>
      </c>
      <c r="O521" t="n">
        <v>0</v>
      </c>
      <c r="P521" t="n">
        <v>0</v>
      </c>
      <c r="Q521" t="n">
        <v>0</v>
      </c>
      <c r="R521" s="2" t="inlineStr"/>
    </row>
    <row r="522" ht="15" customHeight="1">
      <c r="A522" t="inlineStr">
        <is>
          <t>A 32052-2025</t>
        </is>
      </c>
      <c r="B522" s="1" t="n">
        <v>45835.44276620371</v>
      </c>
      <c r="C522" s="1" t="n">
        <v>45915</v>
      </c>
      <c r="D522" t="inlineStr">
        <is>
          <t>NORRBOTTENS LÄN</t>
        </is>
      </c>
      <c r="E522" t="inlineStr">
        <is>
          <t>BODEN</t>
        </is>
      </c>
      <c r="F522" t="inlineStr">
        <is>
          <t>Sveaskog</t>
        </is>
      </c>
      <c r="G522" t="n">
        <v>7.3</v>
      </c>
      <c r="H522" t="n">
        <v>0</v>
      </c>
      <c r="I522" t="n">
        <v>0</v>
      </c>
      <c r="J522" t="n">
        <v>0</v>
      </c>
      <c r="K522" t="n">
        <v>0</v>
      </c>
      <c r="L522" t="n">
        <v>0</v>
      </c>
      <c r="M522" t="n">
        <v>0</v>
      </c>
      <c r="N522" t="n">
        <v>0</v>
      </c>
      <c r="O522" t="n">
        <v>0</v>
      </c>
      <c r="P522" t="n">
        <v>0</v>
      </c>
      <c r="Q522" t="n">
        <v>0</v>
      </c>
      <c r="R522" s="2" t="inlineStr"/>
    </row>
    <row r="523" ht="15" customHeight="1">
      <c r="A523" t="inlineStr">
        <is>
          <t>A 32309-2025</t>
        </is>
      </c>
      <c r="B523" s="1" t="n">
        <v>45835.74189814815</v>
      </c>
      <c r="C523" s="1" t="n">
        <v>45915</v>
      </c>
      <c r="D523" t="inlineStr">
        <is>
          <t>NORRBOTTENS LÄN</t>
        </is>
      </c>
      <c r="E523" t="inlineStr">
        <is>
          <t>BODEN</t>
        </is>
      </c>
      <c r="F523" t="inlineStr">
        <is>
          <t>Sveaskog</t>
        </is>
      </c>
      <c r="G523" t="n">
        <v>13.6</v>
      </c>
      <c r="H523" t="n">
        <v>0</v>
      </c>
      <c r="I523" t="n">
        <v>0</v>
      </c>
      <c r="J523" t="n">
        <v>0</v>
      </c>
      <c r="K523" t="n">
        <v>0</v>
      </c>
      <c r="L523" t="n">
        <v>0</v>
      </c>
      <c r="M523" t="n">
        <v>0</v>
      </c>
      <c r="N523" t="n">
        <v>0</v>
      </c>
      <c r="O523" t="n">
        <v>0</v>
      </c>
      <c r="P523" t="n">
        <v>0</v>
      </c>
      <c r="Q523" t="n">
        <v>0</v>
      </c>
      <c r="R523" s="2" t="inlineStr"/>
    </row>
    <row r="524" ht="15" customHeight="1">
      <c r="A524" t="inlineStr">
        <is>
          <t>A 13556-2022</t>
        </is>
      </c>
      <c r="B524" s="1" t="n">
        <v>44648</v>
      </c>
      <c r="C524" s="1" t="n">
        <v>45915</v>
      </c>
      <c r="D524" t="inlineStr">
        <is>
          <t>NORRBOTTENS LÄN</t>
        </is>
      </c>
      <c r="E524" t="inlineStr">
        <is>
          <t>BODEN</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37653-2025</t>
        </is>
      </c>
      <c r="B525" s="1" t="n">
        <v>45880.49046296296</v>
      </c>
      <c r="C525" s="1" t="n">
        <v>45915</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61488-2023</t>
        </is>
      </c>
      <c r="B526" s="1" t="n">
        <v>45264</v>
      </c>
      <c r="C526" s="1" t="n">
        <v>45915</v>
      </c>
      <c r="D526" t="inlineStr">
        <is>
          <t>NORRBOTTENS LÄN</t>
        </is>
      </c>
      <c r="E526" t="inlineStr">
        <is>
          <t>BODEN</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56139-2024</t>
        </is>
      </c>
      <c r="B527" s="1" t="n">
        <v>45624.4886574074</v>
      </c>
      <c r="C527" s="1" t="n">
        <v>45915</v>
      </c>
      <c r="D527" t="inlineStr">
        <is>
          <t>NORRBOTTENS LÄN</t>
        </is>
      </c>
      <c r="E527" t="inlineStr">
        <is>
          <t>BODEN</t>
        </is>
      </c>
      <c r="G527" t="n">
        <v>2.5</v>
      </c>
      <c r="H527" t="n">
        <v>0</v>
      </c>
      <c r="I527" t="n">
        <v>0</v>
      </c>
      <c r="J527" t="n">
        <v>0</v>
      </c>
      <c r="K527" t="n">
        <v>0</v>
      </c>
      <c r="L527" t="n">
        <v>0</v>
      </c>
      <c r="M527" t="n">
        <v>0</v>
      </c>
      <c r="N527" t="n">
        <v>0</v>
      </c>
      <c r="O527" t="n">
        <v>0</v>
      </c>
      <c r="P527" t="n">
        <v>0</v>
      </c>
      <c r="Q527" t="n">
        <v>0</v>
      </c>
      <c r="R527" s="2" t="inlineStr"/>
    </row>
    <row r="528" ht="15" customHeight="1">
      <c r="A528" t="inlineStr">
        <is>
          <t>A 22409-2024</t>
        </is>
      </c>
      <c r="B528" s="1" t="n">
        <v>45446.68098379629</v>
      </c>
      <c r="C528" s="1" t="n">
        <v>45915</v>
      </c>
      <c r="D528" t="inlineStr">
        <is>
          <t>NORRBOTTENS LÄN</t>
        </is>
      </c>
      <c r="E528" t="inlineStr">
        <is>
          <t>BODEN</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54722-2024</t>
        </is>
      </c>
      <c r="B529" s="1" t="n">
        <v>45618.43729166667</v>
      </c>
      <c r="C529" s="1" t="n">
        <v>45915</v>
      </c>
      <c r="D529" t="inlineStr">
        <is>
          <t>NORRBOTTENS LÄN</t>
        </is>
      </c>
      <c r="E529" t="inlineStr">
        <is>
          <t>BODEN</t>
        </is>
      </c>
      <c r="F529" t="inlineStr">
        <is>
          <t>Naturvårdsverket</t>
        </is>
      </c>
      <c r="G529" t="n">
        <v>12.9</v>
      </c>
      <c r="H529" t="n">
        <v>0</v>
      </c>
      <c r="I529" t="n">
        <v>0</v>
      </c>
      <c r="J529" t="n">
        <v>0</v>
      </c>
      <c r="K529" t="n">
        <v>0</v>
      </c>
      <c r="L529" t="n">
        <v>0</v>
      </c>
      <c r="M529" t="n">
        <v>0</v>
      </c>
      <c r="N529" t="n">
        <v>0</v>
      </c>
      <c r="O529" t="n">
        <v>0</v>
      </c>
      <c r="P529" t="n">
        <v>0</v>
      </c>
      <c r="Q529" t="n">
        <v>0</v>
      </c>
      <c r="R529" s="2" t="inlineStr"/>
    </row>
    <row r="530" ht="15" customHeight="1">
      <c r="A530" t="inlineStr">
        <is>
          <t>A 56457-2024</t>
        </is>
      </c>
      <c r="B530" s="1" t="n">
        <v>45625</v>
      </c>
      <c r="C530" s="1" t="n">
        <v>45915</v>
      </c>
      <c r="D530" t="inlineStr">
        <is>
          <t>NORRBOTTENS LÄN</t>
        </is>
      </c>
      <c r="E530" t="inlineStr">
        <is>
          <t>BODEN</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4053-2024</t>
        </is>
      </c>
      <c r="B531" s="1" t="n">
        <v>45323</v>
      </c>
      <c r="C531" s="1" t="n">
        <v>45915</v>
      </c>
      <c r="D531" t="inlineStr">
        <is>
          <t>NORRBOTTENS LÄN</t>
        </is>
      </c>
      <c r="E531" t="inlineStr">
        <is>
          <t>BODEN</t>
        </is>
      </c>
      <c r="G531" t="n">
        <v>4.8</v>
      </c>
      <c r="H531" t="n">
        <v>0</v>
      </c>
      <c r="I531" t="n">
        <v>0</v>
      </c>
      <c r="J531" t="n">
        <v>0</v>
      </c>
      <c r="K531" t="n">
        <v>0</v>
      </c>
      <c r="L531" t="n">
        <v>0</v>
      </c>
      <c r="M531" t="n">
        <v>0</v>
      </c>
      <c r="N531" t="n">
        <v>0</v>
      </c>
      <c r="O531" t="n">
        <v>0</v>
      </c>
      <c r="P531" t="n">
        <v>0</v>
      </c>
      <c r="Q531" t="n">
        <v>0</v>
      </c>
      <c r="R531" s="2" t="inlineStr"/>
    </row>
    <row r="532" ht="15" customHeight="1">
      <c r="A532" t="inlineStr">
        <is>
          <t>A 33023-2025</t>
        </is>
      </c>
      <c r="B532" s="1" t="n">
        <v>45840.37375</v>
      </c>
      <c r="C532" s="1" t="n">
        <v>45915</v>
      </c>
      <c r="D532" t="inlineStr">
        <is>
          <t>NORRBOTTENS LÄN</t>
        </is>
      </c>
      <c r="E532" t="inlineStr">
        <is>
          <t>BODEN</t>
        </is>
      </c>
      <c r="G532" t="n">
        <v>8.6</v>
      </c>
      <c r="H532" t="n">
        <v>0</v>
      </c>
      <c r="I532" t="n">
        <v>0</v>
      </c>
      <c r="J532" t="n">
        <v>0</v>
      </c>
      <c r="K532" t="n">
        <v>0</v>
      </c>
      <c r="L532" t="n">
        <v>0</v>
      </c>
      <c r="M532" t="n">
        <v>0</v>
      </c>
      <c r="N532" t="n">
        <v>0</v>
      </c>
      <c r="O532" t="n">
        <v>0</v>
      </c>
      <c r="P532" t="n">
        <v>0</v>
      </c>
      <c r="Q532" t="n">
        <v>0</v>
      </c>
      <c r="R532" s="2" t="inlineStr"/>
    </row>
    <row r="533" ht="15" customHeight="1">
      <c r="A533" t="inlineStr">
        <is>
          <t>A 33024-2025</t>
        </is>
      </c>
      <c r="B533" s="1" t="n">
        <v>45840.37756944444</v>
      </c>
      <c r="C533" s="1" t="n">
        <v>45915</v>
      </c>
      <c r="D533" t="inlineStr">
        <is>
          <t>NORRBOTTENS LÄN</t>
        </is>
      </c>
      <c r="E533" t="inlineStr">
        <is>
          <t>BODEN</t>
        </is>
      </c>
      <c r="G533" t="n">
        <v>11.4</v>
      </c>
      <c r="H533" t="n">
        <v>0</v>
      </c>
      <c r="I533" t="n">
        <v>0</v>
      </c>
      <c r="J533" t="n">
        <v>0</v>
      </c>
      <c r="K533" t="n">
        <v>0</v>
      </c>
      <c r="L533" t="n">
        <v>0</v>
      </c>
      <c r="M533" t="n">
        <v>0</v>
      </c>
      <c r="N533" t="n">
        <v>0</v>
      </c>
      <c r="O533" t="n">
        <v>0</v>
      </c>
      <c r="P533" t="n">
        <v>0</v>
      </c>
      <c r="Q533" t="n">
        <v>0</v>
      </c>
      <c r="R533" s="2" t="inlineStr"/>
    </row>
    <row r="534" ht="15" customHeight="1">
      <c r="A534" t="inlineStr">
        <is>
          <t>A 37854-2025</t>
        </is>
      </c>
      <c r="B534" s="1" t="n">
        <v>45881.45475694445</v>
      </c>
      <c r="C534" s="1" t="n">
        <v>45915</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32775-2025</t>
        </is>
      </c>
      <c r="B535" s="1" t="n">
        <v>45839.46466435185</v>
      </c>
      <c r="C535" s="1" t="n">
        <v>45915</v>
      </c>
      <c r="D535" t="inlineStr">
        <is>
          <t>NORRBOTTENS LÄN</t>
        </is>
      </c>
      <c r="E535" t="inlineStr">
        <is>
          <t>BODEN</t>
        </is>
      </c>
      <c r="G535" t="n">
        <v>13.6</v>
      </c>
      <c r="H535" t="n">
        <v>0</v>
      </c>
      <c r="I535" t="n">
        <v>0</v>
      </c>
      <c r="J535" t="n">
        <v>0</v>
      </c>
      <c r="K535" t="n">
        <v>0</v>
      </c>
      <c r="L535" t="n">
        <v>0</v>
      </c>
      <c r="M535" t="n">
        <v>0</v>
      </c>
      <c r="N535" t="n">
        <v>0</v>
      </c>
      <c r="O535" t="n">
        <v>0</v>
      </c>
      <c r="P535" t="n">
        <v>0</v>
      </c>
      <c r="Q535" t="n">
        <v>0</v>
      </c>
      <c r="R535" s="2" t="inlineStr"/>
    </row>
    <row r="536" ht="15" customHeight="1">
      <c r="A536" t="inlineStr">
        <is>
          <t>A 19257-2025</t>
        </is>
      </c>
      <c r="B536" s="1" t="n">
        <v>45769.49768518518</v>
      </c>
      <c r="C536" s="1" t="n">
        <v>45915</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8873-2024</t>
        </is>
      </c>
      <c r="B537" s="1" t="n">
        <v>45356</v>
      </c>
      <c r="C537" s="1" t="n">
        <v>45915</v>
      </c>
      <c r="D537" t="inlineStr">
        <is>
          <t>NORRBOTTENS LÄN</t>
        </is>
      </c>
      <c r="E537" t="inlineStr">
        <is>
          <t>BODEN</t>
        </is>
      </c>
      <c r="G537" t="n">
        <v>0.6</v>
      </c>
      <c r="H537" t="n">
        <v>0</v>
      </c>
      <c r="I537" t="n">
        <v>0</v>
      </c>
      <c r="J537" t="n">
        <v>0</v>
      </c>
      <c r="K537" t="n">
        <v>0</v>
      </c>
      <c r="L537" t="n">
        <v>0</v>
      </c>
      <c r="M537" t="n">
        <v>0</v>
      </c>
      <c r="N537" t="n">
        <v>0</v>
      </c>
      <c r="O537" t="n">
        <v>0</v>
      </c>
      <c r="P537" t="n">
        <v>0</v>
      </c>
      <c r="Q537" t="n">
        <v>0</v>
      </c>
      <c r="R537" s="2" t="inlineStr"/>
    </row>
    <row r="538" ht="15" customHeight="1">
      <c r="A538" t="inlineStr">
        <is>
          <t>A 59029-2022</t>
        </is>
      </c>
      <c r="B538" s="1" t="n">
        <v>44903</v>
      </c>
      <c r="C538" s="1" t="n">
        <v>45915</v>
      </c>
      <c r="D538" t="inlineStr">
        <is>
          <t>NORRBOTTENS LÄN</t>
        </is>
      </c>
      <c r="E538" t="inlineStr">
        <is>
          <t>BODEN</t>
        </is>
      </c>
      <c r="G538" t="n">
        <v>7.3</v>
      </c>
      <c r="H538" t="n">
        <v>0</v>
      </c>
      <c r="I538" t="n">
        <v>0</v>
      </c>
      <c r="J538" t="n">
        <v>0</v>
      </c>
      <c r="K538" t="n">
        <v>0</v>
      </c>
      <c r="L538" t="n">
        <v>0</v>
      </c>
      <c r="M538" t="n">
        <v>0</v>
      </c>
      <c r="N538" t="n">
        <v>0</v>
      </c>
      <c r="O538" t="n">
        <v>0</v>
      </c>
      <c r="P538" t="n">
        <v>0</v>
      </c>
      <c r="Q538" t="n">
        <v>0</v>
      </c>
      <c r="R538" s="2" t="inlineStr"/>
    </row>
    <row r="539" ht="15" customHeight="1">
      <c r="A539" t="inlineStr">
        <is>
          <t>A 50085-2024</t>
        </is>
      </c>
      <c r="B539" s="1" t="n">
        <v>45600.38277777778</v>
      </c>
      <c r="C539" s="1" t="n">
        <v>45915</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61214-2024</t>
        </is>
      </c>
      <c r="B540" s="1" t="n">
        <v>45645</v>
      </c>
      <c r="C540" s="1" t="n">
        <v>45915</v>
      </c>
      <c r="D540" t="inlineStr">
        <is>
          <t>NORRBOTTENS LÄN</t>
        </is>
      </c>
      <c r="E540" t="inlineStr">
        <is>
          <t>BODEN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51193-2023</t>
        </is>
      </c>
      <c r="B541" s="1" t="n">
        <v>45212</v>
      </c>
      <c r="C541" s="1" t="n">
        <v>45915</v>
      </c>
      <c r="D541" t="inlineStr">
        <is>
          <t>NORRBOTTENS LÄN</t>
        </is>
      </c>
      <c r="E541" t="inlineStr">
        <is>
          <t>BODEN</t>
        </is>
      </c>
      <c r="G541" t="n">
        <v>1.1</v>
      </c>
      <c r="H541" t="n">
        <v>0</v>
      </c>
      <c r="I541" t="n">
        <v>0</v>
      </c>
      <c r="J541" t="n">
        <v>0</v>
      </c>
      <c r="K541" t="n">
        <v>0</v>
      </c>
      <c r="L541" t="n">
        <v>0</v>
      </c>
      <c r="M541" t="n">
        <v>0</v>
      </c>
      <c r="N541" t="n">
        <v>0</v>
      </c>
      <c r="O541" t="n">
        <v>0</v>
      </c>
      <c r="P541" t="n">
        <v>0</v>
      </c>
      <c r="Q541" t="n">
        <v>0</v>
      </c>
      <c r="R541" s="2" t="inlineStr"/>
    </row>
    <row r="542" ht="15" customHeight="1">
      <c r="A542" t="inlineStr">
        <is>
          <t>A 54935-2021</t>
        </is>
      </c>
      <c r="B542" s="1" t="n">
        <v>44474</v>
      </c>
      <c r="C542" s="1" t="n">
        <v>45915</v>
      </c>
      <c r="D542" t="inlineStr">
        <is>
          <t>NORRBOTTENS LÄN</t>
        </is>
      </c>
      <c r="E542" t="inlineStr">
        <is>
          <t>BODEN</t>
        </is>
      </c>
      <c r="G542" t="n">
        <v>2.9</v>
      </c>
      <c r="H542" t="n">
        <v>0</v>
      </c>
      <c r="I542" t="n">
        <v>0</v>
      </c>
      <c r="J542" t="n">
        <v>0</v>
      </c>
      <c r="K542" t="n">
        <v>0</v>
      </c>
      <c r="L542" t="n">
        <v>0</v>
      </c>
      <c r="M542" t="n">
        <v>0</v>
      </c>
      <c r="N542" t="n">
        <v>0</v>
      </c>
      <c r="O542" t="n">
        <v>0</v>
      </c>
      <c r="P542" t="n">
        <v>0</v>
      </c>
      <c r="Q542" t="n">
        <v>0</v>
      </c>
      <c r="R542" s="2" t="inlineStr"/>
    </row>
    <row r="543" ht="15" customHeight="1">
      <c r="A543" t="inlineStr">
        <is>
          <t>A 5792-2025</t>
        </is>
      </c>
      <c r="B543" s="1" t="n">
        <v>45694.65678240741</v>
      </c>
      <c r="C543" s="1" t="n">
        <v>45915</v>
      </c>
      <c r="D543" t="inlineStr">
        <is>
          <t>NORRBOTTENS LÄN</t>
        </is>
      </c>
      <c r="E543" t="inlineStr">
        <is>
          <t>BODEN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45915</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849-2024</t>
        </is>
      </c>
      <c r="B545" s="1" t="n">
        <v>45300</v>
      </c>
      <c r="C545" s="1" t="n">
        <v>45915</v>
      </c>
      <c r="D545" t="inlineStr">
        <is>
          <t>NORRBOTTENS LÄN</t>
        </is>
      </c>
      <c r="E545" t="inlineStr">
        <is>
          <t>BODEN</t>
        </is>
      </c>
      <c r="G545" t="n">
        <v>3.6</v>
      </c>
      <c r="H545" t="n">
        <v>0</v>
      </c>
      <c r="I545" t="n">
        <v>0</v>
      </c>
      <c r="J545" t="n">
        <v>0</v>
      </c>
      <c r="K545" t="n">
        <v>0</v>
      </c>
      <c r="L545" t="n">
        <v>0</v>
      </c>
      <c r="M545" t="n">
        <v>0</v>
      </c>
      <c r="N545" t="n">
        <v>0</v>
      </c>
      <c r="O545" t="n">
        <v>0</v>
      </c>
      <c r="P545" t="n">
        <v>0</v>
      </c>
      <c r="Q545" t="n">
        <v>0</v>
      </c>
      <c r="R545" s="2" t="inlineStr"/>
    </row>
    <row r="546" ht="15" customHeight="1">
      <c r="A546" t="inlineStr">
        <is>
          <t>A 33032-2025</t>
        </is>
      </c>
      <c r="B546" s="1" t="n">
        <v>45840.39109953704</v>
      </c>
      <c r="C546" s="1" t="n">
        <v>45915</v>
      </c>
      <c r="D546" t="inlineStr">
        <is>
          <t>NORRBOTTENS LÄN</t>
        </is>
      </c>
      <c r="E546" t="inlineStr">
        <is>
          <t>BODEN</t>
        </is>
      </c>
      <c r="G546" t="n">
        <v>5.9</v>
      </c>
      <c r="H546" t="n">
        <v>0</v>
      </c>
      <c r="I546" t="n">
        <v>0</v>
      </c>
      <c r="J546" t="n">
        <v>0</v>
      </c>
      <c r="K546" t="n">
        <v>0</v>
      </c>
      <c r="L546" t="n">
        <v>0</v>
      </c>
      <c r="M546" t="n">
        <v>0</v>
      </c>
      <c r="N546" t="n">
        <v>0</v>
      </c>
      <c r="O546" t="n">
        <v>0</v>
      </c>
      <c r="P546" t="n">
        <v>0</v>
      </c>
      <c r="Q546" t="n">
        <v>0</v>
      </c>
      <c r="R546" s="2" t="inlineStr"/>
    </row>
    <row r="547" ht="15" customHeight="1">
      <c r="A547" t="inlineStr">
        <is>
          <t>A 33038-2025</t>
        </is>
      </c>
      <c r="B547" s="1" t="n">
        <v>45840.39805555555</v>
      </c>
      <c r="C547" s="1" t="n">
        <v>45915</v>
      </c>
      <c r="D547" t="inlineStr">
        <is>
          <t>NORRBOTTENS LÄN</t>
        </is>
      </c>
      <c r="E547" t="inlineStr">
        <is>
          <t>BODEN</t>
        </is>
      </c>
      <c r="G547" t="n">
        <v>1.7</v>
      </c>
      <c r="H547" t="n">
        <v>0</v>
      </c>
      <c r="I547" t="n">
        <v>0</v>
      </c>
      <c r="J547" t="n">
        <v>0</v>
      </c>
      <c r="K547" t="n">
        <v>0</v>
      </c>
      <c r="L547" t="n">
        <v>0</v>
      </c>
      <c r="M547" t="n">
        <v>0</v>
      </c>
      <c r="N547" t="n">
        <v>0</v>
      </c>
      <c r="O547" t="n">
        <v>0</v>
      </c>
      <c r="P547" t="n">
        <v>0</v>
      </c>
      <c r="Q547" t="n">
        <v>0</v>
      </c>
      <c r="R547" s="2" t="inlineStr"/>
    </row>
    <row r="548" ht="15" customHeight="1">
      <c r="A548" t="inlineStr">
        <is>
          <t>A 61241-2023</t>
        </is>
      </c>
      <c r="B548" s="1" t="n">
        <v>45260</v>
      </c>
      <c r="C548" s="1" t="n">
        <v>45915</v>
      </c>
      <c r="D548" t="inlineStr">
        <is>
          <t>NORRBOTTENS LÄN</t>
        </is>
      </c>
      <c r="E548" t="inlineStr">
        <is>
          <t>BODEN</t>
        </is>
      </c>
      <c r="G548" t="n">
        <v>33.9</v>
      </c>
      <c r="H548" t="n">
        <v>0</v>
      </c>
      <c r="I548" t="n">
        <v>0</v>
      </c>
      <c r="J548" t="n">
        <v>0</v>
      </c>
      <c r="K548" t="n">
        <v>0</v>
      </c>
      <c r="L548" t="n">
        <v>0</v>
      </c>
      <c r="M548" t="n">
        <v>0</v>
      </c>
      <c r="N548" t="n">
        <v>0</v>
      </c>
      <c r="O548" t="n">
        <v>0</v>
      </c>
      <c r="P548" t="n">
        <v>0</v>
      </c>
      <c r="Q548" t="n">
        <v>0</v>
      </c>
      <c r="R548" s="2" t="inlineStr"/>
    </row>
    <row r="549" ht="15" customHeight="1">
      <c r="A549" t="inlineStr">
        <is>
          <t>A 37404-2025</t>
        </is>
      </c>
      <c r="B549" s="1" t="n">
        <v>45877.44846064815</v>
      </c>
      <c r="C549" s="1" t="n">
        <v>45915</v>
      </c>
      <c r="D549" t="inlineStr">
        <is>
          <t>NORRBOTTENS LÄN</t>
        </is>
      </c>
      <c r="E549" t="inlineStr">
        <is>
          <t>BODEN</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38370-2023</t>
        </is>
      </c>
      <c r="B550" s="1" t="n">
        <v>45161</v>
      </c>
      <c r="C550" s="1" t="n">
        <v>45915</v>
      </c>
      <c r="D550" t="inlineStr">
        <is>
          <t>NORRBOTTENS LÄN</t>
        </is>
      </c>
      <c r="E550" t="inlineStr">
        <is>
          <t>BODEN</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33276-2025</t>
        </is>
      </c>
      <c r="B551" s="1" t="n">
        <v>45840</v>
      </c>
      <c r="C551" s="1" t="n">
        <v>45915</v>
      </c>
      <c r="D551" t="inlineStr">
        <is>
          <t>NORRBOTTENS LÄN</t>
        </is>
      </c>
      <c r="E551" t="inlineStr">
        <is>
          <t>BODEN</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11930-2023</t>
        </is>
      </c>
      <c r="B552" s="1" t="n">
        <v>44994</v>
      </c>
      <c r="C552" s="1" t="n">
        <v>45915</v>
      </c>
      <c r="D552" t="inlineStr">
        <is>
          <t>NORRBOTTENS LÄN</t>
        </is>
      </c>
      <c r="E552" t="inlineStr">
        <is>
          <t>BODEN</t>
        </is>
      </c>
      <c r="G552" t="n">
        <v>1.1</v>
      </c>
      <c r="H552" t="n">
        <v>0</v>
      </c>
      <c r="I552" t="n">
        <v>0</v>
      </c>
      <c r="J552" t="n">
        <v>0</v>
      </c>
      <c r="K552" t="n">
        <v>0</v>
      </c>
      <c r="L552" t="n">
        <v>0</v>
      </c>
      <c r="M552" t="n">
        <v>0</v>
      </c>
      <c r="N552" t="n">
        <v>0</v>
      </c>
      <c r="O552" t="n">
        <v>0</v>
      </c>
      <c r="P552" t="n">
        <v>0</v>
      </c>
      <c r="Q552" t="n">
        <v>0</v>
      </c>
      <c r="R552" s="2" t="inlineStr"/>
    </row>
    <row r="553" ht="15" customHeight="1">
      <c r="A553" t="inlineStr">
        <is>
          <t>A 2547-2025</t>
        </is>
      </c>
      <c r="B553" s="1" t="n">
        <v>45674.63210648148</v>
      </c>
      <c r="C553" s="1" t="n">
        <v>45915</v>
      </c>
      <c r="D553" t="inlineStr">
        <is>
          <t>NORRBOTTENS LÄN</t>
        </is>
      </c>
      <c r="E553" t="inlineStr">
        <is>
          <t>BODEN</t>
        </is>
      </c>
      <c r="G553" t="n">
        <v>7.2</v>
      </c>
      <c r="H553" t="n">
        <v>0</v>
      </c>
      <c r="I553" t="n">
        <v>0</v>
      </c>
      <c r="J553" t="n">
        <v>0</v>
      </c>
      <c r="K553" t="n">
        <v>0</v>
      </c>
      <c r="L553" t="n">
        <v>0</v>
      </c>
      <c r="M553" t="n">
        <v>0</v>
      </c>
      <c r="N553" t="n">
        <v>0</v>
      </c>
      <c r="O553" t="n">
        <v>0</v>
      </c>
      <c r="P553" t="n">
        <v>0</v>
      </c>
      <c r="Q553" t="n">
        <v>0</v>
      </c>
      <c r="R553" s="2" t="inlineStr"/>
    </row>
    <row r="554" ht="15" customHeight="1">
      <c r="A554" t="inlineStr">
        <is>
          <t>A 1195-2025</t>
        </is>
      </c>
      <c r="B554" s="1" t="n">
        <v>45667.37811342593</v>
      </c>
      <c r="C554" s="1" t="n">
        <v>45915</v>
      </c>
      <c r="D554" t="inlineStr">
        <is>
          <t>NORRBOTTENS LÄN</t>
        </is>
      </c>
      <c r="E554" t="inlineStr">
        <is>
          <t>BODEN</t>
        </is>
      </c>
      <c r="G554" t="n">
        <v>3</v>
      </c>
      <c r="H554" t="n">
        <v>0</v>
      </c>
      <c r="I554" t="n">
        <v>0</v>
      </c>
      <c r="J554" t="n">
        <v>0</v>
      </c>
      <c r="K554" t="n">
        <v>0</v>
      </c>
      <c r="L554" t="n">
        <v>0</v>
      </c>
      <c r="M554" t="n">
        <v>0</v>
      </c>
      <c r="N554" t="n">
        <v>0</v>
      </c>
      <c r="O554" t="n">
        <v>0</v>
      </c>
      <c r="P554" t="n">
        <v>0</v>
      </c>
      <c r="Q554" t="n">
        <v>0</v>
      </c>
      <c r="R554" s="2" t="inlineStr"/>
    </row>
    <row r="555" ht="15" customHeight="1">
      <c r="A555" t="inlineStr">
        <is>
          <t>A 61513-2024</t>
        </is>
      </c>
      <c r="B555" s="1" t="n">
        <v>45646.57136574074</v>
      </c>
      <c r="C555" s="1" t="n">
        <v>45915</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45929-2023</t>
        </is>
      </c>
      <c r="B556" s="1" t="n">
        <v>45195.94517361111</v>
      </c>
      <c r="C556" s="1" t="n">
        <v>45915</v>
      </c>
      <c r="D556" t="inlineStr">
        <is>
          <t>NORRBOTTENS LÄN</t>
        </is>
      </c>
      <c r="E556" t="inlineStr">
        <is>
          <t>BODEN</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53630-2024</t>
        </is>
      </c>
      <c r="B557" s="1" t="n">
        <v>45614.81146990741</v>
      </c>
      <c r="C557" s="1" t="n">
        <v>45915</v>
      </c>
      <c r="D557" t="inlineStr">
        <is>
          <t>NORRBOTTENS LÄN</t>
        </is>
      </c>
      <c r="E557" t="inlineStr">
        <is>
          <t>BODEN</t>
        </is>
      </c>
      <c r="G557" t="n">
        <v>6</v>
      </c>
      <c r="H557" t="n">
        <v>0</v>
      </c>
      <c r="I557" t="n">
        <v>0</v>
      </c>
      <c r="J557" t="n">
        <v>0</v>
      </c>
      <c r="K557" t="n">
        <v>0</v>
      </c>
      <c r="L557" t="n">
        <v>0</v>
      </c>
      <c r="M557" t="n">
        <v>0</v>
      </c>
      <c r="N557" t="n">
        <v>0</v>
      </c>
      <c r="O557" t="n">
        <v>0</v>
      </c>
      <c r="P557" t="n">
        <v>0</v>
      </c>
      <c r="Q557" t="n">
        <v>0</v>
      </c>
      <c r="R557" s="2" t="inlineStr"/>
    </row>
    <row r="558" ht="15" customHeight="1">
      <c r="A558" t="inlineStr">
        <is>
          <t>A 31297-2023</t>
        </is>
      </c>
      <c r="B558" s="1" t="n">
        <v>45114</v>
      </c>
      <c r="C558" s="1" t="n">
        <v>45915</v>
      </c>
      <c r="D558" t="inlineStr">
        <is>
          <t>NORRBOTTENS LÄN</t>
        </is>
      </c>
      <c r="E558" t="inlineStr">
        <is>
          <t>BODEN</t>
        </is>
      </c>
      <c r="G558" t="n">
        <v>7.8</v>
      </c>
      <c r="H558" t="n">
        <v>0</v>
      </c>
      <c r="I558" t="n">
        <v>0</v>
      </c>
      <c r="J558" t="n">
        <v>0</v>
      </c>
      <c r="K558" t="n">
        <v>0</v>
      </c>
      <c r="L558" t="n">
        <v>0</v>
      </c>
      <c r="M558" t="n">
        <v>0</v>
      </c>
      <c r="N558" t="n">
        <v>0</v>
      </c>
      <c r="O558" t="n">
        <v>0</v>
      </c>
      <c r="P558" t="n">
        <v>0</v>
      </c>
      <c r="Q558" t="n">
        <v>0</v>
      </c>
      <c r="R558" s="2" t="inlineStr"/>
    </row>
    <row r="559" ht="15" customHeight="1">
      <c r="A559" t="inlineStr">
        <is>
          <t>A 35040-2022</t>
        </is>
      </c>
      <c r="B559" s="1" t="n">
        <v>44796</v>
      </c>
      <c r="C559" s="1" t="n">
        <v>45915</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15881-2023</t>
        </is>
      </c>
      <c r="B560" s="1" t="n">
        <v>45022.44041666666</v>
      </c>
      <c r="C560" s="1" t="n">
        <v>45915</v>
      </c>
      <c r="D560" t="inlineStr">
        <is>
          <t>NORRBOTTENS LÄN</t>
        </is>
      </c>
      <c r="E560" t="inlineStr">
        <is>
          <t>BODEN</t>
        </is>
      </c>
      <c r="G560" t="n">
        <v>2.2</v>
      </c>
      <c r="H560" t="n">
        <v>0</v>
      </c>
      <c r="I560" t="n">
        <v>0</v>
      </c>
      <c r="J560" t="n">
        <v>0</v>
      </c>
      <c r="K560" t="n">
        <v>0</v>
      </c>
      <c r="L560" t="n">
        <v>0</v>
      </c>
      <c r="M560" t="n">
        <v>0</v>
      </c>
      <c r="N560" t="n">
        <v>0</v>
      </c>
      <c r="O560" t="n">
        <v>0</v>
      </c>
      <c r="P560" t="n">
        <v>0</v>
      </c>
      <c r="Q560" t="n">
        <v>0</v>
      </c>
      <c r="R560" s="2" t="inlineStr"/>
    </row>
    <row r="561" ht="15" customHeight="1">
      <c r="A561" t="inlineStr">
        <is>
          <t>A 1497-2022</t>
        </is>
      </c>
      <c r="B561" s="1" t="n">
        <v>44573</v>
      </c>
      <c r="C561" s="1" t="n">
        <v>45915</v>
      </c>
      <c r="D561" t="inlineStr">
        <is>
          <t>NORRBOTTENS LÄN</t>
        </is>
      </c>
      <c r="E561" t="inlineStr">
        <is>
          <t>BODEN</t>
        </is>
      </c>
      <c r="F561" t="inlineStr">
        <is>
          <t>Övriga statliga verk och myndigheter</t>
        </is>
      </c>
      <c r="G561" t="n">
        <v>9.9</v>
      </c>
      <c r="H561" t="n">
        <v>0</v>
      </c>
      <c r="I561" t="n">
        <v>0</v>
      </c>
      <c r="J561" t="n">
        <v>0</v>
      </c>
      <c r="K561" t="n">
        <v>0</v>
      </c>
      <c r="L561" t="n">
        <v>0</v>
      </c>
      <c r="M561" t="n">
        <v>0</v>
      </c>
      <c r="N561" t="n">
        <v>0</v>
      </c>
      <c r="O561" t="n">
        <v>0</v>
      </c>
      <c r="P561" t="n">
        <v>0</v>
      </c>
      <c r="Q561" t="n">
        <v>0</v>
      </c>
      <c r="R561" s="2" t="inlineStr"/>
    </row>
    <row r="562" ht="15" customHeight="1">
      <c r="A562" t="inlineStr">
        <is>
          <t>A 15486-2025</t>
        </is>
      </c>
      <c r="B562" s="1" t="n">
        <v>45747.57071759259</v>
      </c>
      <c r="C562" s="1" t="n">
        <v>45915</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7442-2024</t>
        </is>
      </c>
      <c r="B563" s="1" t="n">
        <v>45345</v>
      </c>
      <c r="C563" s="1" t="n">
        <v>45915</v>
      </c>
      <c r="D563" t="inlineStr">
        <is>
          <t>NORRBOTTENS LÄN</t>
        </is>
      </c>
      <c r="E563" t="inlineStr">
        <is>
          <t>BODEN</t>
        </is>
      </c>
      <c r="G563" t="n">
        <v>1</v>
      </c>
      <c r="H563" t="n">
        <v>0</v>
      </c>
      <c r="I563" t="n">
        <v>0</v>
      </c>
      <c r="J563" t="n">
        <v>0</v>
      </c>
      <c r="K563" t="n">
        <v>0</v>
      </c>
      <c r="L563" t="n">
        <v>0</v>
      </c>
      <c r="M563" t="n">
        <v>0</v>
      </c>
      <c r="N563" t="n">
        <v>0</v>
      </c>
      <c r="O563" t="n">
        <v>0</v>
      </c>
      <c r="P563" t="n">
        <v>0</v>
      </c>
      <c r="Q563" t="n">
        <v>0</v>
      </c>
      <c r="R563" s="2" t="inlineStr"/>
    </row>
    <row r="564" ht="15" customHeight="1">
      <c r="A564" t="inlineStr">
        <is>
          <t>A 25916-2023</t>
        </is>
      </c>
      <c r="B564" s="1" t="n">
        <v>45085</v>
      </c>
      <c r="C564" s="1" t="n">
        <v>45915</v>
      </c>
      <c r="D564" t="inlineStr">
        <is>
          <t>NORRBOTTENS LÄN</t>
        </is>
      </c>
      <c r="E564" t="inlineStr">
        <is>
          <t>BODEN</t>
        </is>
      </c>
      <c r="G564" t="n">
        <v>0.5</v>
      </c>
      <c r="H564" t="n">
        <v>0</v>
      </c>
      <c r="I564" t="n">
        <v>0</v>
      </c>
      <c r="J564" t="n">
        <v>0</v>
      </c>
      <c r="K564" t="n">
        <v>0</v>
      </c>
      <c r="L564" t="n">
        <v>0</v>
      </c>
      <c r="M564" t="n">
        <v>0</v>
      </c>
      <c r="N564" t="n">
        <v>0</v>
      </c>
      <c r="O564" t="n">
        <v>0</v>
      </c>
      <c r="P564" t="n">
        <v>0</v>
      </c>
      <c r="Q564" t="n">
        <v>0</v>
      </c>
      <c r="R564" s="2" t="inlineStr"/>
    </row>
    <row r="565" ht="15" customHeight="1">
      <c r="A565" t="inlineStr">
        <is>
          <t>A 29377-2024</t>
        </is>
      </c>
      <c r="B565" s="1" t="n">
        <v>45483</v>
      </c>
      <c r="C565" s="1" t="n">
        <v>45915</v>
      </c>
      <c r="D565" t="inlineStr">
        <is>
          <t>NORRBOTTENS LÄN</t>
        </is>
      </c>
      <c r="E565" t="inlineStr">
        <is>
          <t>BODEN</t>
        </is>
      </c>
      <c r="G565" t="n">
        <v>2.7</v>
      </c>
      <c r="H565" t="n">
        <v>0</v>
      </c>
      <c r="I565" t="n">
        <v>0</v>
      </c>
      <c r="J565" t="n">
        <v>0</v>
      </c>
      <c r="K565" t="n">
        <v>0</v>
      </c>
      <c r="L565" t="n">
        <v>0</v>
      </c>
      <c r="M565" t="n">
        <v>0</v>
      </c>
      <c r="N565" t="n">
        <v>0</v>
      </c>
      <c r="O565" t="n">
        <v>0</v>
      </c>
      <c r="P565" t="n">
        <v>0</v>
      </c>
      <c r="Q565" t="n">
        <v>0</v>
      </c>
      <c r="R565" s="2" t="inlineStr"/>
    </row>
    <row r="566" ht="15" customHeight="1">
      <c r="A566" t="inlineStr">
        <is>
          <t>A 64975-2023</t>
        </is>
      </c>
      <c r="B566" s="1" t="n">
        <v>45285</v>
      </c>
      <c r="C566" s="1" t="n">
        <v>45915</v>
      </c>
      <c r="D566" t="inlineStr">
        <is>
          <t>NORRBOTTENS LÄN</t>
        </is>
      </c>
      <c r="E566" t="inlineStr">
        <is>
          <t>BODEN</t>
        </is>
      </c>
      <c r="G566" t="n">
        <v>9.4</v>
      </c>
      <c r="H566" t="n">
        <v>0</v>
      </c>
      <c r="I566" t="n">
        <v>0</v>
      </c>
      <c r="J566" t="n">
        <v>0</v>
      </c>
      <c r="K566" t="n">
        <v>0</v>
      </c>
      <c r="L566" t="n">
        <v>0</v>
      </c>
      <c r="M566" t="n">
        <v>0</v>
      </c>
      <c r="N566" t="n">
        <v>0</v>
      </c>
      <c r="O566" t="n">
        <v>0</v>
      </c>
      <c r="P566" t="n">
        <v>0</v>
      </c>
      <c r="Q566" t="n">
        <v>0</v>
      </c>
      <c r="R566" s="2" t="inlineStr"/>
    </row>
    <row r="567" ht="15" customHeight="1">
      <c r="A567" t="inlineStr">
        <is>
          <t>A 36915-2023</t>
        </is>
      </c>
      <c r="B567" s="1" t="n">
        <v>45153</v>
      </c>
      <c r="C567" s="1" t="n">
        <v>45915</v>
      </c>
      <c r="D567" t="inlineStr">
        <is>
          <t>NORRBOTTENS LÄN</t>
        </is>
      </c>
      <c r="E567" t="inlineStr">
        <is>
          <t>BODEN</t>
        </is>
      </c>
      <c r="G567" t="n">
        <v>7.5</v>
      </c>
      <c r="H567" t="n">
        <v>0</v>
      </c>
      <c r="I567" t="n">
        <v>0</v>
      </c>
      <c r="J567" t="n">
        <v>0</v>
      </c>
      <c r="K567" t="n">
        <v>0</v>
      </c>
      <c r="L567" t="n">
        <v>0</v>
      </c>
      <c r="M567" t="n">
        <v>0</v>
      </c>
      <c r="N567" t="n">
        <v>0</v>
      </c>
      <c r="O567" t="n">
        <v>0</v>
      </c>
      <c r="P567" t="n">
        <v>0</v>
      </c>
      <c r="Q567" t="n">
        <v>0</v>
      </c>
      <c r="R567" s="2" t="inlineStr"/>
    </row>
    <row r="568" ht="15" customHeight="1">
      <c r="A568" t="inlineStr">
        <is>
          <t>A 61750-2024</t>
        </is>
      </c>
      <c r="B568" s="1" t="n">
        <v>45649.39115740741</v>
      </c>
      <c r="C568" s="1" t="n">
        <v>45915</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33130-2025</t>
        </is>
      </c>
      <c r="B569" s="1" t="n">
        <v>45840.50157407407</v>
      </c>
      <c r="C569" s="1" t="n">
        <v>45915</v>
      </c>
      <c r="D569" t="inlineStr">
        <is>
          <t>NORRBOTTENS LÄN</t>
        </is>
      </c>
      <c r="E569" t="inlineStr">
        <is>
          <t>BODEN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35115-2024</t>
        </is>
      </c>
      <c r="B570" s="1" t="n">
        <v>45529.93233796296</v>
      </c>
      <c r="C570" s="1" t="n">
        <v>45915</v>
      </c>
      <c r="D570" t="inlineStr">
        <is>
          <t>NORRBOTTENS LÄN</t>
        </is>
      </c>
      <c r="E570" t="inlineStr">
        <is>
          <t>BODEN</t>
        </is>
      </c>
      <c r="G570" t="n">
        <v>6.3</v>
      </c>
      <c r="H570" t="n">
        <v>0</v>
      </c>
      <c r="I570" t="n">
        <v>0</v>
      </c>
      <c r="J570" t="n">
        <v>0</v>
      </c>
      <c r="K570" t="n">
        <v>0</v>
      </c>
      <c r="L570" t="n">
        <v>0</v>
      </c>
      <c r="M570" t="n">
        <v>0</v>
      </c>
      <c r="N570" t="n">
        <v>0</v>
      </c>
      <c r="O570" t="n">
        <v>0</v>
      </c>
      <c r="P570" t="n">
        <v>0</v>
      </c>
      <c r="Q570" t="n">
        <v>0</v>
      </c>
      <c r="R570" s="2" t="inlineStr"/>
    </row>
    <row r="571" ht="15" customHeight="1">
      <c r="A571" t="inlineStr">
        <is>
          <t>A 36112-2023</t>
        </is>
      </c>
      <c r="B571" s="1" t="n">
        <v>45149</v>
      </c>
      <c r="C571" s="1" t="n">
        <v>45915</v>
      </c>
      <c r="D571" t="inlineStr">
        <is>
          <t>NORRBOTTENS LÄN</t>
        </is>
      </c>
      <c r="E571" t="inlineStr">
        <is>
          <t>BODEN</t>
        </is>
      </c>
      <c r="G571" t="n">
        <v>16.1</v>
      </c>
      <c r="H571" t="n">
        <v>0</v>
      </c>
      <c r="I571" t="n">
        <v>0</v>
      </c>
      <c r="J571" t="n">
        <v>0</v>
      </c>
      <c r="K571" t="n">
        <v>0</v>
      </c>
      <c r="L571" t="n">
        <v>0</v>
      </c>
      <c r="M571" t="n">
        <v>0</v>
      </c>
      <c r="N571" t="n">
        <v>0</v>
      </c>
      <c r="O571" t="n">
        <v>0</v>
      </c>
      <c r="P571" t="n">
        <v>0</v>
      </c>
      <c r="Q571" t="n">
        <v>0</v>
      </c>
      <c r="R571" s="2" t="inlineStr"/>
    </row>
    <row r="572" ht="15" customHeight="1">
      <c r="A572" t="inlineStr">
        <is>
          <t>A 61617-2024</t>
        </is>
      </c>
      <c r="B572" s="1" t="n">
        <v>45646.65767361111</v>
      </c>
      <c r="C572" s="1" t="n">
        <v>45915</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25627-2022</t>
        </is>
      </c>
      <c r="B573" s="1" t="n">
        <v>44732.92724537037</v>
      </c>
      <c r="C573" s="1" t="n">
        <v>45915</v>
      </c>
      <c r="D573" t="inlineStr">
        <is>
          <t>NORRBOTTENS LÄN</t>
        </is>
      </c>
      <c r="E573" t="inlineStr">
        <is>
          <t>BODEN</t>
        </is>
      </c>
      <c r="G573" t="n">
        <v>4.4</v>
      </c>
      <c r="H573" t="n">
        <v>0</v>
      </c>
      <c r="I573" t="n">
        <v>0</v>
      </c>
      <c r="J573" t="n">
        <v>0</v>
      </c>
      <c r="K573" t="n">
        <v>0</v>
      </c>
      <c r="L573" t="n">
        <v>0</v>
      </c>
      <c r="M573" t="n">
        <v>0</v>
      </c>
      <c r="N573" t="n">
        <v>0</v>
      </c>
      <c r="O573" t="n">
        <v>0</v>
      </c>
      <c r="P573" t="n">
        <v>0</v>
      </c>
      <c r="Q573" t="n">
        <v>0</v>
      </c>
      <c r="R573" s="2" t="inlineStr"/>
    </row>
    <row r="574" ht="15" customHeight="1">
      <c r="A574" t="inlineStr">
        <is>
          <t>A 10727-2025</t>
        </is>
      </c>
      <c r="B574" s="1" t="n">
        <v>45722.38607638889</v>
      </c>
      <c r="C574" s="1" t="n">
        <v>45915</v>
      </c>
      <c r="D574" t="inlineStr">
        <is>
          <t>NORRBOTTENS LÄN</t>
        </is>
      </c>
      <c r="E574" t="inlineStr">
        <is>
          <t>BODEN</t>
        </is>
      </c>
      <c r="G574" t="n">
        <v>5.4</v>
      </c>
      <c r="H574" t="n">
        <v>0</v>
      </c>
      <c r="I574" t="n">
        <v>0</v>
      </c>
      <c r="J574" t="n">
        <v>0</v>
      </c>
      <c r="K574" t="n">
        <v>0</v>
      </c>
      <c r="L574" t="n">
        <v>0</v>
      </c>
      <c r="M574" t="n">
        <v>0</v>
      </c>
      <c r="N574" t="n">
        <v>0</v>
      </c>
      <c r="O574" t="n">
        <v>0</v>
      </c>
      <c r="P574" t="n">
        <v>0</v>
      </c>
      <c r="Q574" t="n">
        <v>0</v>
      </c>
      <c r="R574" s="2" t="inlineStr"/>
    </row>
    <row r="575" ht="15" customHeight="1">
      <c r="A575" t="inlineStr">
        <is>
          <t>A 4055-2024</t>
        </is>
      </c>
      <c r="B575" s="1" t="n">
        <v>45323</v>
      </c>
      <c r="C575" s="1" t="n">
        <v>45915</v>
      </c>
      <c r="D575" t="inlineStr">
        <is>
          <t>NORRBOTTENS LÄN</t>
        </is>
      </c>
      <c r="E575" t="inlineStr">
        <is>
          <t>BODEN</t>
        </is>
      </c>
      <c r="G575" t="n">
        <v>1.6</v>
      </c>
      <c r="H575" t="n">
        <v>0</v>
      </c>
      <c r="I575" t="n">
        <v>0</v>
      </c>
      <c r="J575" t="n">
        <v>0</v>
      </c>
      <c r="K575" t="n">
        <v>0</v>
      </c>
      <c r="L575" t="n">
        <v>0</v>
      </c>
      <c r="M575" t="n">
        <v>0</v>
      </c>
      <c r="N575" t="n">
        <v>0</v>
      </c>
      <c r="O575" t="n">
        <v>0</v>
      </c>
      <c r="P575" t="n">
        <v>0</v>
      </c>
      <c r="Q575" t="n">
        <v>0</v>
      </c>
      <c r="R575" s="2" t="inlineStr"/>
    </row>
    <row r="576" ht="15" customHeight="1">
      <c r="A576" t="inlineStr">
        <is>
          <t>A 16699-2024</t>
        </is>
      </c>
      <c r="B576" s="1" t="n">
        <v>45408.96730324074</v>
      </c>
      <c r="C576" s="1" t="n">
        <v>45915</v>
      </c>
      <c r="D576" t="inlineStr">
        <is>
          <t>NORRBOTTENS LÄN</t>
        </is>
      </c>
      <c r="E576" t="inlineStr">
        <is>
          <t>BODEN</t>
        </is>
      </c>
      <c r="G576" t="n">
        <v>14.9</v>
      </c>
      <c r="H576" t="n">
        <v>0</v>
      </c>
      <c r="I576" t="n">
        <v>0</v>
      </c>
      <c r="J576" t="n">
        <v>0</v>
      </c>
      <c r="K576" t="n">
        <v>0</v>
      </c>
      <c r="L576" t="n">
        <v>0</v>
      </c>
      <c r="M576" t="n">
        <v>0</v>
      </c>
      <c r="N576" t="n">
        <v>0</v>
      </c>
      <c r="O576" t="n">
        <v>0</v>
      </c>
      <c r="P576" t="n">
        <v>0</v>
      </c>
      <c r="Q576" t="n">
        <v>0</v>
      </c>
      <c r="R576" s="2" t="inlineStr"/>
    </row>
    <row r="577" ht="15" customHeight="1">
      <c r="A577" t="inlineStr">
        <is>
          <t>A 7159-2023</t>
        </is>
      </c>
      <c r="B577" s="1" t="n">
        <v>44970</v>
      </c>
      <c r="C577" s="1" t="n">
        <v>45915</v>
      </c>
      <c r="D577" t="inlineStr">
        <is>
          <t>NORRBOTTENS LÄN</t>
        </is>
      </c>
      <c r="E577" t="inlineStr">
        <is>
          <t>BODEN</t>
        </is>
      </c>
      <c r="G577" t="n">
        <v>2</v>
      </c>
      <c r="H577" t="n">
        <v>0</v>
      </c>
      <c r="I577" t="n">
        <v>0</v>
      </c>
      <c r="J577" t="n">
        <v>0</v>
      </c>
      <c r="K577" t="n">
        <v>0</v>
      </c>
      <c r="L577" t="n">
        <v>0</v>
      </c>
      <c r="M577" t="n">
        <v>0</v>
      </c>
      <c r="N577" t="n">
        <v>0</v>
      </c>
      <c r="O577" t="n">
        <v>0</v>
      </c>
      <c r="P577" t="n">
        <v>0</v>
      </c>
      <c r="Q577" t="n">
        <v>0</v>
      </c>
      <c r="R577" s="2" t="inlineStr"/>
    </row>
    <row r="578" ht="15" customHeight="1">
      <c r="A578" t="inlineStr">
        <is>
          <t>A 48107-2022</t>
        </is>
      </c>
      <c r="B578" s="1" t="n">
        <v>44856.89673611111</v>
      </c>
      <c r="C578" s="1" t="n">
        <v>45915</v>
      </c>
      <c r="D578" t="inlineStr">
        <is>
          <t>NORRBOTTENS LÄN</t>
        </is>
      </c>
      <c r="E578" t="inlineStr">
        <is>
          <t>BODEN</t>
        </is>
      </c>
      <c r="G578" t="n">
        <v>3.3</v>
      </c>
      <c r="H578" t="n">
        <v>0</v>
      </c>
      <c r="I578" t="n">
        <v>0</v>
      </c>
      <c r="J578" t="n">
        <v>0</v>
      </c>
      <c r="K578" t="n">
        <v>0</v>
      </c>
      <c r="L578" t="n">
        <v>0</v>
      </c>
      <c r="M578" t="n">
        <v>0</v>
      </c>
      <c r="N578" t="n">
        <v>0</v>
      </c>
      <c r="O578" t="n">
        <v>0</v>
      </c>
      <c r="P578" t="n">
        <v>0</v>
      </c>
      <c r="Q578" t="n">
        <v>0</v>
      </c>
      <c r="R578" s="2" t="inlineStr"/>
    </row>
    <row r="579" ht="15" customHeight="1">
      <c r="A579" t="inlineStr">
        <is>
          <t>A 28745-2023</t>
        </is>
      </c>
      <c r="B579" s="1" t="n">
        <v>45103.92518518519</v>
      </c>
      <c r="C579" s="1" t="n">
        <v>45915</v>
      </c>
      <c r="D579" t="inlineStr">
        <is>
          <t>NORRBOTTENS LÄN</t>
        </is>
      </c>
      <c r="E579" t="inlineStr">
        <is>
          <t>BODEN</t>
        </is>
      </c>
      <c r="G579" t="n">
        <v>0.8</v>
      </c>
      <c r="H579" t="n">
        <v>0</v>
      </c>
      <c r="I579" t="n">
        <v>0</v>
      </c>
      <c r="J579" t="n">
        <v>0</v>
      </c>
      <c r="K579" t="n">
        <v>0</v>
      </c>
      <c r="L579" t="n">
        <v>0</v>
      </c>
      <c r="M579" t="n">
        <v>0</v>
      </c>
      <c r="N579" t="n">
        <v>0</v>
      </c>
      <c r="O579" t="n">
        <v>0</v>
      </c>
      <c r="P579" t="n">
        <v>0</v>
      </c>
      <c r="Q579" t="n">
        <v>0</v>
      </c>
      <c r="R579" s="2" t="inlineStr"/>
    </row>
    <row r="580" ht="15" customHeight="1">
      <c r="A580" t="inlineStr">
        <is>
          <t>A 33511-2025</t>
        </is>
      </c>
      <c r="B580" s="1" t="n">
        <v>45841.5196875</v>
      </c>
      <c r="C580" s="1" t="n">
        <v>45915</v>
      </c>
      <c r="D580" t="inlineStr">
        <is>
          <t>NORRBOTTENS LÄN</t>
        </is>
      </c>
      <c r="E580" t="inlineStr">
        <is>
          <t>BODEN</t>
        </is>
      </c>
      <c r="G580" t="n">
        <v>3.5</v>
      </c>
      <c r="H580" t="n">
        <v>0</v>
      </c>
      <c r="I580" t="n">
        <v>0</v>
      </c>
      <c r="J580" t="n">
        <v>0</v>
      </c>
      <c r="K580" t="n">
        <v>0</v>
      </c>
      <c r="L580" t="n">
        <v>0</v>
      </c>
      <c r="M580" t="n">
        <v>0</v>
      </c>
      <c r="N580" t="n">
        <v>0</v>
      </c>
      <c r="O580" t="n">
        <v>0</v>
      </c>
      <c r="P580" t="n">
        <v>0</v>
      </c>
      <c r="Q580" t="n">
        <v>0</v>
      </c>
      <c r="R580" s="2" t="inlineStr"/>
    </row>
    <row r="581" ht="15" customHeight="1">
      <c r="A581" t="inlineStr">
        <is>
          <t>A 18900-2025</t>
        </is>
      </c>
      <c r="B581" s="1" t="n">
        <v>45764.45171296296</v>
      </c>
      <c r="C581" s="1" t="n">
        <v>45915</v>
      </c>
      <c r="D581" t="inlineStr">
        <is>
          <t>NORRBOTTENS LÄN</t>
        </is>
      </c>
      <c r="E581" t="inlineStr">
        <is>
          <t>BODEN</t>
        </is>
      </c>
      <c r="G581" t="n">
        <v>2.8</v>
      </c>
      <c r="H581" t="n">
        <v>0</v>
      </c>
      <c r="I581" t="n">
        <v>0</v>
      </c>
      <c r="J581" t="n">
        <v>0</v>
      </c>
      <c r="K581" t="n">
        <v>0</v>
      </c>
      <c r="L581" t="n">
        <v>0</v>
      </c>
      <c r="M581" t="n">
        <v>0</v>
      </c>
      <c r="N581" t="n">
        <v>0</v>
      </c>
      <c r="O581" t="n">
        <v>0</v>
      </c>
      <c r="P581" t="n">
        <v>0</v>
      </c>
      <c r="Q581" t="n">
        <v>0</v>
      </c>
      <c r="R581" s="2" t="inlineStr"/>
    </row>
    <row r="582" ht="15" customHeight="1">
      <c r="A582" t="inlineStr">
        <is>
          <t>A 40624-2022</t>
        </is>
      </c>
      <c r="B582" s="1" t="n">
        <v>44823</v>
      </c>
      <c r="C582" s="1" t="n">
        <v>45915</v>
      </c>
      <c r="D582" t="inlineStr">
        <is>
          <t>NORRBOTTENS LÄN</t>
        </is>
      </c>
      <c r="E582" t="inlineStr">
        <is>
          <t>BODEN</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38291-2025</t>
        </is>
      </c>
      <c r="B583" s="1" t="n">
        <v>45882</v>
      </c>
      <c r="C583" s="1" t="n">
        <v>45915</v>
      </c>
      <c r="D583" t="inlineStr">
        <is>
          <t>NORRBOTTENS LÄN</t>
        </is>
      </c>
      <c r="E583" t="inlineStr">
        <is>
          <t>BODEN</t>
        </is>
      </c>
      <c r="G583" t="n">
        <v>11.4</v>
      </c>
      <c r="H583" t="n">
        <v>0</v>
      </c>
      <c r="I583" t="n">
        <v>0</v>
      </c>
      <c r="J583" t="n">
        <v>0</v>
      </c>
      <c r="K583" t="n">
        <v>0</v>
      </c>
      <c r="L583" t="n">
        <v>0</v>
      </c>
      <c r="M583" t="n">
        <v>0</v>
      </c>
      <c r="N583" t="n">
        <v>0</v>
      </c>
      <c r="O583" t="n">
        <v>0</v>
      </c>
      <c r="P583" t="n">
        <v>0</v>
      </c>
      <c r="Q583" t="n">
        <v>0</v>
      </c>
      <c r="R583" s="2" t="inlineStr"/>
    </row>
    <row r="584" ht="15" customHeight="1">
      <c r="A584" t="inlineStr">
        <is>
          <t>A 718-2022</t>
        </is>
      </c>
      <c r="B584" s="1" t="n">
        <v>44568</v>
      </c>
      <c r="C584" s="1" t="n">
        <v>45915</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1192-2025</t>
        </is>
      </c>
      <c r="B585" s="1" t="n">
        <v>45667.37363425926</v>
      </c>
      <c r="C585" s="1" t="n">
        <v>45915</v>
      </c>
      <c r="D585" t="inlineStr">
        <is>
          <t>NORRBOTTENS LÄN</t>
        </is>
      </c>
      <c r="E585" t="inlineStr">
        <is>
          <t>BODEN</t>
        </is>
      </c>
      <c r="G585" t="n">
        <v>2.7</v>
      </c>
      <c r="H585" t="n">
        <v>0</v>
      </c>
      <c r="I585" t="n">
        <v>0</v>
      </c>
      <c r="J585" t="n">
        <v>0</v>
      </c>
      <c r="K585" t="n">
        <v>0</v>
      </c>
      <c r="L585" t="n">
        <v>0</v>
      </c>
      <c r="M585" t="n">
        <v>0</v>
      </c>
      <c r="N585" t="n">
        <v>0</v>
      </c>
      <c r="O585" t="n">
        <v>0</v>
      </c>
      <c r="P585" t="n">
        <v>0</v>
      </c>
      <c r="Q585" t="n">
        <v>0</v>
      </c>
      <c r="R585" s="2" t="inlineStr"/>
    </row>
    <row r="586" ht="15" customHeight="1">
      <c r="A586" t="inlineStr">
        <is>
          <t>A 1205-2025</t>
        </is>
      </c>
      <c r="B586" s="1" t="n">
        <v>45667.39547453704</v>
      </c>
      <c r="C586" s="1" t="n">
        <v>45915</v>
      </c>
      <c r="D586" t="inlineStr">
        <is>
          <t>NORRBOTTENS LÄN</t>
        </is>
      </c>
      <c r="E586" t="inlineStr">
        <is>
          <t>BODEN</t>
        </is>
      </c>
      <c r="G586" t="n">
        <v>1.4</v>
      </c>
      <c r="H586" t="n">
        <v>0</v>
      </c>
      <c r="I586" t="n">
        <v>0</v>
      </c>
      <c r="J586" t="n">
        <v>0</v>
      </c>
      <c r="K586" t="n">
        <v>0</v>
      </c>
      <c r="L586" t="n">
        <v>0</v>
      </c>
      <c r="M586" t="n">
        <v>0</v>
      </c>
      <c r="N586" t="n">
        <v>0</v>
      </c>
      <c r="O586" t="n">
        <v>0</v>
      </c>
      <c r="P586" t="n">
        <v>0</v>
      </c>
      <c r="Q586" t="n">
        <v>0</v>
      </c>
      <c r="R586" s="2" t="inlineStr"/>
    </row>
    <row r="587" ht="15" customHeight="1">
      <c r="A587" t="inlineStr">
        <is>
          <t>A 13714-2022</t>
        </is>
      </c>
      <c r="B587" s="1" t="n">
        <v>44648</v>
      </c>
      <c r="C587" s="1" t="n">
        <v>45915</v>
      </c>
      <c r="D587" t="inlineStr">
        <is>
          <t>NORRBOTTENS LÄN</t>
        </is>
      </c>
      <c r="E587" t="inlineStr">
        <is>
          <t>BODEN</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35843-2021</t>
        </is>
      </c>
      <c r="B588" s="1" t="n">
        <v>44386</v>
      </c>
      <c r="C588" s="1" t="n">
        <v>45915</v>
      </c>
      <c r="D588" t="inlineStr">
        <is>
          <t>NORRBOTTENS LÄN</t>
        </is>
      </c>
      <c r="E588" t="inlineStr">
        <is>
          <t>BODEN</t>
        </is>
      </c>
      <c r="G588" t="n">
        <v>1.5</v>
      </c>
      <c r="H588" t="n">
        <v>0</v>
      </c>
      <c r="I588" t="n">
        <v>0</v>
      </c>
      <c r="J588" t="n">
        <v>0</v>
      </c>
      <c r="K588" t="n">
        <v>0</v>
      </c>
      <c r="L588" t="n">
        <v>0</v>
      </c>
      <c r="M588" t="n">
        <v>0</v>
      </c>
      <c r="N588" t="n">
        <v>0</v>
      </c>
      <c r="O588" t="n">
        <v>0</v>
      </c>
      <c r="P588" t="n">
        <v>0</v>
      </c>
      <c r="Q588" t="n">
        <v>0</v>
      </c>
      <c r="R588" s="2" t="inlineStr"/>
    </row>
    <row r="589" ht="15" customHeight="1">
      <c r="A589" t="inlineStr">
        <is>
          <t>A 49124-2023</t>
        </is>
      </c>
      <c r="B589" s="1" t="n">
        <v>45210.46891203704</v>
      </c>
      <c r="C589" s="1" t="n">
        <v>45915</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31007-2024</t>
        </is>
      </c>
      <c r="B590" s="1" t="n">
        <v>45499.63932870371</v>
      </c>
      <c r="C590" s="1" t="n">
        <v>45915</v>
      </c>
      <c r="D590" t="inlineStr">
        <is>
          <t>NORRBOTTENS LÄN</t>
        </is>
      </c>
      <c r="E590" t="inlineStr">
        <is>
          <t>BODEN</t>
        </is>
      </c>
      <c r="G590" t="n">
        <v>8</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45915</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33175-2025</t>
        </is>
      </c>
      <c r="B592" s="1" t="n">
        <v>45840</v>
      </c>
      <c r="C592" s="1" t="n">
        <v>45915</v>
      </c>
      <c r="D592" t="inlineStr">
        <is>
          <t>NORRBOTTENS LÄN</t>
        </is>
      </c>
      <c r="E592" t="inlineStr">
        <is>
          <t>BODEN</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61743-2024</t>
        </is>
      </c>
      <c r="B593" s="1" t="n">
        <v>45649.38344907408</v>
      </c>
      <c r="C593" s="1" t="n">
        <v>45915</v>
      </c>
      <c r="D593" t="inlineStr">
        <is>
          <t>NORRBOTTENS LÄN</t>
        </is>
      </c>
      <c r="E593" t="inlineStr">
        <is>
          <t>BODEN</t>
        </is>
      </c>
      <c r="G593" t="n">
        <v>1.9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45915</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45915</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9314-2025</t>
        </is>
      </c>
      <c r="B596" s="1" t="n">
        <v>45714.69826388889</v>
      </c>
      <c r="C596" s="1" t="n">
        <v>45915</v>
      </c>
      <c r="D596" t="inlineStr">
        <is>
          <t>NORRBOTTENS LÄN</t>
        </is>
      </c>
      <c r="E596" t="inlineStr">
        <is>
          <t>BODEN</t>
        </is>
      </c>
      <c r="F596" t="inlineStr">
        <is>
          <t>SCA</t>
        </is>
      </c>
      <c r="G596" t="n">
        <v>30</v>
      </c>
      <c r="H596" t="n">
        <v>0</v>
      </c>
      <c r="I596" t="n">
        <v>0</v>
      </c>
      <c r="J596" t="n">
        <v>0</v>
      </c>
      <c r="K596" t="n">
        <v>0</v>
      </c>
      <c r="L596" t="n">
        <v>0</v>
      </c>
      <c r="M596" t="n">
        <v>0</v>
      </c>
      <c r="N596" t="n">
        <v>0</v>
      </c>
      <c r="O596" t="n">
        <v>0</v>
      </c>
      <c r="P596" t="n">
        <v>0</v>
      </c>
      <c r="Q596" t="n">
        <v>0</v>
      </c>
      <c r="R596" s="2" t="inlineStr"/>
    </row>
    <row r="597" ht="15" customHeight="1">
      <c r="A597" t="inlineStr">
        <is>
          <t>A 46512-2021</t>
        </is>
      </c>
      <c r="B597" s="1" t="n">
        <v>44445</v>
      </c>
      <c r="C597" s="1" t="n">
        <v>45915</v>
      </c>
      <c r="D597" t="inlineStr">
        <is>
          <t>NORRBOTTENS LÄN</t>
        </is>
      </c>
      <c r="E597" t="inlineStr">
        <is>
          <t>BODEN</t>
        </is>
      </c>
      <c r="G597" t="n">
        <v>7.2</v>
      </c>
      <c r="H597" t="n">
        <v>0</v>
      </c>
      <c r="I597" t="n">
        <v>0</v>
      </c>
      <c r="J597" t="n">
        <v>0</v>
      </c>
      <c r="K597" t="n">
        <v>0</v>
      </c>
      <c r="L597" t="n">
        <v>0</v>
      </c>
      <c r="M597" t="n">
        <v>0</v>
      </c>
      <c r="N597" t="n">
        <v>0</v>
      </c>
      <c r="O597" t="n">
        <v>0</v>
      </c>
      <c r="P597" t="n">
        <v>0</v>
      </c>
      <c r="Q597" t="n">
        <v>0</v>
      </c>
      <c r="R597" s="2" t="inlineStr"/>
    </row>
    <row r="598" ht="15" customHeight="1">
      <c r="A598" t="inlineStr">
        <is>
          <t>A 1962-2025</t>
        </is>
      </c>
      <c r="B598" s="1" t="n">
        <v>45672</v>
      </c>
      <c r="C598" s="1" t="n">
        <v>45915</v>
      </c>
      <c r="D598" t="inlineStr">
        <is>
          <t>NORRBOTTENS LÄN</t>
        </is>
      </c>
      <c r="E598" t="inlineStr">
        <is>
          <t>BODEN</t>
        </is>
      </c>
      <c r="G598" t="n">
        <v>0.1</v>
      </c>
      <c r="H598" t="n">
        <v>0</v>
      </c>
      <c r="I598" t="n">
        <v>0</v>
      </c>
      <c r="J598" t="n">
        <v>0</v>
      </c>
      <c r="K598" t="n">
        <v>0</v>
      </c>
      <c r="L598" t="n">
        <v>0</v>
      </c>
      <c r="M598" t="n">
        <v>0</v>
      </c>
      <c r="N598" t="n">
        <v>0</v>
      </c>
      <c r="O598" t="n">
        <v>0</v>
      </c>
      <c r="P598" t="n">
        <v>0</v>
      </c>
      <c r="Q598" t="n">
        <v>0</v>
      </c>
      <c r="R598" s="2" t="inlineStr"/>
    </row>
    <row r="599" ht="15" customHeight="1">
      <c r="A599" t="inlineStr">
        <is>
          <t>A 55080-2021</t>
        </is>
      </c>
      <c r="B599" s="1" t="n">
        <v>44474.65423611111</v>
      </c>
      <c r="C599" s="1" t="n">
        <v>45915</v>
      </c>
      <c r="D599" t="inlineStr">
        <is>
          <t>NORRBOTTENS LÄN</t>
        </is>
      </c>
      <c r="E599" t="inlineStr">
        <is>
          <t>BODEN</t>
        </is>
      </c>
      <c r="G599" t="n">
        <v>2.8</v>
      </c>
      <c r="H599" t="n">
        <v>0</v>
      </c>
      <c r="I599" t="n">
        <v>0</v>
      </c>
      <c r="J599" t="n">
        <v>0</v>
      </c>
      <c r="K599" t="n">
        <v>0</v>
      </c>
      <c r="L599" t="n">
        <v>0</v>
      </c>
      <c r="M599" t="n">
        <v>0</v>
      </c>
      <c r="N599" t="n">
        <v>0</v>
      </c>
      <c r="O599" t="n">
        <v>0</v>
      </c>
      <c r="P599" t="n">
        <v>0</v>
      </c>
      <c r="Q599" t="n">
        <v>0</v>
      </c>
      <c r="R599" s="2" t="inlineStr"/>
    </row>
    <row r="600" ht="15" customHeight="1">
      <c r="A600" t="inlineStr">
        <is>
          <t>A 44708-2024</t>
        </is>
      </c>
      <c r="B600" s="1" t="n">
        <v>45574.5735300926</v>
      </c>
      <c r="C600" s="1" t="n">
        <v>45915</v>
      </c>
      <c r="D600" t="inlineStr">
        <is>
          <t>NORRBOTTENS LÄN</t>
        </is>
      </c>
      <c r="E600" t="inlineStr">
        <is>
          <t>BODEN</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47042-2024</t>
        </is>
      </c>
      <c r="B601" s="1" t="n">
        <v>45586.44344907408</v>
      </c>
      <c r="C601" s="1" t="n">
        <v>45915</v>
      </c>
      <c r="D601" t="inlineStr">
        <is>
          <t>NORRBOTTENS LÄN</t>
        </is>
      </c>
      <c r="E601" t="inlineStr">
        <is>
          <t>BODEN</t>
        </is>
      </c>
      <c r="G601" t="n">
        <v>27.9</v>
      </c>
      <c r="H601" t="n">
        <v>0</v>
      </c>
      <c r="I601" t="n">
        <v>0</v>
      </c>
      <c r="J601" t="n">
        <v>0</v>
      </c>
      <c r="K601" t="n">
        <v>0</v>
      </c>
      <c r="L601" t="n">
        <v>0</v>
      </c>
      <c r="M601" t="n">
        <v>0</v>
      </c>
      <c r="N601" t="n">
        <v>0</v>
      </c>
      <c r="O601" t="n">
        <v>0</v>
      </c>
      <c r="P601" t="n">
        <v>0</v>
      </c>
      <c r="Q601" t="n">
        <v>0</v>
      </c>
      <c r="R601" s="2" t="inlineStr"/>
    </row>
    <row r="602" ht="15" customHeight="1">
      <c r="A602" t="inlineStr">
        <is>
          <t>A 5452-2025</t>
        </is>
      </c>
      <c r="B602" s="1" t="n">
        <v>45692.92622685185</v>
      </c>
      <c r="C602" s="1" t="n">
        <v>45915</v>
      </c>
      <c r="D602" t="inlineStr">
        <is>
          <t>NORRBOTTENS LÄN</t>
        </is>
      </c>
      <c r="E602" t="inlineStr">
        <is>
          <t>BODEN</t>
        </is>
      </c>
      <c r="G602" t="n">
        <v>0.7</v>
      </c>
      <c r="H602" t="n">
        <v>0</v>
      </c>
      <c r="I602" t="n">
        <v>0</v>
      </c>
      <c r="J602" t="n">
        <v>0</v>
      </c>
      <c r="K602" t="n">
        <v>0</v>
      </c>
      <c r="L602" t="n">
        <v>0</v>
      </c>
      <c r="M602" t="n">
        <v>0</v>
      </c>
      <c r="N602" t="n">
        <v>0</v>
      </c>
      <c r="O602" t="n">
        <v>0</v>
      </c>
      <c r="P602" t="n">
        <v>0</v>
      </c>
      <c r="Q602" t="n">
        <v>0</v>
      </c>
      <c r="R602" s="2" t="inlineStr"/>
    </row>
    <row r="603" ht="15" customHeight="1">
      <c r="A603" t="inlineStr">
        <is>
          <t>A 38584-2025</t>
        </is>
      </c>
      <c r="B603" s="1" t="n">
        <v>45884.46996527778</v>
      </c>
      <c r="C603" s="1" t="n">
        <v>45915</v>
      </c>
      <c r="D603" t="inlineStr">
        <is>
          <t>NORRBOTTENS LÄN</t>
        </is>
      </c>
      <c r="E603" t="inlineStr">
        <is>
          <t>BODEN</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16581-2025</t>
        </is>
      </c>
      <c r="B604" s="1" t="n">
        <v>45752</v>
      </c>
      <c r="C604" s="1" t="n">
        <v>45915</v>
      </c>
      <c r="D604" t="inlineStr">
        <is>
          <t>NORRBOTTENS LÄN</t>
        </is>
      </c>
      <c r="E604" t="inlineStr">
        <is>
          <t>BODEN</t>
        </is>
      </c>
      <c r="G604" t="n">
        <v>10</v>
      </c>
      <c r="H604" t="n">
        <v>0</v>
      </c>
      <c r="I604" t="n">
        <v>0</v>
      </c>
      <c r="J604" t="n">
        <v>0</v>
      </c>
      <c r="K604" t="n">
        <v>0</v>
      </c>
      <c r="L604" t="n">
        <v>0</v>
      </c>
      <c r="M604" t="n">
        <v>0</v>
      </c>
      <c r="N604" t="n">
        <v>0</v>
      </c>
      <c r="O604" t="n">
        <v>0</v>
      </c>
      <c r="P604" t="n">
        <v>0</v>
      </c>
      <c r="Q604" t="n">
        <v>0</v>
      </c>
      <c r="R604" s="2" t="inlineStr"/>
    </row>
    <row r="605" ht="15" customHeight="1">
      <c r="A605" t="inlineStr">
        <is>
          <t>A 33693-2025</t>
        </is>
      </c>
      <c r="B605" s="1" t="n">
        <v>45841.69828703703</v>
      </c>
      <c r="C605" s="1" t="n">
        <v>45915</v>
      </c>
      <c r="D605" t="inlineStr">
        <is>
          <t>NORRBOTTENS LÄN</t>
        </is>
      </c>
      <c r="E605" t="inlineStr">
        <is>
          <t>BODEN</t>
        </is>
      </c>
      <c r="G605" t="n">
        <v>4.7</v>
      </c>
      <c r="H605" t="n">
        <v>0</v>
      </c>
      <c r="I605" t="n">
        <v>0</v>
      </c>
      <c r="J605" t="n">
        <v>0</v>
      </c>
      <c r="K605" t="n">
        <v>0</v>
      </c>
      <c r="L605" t="n">
        <v>0</v>
      </c>
      <c r="M605" t="n">
        <v>0</v>
      </c>
      <c r="N605" t="n">
        <v>0</v>
      </c>
      <c r="O605" t="n">
        <v>0</v>
      </c>
      <c r="P605" t="n">
        <v>0</v>
      </c>
      <c r="Q605" t="n">
        <v>0</v>
      </c>
      <c r="R605" s="2" t="inlineStr"/>
    </row>
    <row r="606" ht="15" customHeight="1">
      <c r="A606" t="inlineStr">
        <is>
          <t>A 33504-2025</t>
        </is>
      </c>
      <c r="B606" s="1" t="n">
        <v>45841.5124537037</v>
      </c>
      <c r="C606" s="1" t="n">
        <v>45915</v>
      </c>
      <c r="D606" t="inlineStr">
        <is>
          <t>NORRBOTTENS LÄN</t>
        </is>
      </c>
      <c r="E606" t="inlineStr">
        <is>
          <t>BODEN</t>
        </is>
      </c>
      <c r="G606" t="n">
        <v>7</v>
      </c>
      <c r="H606" t="n">
        <v>0</v>
      </c>
      <c r="I606" t="n">
        <v>0</v>
      </c>
      <c r="J606" t="n">
        <v>0</v>
      </c>
      <c r="K606" t="n">
        <v>0</v>
      </c>
      <c r="L606" t="n">
        <v>0</v>
      </c>
      <c r="M606" t="n">
        <v>0</v>
      </c>
      <c r="N606" t="n">
        <v>0</v>
      </c>
      <c r="O606" t="n">
        <v>0</v>
      </c>
      <c r="P606" t="n">
        <v>0</v>
      </c>
      <c r="Q606" t="n">
        <v>0</v>
      </c>
      <c r="R606" s="2" t="inlineStr"/>
    </row>
    <row r="607" ht="15" customHeight="1">
      <c r="A607" t="inlineStr">
        <is>
          <t>A 31754-2024</t>
        </is>
      </c>
      <c r="B607" s="1" t="n">
        <v>45509.43402777778</v>
      </c>
      <c r="C607" s="1" t="n">
        <v>45915</v>
      </c>
      <c r="D607" t="inlineStr">
        <is>
          <t>NORRBOTTENS LÄN</t>
        </is>
      </c>
      <c r="E607" t="inlineStr">
        <is>
          <t>BODEN</t>
        </is>
      </c>
      <c r="G607" t="n">
        <v>11.1</v>
      </c>
      <c r="H607" t="n">
        <v>0</v>
      </c>
      <c r="I607" t="n">
        <v>0</v>
      </c>
      <c r="J607" t="n">
        <v>0</v>
      </c>
      <c r="K607" t="n">
        <v>0</v>
      </c>
      <c r="L607" t="n">
        <v>0</v>
      </c>
      <c r="M607" t="n">
        <v>0</v>
      </c>
      <c r="N607" t="n">
        <v>0</v>
      </c>
      <c r="O607" t="n">
        <v>0</v>
      </c>
      <c r="P607" t="n">
        <v>0</v>
      </c>
      <c r="Q607" t="n">
        <v>0</v>
      </c>
      <c r="R607" s="2" t="inlineStr"/>
    </row>
    <row r="608" ht="15" customHeight="1">
      <c r="A608" t="inlineStr">
        <is>
          <t>A 46367-2024</t>
        </is>
      </c>
      <c r="B608" s="1" t="n">
        <v>45582</v>
      </c>
      <c r="C608" s="1" t="n">
        <v>45915</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16020-2025</t>
        </is>
      </c>
      <c r="B609" s="1" t="n">
        <v>45748</v>
      </c>
      <c r="C609" s="1" t="n">
        <v>45915</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67438-2021</t>
        </is>
      </c>
      <c r="B610" s="1" t="n">
        <v>44524</v>
      </c>
      <c r="C610" s="1" t="n">
        <v>45915</v>
      </c>
      <c r="D610" t="inlineStr">
        <is>
          <t>NORRBOTTENS LÄN</t>
        </is>
      </c>
      <c r="E610" t="inlineStr">
        <is>
          <t>BODEN</t>
        </is>
      </c>
      <c r="G610" t="n">
        <v>3.2</v>
      </c>
      <c r="H610" t="n">
        <v>0</v>
      </c>
      <c r="I610" t="n">
        <v>0</v>
      </c>
      <c r="J610" t="n">
        <v>0</v>
      </c>
      <c r="K610" t="n">
        <v>0</v>
      </c>
      <c r="L610" t="n">
        <v>0</v>
      </c>
      <c r="M610" t="n">
        <v>0</v>
      </c>
      <c r="N610" t="n">
        <v>0</v>
      </c>
      <c r="O610" t="n">
        <v>0</v>
      </c>
      <c r="P610" t="n">
        <v>0</v>
      </c>
      <c r="Q610" t="n">
        <v>0</v>
      </c>
      <c r="R610" s="2" t="inlineStr"/>
    </row>
    <row r="611" ht="15" customHeight="1">
      <c r="A611" t="inlineStr">
        <is>
          <t>A 18173-2025</t>
        </is>
      </c>
      <c r="B611" s="1" t="n">
        <v>45761</v>
      </c>
      <c r="C611" s="1" t="n">
        <v>45915</v>
      </c>
      <c r="D611" t="inlineStr">
        <is>
          <t>NORRBOTTENS LÄN</t>
        </is>
      </c>
      <c r="E611" t="inlineStr">
        <is>
          <t>BODEN</t>
        </is>
      </c>
      <c r="G611" t="n">
        <v>7.2</v>
      </c>
      <c r="H611" t="n">
        <v>0</v>
      </c>
      <c r="I611" t="n">
        <v>0</v>
      </c>
      <c r="J611" t="n">
        <v>0</v>
      </c>
      <c r="K611" t="n">
        <v>0</v>
      </c>
      <c r="L611" t="n">
        <v>0</v>
      </c>
      <c r="M611" t="n">
        <v>0</v>
      </c>
      <c r="N611" t="n">
        <v>0</v>
      </c>
      <c r="O611" t="n">
        <v>0</v>
      </c>
      <c r="P611" t="n">
        <v>0</v>
      </c>
      <c r="Q611" t="n">
        <v>0</v>
      </c>
      <c r="R611" s="2" t="inlineStr"/>
    </row>
    <row r="612" ht="15" customHeight="1">
      <c r="A612" t="inlineStr">
        <is>
          <t>A 54104-2022</t>
        </is>
      </c>
      <c r="B612" s="1" t="n">
        <v>44881.55375</v>
      </c>
      <c r="C612" s="1" t="n">
        <v>45915</v>
      </c>
      <c r="D612" t="inlineStr">
        <is>
          <t>NORRBOTTENS LÄN</t>
        </is>
      </c>
      <c r="E612" t="inlineStr">
        <is>
          <t>BODEN</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30300-2023</t>
        </is>
      </c>
      <c r="B613" s="1" t="n">
        <v>45110</v>
      </c>
      <c r="C613" s="1" t="n">
        <v>45915</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12832-2022</t>
        </is>
      </c>
      <c r="B614" s="1" t="n">
        <v>44642</v>
      </c>
      <c r="C614" s="1" t="n">
        <v>45915</v>
      </c>
      <c r="D614" t="inlineStr">
        <is>
          <t>NORRBOTTENS LÄN</t>
        </is>
      </c>
      <c r="E614" t="inlineStr">
        <is>
          <t>BODEN</t>
        </is>
      </c>
      <c r="G614" t="n">
        <v>6.6</v>
      </c>
      <c r="H614" t="n">
        <v>0</v>
      </c>
      <c r="I614" t="n">
        <v>0</v>
      </c>
      <c r="J614" t="n">
        <v>0</v>
      </c>
      <c r="K614" t="n">
        <v>0</v>
      </c>
      <c r="L614" t="n">
        <v>0</v>
      </c>
      <c r="M614" t="n">
        <v>0</v>
      </c>
      <c r="N614" t="n">
        <v>0</v>
      </c>
      <c r="O614" t="n">
        <v>0</v>
      </c>
      <c r="P614" t="n">
        <v>0</v>
      </c>
      <c r="Q614" t="n">
        <v>0</v>
      </c>
      <c r="R614" s="2" t="inlineStr"/>
    </row>
    <row r="615" ht="15" customHeight="1">
      <c r="A615" t="inlineStr">
        <is>
          <t>A 57897-2022</t>
        </is>
      </c>
      <c r="B615" s="1" t="n">
        <v>44900</v>
      </c>
      <c r="C615" s="1" t="n">
        <v>45915</v>
      </c>
      <c r="D615" t="inlineStr">
        <is>
          <t>NORRBOTTENS LÄN</t>
        </is>
      </c>
      <c r="E615" t="inlineStr">
        <is>
          <t>BODEN</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58099-2023</t>
        </is>
      </c>
      <c r="B616" s="1" t="n">
        <v>45248.94667824074</v>
      </c>
      <c r="C616" s="1" t="n">
        <v>45915</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57713-2024</t>
        </is>
      </c>
      <c r="B617" s="1" t="n">
        <v>45630.69038194444</v>
      </c>
      <c r="C617" s="1" t="n">
        <v>45915</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19068-2024</t>
        </is>
      </c>
      <c r="B618" s="1" t="n">
        <v>45427.93548611111</v>
      </c>
      <c r="C618" s="1" t="n">
        <v>45915</v>
      </c>
      <c r="D618" t="inlineStr">
        <is>
          <t>NORRBOTTENS LÄN</t>
        </is>
      </c>
      <c r="E618" t="inlineStr">
        <is>
          <t>BODEN</t>
        </is>
      </c>
      <c r="G618" t="n">
        <v>22.1</v>
      </c>
      <c r="H618" t="n">
        <v>0</v>
      </c>
      <c r="I618" t="n">
        <v>0</v>
      </c>
      <c r="J618" t="n">
        <v>0</v>
      </c>
      <c r="K618" t="n">
        <v>0</v>
      </c>
      <c r="L618" t="n">
        <v>0</v>
      </c>
      <c r="M618" t="n">
        <v>0</v>
      </c>
      <c r="N618" t="n">
        <v>0</v>
      </c>
      <c r="O618" t="n">
        <v>0</v>
      </c>
      <c r="P618" t="n">
        <v>0</v>
      </c>
      <c r="Q618" t="n">
        <v>0</v>
      </c>
      <c r="R618" s="2" t="inlineStr"/>
    </row>
    <row r="619" ht="15" customHeight="1">
      <c r="A619" t="inlineStr">
        <is>
          <t>A 57600-2021</t>
        </is>
      </c>
      <c r="B619" s="1" t="n">
        <v>44484.36106481482</v>
      </c>
      <c r="C619" s="1" t="n">
        <v>45915</v>
      </c>
      <c r="D619" t="inlineStr">
        <is>
          <t>NORRBOTTENS LÄN</t>
        </is>
      </c>
      <c r="E619" t="inlineStr">
        <is>
          <t>BODEN</t>
        </is>
      </c>
      <c r="G619" t="n">
        <v>5.3</v>
      </c>
      <c r="H619" t="n">
        <v>0</v>
      </c>
      <c r="I619" t="n">
        <v>0</v>
      </c>
      <c r="J619" t="n">
        <v>0</v>
      </c>
      <c r="K619" t="n">
        <v>0</v>
      </c>
      <c r="L619" t="n">
        <v>0</v>
      </c>
      <c r="M619" t="n">
        <v>0</v>
      </c>
      <c r="N619" t="n">
        <v>0</v>
      </c>
      <c r="O619" t="n">
        <v>0</v>
      </c>
      <c r="P619" t="n">
        <v>0</v>
      </c>
      <c r="Q619" t="n">
        <v>0</v>
      </c>
      <c r="R619" s="2" t="inlineStr"/>
    </row>
    <row r="620" ht="15" customHeight="1">
      <c r="A620" t="inlineStr">
        <is>
          <t>A 18901-2025</t>
        </is>
      </c>
      <c r="B620" s="1" t="n">
        <v>45764.45273148148</v>
      </c>
      <c r="C620" s="1" t="n">
        <v>45915</v>
      </c>
      <c r="D620" t="inlineStr">
        <is>
          <t>NORRBOTTENS LÄN</t>
        </is>
      </c>
      <c r="E620" t="inlineStr">
        <is>
          <t>BODEN</t>
        </is>
      </c>
      <c r="G620" t="n">
        <v>1</v>
      </c>
      <c r="H620" t="n">
        <v>0</v>
      </c>
      <c r="I620" t="n">
        <v>0</v>
      </c>
      <c r="J620" t="n">
        <v>0</v>
      </c>
      <c r="K620" t="n">
        <v>0</v>
      </c>
      <c r="L620" t="n">
        <v>0</v>
      </c>
      <c r="M620" t="n">
        <v>0</v>
      </c>
      <c r="N620" t="n">
        <v>0</v>
      </c>
      <c r="O620" t="n">
        <v>0</v>
      </c>
      <c r="P620" t="n">
        <v>0</v>
      </c>
      <c r="Q620" t="n">
        <v>0</v>
      </c>
      <c r="R620" s="2" t="inlineStr"/>
    </row>
    <row r="621" ht="15" customHeight="1">
      <c r="A621" t="inlineStr">
        <is>
          <t>A 20046-2025</t>
        </is>
      </c>
      <c r="B621" s="1" t="n">
        <v>45772</v>
      </c>
      <c r="C621" s="1" t="n">
        <v>45915</v>
      </c>
      <c r="D621" t="inlineStr">
        <is>
          <t>NORRBOTTENS LÄN</t>
        </is>
      </c>
      <c r="E621" t="inlineStr">
        <is>
          <t>BODEN</t>
        </is>
      </c>
      <c r="G621" t="n">
        <v>1</v>
      </c>
      <c r="H621" t="n">
        <v>0</v>
      </c>
      <c r="I621" t="n">
        <v>0</v>
      </c>
      <c r="J621" t="n">
        <v>0</v>
      </c>
      <c r="K621" t="n">
        <v>0</v>
      </c>
      <c r="L621" t="n">
        <v>0</v>
      </c>
      <c r="M621" t="n">
        <v>0</v>
      </c>
      <c r="N621" t="n">
        <v>0</v>
      </c>
      <c r="O621" t="n">
        <v>0</v>
      </c>
      <c r="P621" t="n">
        <v>0</v>
      </c>
      <c r="Q621" t="n">
        <v>0</v>
      </c>
      <c r="R621" s="2" t="inlineStr"/>
    </row>
    <row r="622" ht="15" customHeight="1">
      <c r="A622" t="inlineStr">
        <is>
          <t>A 17313-2021</t>
        </is>
      </c>
      <c r="B622" s="1" t="n">
        <v>44298</v>
      </c>
      <c r="C622" s="1" t="n">
        <v>45915</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47929-2024</t>
        </is>
      </c>
      <c r="B623" s="1" t="n">
        <v>45589</v>
      </c>
      <c r="C623" s="1" t="n">
        <v>45915</v>
      </c>
      <c r="D623" t="inlineStr">
        <is>
          <t>NORRBOTTENS LÄN</t>
        </is>
      </c>
      <c r="E623" t="inlineStr">
        <is>
          <t>BODEN</t>
        </is>
      </c>
      <c r="F623" t="inlineStr">
        <is>
          <t>Naturvårdsverket</t>
        </is>
      </c>
      <c r="G623" t="n">
        <v>4.2</v>
      </c>
      <c r="H623" t="n">
        <v>0</v>
      </c>
      <c r="I623" t="n">
        <v>0</v>
      </c>
      <c r="J623" t="n">
        <v>0</v>
      </c>
      <c r="K623" t="n">
        <v>0</v>
      </c>
      <c r="L623" t="n">
        <v>0</v>
      </c>
      <c r="M623" t="n">
        <v>0</v>
      </c>
      <c r="N623" t="n">
        <v>0</v>
      </c>
      <c r="O623" t="n">
        <v>0</v>
      </c>
      <c r="P623" t="n">
        <v>0</v>
      </c>
      <c r="Q623" t="n">
        <v>0</v>
      </c>
      <c r="R623" s="2" t="inlineStr"/>
    </row>
    <row r="624" ht="15" customHeight="1">
      <c r="A624" t="inlineStr">
        <is>
          <t>A 49127-2023</t>
        </is>
      </c>
      <c r="B624" s="1" t="n">
        <v>45210</v>
      </c>
      <c r="C624" s="1" t="n">
        <v>45915</v>
      </c>
      <c r="D624" t="inlineStr">
        <is>
          <t>NORRBOTTENS LÄN</t>
        </is>
      </c>
      <c r="E624" t="inlineStr">
        <is>
          <t>BODEN</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50526-2020</t>
        </is>
      </c>
      <c r="B625" s="1" t="n">
        <v>44110</v>
      </c>
      <c r="C625" s="1" t="n">
        <v>45915</v>
      </c>
      <c r="D625" t="inlineStr">
        <is>
          <t>NORRBOTTENS LÄN</t>
        </is>
      </c>
      <c r="E625" t="inlineStr">
        <is>
          <t>BODEN</t>
        </is>
      </c>
      <c r="G625" t="n">
        <v>5</v>
      </c>
      <c r="H625" t="n">
        <v>0</v>
      </c>
      <c r="I625" t="n">
        <v>0</v>
      </c>
      <c r="J625" t="n">
        <v>0</v>
      </c>
      <c r="K625" t="n">
        <v>0</v>
      </c>
      <c r="L625" t="n">
        <v>0</v>
      </c>
      <c r="M625" t="n">
        <v>0</v>
      </c>
      <c r="N625" t="n">
        <v>0</v>
      </c>
      <c r="O625" t="n">
        <v>0</v>
      </c>
      <c r="P625" t="n">
        <v>0</v>
      </c>
      <c r="Q625" t="n">
        <v>0</v>
      </c>
      <c r="R625" s="2" t="inlineStr"/>
    </row>
    <row r="626" ht="15" customHeight="1">
      <c r="A626" t="inlineStr">
        <is>
          <t>A 55540-2022</t>
        </is>
      </c>
      <c r="B626" s="1" t="n">
        <v>44887</v>
      </c>
      <c r="C626" s="1" t="n">
        <v>45915</v>
      </c>
      <c r="D626" t="inlineStr">
        <is>
          <t>NORRBOTTENS LÄN</t>
        </is>
      </c>
      <c r="E626" t="inlineStr">
        <is>
          <t>BODEN</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467-2022</t>
        </is>
      </c>
      <c r="B627" s="1" t="n">
        <v>44565</v>
      </c>
      <c r="C627" s="1" t="n">
        <v>45915</v>
      </c>
      <c r="D627" t="inlineStr">
        <is>
          <t>NORRBOTTENS LÄN</t>
        </is>
      </c>
      <c r="E627" t="inlineStr">
        <is>
          <t>BODEN</t>
        </is>
      </c>
      <c r="G627" t="n">
        <v>3.4</v>
      </c>
      <c r="H627" t="n">
        <v>0</v>
      </c>
      <c r="I627" t="n">
        <v>0</v>
      </c>
      <c r="J627" t="n">
        <v>0</v>
      </c>
      <c r="K627" t="n">
        <v>0</v>
      </c>
      <c r="L627" t="n">
        <v>0</v>
      </c>
      <c r="M627" t="n">
        <v>0</v>
      </c>
      <c r="N627" t="n">
        <v>0</v>
      </c>
      <c r="O627" t="n">
        <v>0</v>
      </c>
      <c r="P627" t="n">
        <v>0</v>
      </c>
      <c r="Q627" t="n">
        <v>0</v>
      </c>
      <c r="R627" s="2" t="inlineStr"/>
    </row>
    <row r="628" ht="15" customHeight="1">
      <c r="A628" t="inlineStr">
        <is>
          <t>A 54616-2023</t>
        </is>
      </c>
      <c r="B628" s="1" t="n">
        <v>45233.95826388889</v>
      </c>
      <c r="C628" s="1" t="n">
        <v>45915</v>
      </c>
      <c r="D628" t="inlineStr">
        <is>
          <t>NORRBOTTENS LÄN</t>
        </is>
      </c>
      <c r="E628" t="inlineStr">
        <is>
          <t>BODEN</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61568-2024</t>
        </is>
      </c>
      <c r="B629" s="1" t="n">
        <v>45646.61572916667</v>
      </c>
      <c r="C629" s="1" t="n">
        <v>45915</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22460-2023</t>
        </is>
      </c>
      <c r="B630" s="1" t="n">
        <v>45070.92538194444</v>
      </c>
      <c r="C630" s="1" t="n">
        <v>45915</v>
      </c>
      <c r="D630" t="inlineStr">
        <is>
          <t>NORRBOTTENS LÄN</t>
        </is>
      </c>
      <c r="E630" t="inlineStr">
        <is>
          <t>BODEN</t>
        </is>
      </c>
      <c r="G630" t="n">
        <v>1.4</v>
      </c>
      <c r="H630" t="n">
        <v>0</v>
      </c>
      <c r="I630" t="n">
        <v>0</v>
      </c>
      <c r="J630" t="n">
        <v>0</v>
      </c>
      <c r="K630" t="n">
        <v>0</v>
      </c>
      <c r="L630" t="n">
        <v>0</v>
      </c>
      <c r="M630" t="n">
        <v>0</v>
      </c>
      <c r="N630" t="n">
        <v>0</v>
      </c>
      <c r="O630" t="n">
        <v>0</v>
      </c>
      <c r="P630" t="n">
        <v>0</v>
      </c>
      <c r="Q630" t="n">
        <v>0</v>
      </c>
      <c r="R630" s="2" t="inlineStr"/>
    </row>
    <row r="631" ht="15" customHeight="1">
      <c r="A631" t="inlineStr">
        <is>
          <t>A 25920-2023</t>
        </is>
      </c>
      <c r="B631" s="1" t="n">
        <v>45085</v>
      </c>
      <c r="C631" s="1" t="n">
        <v>45915</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36438-2024</t>
        </is>
      </c>
      <c r="B632" s="1" t="n">
        <v>45537.27357638889</v>
      </c>
      <c r="C632" s="1" t="n">
        <v>45915</v>
      </c>
      <c r="D632" t="inlineStr">
        <is>
          <t>NORRBOTTENS LÄN</t>
        </is>
      </c>
      <c r="E632" t="inlineStr">
        <is>
          <t>BODEN</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45115-2021</t>
        </is>
      </c>
      <c r="B633" s="1" t="n">
        <v>44438</v>
      </c>
      <c r="C633" s="1" t="n">
        <v>45915</v>
      </c>
      <c r="D633" t="inlineStr">
        <is>
          <t>NORRBOTTENS LÄN</t>
        </is>
      </c>
      <c r="E633" t="inlineStr">
        <is>
          <t>BODEN</t>
        </is>
      </c>
      <c r="G633" t="n">
        <v>4.7</v>
      </c>
      <c r="H633" t="n">
        <v>0</v>
      </c>
      <c r="I633" t="n">
        <v>0</v>
      </c>
      <c r="J633" t="n">
        <v>0</v>
      </c>
      <c r="K633" t="n">
        <v>0</v>
      </c>
      <c r="L633" t="n">
        <v>0</v>
      </c>
      <c r="M633" t="n">
        <v>0</v>
      </c>
      <c r="N633" t="n">
        <v>0</v>
      </c>
      <c r="O633" t="n">
        <v>0</v>
      </c>
      <c r="P633" t="n">
        <v>0</v>
      </c>
      <c r="Q633" t="n">
        <v>0</v>
      </c>
      <c r="R633" s="2" t="inlineStr"/>
    </row>
    <row r="634" ht="15" customHeight="1">
      <c r="A634" t="inlineStr">
        <is>
          <t>A 45677-2021</t>
        </is>
      </c>
      <c r="B634" s="1" t="n">
        <v>44441.35422453703</v>
      </c>
      <c r="C634" s="1" t="n">
        <v>45915</v>
      </c>
      <c r="D634" t="inlineStr">
        <is>
          <t>NORRBOTTENS LÄN</t>
        </is>
      </c>
      <c r="E634" t="inlineStr">
        <is>
          <t>BODEN</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68591-2021</t>
        </is>
      </c>
      <c r="B635" s="1" t="n">
        <v>44529</v>
      </c>
      <c r="C635" s="1" t="n">
        <v>45915</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22458-2023</t>
        </is>
      </c>
      <c r="B636" s="1" t="n">
        <v>45070</v>
      </c>
      <c r="C636" s="1" t="n">
        <v>45915</v>
      </c>
      <c r="D636" t="inlineStr">
        <is>
          <t>NORRBOTTENS LÄN</t>
        </is>
      </c>
      <c r="E636" t="inlineStr">
        <is>
          <t>BODEN</t>
        </is>
      </c>
      <c r="G636" t="n">
        <v>2.4</v>
      </c>
      <c r="H636" t="n">
        <v>0</v>
      </c>
      <c r="I636" t="n">
        <v>0</v>
      </c>
      <c r="J636" t="n">
        <v>0</v>
      </c>
      <c r="K636" t="n">
        <v>0</v>
      </c>
      <c r="L636" t="n">
        <v>0</v>
      </c>
      <c r="M636" t="n">
        <v>0</v>
      </c>
      <c r="N636" t="n">
        <v>0</v>
      </c>
      <c r="O636" t="n">
        <v>0</v>
      </c>
      <c r="P636" t="n">
        <v>0</v>
      </c>
      <c r="Q636" t="n">
        <v>0</v>
      </c>
      <c r="R636" s="2" t="inlineStr"/>
    </row>
    <row r="637" ht="15" customHeight="1">
      <c r="A637" t="inlineStr">
        <is>
          <t>A 28378-2021</t>
        </is>
      </c>
      <c r="B637" s="1" t="n">
        <v>44356</v>
      </c>
      <c r="C637" s="1" t="n">
        <v>45915</v>
      </c>
      <c r="D637" t="inlineStr">
        <is>
          <t>NORRBOTTENS LÄN</t>
        </is>
      </c>
      <c r="E637" t="inlineStr">
        <is>
          <t>BODEN</t>
        </is>
      </c>
      <c r="G637" t="n">
        <v>0.2</v>
      </c>
      <c r="H637" t="n">
        <v>0</v>
      </c>
      <c r="I637" t="n">
        <v>0</v>
      </c>
      <c r="J637" t="n">
        <v>0</v>
      </c>
      <c r="K637" t="n">
        <v>0</v>
      </c>
      <c r="L637" t="n">
        <v>0</v>
      </c>
      <c r="M637" t="n">
        <v>0</v>
      </c>
      <c r="N637" t="n">
        <v>0</v>
      </c>
      <c r="O637" t="n">
        <v>0</v>
      </c>
      <c r="P637" t="n">
        <v>0</v>
      </c>
      <c r="Q637" t="n">
        <v>0</v>
      </c>
      <c r="R637" s="2" t="inlineStr"/>
    </row>
    <row r="638" ht="15" customHeight="1">
      <c r="A638" t="inlineStr">
        <is>
          <t>A 6242-2023</t>
        </is>
      </c>
      <c r="B638" s="1" t="n">
        <v>44964.94416666667</v>
      </c>
      <c r="C638" s="1" t="n">
        <v>45915</v>
      </c>
      <c r="D638" t="inlineStr">
        <is>
          <t>NORRBOTTENS LÄN</t>
        </is>
      </c>
      <c r="E638" t="inlineStr">
        <is>
          <t>BODEN</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38583-2025</t>
        </is>
      </c>
      <c r="B639" s="1" t="n">
        <v>45884.46990740741</v>
      </c>
      <c r="C639" s="1" t="n">
        <v>45915</v>
      </c>
      <c r="D639" t="inlineStr">
        <is>
          <t>NORRBOTTENS LÄN</t>
        </is>
      </c>
      <c r="E639" t="inlineStr">
        <is>
          <t>BODEN</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8886-2021</t>
        </is>
      </c>
      <c r="B640" s="1" t="n">
        <v>44248</v>
      </c>
      <c r="C640" s="1" t="n">
        <v>45915</v>
      </c>
      <c r="D640" t="inlineStr">
        <is>
          <t>NORRBOTTENS LÄN</t>
        </is>
      </c>
      <c r="E640" t="inlineStr">
        <is>
          <t>BODEN</t>
        </is>
      </c>
      <c r="G640" t="n">
        <v>2.2</v>
      </c>
      <c r="H640" t="n">
        <v>0</v>
      </c>
      <c r="I640" t="n">
        <v>0</v>
      </c>
      <c r="J640" t="n">
        <v>0</v>
      </c>
      <c r="K640" t="n">
        <v>0</v>
      </c>
      <c r="L640" t="n">
        <v>0</v>
      </c>
      <c r="M640" t="n">
        <v>0</v>
      </c>
      <c r="N640" t="n">
        <v>0</v>
      </c>
      <c r="O640" t="n">
        <v>0</v>
      </c>
      <c r="P640" t="n">
        <v>0</v>
      </c>
      <c r="Q640" t="n">
        <v>0</v>
      </c>
      <c r="R640" s="2" t="inlineStr"/>
    </row>
    <row r="641" ht="15" customHeight="1">
      <c r="A641" t="inlineStr">
        <is>
          <t>A 38286-2025</t>
        </is>
      </c>
      <c r="B641" s="1" t="n">
        <v>45882</v>
      </c>
      <c r="C641" s="1" t="n">
        <v>45915</v>
      </c>
      <c r="D641" t="inlineStr">
        <is>
          <t>NORRBOTTENS LÄN</t>
        </is>
      </c>
      <c r="E641" t="inlineStr">
        <is>
          <t>BODEN</t>
        </is>
      </c>
      <c r="G641" t="n">
        <v>1</v>
      </c>
      <c r="H641" t="n">
        <v>0</v>
      </c>
      <c r="I641" t="n">
        <v>0</v>
      </c>
      <c r="J641" t="n">
        <v>0</v>
      </c>
      <c r="K641" t="n">
        <v>0</v>
      </c>
      <c r="L641" t="n">
        <v>0</v>
      </c>
      <c r="M641" t="n">
        <v>0</v>
      </c>
      <c r="N641" t="n">
        <v>0</v>
      </c>
      <c r="O641" t="n">
        <v>0</v>
      </c>
      <c r="P641" t="n">
        <v>0</v>
      </c>
      <c r="Q641" t="n">
        <v>0</v>
      </c>
      <c r="R641" s="2" t="inlineStr"/>
    </row>
    <row r="642" ht="15" customHeight="1">
      <c r="A642" t="inlineStr">
        <is>
          <t>A 38288-2025</t>
        </is>
      </c>
      <c r="B642" s="1" t="n">
        <v>45882</v>
      </c>
      <c r="C642" s="1" t="n">
        <v>45915</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52075-2021</t>
        </is>
      </c>
      <c r="B643" s="1" t="n">
        <v>44463.40267361111</v>
      </c>
      <c r="C643" s="1" t="n">
        <v>45915</v>
      </c>
      <c r="D643" t="inlineStr">
        <is>
          <t>NORRBOTTENS LÄN</t>
        </is>
      </c>
      <c r="E643" t="inlineStr">
        <is>
          <t>BODEN</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23575-2023</t>
        </is>
      </c>
      <c r="B644" s="1" t="n">
        <v>45077</v>
      </c>
      <c r="C644" s="1" t="n">
        <v>45915</v>
      </c>
      <c r="D644" t="inlineStr">
        <is>
          <t>NORRBOTTENS LÄN</t>
        </is>
      </c>
      <c r="E644" t="inlineStr">
        <is>
          <t>BODEN</t>
        </is>
      </c>
      <c r="G644" t="n">
        <v>7.9</v>
      </c>
      <c r="H644" t="n">
        <v>0</v>
      </c>
      <c r="I644" t="n">
        <v>0</v>
      </c>
      <c r="J644" t="n">
        <v>0</v>
      </c>
      <c r="K644" t="n">
        <v>0</v>
      </c>
      <c r="L644" t="n">
        <v>0</v>
      </c>
      <c r="M644" t="n">
        <v>0</v>
      </c>
      <c r="N644" t="n">
        <v>0</v>
      </c>
      <c r="O644" t="n">
        <v>0</v>
      </c>
      <c r="P644" t="n">
        <v>0</v>
      </c>
      <c r="Q644" t="n">
        <v>0</v>
      </c>
      <c r="R644" s="2" t="inlineStr"/>
    </row>
    <row r="645" ht="15" customHeight="1">
      <c r="A645" t="inlineStr">
        <is>
          <t>A 61570-2024</t>
        </is>
      </c>
      <c r="B645" s="1" t="n">
        <v>45646.61649305555</v>
      </c>
      <c r="C645" s="1" t="n">
        <v>45915</v>
      </c>
      <c r="D645" t="inlineStr">
        <is>
          <t>NORRBOTTENS LÄN</t>
        </is>
      </c>
      <c r="E645" t="inlineStr">
        <is>
          <t>BODEN</t>
        </is>
      </c>
      <c r="G645" t="n">
        <v>2.6</v>
      </c>
      <c r="H645" t="n">
        <v>0</v>
      </c>
      <c r="I645" t="n">
        <v>0</v>
      </c>
      <c r="J645" t="n">
        <v>0</v>
      </c>
      <c r="K645" t="n">
        <v>0</v>
      </c>
      <c r="L645" t="n">
        <v>0</v>
      </c>
      <c r="M645" t="n">
        <v>0</v>
      </c>
      <c r="N645" t="n">
        <v>0</v>
      </c>
      <c r="O645" t="n">
        <v>0</v>
      </c>
      <c r="P645" t="n">
        <v>0</v>
      </c>
      <c r="Q645" t="n">
        <v>0</v>
      </c>
      <c r="R645" s="2" t="inlineStr"/>
    </row>
    <row r="646" ht="15" customHeight="1">
      <c r="A646" t="inlineStr">
        <is>
          <t>A 38219-2022</t>
        </is>
      </c>
      <c r="B646" s="1" t="n">
        <v>44812</v>
      </c>
      <c r="C646" s="1" t="n">
        <v>45915</v>
      </c>
      <c r="D646" t="inlineStr">
        <is>
          <t>NORRBOTTENS LÄN</t>
        </is>
      </c>
      <c r="E646" t="inlineStr">
        <is>
          <t>BODEN</t>
        </is>
      </c>
      <c r="G646" t="n">
        <v>2</v>
      </c>
      <c r="H646" t="n">
        <v>0</v>
      </c>
      <c r="I646" t="n">
        <v>0</v>
      </c>
      <c r="J646" t="n">
        <v>0</v>
      </c>
      <c r="K646" t="n">
        <v>0</v>
      </c>
      <c r="L646" t="n">
        <v>0</v>
      </c>
      <c r="M646" t="n">
        <v>0</v>
      </c>
      <c r="N646" t="n">
        <v>0</v>
      </c>
      <c r="O646" t="n">
        <v>0</v>
      </c>
      <c r="P646" t="n">
        <v>0</v>
      </c>
      <c r="Q646" t="n">
        <v>0</v>
      </c>
      <c r="R646" s="2" t="inlineStr"/>
    </row>
    <row r="647" ht="15" customHeight="1">
      <c r="A647" t="inlineStr">
        <is>
          <t>A 25387-2023</t>
        </is>
      </c>
      <c r="B647" s="1" t="n">
        <v>45079</v>
      </c>
      <c r="C647" s="1" t="n">
        <v>45915</v>
      </c>
      <c r="D647" t="inlineStr">
        <is>
          <t>NORRBOTTENS LÄN</t>
        </is>
      </c>
      <c r="E647" t="inlineStr">
        <is>
          <t>BODEN</t>
        </is>
      </c>
      <c r="G647" t="n">
        <v>6.7</v>
      </c>
      <c r="H647" t="n">
        <v>0</v>
      </c>
      <c r="I647" t="n">
        <v>0</v>
      </c>
      <c r="J647" t="n">
        <v>0</v>
      </c>
      <c r="K647" t="n">
        <v>0</v>
      </c>
      <c r="L647" t="n">
        <v>0</v>
      </c>
      <c r="M647" t="n">
        <v>0</v>
      </c>
      <c r="N647" t="n">
        <v>0</v>
      </c>
      <c r="O647" t="n">
        <v>0</v>
      </c>
      <c r="P647" t="n">
        <v>0</v>
      </c>
      <c r="Q647" t="n">
        <v>0</v>
      </c>
      <c r="R647" s="2" t="inlineStr"/>
    </row>
    <row r="648" ht="15" customHeight="1">
      <c r="A648" t="inlineStr">
        <is>
          <t>A 28444-2023</t>
        </is>
      </c>
      <c r="B648" s="1" t="n">
        <v>45102.92748842593</v>
      </c>
      <c r="C648" s="1" t="n">
        <v>45915</v>
      </c>
      <c r="D648" t="inlineStr">
        <is>
          <t>NORRBOTTENS LÄN</t>
        </is>
      </c>
      <c r="E648" t="inlineStr">
        <is>
          <t>BODEN</t>
        </is>
      </c>
      <c r="G648" t="n">
        <v>1.7</v>
      </c>
      <c r="H648" t="n">
        <v>0</v>
      </c>
      <c r="I648" t="n">
        <v>0</v>
      </c>
      <c r="J648" t="n">
        <v>0</v>
      </c>
      <c r="K648" t="n">
        <v>0</v>
      </c>
      <c r="L648" t="n">
        <v>0</v>
      </c>
      <c r="M648" t="n">
        <v>0</v>
      </c>
      <c r="N648" t="n">
        <v>0</v>
      </c>
      <c r="O648" t="n">
        <v>0</v>
      </c>
      <c r="P648" t="n">
        <v>0</v>
      </c>
      <c r="Q648" t="n">
        <v>0</v>
      </c>
      <c r="R648" s="2" t="inlineStr"/>
    </row>
    <row r="649" ht="15" customHeight="1">
      <c r="A649" t="inlineStr">
        <is>
          <t>A 48592-2024</t>
        </is>
      </c>
      <c r="B649" s="1" t="n">
        <v>45593</v>
      </c>
      <c r="C649" s="1" t="n">
        <v>45915</v>
      </c>
      <c r="D649" t="inlineStr">
        <is>
          <t>NORRBOTTENS LÄN</t>
        </is>
      </c>
      <c r="E649" t="inlineStr">
        <is>
          <t>BODEN</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37114-2024</t>
        </is>
      </c>
      <c r="B650" s="1" t="n">
        <v>45539.52540509259</v>
      </c>
      <c r="C650" s="1" t="n">
        <v>45915</v>
      </c>
      <c r="D650" t="inlineStr">
        <is>
          <t>NORRBOTTENS LÄN</t>
        </is>
      </c>
      <c r="E650" t="inlineStr">
        <is>
          <t>BODEN</t>
        </is>
      </c>
      <c r="G650" t="n">
        <v>0.4</v>
      </c>
      <c r="H650" t="n">
        <v>0</v>
      </c>
      <c r="I650" t="n">
        <v>0</v>
      </c>
      <c r="J650" t="n">
        <v>0</v>
      </c>
      <c r="K650" t="n">
        <v>0</v>
      </c>
      <c r="L650" t="n">
        <v>0</v>
      </c>
      <c r="M650" t="n">
        <v>0</v>
      </c>
      <c r="N650" t="n">
        <v>0</v>
      </c>
      <c r="O650" t="n">
        <v>0</v>
      </c>
      <c r="P650" t="n">
        <v>0</v>
      </c>
      <c r="Q650" t="n">
        <v>0</v>
      </c>
      <c r="R650" s="2" t="inlineStr"/>
    </row>
    <row r="651" ht="15" customHeight="1">
      <c r="A651" t="inlineStr">
        <is>
          <t>A 39127-2025</t>
        </is>
      </c>
      <c r="B651" s="1" t="n">
        <v>45887</v>
      </c>
      <c r="C651" s="1" t="n">
        <v>45915</v>
      </c>
      <c r="D651" t="inlineStr">
        <is>
          <t>NORRBOTTENS LÄN</t>
        </is>
      </c>
      <c r="E651" t="inlineStr">
        <is>
          <t>BODEN</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54614-2020</t>
        </is>
      </c>
      <c r="B652" s="1" t="n">
        <v>44127</v>
      </c>
      <c r="C652" s="1" t="n">
        <v>45915</v>
      </c>
      <c r="D652" t="inlineStr">
        <is>
          <t>NORRBOTTENS LÄN</t>
        </is>
      </c>
      <c r="E652" t="inlineStr">
        <is>
          <t>BODEN</t>
        </is>
      </c>
      <c r="G652" t="n">
        <v>46.8</v>
      </c>
      <c r="H652" t="n">
        <v>0</v>
      </c>
      <c r="I652" t="n">
        <v>0</v>
      </c>
      <c r="J652" t="n">
        <v>0</v>
      </c>
      <c r="K652" t="n">
        <v>0</v>
      </c>
      <c r="L652" t="n">
        <v>0</v>
      </c>
      <c r="M652" t="n">
        <v>0</v>
      </c>
      <c r="N652" t="n">
        <v>0</v>
      </c>
      <c r="O652" t="n">
        <v>0</v>
      </c>
      <c r="P652" t="n">
        <v>0</v>
      </c>
      <c r="Q652" t="n">
        <v>0</v>
      </c>
      <c r="R652" s="2" t="inlineStr"/>
    </row>
    <row r="653" ht="15" customHeight="1">
      <c r="A653" t="inlineStr">
        <is>
          <t>A 57988-2020</t>
        </is>
      </c>
      <c r="B653" s="1" t="n">
        <v>44143</v>
      </c>
      <c r="C653" s="1" t="n">
        <v>45915</v>
      </c>
      <c r="D653" t="inlineStr">
        <is>
          <t>NORRBOTTENS LÄN</t>
        </is>
      </c>
      <c r="E653" t="inlineStr">
        <is>
          <t>BODEN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6396-2024</t>
        </is>
      </c>
      <c r="B654" s="1" t="n">
        <v>45338</v>
      </c>
      <c r="C654" s="1" t="n">
        <v>45915</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61488-2022</t>
        </is>
      </c>
      <c r="B655" s="1" t="n">
        <v>44910</v>
      </c>
      <c r="C655" s="1" t="n">
        <v>45915</v>
      </c>
      <c r="D655" t="inlineStr">
        <is>
          <t>NORRBOTTENS LÄN</t>
        </is>
      </c>
      <c r="E655" t="inlineStr">
        <is>
          <t>BODEN</t>
        </is>
      </c>
      <c r="F655" t="inlineStr">
        <is>
          <t>Sveaskog</t>
        </is>
      </c>
      <c r="G655" t="n">
        <v>18.6</v>
      </c>
      <c r="H655" t="n">
        <v>0</v>
      </c>
      <c r="I655" t="n">
        <v>0</v>
      </c>
      <c r="J655" t="n">
        <v>0</v>
      </c>
      <c r="K655" t="n">
        <v>0</v>
      </c>
      <c r="L655" t="n">
        <v>0</v>
      </c>
      <c r="M655" t="n">
        <v>0</v>
      </c>
      <c r="N655" t="n">
        <v>0</v>
      </c>
      <c r="O655" t="n">
        <v>0</v>
      </c>
      <c r="P655" t="n">
        <v>0</v>
      </c>
      <c r="Q655" t="n">
        <v>0</v>
      </c>
      <c r="R655" s="2" t="inlineStr"/>
    </row>
    <row r="656" ht="15" customHeight="1">
      <c r="A656" t="inlineStr">
        <is>
          <t>A 39129-2025</t>
        </is>
      </c>
      <c r="B656" s="1" t="n">
        <v>45887</v>
      </c>
      <c r="C656" s="1" t="n">
        <v>45915</v>
      </c>
      <c r="D656" t="inlineStr">
        <is>
          <t>NORRBOTTENS LÄN</t>
        </is>
      </c>
      <c r="E656" t="inlineStr">
        <is>
          <t>BODEN</t>
        </is>
      </c>
      <c r="F656" t="inlineStr">
        <is>
          <t>Sveaskog</t>
        </is>
      </c>
      <c r="G656" t="n">
        <v>10.3</v>
      </c>
      <c r="H656" t="n">
        <v>0</v>
      </c>
      <c r="I656" t="n">
        <v>0</v>
      </c>
      <c r="J656" t="n">
        <v>0</v>
      </c>
      <c r="K656" t="n">
        <v>0</v>
      </c>
      <c r="L656" t="n">
        <v>0</v>
      </c>
      <c r="M656" t="n">
        <v>0</v>
      </c>
      <c r="N656" t="n">
        <v>0</v>
      </c>
      <c r="O656" t="n">
        <v>0</v>
      </c>
      <c r="P656" t="n">
        <v>0</v>
      </c>
      <c r="Q656" t="n">
        <v>0</v>
      </c>
      <c r="R656" s="2" t="inlineStr"/>
    </row>
    <row r="657" ht="15" customHeight="1">
      <c r="A657" t="inlineStr">
        <is>
          <t>A 33981-2025</t>
        </is>
      </c>
      <c r="B657" s="1" t="n">
        <v>45843.34435185185</v>
      </c>
      <c r="C657" s="1" t="n">
        <v>45915</v>
      </c>
      <c r="D657" t="inlineStr">
        <is>
          <t>NORRBOTTENS LÄN</t>
        </is>
      </c>
      <c r="E657" t="inlineStr">
        <is>
          <t>BODEN</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16213-2021</t>
        </is>
      </c>
      <c r="B658" s="1" t="n">
        <v>44292</v>
      </c>
      <c r="C658" s="1" t="n">
        <v>45915</v>
      </c>
      <c r="D658" t="inlineStr">
        <is>
          <t>NORRBOTTENS LÄN</t>
        </is>
      </c>
      <c r="E658" t="inlineStr">
        <is>
          <t>BODEN</t>
        </is>
      </c>
      <c r="G658" t="n">
        <v>21.2</v>
      </c>
      <c r="H658" t="n">
        <v>0</v>
      </c>
      <c r="I658" t="n">
        <v>0</v>
      </c>
      <c r="J658" t="n">
        <v>0</v>
      </c>
      <c r="K658" t="n">
        <v>0</v>
      </c>
      <c r="L658" t="n">
        <v>0</v>
      </c>
      <c r="M658" t="n">
        <v>0</v>
      </c>
      <c r="N658" t="n">
        <v>0</v>
      </c>
      <c r="O658" t="n">
        <v>0</v>
      </c>
      <c r="P658" t="n">
        <v>0</v>
      </c>
      <c r="Q658" t="n">
        <v>0</v>
      </c>
      <c r="R658" s="2" t="inlineStr"/>
    </row>
    <row r="659" ht="15" customHeight="1">
      <c r="A659" t="inlineStr">
        <is>
          <t>A 54153-2023</t>
        </is>
      </c>
      <c r="B659" s="1" t="n">
        <v>45232</v>
      </c>
      <c r="C659" s="1" t="n">
        <v>45915</v>
      </c>
      <c r="D659" t="inlineStr">
        <is>
          <t>NORRBOTTENS LÄN</t>
        </is>
      </c>
      <c r="E659" t="inlineStr">
        <is>
          <t>BODEN</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19563-2024</t>
        </is>
      </c>
      <c r="B660" s="1" t="n">
        <v>45429.92297453704</v>
      </c>
      <c r="C660" s="1" t="n">
        <v>45915</v>
      </c>
      <c r="D660" t="inlineStr">
        <is>
          <t>NORRBOTTENS LÄN</t>
        </is>
      </c>
      <c r="E660" t="inlineStr">
        <is>
          <t>BODEN</t>
        </is>
      </c>
      <c r="G660" t="n">
        <v>3.4</v>
      </c>
      <c r="H660" t="n">
        <v>0</v>
      </c>
      <c r="I660" t="n">
        <v>0</v>
      </c>
      <c r="J660" t="n">
        <v>0</v>
      </c>
      <c r="K660" t="n">
        <v>0</v>
      </c>
      <c r="L660" t="n">
        <v>0</v>
      </c>
      <c r="M660" t="n">
        <v>0</v>
      </c>
      <c r="N660" t="n">
        <v>0</v>
      </c>
      <c r="O660" t="n">
        <v>0</v>
      </c>
      <c r="P660" t="n">
        <v>0</v>
      </c>
      <c r="Q660" t="n">
        <v>0</v>
      </c>
      <c r="R660" s="2" t="inlineStr"/>
    </row>
    <row r="661" ht="15" customHeight="1">
      <c r="A661" t="inlineStr">
        <is>
          <t>A 33353-2021</t>
        </is>
      </c>
      <c r="B661" s="1" t="n">
        <v>44377.49069444444</v>
      </c>
      <c r="C661" s="1" t="n">
        <v>45915</v>
      </c>
      <c r="D661" t="inlineStr">
        <is>
          <t>NORRBOTTENS LÄN</t>
        </is>
      </c>
      <c r="E661" t="inlineStr">
        <is>
          <t>BODEN</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19284-2025</t>
        </is>
      </c>
      <c r="B662" s="1" t="n">
        <v>45769</v>
      </c>
      <c r="C662" s="1" t="n">
        <v>45915</v>
      </c>
      <c r="D662" t="inlineStr">
        <is>
          <t>NORRBOTTENS LÄN</t>
        </is>
      </c>
      <c r="E662" t="inlineStr">
        <is>
          <t>BODEN</t>
        </is>
      </c>
      <c r="G662" t="n">
        <v>6.7</v>
      </c>
      <c r="H662" t="n">
        <v>0</v>
      </c>
      <c r="I662" t="n">
        <v>0</v>
      </c>
      <c r="J662" t="n">
        <v>0</v>
      </c>
      <c r="K662" t="n">
        <v>0</v>
      </c>
      <c r="L662" t="n">
        <v>0</v>
      </c>
      <c r="M662" t="n">
        <v>0</v>
      </c>
      <c r="N662" t="n">
        <v>0</v>
      </c>
      <c r="O662" t="n">
        <v>0</v>
      </c>
      <c r="P662" t="n">
        <v>0</v>
      </c>
      <c r="Q662" t="n">
        <v>0</v>
      </c>
      <c r="R662" s="2" t="inlineStr"/>
    </row>
    <row r="663" ht="15" customHeight="1">
      <c r="A663" t="inlineStr">
        <is>
          <t>A 16222-2024</t>
        </is>
      </c>
      <c r="B663" s="1" t="n">
        <v>45406</v>
      </c>
      <c r="C663" s="1" t="n">
        <v>45915</v>
      </c>
      <c r="D663" t="inlineStr">
        <is>
          <t>NORRBOTTENS LÄN</t>
        </is>
      </c>
      <c r="E663" t="inlineStr">
        <is>
          <t>BODEN</t>
        </is>
      </c>
      <c r="G663" t="n">
        <v>5.2</v>
      </c>
      <c r="H663" t="n">
        <v>0</v>
      </c>
      <c r="I663" t="n">
        <v>0</v>
      </c>
      <c r="J663" t="n">
        <v>0</v>
      </c>
      <c r="K663" t="n">
        <v>0</v>
      </c>
      <c r="L663" t="n">
        <v>0</v>
      </c>
      <c r="M663" t="n">
        <v>0</v>
      </c>
      <c r="N663" t="n">
        <v>0</v>
      </c>
      <c r="O663" t="n">
        <v>0</v>
      </c>
      <c r="P663" t="n">
        <v>0</v>
      </c>
      <c r="Q663" t="n">
        <v>0</v>
      </c>
      <c r="R663" s="2" t="inlineStr"/>
    </row>
    <row r="664" ht="15" customHeight="1">
      <c r="A664" t="inlineStr">
        <is>
          <t>A 41789-2024</t>
        </is>
      </c>
      <c r="B664" s="1" t="n">
        <v>45561</v>
      </c>
      <c r="C664" s="1" t="n">
        <v>45915</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4396-2025</t>
        </is>
      </c>
      <c r="B665" s="1" t="n">
        <v>45686.42653935185</v>
      </c>
      <c r="C665" s="1" t="n">
        <v>45915</v>
      </c>
      <c r="D665" t="inlineStr">
        <is>
          <t>NORRBOTTENS LÄN</t>
        </is>
      </c>
      <c r="E665" t="inlineStr">
        <is>
          <t>BODEN</t>
        </is>
      </c>
      <c r="G665" t="n">
        <v>3.6</v>
      </c>
      <c r="H665" t="n">
        <v>0</v>
      </c>
      <c r="I665" t="n">
        <v>0</v>
      </c>
      <c r="J665" t="n">
        <v>0</v>
      </c>
      <c r="K665" t="n">
        <v>0</v>
      </c>
      <c r="L665" t="n">
        <v>0</v>
      </c>
      <c r="M665" t="n">
        <v>0</v>
      </c>
      <c r="N665" t="n">
        <v>0</v>
      </c>
      <c r="O665" t="n">
        <v>0</v>
      </c>
      <c r="P665" t="n">
        <v>0</v>
      </c>
      <c r="Q665" t="n">
        <v>0</v>
      </c>
      <c r="R665" s="2" t="inlineStr"/>
    </row>
    <row r="666" ht="15" customHeight="1">
      <c r="A666" t="inlineStr">
        <is>
          <t>A 15483-2025</t>
        </is>
      </c>
      <c r="B666" s="1" t="n">
        <v>45747.56618055556</v>
      </c>
      <c r="C666" s="1" t="n">
        <v>45915</v>
      </c>
      <c r="D666" t="inlineStr">
        <is>
          <t>NORRBOTTENS LÄN</t>
        </is>
      </c>
      <c r="E666" t="inlineStr">
        <is>
          <t>BODEN</t>
        </is>
      </c>
      <c r="G666" t="n">
        <v>3.6</v>
      </c>
      <c r="H666" t="n">
        <v>0</v>
      </c>
      <c r="I666" t="n">
        <v>0</v>
      </c>
      <c r="J666" t="n">
        <v>0</v>
      </c>
      <c r="K666" t="n">
        <v>0</v>
      </c>
      <c r="L666" t="n">
        <v>0</v>
      </c>
      <c r="M666" t="n">
        <v>0</v>
      </c>
      <c r="N666" t="n">
        <v>0</v>
      </c>
      <c r="O666" t="n">
        <v>0</v>
      </c>
      <c r="P666" t="n">
        <v>0</v>
      </c>
      <c r="Q666" t="n">
        <v>0</v>
      </c>
      <c r="R666" s="2" t="inlineStr"/>
    </row>
    <row r="667" ht="15" customHeight="1">
      <c r="A667" t="inlineStr">
        <is>
          <t>A 28432-2022</t>
        </is>
      </c>
      <c r="B667" s="1" t="n">
        <v>44747</v>
      </c>
      <c r="C667" s="1" t="n">
        <v>45915</v>
      </c>
      <c r="D667" t="inlineStr">
        <is>
          <t>NORRBOTTENS LÄN</t>
        </is>
      </c>
      <c r="E667" t="inlineStr">
        <is>
          <t>BODEN</t>
        </is>
      </c>
      <c r="G667" t="n">
        <v>2.4</v>
      </c>
      <c r="H667" t="n">
        <v>0</v>
      </c>
      <c r="I667" t="n">
        <v>0</v>
      </c>
      <c r="J667" t="n">
        <v>0</v>
      </c>
      <c r="K667" t="n">
        <v>0</v>
      </c>
      <c r="L667" t="n">
        <v>0</v>
      </c>
      <c r="M667" t="n">
        <v>0</v>
      </c>
      <c r="N667" t="n">
        <v>0</v>
      </c>
      <c r="O667" t="n">
        <v>0</v>
      </c>
      <c r="P667" t="n">
        <v>0</v>
      </c>
      <c r="Q667" t="n">
        <v>0</v>
      </c>
      <c r="R667" s="2" t="inlineStr"/>
    </row>
    <row r="668" ht="15" customHeight="1">
      <c r="A668" t="inlineStr">
        <is>
          <t>A 21421-2022</t>
        </is>
      </c>
      <c r="B668" s="1" t="n">
        <v>44706</v>
      </c>
      <c r="C668" s="1" t="n">
        <v>45915</v>
      </c>
      <c r="D668" t="inlineStr">
        <is>
          <t>NORRBOTTENS LÄN</t>
        </is>
      </c>
      <c r="E668" t="inlineStr">
        <is>
          <t>BODEN</t>
        </is>
      </c>
      <c r="G668" t="n">
        <v>1</v>
      </c>
      <c r="H668" t="n">
        <v>0</v>
      </c>
      <c r="I668" t="n">
        <v>0</v>
      </c>
      <c r="J668" t="n">
        <v>0</v>
      </c>
      <c r="K668" t="n">
        <v>0</v>
      </c>
      <c r="L668" t="n">
        <v>0</v>
      </c>
      <c r="M668" t="n">
        <v>0</v>
      </c>
      <c r="N668" t="n">
        <v>0</v>
      </c>
      <c r="O668" t="n">
        <v>0</v>
      </c>
      <c r="P668" t="n">
        <v>0</v>
      </c>
      <c r="Q668" t="n">
        <v>0</v>
      </c>
      <c r="R668" s="2" t="inlineStr"/>
    </row>
    <row r="669" ht="15" customHeight="1">
      <c r="A669" t="inlineStr">
        <is>
          <t>A 41180-2021</t>
        </is>
      </c>
      <c r="B669" s="1" t="n">
        <v>44423</v>
      </c>
      <c r="C669" s="1" t="n">
        <v>45915</v>
      </c>
      <c r="D669" t="inlineStr">
        <is>
          <t>NORRBOTTENS LÄN</t>
        </is>
      </c>
      <c r="E669" t="inlineStr">
        <is>
          <t>BODEN</t>
        </is>
      </c>
      <c r="G669" t="n">
        <v>0.5</v>
      </c>
      <c r="H669" t="n">
        <v>0</v>
      </c>
      <c r="I669" t="n">
        <v>0</v>
      </c>
      <c r="J669" t="n">
        <v>0</v>
      </c>
      <c r="K669" t="n">
        <v>0</v>
      </c>
      <c r="L669" t="n">
        <v>0</v>
      </c>
      <c r="M669" t="n">
        <v>0</v>
      </c>
      <c r="N669" t="n">
        <v>0</v>
      </c>
      <c r="O669" t="n">
        <v>0</v>
      </c>
      <c r="P669" t="n">
        <v>0</v>
      </c>
      <c r="Q669" t="n">
        <v>0</v>
      </c>
      <c r="R669" s="2" t="inlineStr"/>
    </row>
    <row r="670" ht="15" customHeight="1">
      <c r="A670" t="inlineStr">
        <is>
          <t>A 40157-2025</t>
        </is>
      </c>
      <c r="B670" s="1" t="n">
        <v>45894</v>
      </c>
      <c r="C670" s="1" t="n">
        <v>45915</v>
      </c>
      <c r="D670" t="inlineStr">
        <is>
          <t>NORRBOTTENS LÄN</t>
        </is>
      </c>
      <c r="E670" t="inlineStr">
        <is>
          <t>BODEN</t>
        </is>
      </c>
      <c r="F670" t="inlineStr">
        <is>
          <t>Övriga statliga verk och myndigheter</t>
        </is>
      </c>
      <c r="G670" t="n">
        <v>17.6</v>
      </c>
      <c r="H670" t="n">
        <v>0</v>
      </c>
      <c r="I670" t="n">
        <v>0</v>
      </c>
      <c r="J670" t="n">
        <v>0</v>
      </c>
      <c r="K670" t="n">
        <v>0</v>
      </c>
      <c r="L670" t="n">
        <v>0</v>
      </c>
      <c r="M670" t="n">
        <v>0</v>
      </c>
      <c r="N670" t="n">
        <v>0</v>
      </c>
      <c r="O670" t="n">
        <v>0</v>
      </c>
      <c r="P670" t="n">
        <v>0</v>
      </c>
      <c r="Q670" t="n">
        <v>0</v>
      </c>
      <c r="R670" s="2" t="inlineStr"/>
    </row>
    <row r="671" ht="15" customHeight="1">
      <c r="A671" t="inlineStr">
        <is>
          <t>A 51280-2024</t>
        </is>
      </c>
      <c r="B671" s="1" t="n">
        <v>45603.75905092592</v>
      </c>
      <c r="C671" s="1" t="n">
        <v>45915</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39975-2025</t>
        </is>
      </c>
      <c r="B672" s="1" t="n">
        <v>45893.46916666667</v>
      </c>
      <c r="C672" s="1" t="n">
        <v>45915</v>
      </c>
      <c r="D672" t="inlineStr">
        <is>
          <t>NORRBOTTENS LÄN</t>
        </is>
      </c>
      <c r="E672" t="inlineStr">
        <is>
          <t>BODEN</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53840-2022</t>
        </is>
      </c>
      <c r="B673" s="1" t="n">
        <v>44880.59427083333</v>
      </c>
      <c r="C673" s="1" t="n">
        <v>45915</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9969-2023</t>
        </is>
      </c>
      <c r="B674" s="1" t="n">
        <v>44979</v>
      </c>
      <c r="C674" s="1" t="n">
        <v>45915</v>
      </c>
      <c r="D674" t="inlineStr">
        <is>
          <t>NORRBOTTENS LÄN</t>
        </is>
      </c>
      <c r="E674" t="inlineStr">
        <is>
          <t>BODEN</t>
        </is>
      </c>
      <c r="F674" t="inlineStr">
        <is>
          <t>Övriga statliga verk och myndigheter</t>
        </is>
      </c>
      <c r="G674" t="n">
        <v>18.8</v>
      </c>
      <c r="H674" t="n">
        <v>0</v>
      </c>
      <c r="I674" t="n">
        <v>0</v>
      </c>
      <c r="J674" t="n">
        <v>0</v>
      </c>
      <c r="K674" t="n">
        <v>0</v>
      </c>
      <c r="L674" t="n">
        <v>0</v>
      </c>
      <c r="M674" t="n">
        <v>0</v>
      </c>
      <c r="N674" t="n">
        <v>0</v>
      </c>
      <c r="O674" t="n">
        <v>0</v>
      </c>
      <c r="P674" t="n">
        <v>0</v>
      </c>
      <c r="Q674" t="n">
        <v>0</v>
      </c>
      <c r="R674" s="2" t="inlineStr"/>
    </row>
    <row r="675" ht="15" customHeight="1">
      <c r="A675" t="inlineStr">
        <is>
          <t>A 877-2023</t>
        </is>
      </c>
      <c r="B675" s="1" t="n">
        <v>44931</v>
      </c>
      <c r="C675" s="1" t="n">
        <v>45915</v>
      </c>
      <c r="D675" t="inlineStr">
        <is>
          <t>NORRBOTTENS LÄN</t>
        </is>
      </c>
      <c r="E675" t="inlineStr">
        <is>
          <t>BODEN</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40023-2025</t>
        </is>
      </c>
      <c r="B676" s="1" t="n">
        <v>45894.36493055556</v>
      </c>
      <c r="C676" s="1" t="n">
        <v>45915</v>
      </c>
      <c r="D676" t="inlineStr">
        <is>
          <t>NORRBOTTENS LÄN</t>
        </is>
      </c>
      <c r="E676" t="inlineStr">
        <is>
          <t>BODEN</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39741-2025</t>
        </is>
      </c>
      <c r="B677" s="1" t="n">
        <v>45891.37986111111</v>
      </c>
      <c r="C677" s="1" t="n">
        <v>45915</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40115-2025</t>
        </is>
      </c>
      <c r="B678" s="1" t="n">
        <v>45893</v>
      </c>
      <c r="C678" s="1" t="n">
        <v>45915</v>
      </c>
      <c r="D678" t="inlineStr">
        <is>
          <t>NORRBOTTENS LÄN</t>
        </is>
      </c>
      <c r="E678" t="inlineStr">
        <is>
          <t>BODEN</t>
        </is>
      </c>
      <c r="F678" t="inlineStr">
        <is>
          <t>Övriga statliga verk och myndigheter</t>
        </is>
      </c>
      <c r="G678" t="n">
        <v>5.1</v>
      </c>
      <c r="H678" t="n">
        <v>0</v>
      </c>
      <c r="I678" t="n">
        <v>0</v>
      </c>
      <c r="J678" t="n">
        <v>0</v>
      </c>
      <c r="K678" t="n">
        <v>0</v>
      </c>
      <c r="L678" t="n">
        <v>0</v>
      </c>
      <c r="M678" t="n">
        <v>0</v>
      </c>
      <c r="N678" t="n">
        <v>0</v>
      </c>
      <c r="O678" t="n">
        <v>0</v>
      </c>
      <c r="P678" t="n">
        <v>0</v>
      </c>
      <c r="Q678" t="n">
        <v>0</v>
      </c>
      <c r="R678" s="2" t="inlineStr"/>
    </row>
    <row r="679" ht="15" customHeight="1">
      <c r="A679" t="inlineStr">
        <is>
          <t>A 3535-2021</t>
        </is>
      </c>
      <c r="B679" s="1" t="n">
        <v>44216</v>
      </c>
      <c r="C679" s="1" t="n">
        <v>45915</v>
      </c>
      <c r="D679" t="inlineStr">
        <is>
          <t>NORRBOTTENS LÄN</t>
        </is>
      </c>
      <c r="E679" t="inlineStr">
        <is>
          <t>BODEN</t>
        </is>
      </c>
      <c r="G679" t="n">
        <v>5.7</v>
      </c>
      <c r="H679" t="n">
        <v>0</v>
      </c>
      <c r="I679" t="n">
        <v>0</v>
      </c>
      <c r="J679" t="n">
        <v>0</v>
      </c>
      <c r="K679" t="n">
        <v>0</v>
      </c>
      <c r="L679" t="n">
        <v>0</v>
      </c>
      <c r="M679" t="n">
        <v>0</v>
      </c>
      <c r="N679" t="n">
        <v>0</v>
      </c>
      <c r="O679" t="n">
        <v>0</v>
      </c>
      <c r="P679" t="n">
        <v>0</v>
      </c>
      <c r="Q679" t="n">
        <v>0</v>
      </c>
      <c r="R679" s="2" t="inlineStr"/>
    </row>
    <row r="680" ht="15" customHeight="1">
      <c r="A680" t="inlineStr">
        <is>
          <t>A 47024-2024</t>
        </is>
      </c>
      <c r="B680" s="1" t="n">
        <v>45586</v>
      </c>
      <c r="C680" s="1" t="n">
        <v>45915</v>
      </c>
      <c r="D680" t="inlineStr">
        <is>
          <t>NORRBOTTENS LÄN</t>
        </is>
      </c>
      <c r="E680" t="inlineStr">
        <is>
          <t>BODEN</t>
        </is>
      </c>
      <c r="F680" t="inlineStr">
        <is>
          <t>Sveaskog</t>
        </is>
      </c>
      <c r="G680" t="n">
        <v>12.8</v>
      </c>
      <c r="H680" t="n">
        <v>0</v>
      </c>
      <c r="I680" t="n">
        <v>0</v>
      </c>
      <c r="J680" t="n">
        <v>0</v>
      </c>
      <c r="K680" t="n">
        <v>0</v>
      </c>
      <c r="L680" t="n">
        <v>0</v>
      </c>
      <c r="M680" t="n">
        <v>0</v>
      </c>
      <c r="N680" t="n">
        <v>0</v>
      </c>
      <c r="O680" t="n">
        <v>0</v>
      </c>
      <c r="P680" t="n">
        <v>0</v>
      </c>
      <c r="Q680" t="n">
        <v>0</v>
      </c>
      <c r="R680" s="2" t="inlineStr"/>
    </row>
    <row r="681" ht="15" customHeight="1">
      <c r="A681" t="inlineStr">
        <is>
          <t>A 40327-2025</t>
        </is>
      </c>
      <c r="B681" s="1" t="n">
        <v>45895.44861111111</v>
      </c>
      <c r="C681" s="1" t="n">
        <v>45915</v>
      </c>
      <c r="D681" t="inlineStr">
        <is>
          <t>NORRBOTTENS LÄN</t>
        </is>
      </c>
      <c r="E681" t="inlineStr">
        <is>
          <t>BODEN</t>
        </is>
      </c>
      <c r="G681" t="n">
        <v>9.4</v>
      </c>
      <c r="H681" t="n">
        <v>0</v>
      </c>
      <c r="I681" t="n">
        <v>0</v>
      </c>
      <c r="J681" t="n">
        <v>0</v>
      </c>
      <c r="K681" t="n">
        <v>0</v>
      </c>
      <c r="L681" t="n">
        <v>0</v>
      </c>
      <c r="M681" t="n">
        <v>0</v>
      </c>
      <c r="N681" t="n">
        <v>0</v>
      </c>
      <c r="O681" t="n">
        <v>0</v>
      </c>
      <c r="P681" t="n">
        <v>0</v>
      </c>
      <c r="Q681" t="n">
        <v>0</v>
      </c>
      <c r="R681" s="2" t="inlineStr"/>
    </row>
    <row r="682" ht="15" customHeight="1">
      <c r="A682" t="inlineStr">
        <is>
          <t>A 43648-2023</t>
        </is>
      </c>
      <c r="B682" s="1" t="n">
        <v>45187</v>
      </c>
      <c r="C682" s="1" t="n">
        <v>45915</v>
      </c>
      <c r="D682" t="inlineStr">
        <is>
          <t>NORRBOTTENS LÄN</t>
        </is>
      </c>
      <c r="E682" t="inlineStr">
        <is>
          <t>BODEN</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35561-2025</t>
        </is>
      </c>
      <c r="B683" s="1" t="n">
        <v>45856.53160879629</v>
      </c>
      <c r="C683" s="1" t="n">
        <v>45915</v>
      </c>
      <c r="D683" t="inlineStr">
        <is>
          <t>NORRBOTTENS LÄN</t>
        </is>
      </c>
      <c r="E683" t="inlineStr">
        <is>
          <t>BODEN</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40820-2025</t>
        </is>
      </c>
      <c r="B684" s="1" t="n">
        <v>45897.48924768518</v>
      </c>
      <c r="C684" s="1" t="n">
        <v>45915</v>
      </c>
      <c r="D684" t="inlineStr">
        <is>
          <t>NORRBOTTENS LÄN</t>
        </is>
      </c>
      <c r="E684" t="inlineStr">
        <is>
          <t>BODEN</t>
        </is>
      </c>
      <c r="F684" t="inlineStr">
        <is>
          <t>Sveaskog</t>
        </is>
      </c>
      <c r="G684" t="n">
        <v>28.1</v>
      </c>
      <c r="H684" t="n">
        <v>0</v>
      </c>
      <c r="I684" t="n">
        <v>0</v>
      </c>
      <c r="J684" t="n">
        <v>0</v>
      </c>
      <c r="K684" t="n">
        <v>0</v>
      </c>
      <c r="L684" t="n">
        <v>0</v>
      </c>
      <c r="M684" t="n">
        <v>0</v>
      </c>
      <c r="N684" t="n">
        <v>0</v>
      </c>
      <c r="O684" t="n">
        <v>0</v>
      </c>
      <c r="P684" t="n">
        <v>0</v>
      </c>
      <c r="Q684" t="n">
        <v>0</v>
      </c>
      <c r="R684" s="2" t="inlineStr"/>
    </row>
    <row r="685" ht="15" customHeight="1">
      <c r="A685" t="inlineStr">
        <is>
          <t>A 50253-2024</t>
        </is>
      </c>
      <c r="B685" s="1" t="n">
        <v>45600</v>
      </c>
      <c r="C685" s="1" t="n">
        <v>45915</v>
      </c>
      <c r="D685" t="inlineStr">
        <is>
          <t>NORRBOTTENS LÄN</t>
        </is>
      </c>
      <c r="E685" t="inlineStr">
        <is>
          <t>BODEN</t>
        </is>
      </c>
      <c r="G685" t="n">
        <v>2.7</v>
      </c>
      <c r="H685" t="n">
        <v>0</v>
      </c>
      <c r="I685" t="n">
        <v>0</v>
      </c>
      <c r="J685" t="n">
        <v>0</v>
      </c>
      <c r="K685" t="n">
        <v>0</v>
      </c>
      <c r="L685" t="n">
        <v>0</v>
      </c>
      <c r="M685" t="n">
        <v>0</v>
      </c>
      <c r="N685" t="n">
        <v>0</v>
      </c>
      <c r="O685" t="n">
        <v>0</v>
      </c>
      <c r="P685" t="n">
        <v>0</v>
      </c>
      <c r="Q685" t="n">
        <v>0</v>
      </c>
      <c r="R685" s="2" t="inlineStr"/>
    </row>
    <row r="686" ht="15" customHeight="1">
      <c r="A686" t="inlineStr">
        <is>
          <t>A 48471-2024</t>
        </is>
      </c>
      <c r="B686" s="1" t="n">
        <v>45591</v>
      </c>
      <c r="C686" s="1" t="n">
        <v>45915</v>
      </c>
      <c r="D686" t="inlineStr">
        <is>
          <t>NORRBOTTENS LÄN</t>
        </is>
      </c>
      <c r="E686" t="inlineStr">
        <is>
          <t>BODEN</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40814-2025</t>
        </is>
      </c>
      <c r="B687" s="1" t="n">
        <v>45897.48153935185</v>
      </c>
      <c r="C687" s="1" t="n">
        <v>45915</v>
      </c>
      <c r="D687" t="inlineStr">
        <is>
          <t>NORRBOTTENS LÄN</t>
        </is>
      </c>
      <c r="E687" t="inlineStr">
        <is>
          <t>BODEN</t>
        </is>
      </c>
      <c r="G687" t="n">
        <v>4</v>
      </c>
      <c r="H687" t="n">
        <v>0</v>
      </c>
      <c r="I687" t="n">
        <v>0</v>
      </c>
      <c r="J687" t="n">
        <v>0</v>
      </c>
      <c r="K687" t="n">
        <v>0</v>
      </c>
      <c r="L687" t="n">
        <v>0</v>
      </c>
      <c r="M687" t="n">
        <v>0</v>
      </c>
      <c r="N687" t="n">
        <v>0</v>
      </c>
      <c r="O687" t="n">
        <v>0</v>
      </c>
      <c r="P687" t="n">
        <v>0</v>
      </c>
      <c r="Q687" t="n">
        <v>0</v>
      </c>
      <c r="R687" s="2" t="inlineStr"/>
    </row>
    <row r="688" ht="15" customHeight="1">
      <c r="A688" t="inlineStr">
        <is>
          <t>A 40709-2025</t>
        </is>
      </c>
      <c r="B688" s="1" t="n">
        <v>45897.33677083333</v>
      </c>
      <c r="C688" s="1" t="n">
        <v>45915</v>
      </c>
      <c r="D688" t="inlineStr">
        <is>
          <t>NORRBOTTENS LÄN</t>
        </is>
      </c>
      <c r="E688" t="inlineStr">
        <is>
          <t>BODEN</t>
        </is>
      </c>
      <c r="G688" t="n">
        <v>2</v>
      </c>
      <c r="H688" t="n">
        <v>0</v>
      </c>
      <c r="I688" t="n">
        <v>0</v>
      </c>
      <c r="J688" t="n">
        <v>0</v>
      </c>
      <c r="K688" t="n">
        <v>0</v>
      </c>
      <c r="L688" t="n">
        <v>0</v>
      </c>
      <c r="M688" t="n">
        <v>0</v>
      </c>
      <c r="N688" t="n">
        <v>0</v>
      </c>
      <c r="O688" t="n">
        <v>0</v>
      </c>
      <c r="P688" t="n">
        <v>0</v>
      </c>
      <c r="Q688" t="n">
        <v>0</v>
      </c>
      <c r="R688" s="2" t="inlineStr"/>
    </row>
    <row r="689" ht="15" customHeight="1">
      <c r="A689" t="inlineStr">
        <is>
          <t>A 665-2023</t>
        </is>
      </c>
      <c r="B689" s="1" t="n">
        <v>44925</v>
      </c>
      <c r="C689" s="1" t="n">
        <v>45915</v>
      </c>
      <c r="D689" t="inlineStr">
        <is>
          <t>NORRBOTTENS LÄN</t>
        </is>
      </c>
      <c r="E689" t="inlineStr">
        <is>
          <t>BODEN</t>
        </is>
      </c>
      <c r="G689" t="n">
        <v>0.9</v>
      </c>
      <c r="H689" t="n">
        <v>0</v>
      </c>
      <c r="I689" t="n">
        <v>0</v>
      </c>
      <c r="J689" t="n">
        <v>0</v>
      </c>
      <c r="K689" t="n">
        <v>0</v>
      </c>
      <c r="L689" t="n">
        <v>0</v>
      </c>
      <c r="M689" t="n">
        <v>0</v>
      </c>
      <c r="N689" t="n">
        <v>0</v>
      </c>
      <c r="O689" t="n">
        <v>0</v>
      </c>
      <c r="P689" t="n">
        <v>0</v>
      </c>
      <c r="Q689" t="n">
        <v>0</v>
      </c>
      <c r="R689" s="2" t="inlineStr"/>
    </row>
    <row r="690" ht="15" customHeight="1">
      <c r="A690" t="inlineStr">
        <is>
          <t>A 33908-2021</t>
        </is>
      </c>
      <c r="B690" s="1" t="n">
        <v>44378</v>
      </c>
      <c r="C690" s="1" t="n">
        <v>45915</v>
      </c>
      <c r="D690" t="inlineStr">
        <is>
          <t>NORRBOTTENS LÄN</t>
        </is>
      </c>
      <c r="E690" t="inlineStr">
        <is>
          <t>BODEN</t>
        </is>
      </c>
      <c r="G690" t="n">
        <v>3.3</v>
      </c>
      <c r="H690" t="n">
        <v>0</v>
      </c>
      <c r="I690" t="n">
        <v>0</v>
      </c>
      <c r="J690" t="n">
        <v>0</v>
      </c>
      <c r="K690" t="n">
        <v>0</v>
      </c>
      <c r="L690" t="n">
        <v>0</v>
      </c>
      <c r="M690" t="n">
        <v>0</v>
      </c>
      <c r="N690" t="n">
        <v>0</v>
      </c>
      <c r="O690" t="n">
        <v>0</v>
      </c>
      <c r="P690" t="n">
        <v>0</v>
      </c>
      <c r="Q690" t="n">
        <v>0</v>
      </c>
      <c r="R690" s="2" t="inlineStr"/>
    </row>
    <row r="691" ht="15" customHeight="1">
      <c r="A691" t="inlineStr">
        <is>
          <t>A 26035-2023</t>
        </is>
      </c>
      <c r="B691" s="1" t="n">
        <v>45091</v>
      </c>
      <c r="C691" s="1" t="n">
        <v>45915</v>
      </c>
      <c r="D691" t="inlineStr">
        <is>
          <t>NORRBOTTENS LÄN</t>
        </is>
      </c>
      <c r="E691" t="inlineStr">
        <is>
          <t>BODEN</t>
        </is>
      </c>
      <c r="G691" t="n">
        <v>14.1</v>
      </c>
      <c r="H691" t="n">
        <v>0</v>
      </c>
      <c r="I691" t="n">
        <v>0</v>
      </c>
      <c r="J691" t="n">
        <v>0</v>
      </c>
      <c r="K691" t="n">
        <v>0</v>
      </c>
      <c r="L691" t="n">
        <v>0</v>
      </c>
      <c r="M691" t="n">
        <v>0</v>
      </c>
      <c r="N691" t="n">
        <v>0</v>
      </c>
      <c r="O691" t="n">
        <v>0</v>
      </c>
      <c r="P691" t="n">
        <v>0</v>
      </c>
      <c r="Q691" t="n">
        <v>0</v>
      </c>
      <c r="R691" s="2" t="inlineStr"/>
    </row>
    <row r="692" ht="15" customHeight="1">
      <c r="A692" t="inlineStr">
        <is>
          <t>A 14757-2023</t>
        </is>
      </c>
      <c r="B692" s="1" t="n">
        <v>45014.54700231482</v>
      </c>
      <c r="C692" s="1" t="n">
        <v>45915</v>
      </c>
      <c r="D692" t="inlineStr">
        <is>
          <t>NORRBOTTENS LÄN</t>
        </is>
      </c>
      <c r="E692" t="inlineStr">
        <is>
          <t>BODEN</t>
        </is>
      </c>
      <c r="G692" t="n">
        <v>1.3</v>
      </c>
      <c r="H692" t="n">
        <v>0</v>
      </c>
      <c r="I692" t="n">
        <v>0</v>
      </c>
      <c r="J692" t="n">
        <v>0</v>
      </c>
      <c r="K692" t="n">
        <v>0</v>
      </c>
      <c r="L692" t="n">
        <v>0</v>
      </c>
      <c r="M692" t="n">
        <v>0</v>
      </c>
      <c r="N692" t="n">
        <v>0</v>
      </c>
      <c r="O692" t="n">
        <v>0</v>
      </c>
      <c r="P692" t="n">
        <v>0</v>
      </c>
      <c r="Q692" t="n">
        <v>0</v>
      </c>
      <c r="R692" s="2" t="inlineStr"/>
    </row>
    <row r="693" ht="15" customHeight="1">
      <c r="A693" t="inlineStr">
        <is>
          <t>A 40816-2025</t>
        </is>
      </c>
      <c r="B693" s="1" t="n">
        <v>45897.48422453704</v>
      </c>
      <c r="C693" s="1" t="n">
        <v>45915</v>
      </c>
      <c r="D693" t="inlineStr">
        <is>
          <t>NORRBOTTENS LÄN</t>
        </is>
      </c>
      <c r="E693" t="inlineStr">
        <is>
          <t>BODEN</t>
        </is>
      </c>
      <c r="G693" t="n">
        <v>3.9</v>
      </c>
      <c r="H693" t="n">
        <v>0</v>
      </c>
      <c r="I693" t="n">
        <v>0</v>
      </c>
      <c r="J693" t="n">
        <v>0</v>
      </c>
      <c r="K693" t="n">
        <v>0</v>
      </c>
      <c r="L693" t="n">
        <v>0</v>
      </c>
      <c r="M693" t="n">
        <v>0</v>
      </c>
      <c r="N693" t="n">
        <v>0</v>
      </c>
      <c r="O693" t="n">
        <v>0</v>
      </c>
      <c r="P693" t="n">
        <v>0</v>
      </c>
      <c r="Q693" t="n">
        <v>0</v>
      </c>
      <c r="R693" s="2" t="inlineStr"/>
    </row>
    <row r="694" ht="15" customHeight="1">
      <c r="A694" t="inlineStr">
        <is>
          <t>A 37984-2024</t>
        </is>
      </c>
      <c r="B694" s="1" t="n">
        <v>45544.58453703704</v>
      </c>
      <c r="C694" s="1" t="n">
        <v>45915</v>
      </c>
      <c r="D694" t="inlineStr">
        <is>
          <t>NORRBOTTENS LÄN</t>
        </is>
      </c>
      <c r="E694" t="inlineStr">
        <is>
          <t>BODEN</t>
        </is>
      </c>
      <c r="G694" t="n">
        <v>2.9</v>
      </c>
      <c r="H694" t="n">
        <v>0</v>
      </c>
      <c r="I694" t="n">
        <v>0</v>
      </c>
      <c r="J694" t="n">
        <v>0</v>
      </c>
      <c r="K694" t="n">
        <v>0</v>
      </c>
      <c r="L694" t="n">
        <v>0</v>
      </c>
      <c r="M694" t="n">
        <v>0</v>
      </c>
      <c r="N694" t="n">
        <v>0</v>
      </c>
      <c r="O694" t="n">
        <v>0</v>
      </c>
      <c r="P694" t="n">
        <v>0</v>
      </c>
      <c r="Q694" t="n">
        <v>0</v>
      </c>
      <c r="R694" s="2" t="inlineStr"/>
    </row>
    <row r="695" ht="15" customHeight="1">
      <c r="A695" t="inlineStr">
        <is>
          <t>A 12801-2023</t>
        </is>
      </c>
      <c r="B695" s="1" t="n">
        <v>45001</v>
      </c>
      <c r="C695" s="1" t="n">
        <v>45915</v>
      </c>
      <c r="D695" t="inlineStr">
        <is>
          <t>NORRBOTTENS LÄN</t>
        </is>
      </c>
      <c r="E695" t="inlineStr">
        <is>
          <t>BODEN</t>
        </is>
      </c>
      <c r="G695" t="n">
        <v>3.7</v>
      </c>
      <c r="H695" t="n">
        <v>0</v>
      </c>
      <c r="I695" t="n">
        <v>0</v>
      </c>
      <c r="J695" t="n">
        <v>0</v>
      </c>
      <c r="K695" t="n">
        <v>0</v>
      </c>
      <c r="L695" t="n">
        <v>0</v>
      </c>
      <c r="M695" t="n">
        <v>0</v>
      </c>
      <c r="N695" t="n">
        <v>0</v>
      </c>
      <c r="O695" t="n">
        <v>0</v>
      </c>
      <c r="P695" t="n">
        <v>0</v>
      </c>
      <c r="Q695" t="n">
        <v>0</v>
      </c>
      <c r="R695" s="2" t="inlineStr"/>
    </row>
    <row r="696" ht="15" customHeight="1">
      <c r="A696" t="inlineStr">
        <is>
          <t>A 20038-2025</t>
        </is>
      </c>
      <c r="B696" s="1" t="n">
        <v>45772.3677662037</v>
      </c>
      <c r="C696" s="1" t="n">
        <v>45915</v>
      </c>
      <c r="D696" t="inlineStr">
        <is>
          <t>NORRBOTTENS LÄN</t>
        </is>
      </c>
      <c r="E696" t="inlineStr">
        <is>
          <t>BODEN</t>
        </is>
      </c>
      <c r="G696" t="n">
        <v>4.9</v>
      </c>
      <c r="H696" t="n">
        <v>0</v>
      </c>
      <c r="I696" t="n">
        <v>0</v>
      </c>
      <c r="J696" t="n">
        <v>0</v>
      </c>
      <c r="K696" t="n">
        <v>0</v>
      </c>
      <c r="L696" t="n">
        <v>0</v>
      </c>
      <c r="M696" t="n">
        <v>0</v>
      </c>
      <c r="N696" t="n">
        <v>0</v>
      </c>
      <c r="O696" t="n">
        <v>0</v>
      </c>
      <c r="P696" t="n">
        <v>0</v>
      </c>
      <c r="Q696" t="n">
        <v>0</v>
      </c>
      <c r="R696" s="2" t="inlineStr"/>
    </row>
    <row r="697" ht="15" customHeight="1">
      <c r="A697" t="inlineStr">
        <is>
          <t>A 6244-2023</t>
        </is>
      </c>
      <c r="B697" s="1" t="n">
        <v>44964.94435185185</v>
      </c>
      <c r="C697" s="1" t="n">
        <v>45915</v>
      </c>
      <c r="D697" t="inlineStr">
        <is>
          <t>NORRBOTTENS LÄN</t>
        </is>
      </c>
      <c r="E697" t="inlineStr">
        <is>
          <t>BODEN</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41598-2025</t>
        </is>
      </c>
      <c r="B698" s="1" t="n">
        <v>45901.65390046296</v>
      </c>
      <c r="C698" s="1" t="n">
        <v>45915</v>
      </c>
      <c r="D698" t="inlineStr">
        <is>
          <t>NORRBOTTENS LÄN</t>
        </is>
      </c>
      <c r="E698" t="inlineStr">
        <is>
          <t>BODEN</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41470-2025</t>
        </is>
      </c>
      <c r="B699" s="1" t="n">
        <v>45896</v>
      </c>
      <c r="C699" s="1" t="n">
        <v>45915</v>
      </c>
      <c r="D699" t="inlineStr">
        <is>
          <t>NORRBOTTENS LÄN</t>
        </is>
      </c>
      <c r="E699" t="inlineStr">
        <is>
          <t>BODEN</t>
        </is>
      </c>
      <c r="F699" t="inlineStr">
        <is>
          <t>Övriga statliga verk och myndigheter</t>
        </is>
      </c>
      <c r="G699" t="n">
        <v>3</v>
      </c>
      <c r="H699" t="n">
        <v>0</v>
      </c>
      <c r="I699" t="n">
        <v>0</v>
      </c>
      <c r="J699" t="n">
        <v>0</v>
      </c>
      <c r="K699" t="n">
        <v>0</v>
      </c>
      <c r="L699" t="n">
        <v>0</v>
      </c>
      <c r="M699" t="n">
        <v>0</v>
      </c>
      <c r="N699" t="n">
        <v>0</v>
      </c>
      <c r="O699" t="n">
        <v>0</v>
      </c>
      <c r="P699" t="n">
        <v>0</v>
      </c>
      <c r="Q699" t="n">
        <v>0</v>
      </c>
      <c r="R699" s="2" t="inlineStr"/>
    </row>
    <row r="700" ht="15" customHeight="1">
      <c r="A700" t="inlineStr">
        <is>
          <t>A 41443-2025</t>
        </is>
      </c>
      <c r="B700" s="1" t="n">
        <v>45901.41519675926</v>
      </c>
      <c r="C700" s="1" t="n">
        <v>45915</v>
      </c>
      <c r="D700" t="inlineStr">
        <is>
          <t>NORRBOTTENS LÄN</t>
        </is>
      </c>
      <c r="E700" t="inlineStr">
        <is>
          <t>BODEN</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41649-2025</t>
        </is>
      </c>
      <c r="B701" s="1" t="n">
        <v>45902.32747685185</v>
      </c>
      <c r="C701" s="1" t="n">
        <v>45915</v>
      </c>
      <c r="D701" t="inlineStr">
        <is>
          <t>NORRBOTTENS LÄN</t>
        </is>
      </c>
      <c r="E701" t="inlineStr">
        <is>
          <t>BODEN</t>
        </is>
      </c>
      <c r="F701" t="inlineStr">
        <is>
          <t>Sveaskog</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41647-2025</t>
        </is>
      </c>
      <c r="B702" s="1" t="n">
        <v>45901</v>
      </c>
      <c r="C702" s="1" t="n">
        <v>45915</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40183-2025</t>
        </is>
      </c>
      <c r="B703" s="1" t="n">
        <v>45894</v>
      </c>
      <c r="C703" s="1" t="n">
        <v>45915</v>
      </c>
      <c r="D703" t="inlineStr">
        <is>
          <t>NORRBOTTENS LÄN</t>
        </is>
      </c>
      <c r="E703" t="inlineStr">
        <is>
          <t>BODEN</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45915</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35773-2025</t>
        </is>
      </c>
      <c r="B705" s="1" t="n">
        <v>45860.67740740741</v>
      </c>
      <c r="C705" s="1" t="n">
        <v>45915</v>
      </c>
      <c r="D705" t="inlineStr">
        <is>
          <t>NORRBOTTENS LÄN</t>
        </is>
      </c>
      <c r="E705" t="inlineStr">
        <is>
          <t>BODEN</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41418-2025</t>
        </is>
      </c>
      <c r="B706" s="1" t="n">
        <v>45901.37751157407</v>
      </c>
      <c r="C706" s="1" t="n">
        <v>45915</v>
      </c>
      <c r="D706" t="inlineStr">
        <is>
          <t>NORRBOTTENS LÄN</t>
        </is>
      </c>
      <c r="E706" t="inlineStr">
        <is>
          <t>BODEN</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45915</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41578-2025</t>
        </is>
      </c>
      <c r="B708" s="1" t="n">
        <v>45901.62032407407</v>
      </c>
      <c r="C708" s="1" t="n">
        <v>45915</v>
      </c>
      <c r="D708" t="inlineStr">
        <is>
          <t>NORRBOTTENS LÄN</t>
        </is>
      </c>
      <c r="E708" t="inlineStr">
        <is>
          <t>BODEN</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41595-2025</t>
        </is>
      </c>
      <c r="B709" s="1" t="n">
        <v>45901.64849537037</v>
      </c>
      <c r="C709" s="1" t="n">
        <v>45915</v>
      </c>
      <c r="D709" t="inlineStr">
        <is>
          <t>NORRBOTTENS LÄN</t>
        </is>
      </c>
      <c r="E709" t="inlineStr">
        <is>
          <t>BODEN</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40267-2025</t>
        </is>
      </c>
      <c r="B710" s="1" t="n">
        <v>45895</v>
      </c>
      <c r="C710" s="1" t="n">
        <v>45915</v>
      </c>
      <c r="D710" t="inlineStr">
        <is>
          <t>NORRBOTTENS LÄN</t>
        </is>
      </c>
      <c r="E710" t="inlineStr">
        <is>
          <t>BODEN</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8869-2024</t>
        </is>
      </c>
      <c r="B711" s="1" t="n">
        <v>45356.96387731482</v>
      </c>
      <c r="C711" s="1" t="n">
        <v>45915</v>
      </c>
      <c r="D711" t="inlineStr">
        <is>
          <t>NORRBOTTENS LÄN</t>
        </is>
      </c>
      <c r="E711" t="inlineStr">
        <is>
          <t>BODEN</t>
        </is>
      </c>
      <c r="G711" t="n">
        <v>4.3</v>
      </c>
      <c r="H711" t="n">
        <v>0</v>
      </c>
      <c r="I711" t="n">
        <v>0</v>
      </c>
      <c r="J711" t="n">
        <v>0</v>
      </c>
      <c r="K711" t="n">
        <v>0</v>
      </c>
      <c r="L711" t="n">
        <v>0</v>
      </c>
      <c r="M711" t="n">
        <v>0</v>
      </c>
      <c r="N711" t="n">
        <v>0</v>
      </c>
      <c r="O711" t="n">
        <v>0</v>
      </c>
      <c r="P711" t="n">
        <v>0</v>
      </c>
      <c r="Q711" t="n">
        <v>0</v>
      </c>
      <c r="R711" s="2" t="inlineStr"/>
    </row>
    <row r="712" ht="15" customHeight="1">
      <c r="A712" t="inlineStr">
        <is>
          <t>A 35755-2025</t>
        </is>
      </c>
      <c r="B712" s="1" t="n">
        <v>45860.59417824074</v>
      </c>
      <c r="C712" s="1" t="n">
        <v>45915</v>
      </c>
      <c r="D712" t="inlineStr">
        <is>
          <t>NORRBOTTENS LÄN</t>
        </is>
      </c>
      <c r="E712" t="inlineStr">
        <is>
          <t>BODEN</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29309-2023</t>
        </is>
      </c>
      <c r="B713" s="1" t="n">
        <v>45105.92532407407</v>
      </c>
      <c r="C713" s="1" t="n">
        <v>45915</v>
      </c>
      <c r="D713" t="inlineStr">
        <is>
          <t>NORRBOTTENS LÄN</t>
        </is>
      </c>
      <c r="E713" t="inlineStr">
        <is>
          <t>BODEN</t>
        </is>
      </c>
      <c r="G713" t="n">
        <v>3.2</v>
      </c>
      <c r="H713" t="n">
        <v>0</v>
      </c>
      <c r="I713" t="n">
        <v>0</v>
      </c>
      <c r="J713" t="n">
        <v>0</v>
      </c>
      <c r="K713" t="n">
        <v>0</v>
      </c>
      <c r="L713" t="n">
        <v>0</v>
      </c>
      <c r="M713" t="n">
        <v>0</v>
      </c>
      <c r="N713" t="n">
        <v>0</v>
      </c>
      <c r="O713" t="n">
        <v>0</v>
      </c>
      <c r="P713" t="n">
        <v>0</v>
      </c>
      <c r="Q713" t="n">
        <v>0</v>
      </c>
      <c r="R713" s="2" t="inlineStr"/>
    </row>
    <row r="714" ht="15" customHeight="1">
      <c r="A714" t="inlineStr">
        <is>
          <t>A 3462-2022</t>
        </is>
      </c>
      <c r="B714" s="1" t="n">
        <v>44585</v>
      </c>
      <c r="C714" s="1" t="n">
        <v>45915</v>
      </c>
      <c r="D714" t="inlineStr">
        <is>
          <t>NORRBOTTENS LÄN</t>
        </is>
      </c>
      <c r="E714" t="inlineStr">
        <is>
          <t>BODEN</t>
        </is>
      </c>
      <c r="G714" t="n">
        <v>3.1</v>
      </c>
      <c r="H714" t="n">
        <v>0</v>
      </c>
      <c r="I714" t="n">
        <v>0</v>
      </c>
      <c r="J714" t="n">
        <v>0</v>
      </c>
      <c r="K714" t="n">
        <v>0</v>
      </c>
      <c r="L714" t="n">
        <v>0</v>
      </c>
      <c r="M714" t="n">
        <v>0</v>
      </c>
      <c r="N714" t="n">
        <v>0</v>
      </c>
      <c r="O714" t="n">
        <v>0</v>
      </c>
      <c r="P714" t="n">
        <v>0</v>
      </c>
      <c r="Q714" t="n">
        <v>0</v>
      </c>
      <c r="R714" s="2" t="inlineStr"/>
    </row>
    <row r="715" ht="15" customHeight="1">
      <c r="A715" t="inlineStr">
        <is>
          <t>A 2601-2025</t>
        </is>
      </c>
      <c r="B715" s="1" t="n">
        <v>45674</v>
      </c>
      <c r="C715" s="1" t="n">
        <v>45915</v>
      </c>
      <c r="D715" t="inlineStr">
        <is>
          <t>NORRBOTTENS LÄN</t>
        </is>
      </c>
      <c r="E715" t="inlineStr">
        <is>
          <t>BODEN</t>
        </is>
      </c>
      <c r="G715" t="n">
        <v>0.7</v>
      </c>
      <c r="H715" t="n">
        <v>0</v>
      </c>
      <c r="I715" t="n">
        <v>0</v>
      </c>
      <c r="J715" t="n">
        <v>0</v>
      </c>
      <c r="K715" t="n">
        <v>0</v>
      </c>
      <c r="L715" t="n">
        <v>0</v>
      </c>
      <c r="M715" t="n">
        <v>0</v>
      </c>
      <c r="N715" t="n">
        <v>0</v>
      </c>
      <c r="O715" t="n">
        <v>0</v>
      </c>
      <c r="P715" t="n">
        <v>0</v>
      </c>
      <c r="Q715" t="n">
        <v>0</v>
      </c>
      <c r="R715" s="2" t="inlineStr"/>
    </row>
    <row r="716" ht="15" customHeight="1">
      <c r="A716" t="inlineStr">
        <is>
          <t>A 42173-2025</t>
        </is>
      </c>
      <c r="B716" s="1" t="n">
        <v>45902</v>
      </c>
      <c r="C716" s="1" t="n">
        <v>45915</v>
      </c>
      <c r="D716" t="inlineStr">
        <is>
          <t>NORRBOTTENS LÄN</t>
        </is>
      </c>
      <c r="E716" t="inlineStr">
        <is>
          <t>BODEN</t>
        </is>
      </c>
      <c r="F716" t="inlineStr">
        <is>
          <t>Övriga statliga verk och myndigheter</t>
        </is>
      </c>
      <c r="G716" t="n">
        <v>1.6</v>
      </c>
      <c r="H716" t="n">
        <v>0</v>
      </c>
      <c r="I716" t="n">
        <v>0</v>
      </c>
      <c r="J716" t="n">
        <v>0</v>
      </c>
      <c r="K716" t="n">
        <v>0</v>
      </c>
      <c r="L716" t="n">
        <v>0</v>
      </c>
      <c r="M716" t="n">
        <v>0</v>
      </c>
      <c r="N716" t="n">
        <v>0</v>
      </c>
      <c r="O716" t="n">
        <v>0</v>
      </c>
      <c r="P716" t="n">
        <v>0</v>
      </c>
      <c r="Q716" t="n">
        <v>0</v>
      </c>
      <c r="R716" s="2" t="inlineStr"/>
    </row>
    <row r="717" ht="15" customHeight="1">
      <c r="A717" t="inlineStr">
        <is>
          <t>A 49728-2024</t>
        </is>
      </c>
      <c r="B717" s="1" t="n">
        <v>45596.7612962963</v>
      </c>
      <c r="C717" s="1" t="n">
        <v>45915</v>
      </c>
      <c r="D717" t="inlineStr">
        <is>
          <t>NORRBOTTENS LÄN</t>
        </is>
      </c>
      <c r="E717" t="inlineStr">
        <is>
          <t>BODEN</t>
        </is>
      </c>
      <c r="G717" t="n">
        <v>22.7</v>
      </c>
      <c r="H717" t="n">
        <v>0</v>
      </c>
      <c r="I717" t="n">
        <v>0</v>
      </c>
      <c r="J717" t="n">
        <v>0</v>
      </c>
      <c r="K717" t="n">
        <v>0</v>
      </c>
      <c r="L717" t="n">
        <v>0</v>
      </c>
      <c r="M717" t="n">
        <v>0</v>
      </c>
      <c r="N717" t="n">
        <v>0</v>
      </c>
      <c r="O717" t="n">
        <v>0</v>
      </c>
      <c r="P717" t="n">
        <v>0</v>
      </c>
      <c r="Q717" t="n">
        <v>0</v>
      </c>
      <c r="R717" s="2" t="inlineStr"/>
    </row>
    <row r="718" ht="15" customHeight="1">
      <c r="A718" t="inlineStr">
        <is>
          <t>A 37212-2025</t>
        </is>
      </c>
      <c r="B718" s="1" t="n">
        <v>45875</v>
      </c>
      <c r="C718" s="1" t="n">
        <v>45915</v>
      </c>
      <c r="D718" t="inlineStr">
        <is>
          <t>NORRBOTTENS LÄN</t>
        </is>
      </c>
      <c r="E718" t="inlineStr">
        <is>
          <t>BODEN</t>
        </is>
      </c>
      <c r="G718" t="n">
        <v>3.3</v>
      </c>
      <c r="H718" t="n">
        <v>0</v>
      </c>
      <c r="I718" t="n">
        <v>0</v>
      </c>
      <c r="J718" t="n">
        <v>0</v>
      </c>
      <c r="K718" t="n">
        <v>0</v>
      </c>
      <c r="L718" t="n">
        <v>0</v>
      </c>
      <c r="M718" t="n">
        <v>0</v>
      </c>
      <c r="N718" t="n">
        <v>0</v>
      </c>
      <c r="O718" t="n">
        <v>0</v>
      </c>
      <c r="P718" t="n">
        <v>0</v>
      </c>
      <c r="Q718" t="n">
        <v>0</v>
      </c>
      <c r="R718" s="2" t="inlineStr"/>
    </row>
    <row r="719" ht="15" customHeight="1">
      <c r="A719" t="inlineStr">
        <is>
          <t>A 53829-2020</t>
        </is>
      </c>
      <c r="B719" s="1" t="n">
        <v>44124</v>
      </c>
      <c r="C719" s="1" t="n">
        <v>45915</v>
      </c>
      <c r="D719" t="inlineStr">
        <is>
          <t>NORRBOTTENS LÄN</t>
        </is>
      </c>
      <c r="E719" t="inlineStr">
        <is>
          <t>BODEN</t>
        </is>
      </c>
      <c r="G719" t="n">
        <v>3.2</v>
      </c>
      <c r="H719" t="n">
        <v>0</v>
      </c>
      <c r="I719" t="n">
        <v>0</v>
      </c>
      <c r="J719" t="n">
        <v>0</v>
      </c>
      <c r="K719" t="n">
        <v>0</v>
      </c>
      <c r="L719" t="n">
        <v>0</v>
      </c>
      <c r="M719" t="n">
        <v>0</v>
      </c>
      <c r="N719" t="n">
        <v>0</v>
      </c>
      <c r="O719" t="n">
        <v>0</v>
      </c>
      <c r="P719" t="n">
        <v>0</v>
      </c>
      <c r="Q719" t="n">
        <v>0</v>
      </c>
      <c r="R719" s="2" t="inlineStr"/>
    </row>
    <row r="720" ht="15" customHeight="1">
      <c r="A720" t="inlineStr">
        <is>
          <t>A 36926-2025</t>
        </is>
      </c>
      <c r="B720" s="1" t="n">
        <v>45874</v>
      </c>
      <c r="C720" s="1" t="n">
        <v>45915</v>
      </c>
      <c r="D720" t="inlineStr">
        <is>
          <t>NORRBOTTENS LÄN</t>
        </is>
      </c>
      <c r="E720" t="inlineStr">
        <is>
          <t>BODEN</t>
        </is>
      </c>
      <c r="F720" t="inlineStr">
        <is>
          <t>SCA</t>
        </is>
      </c>
      <c r="G720" t="n">
        <v>8.4</v>
      </c>
      <c r="H720" t="n">
        <v>0</v>
      </c>
      <c r="I720" t="n">
        <v>0</v>
      </c>
      <c r="J720" t="n">
        <v>0</v>
      </c>
      <c r="K720" t="n">
        <v>0</v>
      </c>
      <c r="L720" t="n">
        <v>0</v>
      </c>
      <c r="M720" t="n">
        <v>0</v>
      </c>
      <c r="N720" t="n">
        <v>0</v>
      </c>
      <c r="O720" t="n">
        <v>0</v>
      </c>
      <c r="P720" t="n">
        <v>0</v>
      </c>
      <c r="Q720" t="n">
        <v>0</v>
      </c>
      <c r="R720" s="2" t="inlineStr"/>
    </row>
    <row r="721" ht="15" customHeight="1">
      <c r="A721" t="inlineStr">
        <is>
          <t>A 20289-2025</t>
        </is>
      </c>
      <c r="B721" s="1" t="n">
        <v>45774</v>
      </c>
      <c r="C721" s="1" t="n">
        <v>45915</v>
      </c>
      <c r="D721" t="inlineStr">
        <is>
          <t>NORRBOTTENS LÄN</t>
        </is>
      </c>
      <c r="E721" t="inlineStr">
        <is>
          <t>BODEN</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46564-2022</t>
        </is>
      </c>
      <c r="B722" s="1" t="n">
        <v>44847</v>
      </c>
      <c r="C722" s="1" t="n">
        <v>45915</v>
      </c>
      <c r="D722" t="inlineStr">
        <is>
          <t>NORRBOTTENS LÄN</t>
        </is>
      </c>
      <c r="E722" t="inlineStr">
        <is>
          <t>BODEN</t>
        </is>
      </c>
      <c r="G722" t="n">
        <v>28</v>
      </c>
      <c r="H722" t="n">
        <v>0</v>
      </c>
      <c r="I722" t="n">
        <v>0</v>
      </c>
      <c r="J722" t="n">
        <v>0</v>
      </c>
      <c r="K722" t="n">
        <v>0</v>
      </c>
      <c r="L722" t="n">
        <v>0</v>
      </c>
      <c r="M722" t="n">
        <v>0</v>
      </c>
      <c r="N722" t="n">
        <v>0</v>
      </c>
      <c r="O722" t="n">
        <v>0</v>
      </c>
      <c r="P722" t="n">
        <v>0</v>
      </c>
      <c r="Q722" t="n">
        <v>0</v>
      </c>
      <c r="R722" s="2" t="inlineStr"/>
    </row>
    <row r="723" ht="15" customHeight="1">
      <c r="A723" t="inlineStr">
        <is>
          <t>A 24058-2025</t>
        </is>
      </c>
      <c r="B723" s="1" t="n">
        <v>45796.51097222222</v>
      </c>
      <c r="C723" s="1" t="n">
        <v>45915</v>
      </c>
      <c r="D723" t="inlineStr">
        <is>
          <t>NORRBOTTENS LÄN</t>
        </is>
      </c>
      <c r="E723" t="inlineStr">
        <is>
          <t>BODEN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41943-2025</t>
        </is>
      </c>
      <c r="B724" s="1" t="n">
        <v>45903</v>
      </c>
      <c r="C724" s="1" t="n">
        <v>45915</v>
      </c>
      <c r="D724" t="inlineStr">
        <is>
          <t>NORRBOTTENS LÄN</t>
        </is>
      </c>
      <c r="E724" t="inlineStr">
        <is>
          <t>BODEN</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42171-2025</t>
        </is>
      </c>
      <c r="B725" s="1" t="n">
        <v>45902</v>
      </c>
      <c r="C725" s="1" t="n">
        <v>45915</v>
      </c>
      <c r="D725" t="inlineStr">
        <is>
          <t>NORRBOTTENS LÄN</t>
        </is>
      </c>
      <c r="E725" t="inlineStr">
        <is>
          <t>BODEN</t>
        </is>
      </c>
      <c r="F725" t="inlineStr">
        <is>
          <t>Övriga statliga verk och myndigheter</t>
        </is>
      </c>
      <c r="G725" t="n">
        <v>4.7</v>
      </c>
      <c r="H725" t="n">
        <v>0</v>
      </c>
      <c r="I725" t="n">
        <v>0</v>
      </c>
      <c r="J725" t="n">
        <v>0</v>
      </c>
      <c r="K725" t="n">
        <v>0</v>
      </c>
      <c r="L725" t="n">
        <v>0</v>
      </c>
      <c r="M725" t="n">
        <v>0</v>
      </c>
      <c r="N725" t="n">
        <v>0</v>
      </c>
      <c r="O725" t="n">
        <v>0</v>
      </c>
      <c r="P725" t="n">
        <v>0</v>
      </c>
      <c r="Q725" t="n">
        <v>0</v>
      </c>
      <c r="R725" s="2" t="inlineStr"/>
    </row>
    <row r="726" ht="15" customHeight="1">
      <c r="A726" t="inlineStr">
        <is>
          <t>A 47927-2024</t>
        </is>
      </c>
      <c r="B726" s="1" t="n">
        <v>45589.34527777778</v>
      </c>
      <c r="C726" s="1" t="n">
        <v>45915</v>
      </c>
      <c r="D726" t="inlineStr">
        <is>
          <t>NORRBOTTENS LÄN</t>
        </is>
      </c>
      <c r="E726" t="inlineStr">
        <is>
          <t>BODEN</t>
        </is>
      </c>
      <c r="F726" t="inlineStr">
        <is>
          <t>Naturvårdsverket</t>
        </is>
      </c>
      <c r="G726" t="n">
        <v>2.2</v>
      </c>
      <c r="H726" t="n">
        <v>0</v>
      </c>
      <c r="I726" t="n">
        <v>0</v>
      </c>
      <c r="J726" t="n">
        <v>0</v>
      </c>
      <c r="K726" t="n">
        <v>0</v>
      </c>
      <c r="L726" t="n">
        <v>0</v>
      </c>
      <c r="M726" t="n">
        <v>0</v>
      </c>
      <c r="N726" t="n">
        <v>0</v>
      </c>
      <c r="O726" t="n">
        <v>0</v>
      </c>
      <c r="P726" t="n">
        <v>0</v>
      </c>
      <c r="Q726" t="n">
        <v>0</v>
      </c>
      <c r="R726" s="2" t="inlineStr"/>
    </row>
    <row r="727" ht="15" customHeight="1">
      <c r="A727" t="inlineStr">
        <is>
          <t>A 36014-2025</t>
        </is>
      </c>
      <c r="B727" s="1" t="n">
        <v>45863.6125</v>
      </c>
      <c r="C727" s="1" t="n">
        <v>45915</v>
      </c>
      <c r="D727" t="inlineStr">
        <is>
          <t>NORRBOTTENS LÄN</t>
        </is>
      </c>
      <c r="E727" t="inlineStr">
        <is>
          <t>BODEN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36019-2025</t>
        </is>
      </c>
      <c r="B728" s="1" t="n">
        <v>45863.67741898148</v>
      </c>
      <c r="C728" s="1" t="n">
        <v>45915</v>
      </c>
      <c r="D728" t="inlineStr">
        <is>
          <t>NORRBOTTENS LÄN</t>
        </is>
      </c>
      <c r="E728" t="inlineStr">
        <is>
          <t>BODEN</t>
        </is>
      </c>
      <c r="G728" t="n">
        <v>6.2</v>
      </c>
      <c r="H728" t="n">
        <v>0</v>
      </c>
      <c r="I728" t="n">
        <v>0</v>
      </c>
      <c r="J728" t="n">
        <v>0</v>
      </c>
      <c r="K728" t="n">
        <v>0</v>
      </c>
      <c r="L728" t="n">
        <v>0</v>
      </c>
      <c r="M728" t="n">
        <v>0</v>
      </c>
      <c r="N728" t="n">
        <v>0</v>
      </c>
      <c r="O728" t="n">
        <v>0</v>
      </c>
      <c r="P728" t="n">
        <v>0</v>
      </c>
      <c r="Q728" t="n">
        <v>0</v>
      </c>
      <c r="R728" s="2" t="inlineStr"/>
    </row>
    <row r="729" ht="15" customHeight="1">
      <c r="A729" t="inlineStr">
        <is>
          <t>A 42653-2025</t>
        </is>
      </c>
      <c r="B729" s="1" t="n">
        <v>45906.71304398148</v>
      </c>
      <c r="C729" s="1" t="n">
        <v>45915</v>
      </c>
      <c r="D729" t="inlineStr">
        <is>
          <t>NORRBOTTENS LÄN</t>
        </is>
      </c>
      <c r="E729" t="inlineStr">
        <is>
          <t>BODEN</t>
        </is>
      </c>
      <c r="G729" t="n">
        <v>0.8</v>
      </c>
      <c r="H729" t="n">
        <v>0</v>
      </c>
      <c r="I729" t="n">
        <v>0</v>
      </c>
      <c r="J729" t="n">
        <v>0</v>
      </c>
      <c r="K729" t="n">
        <v>0</v>
      </c>
      <c r="L729" t="n">
        <v>0</v>
      </c>
      <c r="M729" t="n">
        <v>0</v>
      </c>
      <c r="N729" t="n">
        <v>0</v>
      </c>
      <c r="O729" t="n">
        <v>0</v>
      </c>
      <c r="P729" t="n">
        <v>0</v>
      </c>
      <c r="Q729" t="n">
        <v>0</v>
      </c>
      <c r="R729" s="2" t="inlineStr"/>
    </row>
    <row r="730" ht="15" customHeight="1">
      <c r="A730" t="inlineStr">
        <is>
          <t>A 42654-2025</t>
        </is>
      </c>
      <c r="B730" s="1" t="n">
        <v>45906.71729166667</v>
      </c>
      <c r="C730" s="1" t="n">
        <v>45915</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37023-2025</t>
        </is>
      </c>
      <c r="B731" s="1" t="n">
        <v>45874</v>
      </c>
      <c r="C731" s="1" t="n">
        <v>45915</v>
      </c>
      <c r="D731" t="inlineStr">
        <is>
          <t>NORRBOTTENS LÄN</t>
        </is>
      </c>
      <c r="E731" t="inlineStr">
        <is>
          <t>BODEN</t>
        </is>
      </c>
      <c r="G731" t="n">
        <v>7.8</v>
      </c>
      <c r="H731" t="n">
        <v>0</v>
      </c>
      <c r="I731" t="n">
        <v>0</v>
      </c>
      <c r="J731" t="n">
        <v>0</v>
      </c>
      <c r="K731" t="n">
        <v>0</v>
      </c>
      <c r="L731" t="n">
        <v>0</v>
      </c>
      <c r="M731" t="n">
        <v>0</v>
      </c>
      <c r="N731" t="n">
        <v>0</v>
      </c>
      <c r="O731" t="n">
        <v>0</v>
      </c>
      <c r="P731" t="n">
        <v>0</v>
      </c>
      <c r="Q731" t="n">
        <v>0</v>
      </c>
      <c r="R731" s="2" t="inlineStr"/>
      <c r="U731">
        <f>HYPERLINK("https://klasma.github.io/Logging_2582/knärot/A 37023-2025 karta knärot.png", "A 37023-2025")</f>
        <v/>
      </c>
      <c r="V731">
        <f>HYPERLINK("https://klasma.github.io/Logging_2582/klagomål/A 37023-2025 FSC-klagomål.docx", "A 37023-2025")</f>
        <v/>
      </c>
      <c r="W731">
        <f>HYPERLINK("https://klasma.github.io/Logging_2582/klagomålsmail/A 37023-2025 FSC-klagomål mail.docx", "A 37023-2025")</f>
        <v/>
      </c>
      <c r="X731">
        <f>HYPERLINK("https://klasma.github.io/Logging_2582/tillsyn/A 37023-2025 tillsynsbegäran.docx", "A 37023-2025")</f>
        <v/>
      </c>
      <c r="Y731">
        <f>HYPERLINK("https://klasma.github.io/Logging_2582/tillsynsmail/A 37023-2025 tillsynsbegäran mail.docx", "A 37023-2025")</f>
        <v/>
      </c>
    </row>
    <row r="732" ht="15" customHeight="1">
      <c r="A732" t="inlineStr">
        <is>
          <t>A 37086-2025</t>
        </is>
      </c>
      <c r="B732" s="1" t="n">
        <v>45875.45590277778</v>
      </c>
      <c r="C732" s="1" t="n">
        <v>45915</v>
      </c>
      <c r="D732" t="inlineStr">
        <is>
          <t>NORRBOTTENS LÄN</t>
        </is>
      </c>
      <c r="E732" t="inlineStr">
        <is>
          <t>BODEN</t>
        </is>
      </c>
      <c r="F732" t="inlineStr">
        <is>
          <t>Övriga Aktiebolag</t>
        </is>
      </c>
      <c r="G732" t="n">
        <v>22.8</v>
      </c>
      <c r="H732" t="n">
        <v>0</v>
      </c>
      <c r="I732" t="n">
        <v>0</v>
      </c>
      <c r="J732" t="n">
        <v>0</v>
      </c>
      <c r="K732" t="n">
        <v>0</v>
      </c>
      <c r="L732" t="n">
        <v>0</v>
      </c>
      <c r="M732" t="n">
        <v>0</v>
      </c>
      <c r="N732" t="n">
        <v>0</v>
      </c>
      <c r="O732" t="n">
        <v>0</v>
      </c>
      <c r="P732" t="n">
        <v>0</v>
      </c>
      <c r="Q732" t="n">
        <v>0</v>
      </c>
      <c r="R732" s="2" t="inlineStr"/>
    </row>
    <row r="733" ht="15" customHeight="1">
      <c r="A733" t="inlineStr">
        <is>
          <t>A 42436-2025</t>
        </is>
      </c>
      <c r="B733" s="1" t="n">
        <v>45905.42783564814</v>
      </c>
      <c r="C733" s="1" t="n">
        <v>45915</v>
      </c>
      <c r="D733" t="inlineStr">
        <is>
          <t>NORRBOTTENS LÄN</t>
        </is>
      </c>
      <c r="E733" t="inlineStr">
        <is>
          <t>BODEN</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42652-2025</t>
        </is>
      </c>
      <c r="B734" s="1" t="n">
        <v>45906.68483796297</v>
      </c>
      <c r="C734" s="1" t="n">
        <v>45915</v>
      </c>
      <c r="D734" t="inlineStr">
        <is>
          <t>NORRBOTTENS LÄN</t>
        </is>
      </c>
      <c r="E734" t="inlineStr">
        <is>
          <t>BODEN</t>
        </is>
      </c>
      <c r="G734" t="n">
        <v>5.1</v>
      </c>
      <c r="H734" t="n">
        <v>0</v>
      </c>
      <c r="I734" t="n">
        <v>0</v>
      </c>
      <c r="J734" t="n">
        <v>0</v>
      </c>
      <c r="K734" t="n">
        <v>0</v>
      </c>
      <c r="L734" t="n">
        <v>0</v>
      </c>
      <c r="M734" t="n">
        <v>0</v>
      </c>
      <c r="N734" t="n">
        <v>0</v>
      </c>
      <c r="O734" t="n">
        <v>0</v>
      </c>
      <c r="P734" t="n">
        <v>0</v>
      </c>
      <c r="Q734" t="n">
        <v>0</v>
      </c>
      <c r="R734" s="2" t="inlineStr"/>
    </row>
    <row r="735" ht="15" customHeight="1">
      <c r="A735" t="inlineStr">
        <is>
          <t>A 42656-2025</t>
        </is>
      </c>
      <c r="B735" s="1" t="n">
        <v>45907.34451388889</v>
      </c>
      <c r="C735" s="1" t="n">
        <v>45915</v>
      </c>
      <c r="D735" t="inlineStr">
        <is>
          <t>NORRBOTTENS LÄN</t>
        </is>
      </c>
      <c r="E735" t="inlineStr">
        <is>
          <t>BODEN</t>
        </is>
      </c>
      <c r="F735" t="inlineStr">
        <is>
          <t>SCA</t>
        </is>
      </c>
      <c r="G735" t="n">
        <v>9.6</v>
      </c>
      <c r="H735" t="n">
        <v>0</v>
      </c>
      <c r="I735" t="n">
        <v>0</v>
      </c>
      <c r="J735" t="n">
        <v>0</v>
      </c>
      <c r="K735" t="n">
        <v>0</v>
      </c>
      <c r="L735" t="n">
        <v>0</v>
      </c>
      <c r="M735" t="n">
        <v>0</v>
      </c>
      <c r="N735" t="n">
        <v>0</v>
      </c>
      <c r="O735" t="n">
        <v>0</v>
      </c>
      <c r="P735" t="n">
        <v>0</v>
      </c>
      <c r="Q735" t="n">
        <v>0</v>
      </c>
      <c r="R735" s="2" t="inlineStr"/>
    </row>
    <row r="736" ht="15" customHeight="1">
      <c r="A736" t="inlineStr">
        <is>
          <t>A 36006-2025</t>
        </is>
      </c>
      <c r="B736" s="1" t="n">
        <v>45863.56016203704</v>
      </c>
      <c r="C736" s="1" t="n">
        <v>45915</v>
      </c>
      <c r="D736" t="inlineStr">
        <is>
          <t>NORRBOTTENS LÄN</t>
        </is>
      </c>
      <c r="E736" t="inlineStr">
        <is>
          <t>BODEN</t>
        </is>
      </c>
      <c r="F736" t="inlineStr">
        <is>
          <t>Sveaskog</t>
        </is>
      </c>
      <c r="G736" t="n">
        <v>4.8</v>
      </c>
      <c r="H736" t="n">
        <v>0</v>
      </c>
      <c r="I736" t="n">
        <v>0</v>
      </c>
      <c r="J736" t="n">
        <v>0</v>
      </c>
      <c r="K736" t="n">
        <v>0</v>
      </c>
      <c r="L736" t="n">
        <v>0</v>
      </c>
      <c r="M736" t="n">
        <v>0</v>
      </c>
      <c r="N736" t="n">
        <v>0</v>
      </c>
      <c r="O736" t="n">
        <v>0</v>
      </c>
      <c r="P736" t="n">
        <v>0</v>
      </c>
      <c r="Q736" t="n">
        <v>0</v>
      </c>
      <c r="R736" s="2" t="inlineStr"/>
    </row>
    <row r="737" ht="15" customHeight="1">
      <c r="A737" t="inlineStr">
        <is>
          <t>A 36138-2021</t>
        </is>
      </c>
      <c r="B737" s="1" t="n">
        <v>44392</v>
      </c>
      <c r="C737" s="1" t="n">
        <v>45915</v>
      </c>
      <c r="D737" t="inlineStr">
        <is>
          <t>NORRBOTTENS LÄN</t>
        </is>
      </c>
      <c r="E737" t="inlineStr">
        <is>
          <t>BODEN</t>
        </is>
      </c>
      <c r="G737" t="n">
        <v>18.5</v>
      </c>
      <c r="H737" t="n">
        <v>0</v>
      </c>
      <c r="I737" t="n">
        <v>0</v>
      </c>
      <c r="J737" t="n">
        <v>0</v>
      </c>
      <c r="K737" t="n">
        <v>0</v>
      </c>
      <c r="L737" t="n">
        <v>0</v>
      </c>
      <c r="M737" t="n">
        <v>0</v>
      </c>
      <c r="N737" t="n">
        <v>0</v>
      </c>
      <c r="O737" t="n">
        <v>0</v>
      </c>
      <c r="P737" t="n">
        <v>0</v>
      </c>
      <c r="Q737" t="n">
        <v>0</v>
      </c>
      <c r="R737" s="2" t="inlineStr"/>
    </row>
    <row r="738" ht="15" customHeight="1">
      <c r="A738" t="inlineStr">
        <is>
          <t>A 3146-2024</t>
        </is>
      </c>
      <c r="B738" s="1" t="n">
        <v>45316</v>
      </c>
      <c r="C738" s="1" t="n">
        <v>45915</v>
      </c>
      <c r="D738" t="inlineStr">
        <is>
          <t>NORRBOTTENS LÄN</t>
        </is>
      </c>
      <c r="E738" t="inlineStr">
        <is>
          <t>BODEN</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73910-2021</t>
        </is>
      </c>
      <c r="B739" s="1" t="n">
        <v>44552</v>
      </c>
      <c r="C739" s="1" t="n">
        <v>45915</v>
      </c>
      <c r="D739" t="inlineStr">
        <is>
          <t>NORRBOTTENS LÄN</t>
        </is>
      </c>
      <c r="E739" t="inlineStr">
        <is>
          <t>BODEN</t>
        </is>
      </c>
      <c r="G739" t="n">
        <v>2.8</v>
      </c>
      <c r="H739" t="n">
        <v>0</v>
      </c>
      <c r="I739" t="n">
        <v>0</v>
      </c>
      <c r="J739" t="n">
        <v>0</v>
      </c>
      <c r="K739" t="n">
        <v>0</v>
      </c>
      <c r="L739" t="n">
        <v>0</v>
      </c>
      <c r="M739" t="n">
        <v>0</v>
      </c>
      <c r="N739" t="n">
        <v>0</v>
      </c>
      <c r="O739" t="n">
        <v>0</v>
      </c>
      <c r="P739" t="n">
        <v>0</v>
      </c>
      <c r="Q739" t="n">
        <v>0</v>
      </c>
      <c r="R739" s="2" t="inlineStr"/>
    </row>
    <row r="740" ht="15" customHeight="1">
      <c r="A740" t="inlineStr">
        <is>
          <t>A 18002-2025</t>
        </is>
      </c>
      <c r="B740" s="1" t="n">
        <v>45761</v>
      </c>
      <c r="C740" s="1" t="n">
        <v>45915</v>
      </c>
      <c r="D740" t="inlineStr">
        <is>
          <t>NORRBOTTENS LÄN</t>
        </is>
      </c>
      <c r="E740" t="inlineStr">
        <is>
          <t>BODEN</t>
        </is>
      </c>
      <c r="F740" t="inlineStr">
        <is>
          <t>Övriga statliga verk och myndigheter</t>
        </is>
      </c>
      <c r="G740" t="n">
        <v>11.5</v>
      </c>
      <c r="H740" t="n">
        <v>0</v>
      </c>
      <c r="I740" t="n">
        <v>0</v>
      </c>
      <c r="J740" t="n">
        <v>0</v>
      </c>
      <c r="K740" t="n">
        <v>0</v>
      </c>
      <c r="L740" t="n">
        <v>0</v>
      </c>
      <c r="M740" t="n">
        <v>0</v>
      </c>
      <c r="N740" t="n">
        <v>0</v>
      </c>
      <c r="O740" t="n">
        <v>0</v>
      </c>
      <c r="P740" t="n">
        <v>0</v>
      </c>
      <c r="Q740" t="n">
        <v>0</v>
      </c>
      <c r="R740" s="2" t="inlineStr"/>
    </row>
    <row r="741" ht="15" customHeight="1">
      <c r="A741" t="inlineStr">
        <is>
          <t>A 8776-2022</t>
        </is>
      </c>
      <c r="B741" s="1" t="n">
        <v>44614.40652777778</v>
      </c>
      <c r="C741" s="1" t="n">
        <v>45915</v>
      </c>
      <c r="D741" t="inlineStr">
        <is>
          <t>NORRBOTTENS LÄN</t>
        </is>
      </c>
      <c r="E741" t="inlineStr">
        <is>
          <t>BODEN</t>
        </is>
      </c>
      <c r="G741" t="n">
        <v>4</v>
      </c>
      <c r="H741" t="n">
        <v>0</v>
      </c>
      <c r="I741" t="n">
        <v>0</v>
      </c>
      <c r="J741" t="n">
        <v>0</v>
      </c>
      <c r="K741" t="n">
        <v>0</v>
      </c>
      <c r="L741" t="n">
        <v>0</v>
      </c>
      <c r="M741" t="n">
        <v>0</v>
      </c>
      <c r="N741" t="n">
        <v>0</v>
      </c>
      <c r="O741" t="n">
        <v>0</v>
      </c>
      <c r="P741" t="n">
        <v>0</v>
      </c>
      <c r="Q741" t="n">
        <v>0</v>
      </c>
      <c r="R741" s="2" t="inlineStr"/>
    </row>
    <row r="742" ht="15" customHeight="1">
      <c r="A742" t="inlineStr">
        <is>
          <t>A 26806-2024</t>
        </is>
      </c>
      <c r="B742" s="1" t="n">
        <v>45470</v>
      </c>
      <c r="C742" s="1" t="n">
        <v>45915</v>
      </c>
      <c r="D742" t="inlineStr">
        <is>
          <t>NORRBOTTENS LÄN</t>
        </is>
      </c>
      <c r="E742" t="inlineStr">
        <is>
          <t>BODEN</t>
        </is>
      </c>
      <c r="F742" t="inlineStr">
        <is>
          <t>Övriga Aktiebolag</t>
        </is>
      </c>
      <c r="G742" t="n">
        <v>4.3</v>
      </c>
      <c r="H742" t="n">
        <v>0</v>
      </c>
      <c r="I742" t="n">
        <v>0</v>
      </c>
      <c r="J742" t="n">
        <v>0</v>
      </c>
      <c r="K742" t="n">
        <v>0</v>
      </c>
      <c r="L742" t="n">
        <v>0</v>
      </c>
      <c r="M742" t="n">
        <v>0</v>
      </c>
      <c r="N742" t="n">
        <v>0</v>
      </c>
      <c r="O742" t="n">
        <v>0</v>
      </c>
      <c r="P742" t="n">
        <v>0</v>
      </c>
      <c r="Q742" t="n">
        <v>0</v>
      </c>
      <c r="R742" s="2" t="inlineStr"/>
    </row>
    <row r="743" ht="15" customHeight="1">
      <c r="A743" t="inlineStr">
        <is>
          <t>A 47423-2024</t>
        </is>
      </c>
      <c r="B743" s="1" t="n">
        <v>45587</v>
      </c>
      <c r="C743" s="1" t="n">
        <v>45915</v>
      </c>
      <c r="D743" t="inlineStr">
        <is>
          <t>NORRBOTTENS LÄN</t>
        </is>
      </c>
      <c r="E743" t="inlineStr">
        <is>
          <t>BODEN</t>
        </is>
      </c>
      <c r="G743" t="n">
        <v>17.2</v>
      </c>
      <c r="H743" t="n">
        <v>0</v>
      </c>
      <c r="I743" t="n">
        <v>0</v>
      </c>
      <c r="J743" t="n">
        <v>0</v>
      </c>
      <c r="K743" t="n">
        <v>0</v>
      </c>
      <c r="L743" t="n">
        <v>0</v>
      </c>
      <c r="M743" t="n">
        <v>0</v>
      </c>
      <c r="N743" t="n">
        <v>0</v>
      </c>
      <c r="O743" t="n">
        <v>0</v>
      </c>
      <c r="P743" t="n">
        <v>0</v>
      </c>
      <c r="Q743" t="n">
        <v>0</v>
      </c>
      <c r="R743" s="2" t="inlineStr"/>
    </row>
    <row r="744" ht="15" customHeight="1">
      <c r="A744" t="inlineStr">
        <is>
          <t>A 43205-2025</t>
        </is>
      </c>
      <c r="B744" s="1" t="n">
        <v>45910.44831018519</v>
      </c>
      <c r="C744" s="1" t="n">
        <v>45915</v>
      </c>
      <c r="D744" t="inlineStr">
        <is>
          <t>NORRBOTTENS LÄN</t>
        </is>
      </c>
      <c r="E744" t="inlineStr">
        <is>
          <t>BODEN</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31226-2023</t>
        </is>
      </c>
      <c r="B745" s="1" t="n">
        <v>45114</v>
      </c>
      <c r="C745" s="1" t="n">
        <v>45915</v>
      </c>
      <c r="D745" t="inlineStr">
        <is>
          <t>NORRBOTTENS LÄN</t>
        </is>
      </c>
      <c r="E745" t="inlineStr">
        <is>
          <t>BODEN</t>
        </is>
      </c>
      <c r="G745" t="n">
        <v>1.4</v>
      </c>
      <c r="H745" t="n">
        <v>0</v>
      </c>
      <c r="I745" t="n">
        <v>0</v>
      </c>
      <c r="J745" t="n">
        <v>0</v>
      </c>
      <c r="K745" t="n">
        <v>0</v>
      </c>
      <c r="L745" t="n">
        <v>0</v>
      </c>
      <c r="M745" t="n">
        <v>0</v>
      </c>
      <c r="N745" t="n">
        <v>0</v>
      </c>
      <c r="O745" t="n">
        <v>0</v>
      </c>
      <c r="P745" t="n">
        <v>0</v>
      </c>
      <c r="Q745" t="n">
        <v>0</v>
      </c>
      <c r="R745" s="2" t="inlineStr"/>
    </row>
    <row r="746" ht="15" customHeight="1">
      <c r="A746" t="inlineStr">
        <is>
          <t>A 43299-2025</t>
        </is>
      </c>
      <c r="B746" s="1" t="n">
        <v>45910.63275462963</v>
      </c>
      <c r="C746" s="1" t="n">
        <v>45915</v>
      </c>
      <c r="D746" t="inlineStr">
        <is>
          <t>NORRBOTTENS LÄN</t>
        </is>
      </c>
      <c r="E746" t="inlineStr">
        <is>
          <t>BODEN</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43310-2025</t>
        </is>
      </c>
      <c r="B747" s="1" t="n">
        <v>45910.64707175926</v>
      </c>
      <c r="C747" s="1" t="n">
        <v>45915</v>
      </c>
      <c r="D747" t="inlineStr">
        <is>
          <t>NORRBOTTENS LÄN</t>
        </is>
      </c>
      <c r="E747" t="inlineStr">
        <is>
          <t>BODEN</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708-2022</t>
        </is>
      </c>
      <c r="B748" s="1" t="n">
        <v>44566</v>
      </c>
      <c r="C748" s="1" t="n">
        <v>45915</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43315-2025</t>
        </is>
      </c>
      <c r="B749" s="1" t="n">
        <v>45910.65401620371</v>
      </c>
      <c r="C749" s="1" t="n">
        <v>45915</v>
      </c>
      <c r="D749" t="inlineStr">
        <is>
          <t>NORRBOTTENS LÄN</t>
        </is>
      </c>
      <c r="E749" t="inlineStr">
        <is>
          <t>BODEN</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58506-2024</t>
        </is>
      </c>
      <c r="B750" s="1" t="n">
        <v>45635.41770833333</v>
      </c>
      <c r="C750" s="1" t="n">
        <v>45915</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4254-2025</t>
        </is>
      </c>
      <c r="B751" s="1" t="n">
        <v>45685</v>
      </c>
      <c r="C751" s="1" t="n">
        <v>45915</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37791-2024</t>
        </is>
      </c>
      <c r="B752" s="1" t="n">
        <v>45543.34873842593</v>
      </c>
      <c r="C752" s="1" t="n">
        <v>45915</v>
      </c>
      <c r="D752" t="inlineStr">
        <is>
          <t>NORRBOTTENS LÄN</t>
        </is>
      </c>
      <c r="E752" t="inlineStr">
        <is>
          <t>BODEN</t>
        </is>
      </c>
      <c r="G752" t="n">
        <v>9.1</v>
      </c>
      <c r="H752" t="n">
        <v>0</v>
      </c>
      <c r="I752" t="n">
        <v>0</v>
      </c>
      <c r="J752" t="n">
        <v>0</v>
      </c>
      <c r="K752" t="n">
        <v>0</v>
      </c>
      <c r="L752" t="n">
        <v>0</v>
      </c>
      <c r="M752" t="n">
        <v>0</v>
      </c>
      <c r="N752" t="n">
        <v>0</v>
      </c>
      <c r="O752" t="n">
        <v>0</v>
      </c>
      <c r="P752" t="n">
        <v>0</v>
      </c>
      <c r="Q752" t="n">
        <v>0</v>
      </c>
      <c r="R752" s="2" t="inlineStr"/>
    </row>
    <row r="753" ht="15" customHeight="1">
      <c r="A753" t="inlineStr">
        <is>
          <t>A 43838-2025</t>
        </is>
      </c>
      <c r="B753" s="1" t="n">
        <v>45912.63472222222</v>
      </c>
      <c r="C753" s="1" t="n">
        <v>45915</v>
      </c>
      <c r="D753" t="inlineStr">
        <is>
          <t>NORRBOTTENS LÄN</t>
        </is>
      </c>
      <c r="E753" t="inlineStr">
        <is>
          <t>BODEN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43711-2025</t>
        </is>
      </c>
      <c r="B754" s="1" t="n">
        <v>45912.40695601852</v>
      </c>
      <c r="C754" s="1" t="n">
        <v>45915</v>
      </c>
      <c r="D754" t="inlineStr">
        <is>
          <t>NORRBOTTENS LÄN</t>
        </is>
      </c>
      <c r="E754" t="inlineStr">
        <is>
          <t>BODEN</t>
        </is>
      </c>
      <c r="G754" t="n">
        <v>10.1</v>
      </c>
      <c r="H754" t="n">
        <v>0</v>
      </c>
      <c r="I754" t="n">
        <v>0</v>
      </c>
      <c r="J754" t="n">
        <v>0</v>
      </c>
      <c r="K754" t="n">
        <v>0</v>
      </c>
      <c r="L754" t="n">
        <v>0</v>
      </c>
      <c r="M754" t="n">
        <v>0</v>
      </c>
      <c r="N754" t="n">
        <v>0</v>
      </c>
      <c r="O754" t="n">
        <v>0</v>
      </c>
      <c r="P754" t="n">
        <v>0</v>
      </c>
      <c r="Q754" t="n">
        <v>0</v>
      </c>
      <c r="R754" s="2" t="inlineStr"/>
    </row>
    <row r="755" ht="15" customHeight="1">
      <c r="A755" t="inlineStr">
        <is>
          <t>A 43719-2025</t>
        </is>
      </c>
      <c r="B755" s="1" t="n">
        <v>45912.42748842593</v>
      </c>
      <c r="C755" s="1" t="n">
        <v>45915</v>
      </c>
      <c r="D755" t="inlineStr">
        <is>
          <t>NORRBOTTENS LÄN</t>
        </is>
      </c>
      <c r="E755" t="inlineStr">
        <is>
          <t>BODEN</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40117-2025</t>
        </is>
      </c>
      <c r="B756" s="1" t="n">
        <v>45894</v>
      </c>
      <c r="C756" s="1" t="n">
        <v>45915</v>
      </c>
      <c r="D756" t="inlineStr">
        <is>
          <t>NORRBOTTENS LÄN</t>
        </is>
      </c>
      <c r="E756" t="inlineStr">
        <is>
          <t>BODEN</t>
        </is>
      </c>
      <c r="G756" t="n">
        <v>3.6</v>
      </c>
      <c r="H756" t="n">
        <v>0</v>
      </c>
      <c r="I756" t="n">
        <v>0</v>
      </c>
      <c r="J756" t="n">
        <v>0</v>
      </c>
      <c r="K756" t="n">
        <v>0</v>
      </c>
      <c r="L756" t="n">
        <v>0</v>
      </c>
      <c r="M756" t="n">
        <v>0</v>
      </c>
      <c r="N756" t="n">
        <v>0</v>
      </c>
      <c r="O756" t="n">
        <v>0</v>
      </c>
      <c r="P756" t="n">
        <v>0</v>
      </c>
      <c r="Q756" t="n">
        <v>0</v>
      </c>
      <c r="R756" s="2" t="inlineStr"/>
    </row>
    <row r="757" ht="15" customHeight="1">
      <c r="A757" t="inlineStr">
        <is>
          <t>A 31760-2025</t>
        </is>
      </c>
      <c r="B757" s="1" t="n">
        <v>45834</v>
      </c>
      <c r="C757" s="1" t="n">
        <v>45915</v>
      </c>
      <c r="D757" t="inlineStr">
        <is>
          <t>NORRBOTTENS LÄN</t>
        </is>
      </c>
      <c r="E757" t="inlineStr">
        <is>
          <t>BODEN</t>
        </is>
      </c>
      <c r="G757" t="n">
        <v>8.6</v>
      </c>
      <c r="H757" t="n">
        <v>0</v>
      </c>
      <c r="I757" t="n">
        <v>0</v>
      </c>
      <c r="J757" t="n">
        <v>0</v>
      </c>
      <c r="K757" t="n">
        <v>0</v>
      </c>
      <c r="L757" t="n">
        <v>0</v>
      </c>
      <c r="M757" t="n">
        <v>0</v>
      </c>
      <c r="N757" t="n">
        <v>0</v>
      </c>
      <c r="O757" t="n">
        <v>0</v>
      </c>
      <c r="P757" t="n">
        <v>0</v>
      </c>
      <c r="Q757" t="n">
        <v>0</v>
      </c>
      <c r="R757" s="2" t="inlineStr"/>
    </row>
    <row r="758" ht="15" customHeight="1">
      <c r="A758" t="inlineStr">
        <is>
          <t>A 40130-2025</t>
        </is>
      </c>
      <c r="B758" s="1" t="n">
        <v>45894</v>
      </c>
      <c r="C758" s="1" t="n">
        <v>45915</v>
      </c>
      <c r="D758" t="inlineStr">
        <is>
          <t>NORRBOTTENS LÄN</t>
        </is>
      </c>
      <c r="E758" t="inlineStr">
        <is>
          <t>BODEN</t>
        </is>
      </c>
      <c r="G758" t="n">
        <v>5.3</v>
      </c>
      <c r="H758" t="n">
        <v>0</v>
      </c>
      <c r="I758" t="n">
        <v>0</v>
      </c>
      <c r="J758" t="n">
        <v>0</v>
      </c>
      <c r="K758" t="n">
        <v>0</v>
      </c>
      <c r="L758" t="n">
        <v>0</v>
      </c>
      <c r="M758" t="n">
        <v>0</v>
      </c>
      <c r="N758" t="n">
        <v>0</v>
      </c>
      <c r="O758" t="n">
        <v>0</v>
      </c>
      <c r="P758" t="n">
        <v>0</v>
      </c>
      <c r="Q758" t="n">
        <v>0</v>
      </c>
      <c r="R758" s="2" t="inlineStr"/>
    </row>
    <row r="759" ht="15" customHeight="1">
      <c r="A759" t="inlineStr">
        <is>
          <t>A 32582-2025</t>
        </is>
      </c>
      <c r="B759" s="1" t="n">
        <v>45838.5983912037</v>
      </c>
      <c r="C759" s="1" t="n">
        <v>45915</v>
      </c>
      <c r="D759" t="inlineStr">
        <is>
          <t>NORRBOTTENS LÄN</t>
        </is>
      </c>
      <c r="E759" t="inlineStr">
        <is>
          <t>BODEN</t>
        </is>
      </c>
      <c r="G759" t="n">
        <v>1.2</v>
      </c>
      <c r="H759" t="n">
        <v>0</v>
      </c>
      <c r="I759" t="n">
        <v>0</v>
      </c>
      <c r="J759" t="n">
        <v>0</v>
      </c>
      <c r="K759" t="n">
        <v>0</v>
      </c>
      <c r="L759" t="n">
        <v>0</v>
      </c>
      <c r="M759" t="n">
        <v>0</v>
      </c>
      <c r="N759" t="n">
        <v>0</v>
      </c>
      <c r="O759" t="n">
        <v>0</v>
      </c>
      <c r="P759" t="n">
        <v>0</v>
      </c>
      <c r="Q759" t="n">
        <v>0</v>
      </c>
      <c r="R759" s="2" t="inlineStr"/>
    </row>
    <row r="760" ht="15" customHeight="1">
      <c r="A760" t="inlineStr">
        <is>
          <t>A 61911-2024</t>
        </is>
      </c>
      <c r="B760" s="1" t="n">
        <v>45653.3677662037</v>
      </c>
      <c r="C760" s="1" t="n">
        <v>45915</v>
      </c>
      <c r="D760" t="inlineStr">
        <is>
          <t>NORRBOTTENS LÄN</t>
        </is>
      </c>
      <c r="E760" t="inlineStr">
        <is>
          <t>BODEN</t>
        </is>
      </c>
      <c r="G760" t="n">
        <v>3</v>
      </c>
      <c r="H760" t="n">
        <v>0</v>
      </c>
      <c r="I760" t="n">
        <v>0</v>
      </c>
      <c r="J760" t="n">
        <v>0</v>
      </c>
      <c r="K760" t="n">
        <v>0</v>
      </c>
      <c r="L760" t="n">
        <v>0</v>
      </c>
      <c r="M760" t="n">
        <v>0</v>
      </c>
      <c r="N760" t="n">
        <v>0</v>
      </c>
      <c r="O760" t="n">
        <v>0</v>
      </c>
      <c r="P760" t="n">
        <v>0</v>
      </c>
      <c r="Q760" t="n">
        <v>0</v>
      </c>
      <c r="R760" s="2" t="inlineStr"/>
    </row>
    <row r="761" ht="15" customHeight="1">
      <c r="A761" t="inlineStr">
        <is>
          <t>A 39651-2025</t>
        </is>
      </c>
      <c r="B761" s="1" t="n">
        <v>45890</v>
      </c>
      <c r="C761" s="1" t="n">
        <v>45915</v>
      </c>
      <c r="D761" t="inlineStr">
        <is>
          <t>NORRBOTTENS LÄN</t>
        </is>
      </c>
      <c r="E761" t="inlineStr">
        <is>
          <t>BODEN</t>
        </is>
      </c>
      <c r="F761" t="inlineStr">
        <is>
          <t>Sveaskog</t>
        </is>
      </c>
      <c r="G761" t="n">
        <v>5.9</v>
      </c>
      <c r="H761" t="n">
        <v>0</v>
      </c>
      <c r="I761" t="n">
        <v>0</v>
      </c>
      <c r="J761" t="n">
        <v>0</v>
      </c>
      <c r="K761" t="n">
        <v>0</v>
      </c>
      <c r="L761" t="n">
        <v>0</v>
      </c>
      <c r="M761" t="n">
        <v>0</v>
      </c>
      <c r="N761" t="n">
        <v>0</v>
      </c>
      <c r="O761" t="n">
        <v>0</v>
      </c>
      <c r="P761" t="n">
        <v>0</v>
      </c>
      <c r="Q761" t="n">
        <v>0</v>
      </c>
      <c r="R761" s="2" t="inlineStr"/>
    </row>
    <row r="762" ht="15" customHeight="1">
      <c r="A762" t="inlineStr">
        <is>
          <t>A 36310-2025</t>
        </is>
      </c>
      <c r="B762" s="1" t="n">
        <v>45868</v>
      </c>
      <c r="C762" s="1" t="n">
        <v>45915</v>
      </c>
      <c r="D762" t="inlineStr">
        <is>
          <t>NORRBOTTENS LÄN</t>
        </is>
      </c>
      <c r="E762" t="inlineStr">
        <is>
          <t>BODEN</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36564-2025</t>
        </is>
      </c>
      <c r="B763" s="1" t="n">
        <v>45870</v>
      </c>
      <c r="C763" s="1" t="n">
        <v>45915</v>
      </c>
      <c r="D763" t="inlineStr">
        <is>
          <t>NORRBOTTENS LÄN</t>
        </is>
      </c>
      <c r="E763" t="inlineStr">
        <is>
          <t>BODEN</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36565-2025</t>
        </is>
      </c>
      <c r="B764" s="1" t="n">
        <v>45870</v>
      </c>
      <c r="C764" s="1" t="n">
        <v>45915</v>
      </c>
      <c r="D764" t="inlineStr">
        <is>
          <t>NORRBOTTENS LÄN</t>
        </is>
      </c>
      <c r="E764" t="inlineStr">
        <is>
          <t>BODEN</t>
        </is>
      </c>
      <c r="F764" t="inlineStr">
        <is>
          <t>Sveaskog</t>
        </is>
      </c>
      <c r="G764" t="n">
        <v>6.3</v>
      </c>
      <c r="H764" t="n">
        <v>0</v>
      </c>
      <c r="I764" t="n">
        <v>0</v>
      </c>
      <c r="J764" t="n">
        <v>0</v>
      </c>
      <c r="K764" t="n">
        <v>0</v>
      </c>
      <c r="L764" t="n">
        <v>0</v>
      </c>
      <c r="M764" t="n">
        <v>0</v>
      </c>
      <c r="N764" t="n">
        <v>0</v>
      </c>
      <c r="O764" t="n">
        <v>0</v>
      </c>
      <c r="P764" t="n">
        <v>0</v>
      </c>
      <c r="Q764" t="n">
        <v>0</v>
      </c>
      <c r="R764" s="2" t="inlineStr"/>
    </row>
    <row r="765" ht="15" customHeight="1">
      <c r="A765" t="inlineStr">
        <is>
          <t>A 24193-2024</t>
        </is>
      </c>
      <c r="B765" s="1" t="n">
        <v>45456</v>
      </c>
      <c r="C765" s="1" t="n">
        <v>45915</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38511-2025</t>
        </is>
      </c>
      <c r="B766" s="1" t="n">
        <v>45884</v>
      </c>
      <c r="C766" s="1" t="n">
        <v>45915</v>
      </c>
      <c r="D766" t="inlineStr">
        <is>
          <t>NORRBOTTENS LÄN</t>
        </is>
      </c>
      <c r="E766" t="inlineStr">
        <is>
          <t>BODEN</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v>
      </c>
      <c r="C767" s="1" t="n">
        <v>45915</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57563-2023</t>
        </is>
      </c>
      <c r="B768" s="1" t="n">
        <v>45246</v>
      </c>
      <c r="C768" s="1" t="n">
        <v>45915</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43710-2025</t>
        </is>
      </c>
      <c r="B769" s="1" t="n">
        <v>45912.40694444445</v>
      </c>
      <c r="C769" s="1" t="n">
        <v>45915</v>
      </c>
      <c r="D769" t="inlineStr">
        <is>
          <t>NORRBOTTENS LÄN</t>
        </is>
      </c>
      <c r="E769" t="inlineStr">
        <is>
          <t>BODEN</t>
        </is>
      </c>
      <c r="G769" t="n">
        <v>4.8</v>
      </c>
      <c r="H769" t="n">
        <v>0</v>
      </c>
      <c r="I769" t="n">
        <v>0</v>
      </c>
      <c r="J769" t="n">
        <v>0</v>
      </c>
      <c r="K769" t="n">
        <v>0</v>
      </c>
      <c r="L769" t="n">
        <v>0</v>
      </c>
      <c r="M769" t="n">
        <v>0</v>
      </c>
      <c r="N769" t="n">
        <v>0</v>
      </c>
      <c r="O769" t="n">
        <v>0</v>
      </c>
      <c r="P769" t="n">
        <v>0</v>
      </c>
      <c r="Q769" t="n">
        <v>0</v>
      </c>
      <c r="R769" s="2" t="inlineStr"/>
    </row>
    <row r="770" ht="15" customHeight="1">
      <c r="A770" t="inlineStr">
        <is>
          <t>A 45035-2022</t>
        </is>
      </c>
      <c r="B770" s="1" t="n">
        <v>44841.66430555555</v>
      </c>
      <c r="C770" s="1" t="n">
        <v>45915</v>
      </c>
      <c r="D770" t="inlineStr">
        <is>
          <t>NORRBOTTENS LÄN</t>
        </is>
      </c>
      <c r="E770" t="inlineStr">
        <is>
          <t>BODEN</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43402-2025</t>
        </is>
      </c>
      <c r="B771" s="1" t="n">
        <v>45911.3857175926</v>
      </c>
      <c r="C771" s="1" t="n">
        <v>45915</v>
      </c>
      <c r="D771" t="inlineStr">
        <is>
          <t>NORRBOTTENS LÄN</t>
        </is>
      </c>
      <c r="E771" t="inlineStr">
        <is>
          <t>BODEN</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10730-2024</t>
        </is>
      </c>
      <c r="B772" s="1" t="n">
        <v>45369.48284722222</v>
      </c>
      <c r="C772" s="1" t="n">
        <v>45915</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18436-2025</t>
        </is>
      </c>
      <c r="B773" s="1" t="n">
        <v>45762</v>
      </c>
      <c r="C773" s="1" t="n">
        <v>45915</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28074-2024</t>
        </is>
      </c>
      <c r="B774" s="1" t="n">
        <v>45476.58195601852</v>
      </c>
      <c r="C774" s="1" t="n">
        <v>45915</v>
      </c>
      <c r="D774" t="inlineStr">
        <is>
          <t>NORRBOTTENS LÄN</t>
        </is>
      </c>
      <c r="E774" t="inlineStr">
        <is>
          <t>BODEN</t>
        </is>
      </c>
      <c r="G774" t="n">
        <v>5.6</v>
      </c>
      <c r="H774" t="n">
        <v>0</v>
      </c>
      <c r="I774" t="n">
        <v>0</v>
      </c>
      <c r="J774" t="n">
        <v>0</v>
      </c>
      <c r="K774" t="n">
        <v>0</v>
      </c>
      <c r="L774" t="n">
        <v>0</v>
      </c>
      <c r="M774" t="n">
        <v>0</v>
      </c>
      <c r="N774" t="n">
        <v>0</v>
      </c>
      <c r="O774" t="n">
        <v>0</v>
      </c>
      <c r="P774" t="n">
        <v>0</v>
      </c>
      <c r="Q774" t="n">
        <v>0</v>
      </c>
      <c r="R774" s="2" t="inlineStr"/>
    </row>
    <row r="775" ht="15" customHeight="1">
      <c r="A775" t="inlineStr">
        <is>
          <t>A 23232-2024</t>
        </is>
      </c>
      <c r="B775" s="1" t="n">
        <v>45453</v>
      </c>
      <c r="C775" s="1" t="n">
        <v>45915</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60085-2024</t>
        </is>
      </c>
      <c r="B776" s="1" t="n">
        <v>45639</v>
      </c>
      <c r="C776" s="1" t="n">
        <v>45915</v>
      </c>
      <c r="D776" t="inlineStr">
        <is>
          <t>NORRBOTTENS LÄN</t>
        </is>
      </c>
      <c r="E776" t="inlineStr">
        <is>
          <t>BODEN</t>
        </is>
      </c>
      <c r="G776" t="n">
        <v>9.5</v>
      </c>
      <c r="H776" t="n">
        <v>0</v>
      </c>
      <c r="I776" t="n">
        <v>0</v>
      </c>
      <c r="J776" t="n">
        <v>0</v>
      </c>
      <c r="K776" t="n">
        <v>0</v>
      </c>
      <c r="L776" t="n">
        <v>0</v>
      </c>
      <c r="M776" t="n">
        <v>0</v>
      </c>
      <c r="N776" t="n">
        <v>0</v>
      </c>
      <c r="O776" t="n">
        <v>0</v>
      </c>
      <c r="P776" t="n">
        <v>0</v>
      </c>
      <c r="Q776" t="n">
        <v>0</v>
      </c>
      <c r="R776" s="2" t="inlineStr"/>
    </row>
    <row r="777" ht="15" customHeight="1">
      <c r="A777" t="inlineStr">
        <is>
          <t>A 5129-2025</t>
        </is>
      </c>
      <c r="B777" s="1" t="n">
        <v>45691.56939814815</v>
      </c>
      <c r="C777" s="1" t="n">
        <v>45915</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30105-2023</t>
        </is>
      </c>
      <c r="B778" s="1" t="n">
        <v>45099</v>
      </c>
      <c r="C778" s="1" t="n">
        <v>45915</v>
      </c>
      <c r="D778" t="inlineStr">
        <is>
          <t>NORRBOTTENS LÄN</t>
        </is>
      </c>
      <c r="E778" t="inlineStr">
        <is>
          <t>BODEN</t>
        </is>
      </c>
      <c r="G778" t="n">
        <v>2.9</v>
      </c>
      <c r="H778" t="n">
        <v>0</v>
      </c>
      <c r="I778" t="n">
        <v>0</v>
      </c>
      <c r="J778" t="n">
        <v>0</v>
      </c>
      <c r="K778" t="n">
        <v>0</v>
      </c>
      <c r="L778" t="n">
        <v>0</v>
      </c>
      <c r="M778" t="n">
        <v>0</v>
      </c>
      <c r="N778" t="n">
        <v>0</v>
      </c>
      <c r="O778" t="n">
        <v>0</v>
      </c>
      <c r="P778" t="n">
        <v>0</v>
      </c>
      <c r="Q778" t="n">
        <v>0</v>
      </c>
      <c r="R778" s="2" t="inlineStr"/>
    </row>
    <row r="779" ht="15" customHeight="1">
      <c r="A779" t="inlineStr">
        <is>
          <t>A 61588-2024</t>
        </is>
      </c>
      <c r="B779" s="1" t="n">
        <v>45646.6295949074</v>
      </c>
      <c r="C779" s="1" t="n">
        <v>45915</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15157-2025</t>
        </is>
      </c>
      <c r="B780" s="1" t="n">
        <v>45744.46895833333</v>
      </c>
      <c r="C780" s="1" t="n">
        <v>45915</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19757-2025</t>
        </is>
      </c>
      <c r="B781" s="1" t="n">
        <v>45770</v>
      </c>
      <c r="C781" s="1" t="n">
        <v>45915</v>
      </c>
      <c r="D781" t="inlineStr">
        <is>
          <t>NORRBOTTENS LÄN</t>
        </is>
      </c>
      <c r="E781" t="inlineStr">
        <is>
          <t>BODEN</t>
        </is>
      </c>
      <c r="G781" t="n">
        <v>0.4</v>
      </c>
      <c r="H781" t="n">
        <v>0</v>
      </c>
      <c r="I781" t="n">
        <v>0</v>
      </c>
      <c r="J781" t="n">
        <v>0</v>
      </c>
      <c r="K781" t="n">
        <v>0</v>
      </c>
      <c r="L781" t="n">
        <v>0</v>
      </c>
      <c r="M781" t="n">
        <v>0</v>
      </c>
      <c r="N781" t="n">
        <v>0</v>
      </c>
      <c r="O781" t="n">
        <v>0</v>
      </c>
      <c r="P781" t="n">
        <v>0</v>
      </c>
      <c r="Q781" t="n">
        <v>0</v>
      </c>
      <c r="R781" s="2" t="inlineStr"/>
    </row>
    <row r="782" ht="15" customHeight="1">
      <c r="A782" t="inlineStr">
        <is>
          <t>A 23706-2024</t>
        </is>
      </c>
      <c r="B782" s="1" t="n">
        <v>45454</v>
      </c>
      <c r="C782" s="1" t="n">
        <v>45915</v>
      </c>
      <c r="D782" t="inlineStr">
        <is>
          <t>NORRBOTTENS LÄN</t>
        </is>
      </c>
      <c r="E782" t="inlineStr">
        <is>
          <t>BODEN</t>
        </is>
      </c>
      <c r="G782" t="n">
        <v>10.9</v>
      </c>
      <c r="H782" t="n">
        <v>0</v>
      </c>
      <c r="I782" t="n">
        <v>0</v>
      </c>
      <c r="J782" t="n">
        <v>0</v>
      </c>
      <c r="K782" t="n">
        <v>0</v>
      </c>
      <c r="L782" t="n">
        <v>0</v>
      </c>
      <c r="M782" t="n">
        <v>0</v>
      </c>
      <c r="N782" t="n">
        <v>0</v>
      </c>
      <c r="O782" t="n">
        <v>0</v>
      </c>
      <c r="P782" t="n">
        <v>0</v>
      </c>
      <c r="Q782" t="n">
        <v>0</v>
      </c>
      <c r="R782" s="2" t="inlineStr"/>
    </row>
    <row r="783" ht="15" customHeight="1">
      <c r="A783" t="inlineStr">
        <is>
          <t>A 19582-2025</t>
        </is>
      </c>
      <c r="B783" s="1" t="n">
        <v>45770.56481481482</v>
      </c>
      <c r="C783" s="1" t="n">
        <v>45915</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2732-2025</t>
        </is>
      </c>
      <c r="B784" s="1" t="n">
        <v>45677.44833333333</v>
      </c>
      <c r="C784" s="1" t="n">
        <v>45915</v>
      </c>
      <c r="D784" t="inlineStr">
        <is>
          <t>NORRBOTTENS LÄN</t>
        </is>
      </c>
      <c r="E784" t="inlineStr">
        <is>
          <t>BODEN</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18569-2024</t>
        </is>
      </c>
      <c r="B785" s="1" t="n">
        <v>45425</v>
      </c>
      <c r="C785" s="1" t="n">
        <v>45915</v>
      </c>
      <c r="D785" t="inlineStr">
        <is>
          <t>NORRBOTTENS LÄN</t>
        </is>
      </c>
      <c r="E785" t="inlineStr">
        <is>
          <t>BODEN</t>
        </is>
      </c>
      <c r="G785" t="n">
        <v>6</v>
      </c>
      <c r="H785" t="n">
        <v>0</v>
      </c>
      <c r="I785" t="n">
        <v>0</v>
      </c>
      <c r="J785" t="n">
        <v>0</v>
      </c>
      <c r="K785" t="n">
        <v>0</v>
      </c>
      <c r="L785" t="n">
        <v>0</v>
      </c>
      <c r="M785" t="n">
        <v>0</v>
      </c>
      <c r="N785" t="n">
        <v>0</v>
      </c>
      <c r="O785" t="n">
        <v>0</v>
      </c>
      <c r="P785" t="n">
        <v>0</v>
      </c>
      <c r="Q785" t="n">
        <v>0</v>
      </c>
      <c r="R785" s="2" t="inlineStr"/>
    </row>
    <row r="786" ht="15" customHeight="1">
      <c r="A786" t="inlineStr">
        <is>
          <t>A 19968-2025</t>
        </is>
      </c>
      <c r="B786" s="1" t="n">
        <v>45771.68158564815</v>
      </c>
      <c r="C786" s="1" t="n">
        <v>45915</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33034-2023</t>
        </is>
      </c>
      <c r="B787" s="1" t="n">
        <v>45125.95043981481</v>
      </c>
      <c r="C787" s="1" t="n">
        <v>45915</v>
      </c>
      <c r="D787" t="inlineStr">
        <is>
          <t>NORRBOTTENS LÄN</t>
        </is>
      </c>
      <c r="E787" t="inlineStr">
        <is>
          <t>BODEN</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56581-2024</t>
        </is>
      </c>
      <c r="B788" s="1" t="n">
        <v>45625</v>
      </c>
      <c r="C788" s="1" t="n">
        <v>45915</v>
      </c>
      <c r="D788" t="inlineStr">
        <is>
          <t>NORRBOTTENS LÄN</t>
        </is>
      </c>
      <c r="E788" t="inlineStr">
        <is>
          <t>BODEN</t>
        </is>
      </c>
      <c r="G788" t="n">
        <v>10.7</v>
      </c>
      <c r="H788" t="n">
        <v>0</v>
      </c>
      <c r="I788" t="n">
        <v>0</v>
      </c>
      <c r="J788" t="n">
        <v>0</v>
      </c>
      <c r="K788" t="n">
        <v>0</v>
      </c>
      <c r="L788" t="n">
        <v>0</v>
      </c>
      <c r="M788" t="n">
        <v>0</v>
      </c>
      <c r="N788" t="n">
        <v>0</v>
      </c>
      <c r="O788" t="n">
        <v>0</v>
      </c>
      <c r="P788" t="n">
        <v>0</v>
      </c>
      <c r="Q788" t="n">
        <v>0</v>
      </c>
      <c r="R788" s="2" t="inlineStr"/>
    </row>
    <row r="789" ht="15" customHeight="1">
      <c r="A789" t="inlineStr">
        <is>
          <t>A 62140-2024</t>
        </is>
      </c>
      <c r="B789" s="1" t="n">
        <v>45646</v>
      </c>
      <c r="C789" s="1" t="n">
        <v>45915</v>
      </c>
      <c r="D789" t="inlineStr">
        <is>
          <t>NORRBOTTENS LÄN</t>
        </is>
      </c>
      <c r="E789" t="inlineStr">
        <is>
          <t>BODEN</t>
        </is>
      </c>
      <c r="G789" t="n">
        <v>0.4</v>
      </c>
      <c r="H789" t="n">
        <v>0</v>
      </c>
      <c r="I789" t="n">
        <v>0</v>
      </c>
      <c r="J789" t="n">
        <v>0</v>
      </c>
      <c r="K789" t="n">
        <v>0</v>
      </c>
      <c r="L789" t="n">
        <v>0</v>
      </c>
      <c r="M789" t="n">
        <v>0</v>
      </c>
      <c r="N789" t="n">
        <v>0</v>
      </c>
      <c r="O789" t="n">
        <v>0</v>
      </c>
      <c r="P789" t="n">
        <v>0</v>
      </c>
      <c r="Q789" t="n">
        <v>0</v>
      </c>
      <c r="R789" s="2" t="inlineStr"/>
    </row>
    <row r="790" ht="15" customHeight="1">
      <c r="A790" t="inlineStr">
        <is>
          <t>A 19082-2025</t>
        </is>
      </c>
      <c r="B790" s="1" t="n">
        <v>45766</v>
      </c>
      <c r="C790" s="1" t="n">
        <v>45915</v>
      </c>
      <c r="D790" t="inlineStr">
        <is>
          <t>NORRBOTTENS LÄN</t>
        </is>
      </c>
      <c r="E790" t="inlineStr">
        <is>
          <t>BODEN</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61756-2024</t>
        </is>
      </c>
      <c r="B791" s="1" t="n">
        <v>45649.40401620371</v>
      </c>
      <c r="C791" s="1" t="n">
        <v>45915</v>
      </c>
      <c r="D791" t="inlineStr">
        <is>
          <t>NORRBOTTENS LÄN</t>
        </is>
      </c>
      <c r="E791" t="inlineStr">
        <is>
          <t>BODEN</t>
        </is>
      </c>
      <c r="G791" t="n">
        <v>2</v>
      </c>
      <c r="H791" t="n">
        <v>0</v>
      </c>
      <c r="I791" t="n">
        <v>0</v>
      </c>
      <c r="J791" t="n">
        <v>0</v>
      </c>
      <c r="K791" t="n">
        <v>0</v>
      </c>
      <c r="L791" t="n">
        <v>0</v>
      </c>
      <c r="M791" t="n">
        <v>0</v>
      </c>
      <c r="N791" t="n">
        <v>0</v>
      </c>
      <c r="O791" t="n">
        <v>0</v>
      </c>
      <c r="P791" t="n">
        <v>0</v>
      </c>
      <c r="Q791" t="n">
        <v>0</v>
      </c>
      <c r="R791" s="2" t="inlineStr"/>
    </row>
    <row r="792" ht="15" customHeight="1">
      <c r="A792" t="inlineStr">
        <is>
          <t>A 61771-2024</t>
        </is>
      </c>
      <c r="B792" s="1" t="n">
        <v>45649.45635416666</v>
      </c>
      <c r="C792" s="1" t="n">
        <v>45915</v>
      </c>
      <c r="D792" t="inlineStr">
        <is>
          <t>NORRBOTTENS LÄN</t>
        </is>
      </c>
      <c r="E792" t="inlineStr">
        <is>
          <t>BODEN</t>
        </is>
      </c>
      <c r="G792" t="n">
        <v>1.8</v>
      </c>
      <c r="H792" t="n">
        <v>0</v>
      </c>
      <c r="I792" t="n">
        <v>0</v>
      </c>
      <c r="J792" t="n">
        <v>0</v>
      </c>
      <c r="K792" t="n">
        <v>0</v>
      </c>
      <c r="L792" t="n">
        <v>0</v>
      </c>
      <c r="M792" t="n">
        <v>0</v>
      </c>
      <c r="N792" t="n">
        <v>0</v>
      </c>
      <c r="O792" t="n">
        <v>0</v>
      </c>
      <c r="P792" t="n">
        <v>0</v>
      </c>
      <c r="Q792" t="n">
        <v>0</v>
      </c>
      <c r="R792" s="2" t="inlineStr"/>
    </row>
    <row r="793" ht="15" customHeight="1">
      <c r="A793" t="inlineStr">
        <is>
          <t>A 61772-2024</t>
        </is>
      </c>
      <c r="B793" s="1" t="n">
        <v>45649</v>
      </c>
      <c r="C793" s="1" t="n">
        <v>45915</v>
      </c>
      <c r="D793" t="inlineStr">
        <is>
          <t>NORRBOTTENS LÄN</t>
        </is>
      </c>
      <c r="E793" t="inlineStr">
        <is>
          <t>BODEN</t>
        </is>
      </c>
      <c r="G793" t="n">
        <v>1.3</v>
      </c>
      <c r="H793" t="n">
        <v>0</v>
      </c>
      <c r="I793" t="n">
        <v>0</v>
      </c>
      <c r="J793" t="n">
        <v>0</v>
      </c>
      <c r="K793" t="n">
        <v>0</v>
      </c>
      <c r="L793" t="n">
        <v>0</v>
      </c>
      <c r="M793" t="n">
        <v>0</v>
      </c>
      <c r="N793" t="n">
        <v>0</v>
      </c>
      <c r="O793" t="n">
        <v>0</v>
      </c>
      <c r="P793" t="n">
        <v>0</v>
      </c>
      <c r="Q793" t="n">
        <v>0</v>
      </c>
      <c r="R793" s="2" t="inlineStr"/>
    </row>
    <row r="794" ht="15" customHeight="1">
      <c r="A794" t="inlineStr">
        <is>
          <t>A 5451-2025</t>
        </is>
      </c>
      <c r="B794" s="1" t="n">
        <v>45692.91950231481</v>
      </c>
      <c r="C794" s="1" t="n">
        <v>45915</v>
      </c>
      <c r="D794" t="inlineStr">
        <is>
          <t>NORRBOTTENS LÄN</t>
        </is>
      </c>
      <c r="E794" t="inlineStr">
        <is>
          <t>BODEN</t>
        </is>
      </c>
      <c r="G794" t="n">
        <v>4.1</v>
      </c>
      <c r="H794" t="n">
        <v>0</v>
      </c>
      <c r="I794" t="n">
        <v>0</v>
      </c>
      <c r="J794" t="n">
        <v>0</v>
      </c>
      <c r="K794" t="n">
        <v>0</v>
      </c>
      <c r="L794" t="n">
        <v>0</v>
      </c>
      <c r="M794" t="n">
        <v>0</v>
      </c>
      <c r="N794" t="n">
        <v>0</v>
      </c>
      <c r="O794" t="n">
        <v>0</v>
      </c>
      <c r="P794" t="n">
        <v>0</v>
      </c>
      <c r="Q794" t="n">
        <v>0</v>
      </c>
      <c r="R794" s="2" t="inlineStr"/>
    </row>
    <row r="795" ht="15" customHeight="1">
      <c r="A795" t="inlineStr">
        <is>
          <t>A 58504-2024</t>
        </is>
      </c>
      <c r="B795" s="1" t="n">
        <v>45635.41479166667</v>
      </c>
      <c r="C795" s="1" t="n">
        <v>45915</v>
      </c>
      <c r="D795" t="inlineStr">
        <is>
          <t>NORRBOTTENS LÄN</t>
        </is>
      </c>
      <c r="E795" t="inlineStr">
        <is>
          <t>BODEN</t>
        </is>
      </c>
      <c r="G795" t="n">
        <v>2.8</v>
      </c>
      <c r="H795" t="n">
        <v>0</v>
      </c>
      <c r="I795" t="n">
        <v>0</v>
      </c>
      <c r="J795" t="n">
        <v>0</v>
      </c>
      <c r="K795" t="n">
        <v>0</v>
      </c>
      <c r="L795" t="n">
        <v>0</v>
      </c>
      <c r="M795" t="n">
        <v>0</v>
      </c>
      <c r="N795" t="n">
        <v>0</v>
      </c>
      <c r="O795" t="n">
        <v>0</v>
      </c>
      <c r="P795" t="n">
        <v>0</v>
      </c>
      <c r="Q795" t="n">
        <v>0</v>
      </c>
      <c r="R795" s="2" t="inlineStr"/>
    </row>
    <row r="796" ht="15" customHeight="1">
      <c r="A796" t="inlineStr">
        <is>
          <t>A 68514-2021</t>
        </is>
      </c>
      <c r="B796" s="1" t="n">
        <v>44529</v>
      </c>
      <c r="C796" s="1" t="n">
        <v>45915</v>
      </c>
      <c r="D796" t="inlineStr">
        <is>
          <t>NORRBOTTENS LÄN</t>
        </is>
      </c>
      <c r="E796" t="inlineStr">
        <is>
          <t>BODEN</t>
        </is>
      </c>
      <c r="G796" t="n">
        <v>6.2</v>
      </c>
      <c r="H796" t="n">
        <v>0</v>
      </c>
      <c r="I796" t="n">
        <v>0</v>
      </c>
      <c r="J796" t="n">
        <v>0</v>
      </c>
      <c r="K796" t="n">
        <v>0</v>
      </c>
      <c r="L796" t="n">
        <v>0</v>
      </c>
      <c r="M796" t="n">
        <v>0</v>
      </c>
      <c r="N796" t="n">
        <v>0</v>
      </c>
      <c r="O796" t="n">
        <v>0</v>
      </c>
      <c r="P796" t="n">
        <v>0</v>
      </c>
      <c r="Q796" t="n">
        <v>0</v>
      </c>
      <c r="R796" s="2" t="inlineStr"/>
    </row>
    <row r="797" ht="15" customHeight="1">
      <c r="A797" t="inlineStr">
        <is>
          <t>A 28357-2023</t>
        </is>
      </c>
      <c r="B797" s="1" t="n">
        <v>45099.9296412037</v>
      </c>
      <c r="C797" s="1" t="n">
        <v>45915</v>
      </c>
      <c r="D797" t="inlineStr">
        <is>
          <t>NORRBOTTENS LÄN</t>
        </is>
      </c>
      <c r="E797" t="inlineStr">
        <is>
          <t>BODEN</t>
        </is>
      </c>
      <c r="G797" t="n">
        <v>4.5</v>
      </c>
      <c r="H797" t="n">
        <v>0</v>
      </c>
      <c r="I797" t="n">
        <v>0</v>
      </c>
      <c r="J797" t="n">
        <v>0</v>
      </c>
      <c r="K797" t="n">
        <v>0</v>
      </c>
      <c r="L797" t="n">
        <v>0</v>
      </c>
      <c r="M797" t="n">
        <v>0</v>
      </c>
      <c r="N797" t="n">
        <v>0</v>
      </c>
      <c r="O797" t="n">
        <v>0</v>
      </c>
      <c r="P797" t="n">
        <v>0</v>
      </c>
      <c r="Q797" t="n">
        <v>0</v>
      </c>
      <c r="R797" s="2" t="inlineStr"/>
    </row>
    <row r="798" ht="15" customHeight="1">
      <c r="A798" t="inlineStr">
        <is>
          <t>A 15017-2022</t>
        </is>
      </c>
      <c r="B798" s="1" t="n">
        <v>44657</v>
      </c>
      <c r="C798" s="1" t="n">
        <v>45915</v>
      </c>
      <c r="D798" t="inlineStr">
        <is>
          <t>NORRBOTTENS LÄN</t>
        </is>
      </c>
      <c r="E798" t="inlineStr">
        <is>
          <t>BODEN</t>
        </is>
      </c>
      <c r="G798" t="n">
        <v>3.7</v>
      </c>
      <c r="H798" t="n">
        <v>0</v>
      </c>
      <c r="I798" t="n">
        <v>0</v>
      </c>
      <c r="J798" t="n">
        <v>0</v>
      </c>
      <c r="K798" t="n">
        <v>0</v>
      </c>
      <c r="L798" t="n">
        <v>0</v>
      </c>
      <c r="M798" t="n">
        <v>0</v>
      </c>
      <c r="N798" t="n">
        <v>0</v>
      </c>
      <c r="O798" t="n">
        <v>0</v>
      </c>
      <c r="P798" t="n">
        <v>0</v>
      </c>
      <c r="Q798" t="n">
        <v>0</v>
      </c>
      <c r="R798" s="2" t="inlineStr"/>
    </row>
    <row r="799" ht="15" customHeight="1">
      <c r="A799" t="inlineStr">
        <is>
          <t>A 61487-2023</t>
        </is>
      </c>
      <c r="B799" s="1" t="n">
        <v>45264</v>
      </c>
      <c r="C799" s="1" t="n">
        <v>45915</v>
      </c>
      <c r="D799" t="inlineStr">
        <is>
          <t>NORRBOTTENS LÄN</t>
        </is>
      </c>
      <c r="E799" t="inlineStr">
        <is>
          <t>BODEN</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23131-2021</t>
        </is>
      </c>
      <c r="B800" s="1" t="n">
        <v>44330</v>
      </c>
      <c r="C800" s="1" t="n">
        <v>45915</v>
      </c>
      <c r="D800" t="inlineStr">
        <is>
          <t>NORRBOTTENS LÄN</t>
        </is>
      </c>
      <c r="E800" t="inlineStr">
        <is>
          <t>BODEN</t>
        </is>
      </c>
      <c r="G800" t="n">
        <v>15.8</v>
      </c>
      <c r="H800" t="n">
        <v>0</v>
      </c>
      <c r="I800" t="n">
        <v>0</v>
      </c>
      <c r="J800" t="n">
        <v>0</v>
      </c>
      <c r="K800" t="n">
        <v>0</v>
      </c>
      <c r="L800" t="n">
        <v>0</v>
      </c>
      <c r="M800" t="n">
        <v>0</v>
      </c>
      <c r="N800" t="n">
        <v>0</v>
      </c>
      <c r="O800" t="n">
        <v>0</v>
      </c>
      <c r="P800" t="n">
        <v>0</v>
      </c>
      <c r="Q800" t="n">
        <v>0</v>
      </c>
      <c r="R800" s="2" t="inlineStr"/>
    </row>
    <row r="801" ht="15" customHeight="1">
      <c r="A801" t="inlineStr">
        <is>
          <t>A 8028-2024</t>
        </is>
      </c>
      <c r="B801" s="1" t="n">
        <v>45350</v>
      </c>
      <c r="C801" s="1" t="n">
        <v>45915</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8016-2025</t>
        </is>
      </c>
      <c r="B802" s="1" t="n">
        <v>45707.5637037037</v>
      </c>
      <c r="C802" s="1" t="n">
        <v>45915</v>
      </c>
      <c r="D802" t="inlineStr">
        <is>
          <t>NORRBOTTENS LÄN</t>
        </is>
      </c>
      <c r="E802" t="inlineStr">
        <is>
          <t>BODEN</t>
        </is>
      </c>
      <c r="G802" t="n">
        <v>6.2</v>
      </c>
      <c r="H802" t="n">
        <v>0</v>
      </c>
      <c r="I802" t="n">
        <v>0</v>
      </c>
      <c r="J802" t="n">
        <v>0</v>
      </c>
      <c r="K802" t="n">
        <v>0</v>
      </c>
      <c r="L802" t="n">
        <v>0</v>
      </c>
      <c r="M802" t="n">
        <v>0</v>
      </c>
      <c r="N802" t="n">
        <v>0</v>
      </c>
      <c r="O802" t="n">
        <v>0</v>
      </c>
      <c r="P802" t="n">
        <v>0</v>
      </c>
      <c r="Q802" t="n">
        <v>0</v>
      </c>
      <c r="R802" s="2" t="inlineStr"/>
    </row>
    <row r="803" ht="15" customHeight="1">
      <c r="A803" t="inlineStr">
        <is>
          <t>A 12562-2024</t>
        </is>
      </c>
      <c r="B803" s="1" t="n">
        <v>45379</v>
      </c>
      <c r="C803" s="1" t="n">
        <v>45915</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57873-2021</t>
        </is>
      </c>
      <c r="B804" s="1" t="n">
        <v>44484</v>
      </c>
      <c r="C804" s="1" t="n">
        <v>45915</v>
      </c>
      <c r="D804" t="inlineStr">
        <is>
          <t>NORRBOTTENS LÄN</t>
        </is>
      </c>
      <c r="E804" t="inlineStr">
        <is>
          <t>BODEN</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57895-2021</t>
        </is>
      </c>
      <c r="B805" s="1" t="n">
        <v>44486.60745370371</v>
      </c>
      <c r="C805" s="1" t="n">
        <v>45915</v>
      </c>
      <c r="D805" t="inlineStr">
        <is>
          <t>NORRBOTTENS LÄN</t>
        </is>
      </c>
      <c r="E805" t="inlineStr">
        <is>
          <t>BODEN</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61770-2024</t>
        </is>
      </c>
      <c r="B806" s="1" t="n">
        <v>45649.45567129629</v>
      </c>
      <c r="C806" s="1" t="n">
        <v>45915</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48129-2023</t>
        </is>
      </c>
      <c r="B807" s="1" t="n">
        <v>45205.37278935185</v>
      </c>
      <c r="C807" s="1" t="n">
        <v>45915</v>
      </c>
      <c r="D807" t="inlineStr">
        <is>
          <t>NORRBOTTENS LÄN</t>
        </is>
      </c>
      <c r="E807" t="inlineStr">
        <is>
          <t>BODEN</t>
        </is>
      </c>
      <c r="G807" t="n">
        <v>7.1</v>
      </c>
      <c r="H807" t="n">
        <v>0</v>
      </c>
      <c r="I807" t="n">
        <v>0</v>
      </c>
      <c r="J807" t="n">
        <v>0</v>
      </c>
      <c r="K807" t="n">
        <v>0</v>
      </c>
      <c r="L807" t="n">
        <v>0</v>
      </c>
      <c r="M807" t="n">
        <v>0</v>
      </c>
      <c r="N807" t="n">
        <v>0</v>
      </c>
      <c r="O807" t="n">
        <v>0</v>
      </c>
      <c r="P807" t="n">
        <v>0</v>
      </c>
      <c r="Q807" t="n">
        <v>0</v>
      </c>
      <c r="R807" s="2" t="inlineStr"/>
    </row>
    <row r="808" ht="15" customHeight="1">
      <c r="A808" t="inlineStr">
        <is>
          <t>A 49729-2024</t>
        </is>
      </c>
      <c r="B808" s="1" t="n">
        <v>45596</v>
      </c>
      <c r="C808" s="1" t="n">
        <v>45915</v>
      </c>
      <c r="D808" t="inlineStr">
        <is>
          <t>NORRBOTTENS LÄN</t>
        </is>
      </c>
      <c r="E808" t="inlineStr">
        <is>
          <t>BODEN</t>
        </is>
      </c>
      <c r="G808" t="n">
        <v>2.7</v>
      </c>
      <c r="H808" t="n">
        <v>0</v>
      </c>
      <c r="I808" t="n">
        <v>0</v>
      </c>
      <c r="J808" t="n">
        <v>0</v>
      </c>
      <c r="K808" t="n">
        <v>0</v>
      </c>
      <c r="L808" t="n">
        <v>0</v>
      </c>
      <c r="M808" t="n">
        <v>0</v>
      </c>
      <c r="N808" t="n">
        <v>0</v>
      </c>
      <c r="O808" t="n">
        <v>0</v>
      </c>
      <c r="P808" t="n">
        <v>0</v>
      </c>
      <c r="Q808" t="n">
        <v>0</v>
      </c>
      <c r="R808" s="2" t="inlineStr"/>
    </row>
    <row r="809" ht="15" customHeight="1">
      <c r="A809" t="inlineStr">
        <is>
          <t>A 11158-2025</t>
        </is>
      </c>
      <c r="B809" s="1" t="n">
        <v>45723</v>
      </c>
      <c r="C809" s="1" t="n">
        <v>45915</v>
      </c>
      <c r="D809" t="inlineStr">
        <is>
          <t>NORRBOTTENS LÄN</t>
        </is>
      </c>
      <c r="E809" t="inlineStr">
        <is>
          <t>BODEN</t>
        </is>
      </c>
      <c r="G809" t="n">
        <v>4.5</v>
      </c>
      <c r="H809" t="n">
        <v>0</v>
      </c>
      <c r="I809" t="n">
        <v>0</v>
      </c>
      <c r="J809" t="n">
        <v>0</v>
      </c>
      <c r="K809" t="n">
        <v>0</v>
      </c>
      <c r="L809" t="n">
        <v>0</v>
      </c>
      <c r="M809" t="n">
        <v>0</v>
      </c>
      <c r="N809" t="n">
        <v>0</v>
      </c>
      <c r="O809" t="n">
        <v>0</v>
      </c>
      <c r="P809" t="n">
        <v>0</v>
      </c>
      <c r="Q809" t="n">
        <v>0</v>
      </c>
      <c r="R809" s="2" t="inlineStr"/>
    </row>
    <row r="810" ht="15" customHeight="1">
      <c r="A810" t="inlineStr">
        <is>
          <t>A 11159-2025</t>
        </is>
      </c>
      <c r="B810" s="1" t="n">
        <v>45723</v>
      </c>
      <c r="C810" s="1" t="n">
        <v>45915</v>
      </c>
      <c r="D810" t="inlineStr">
        <is>
          <t>NORRBOTTENS LÄN</t>
        </is>
      </c>
      <c r="E810" t="inlineStr">
        <is>
          <t>BODEN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45915</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17417-2023</t>
        </is>
      </c>
      <c r="B812" s="1" t="n">
        <v>45035</v>
      </c>
      <c r="C812" s="1" t="n">
        <v>45915</v>
      </c>
      <c r="D812" t="inlineStr">
        <is>
          <t>NORRBOTTENS LÄN</t>
        </is>
      </c>
      <c r="E812" t="inlineStr">
        <is>
          <t>BODEN</t>
        </is>
      </c>
      <c r="G812" t="n">
        <v>3.8</v>
      </c>
      <c r="H812" t="n">
        <v>0</v>
      </c>
      <c r="I812" t="n">
        <v>0</v>
      </c>
      <c r="J812" t="n">
        <v>0</v>
      </c>
      <c r="K812" t="n">
        <v>0</v>
      </c>
      <c r="L812" t="n">
        <v>0</v>
      </c>
      <c r="M812" t="n">
        <v>0</v>
      </c>
      <c r="N812" t="n">
        <v>0</v>
      </c>
      <c r="O812" t="n">
        <v>0</v>
      </c>
      <c r="P812" t="n">
        <v>0</v>
      </c>
      <c r="Q812" t="n">
        <v>0</v>
      </c>
      <c r="R812" s="2" t="inlineStr"/>
    </row>
    <row r="813" ht="15" customHeight="1">
      <c r="A813" t="inlineStr">
        <is>
          <t>A 6638-2024</t>
        </is>
      </c>
      <c r="B813" s="1" t="n">
        <v>45341</v>
      </c>
      <c r="C813" s="1" t="n">
        <v>45915</v>
      </c>
      <c r="D813" t="inlineStr">
        <is>
          <t>NORRBOTTENS LÄN</t>
        </is>
      </c>
      <c r="E813" t="inlineStr">
        <is>
          <t>BODEN</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38411-2024</t>
        </is>
      </c>
      <c r="B814" s="1" t="n">
        <v>45546.34584490741</v>
      </c>
      <c r="C814" s="1" t="n">
        <v>45915</v>
      </c>
      <c r="D814" t="inlineStr">
        <is>
          <t>NORRBOTTENS LÄN</t>
        </is>
      </c>
      <c r="E814" t="inlineStr">
        <is>
          <t>BODEN</t>
        </is>
      </c>
      <c r="F814" t="inlineStr">
        <is>
          <t>SCA</t>
        </is>
      </c>
      <c r="G814" t="n">
        <v>7.6</v>
      </c>
      <c r="H814" t="n">
        <v>0</v>
      </c>
      <c r="I814" t="n">
        <v>0</v>
      </c>
      <c r="J814" t="n">
        <v>0</v>
      </c>
      <c r="K814" t="n">
        <v>0</v>
      </c>
      <c r="L814" t="n">
        <v>0</v>
      </c>
      <c r="M814" t="n">
        <v>0</v>
      </c>
      <c r="N814" t="n">
        <v>0</v>
      </c>
      <c r="O814" t="n">
        <v>0</v>
      </c>
      <c r="P814" t="n">
        <v>0</v>
      </c>
      <c r="Q814" t="n">
        <v>0</v>
      </c>
      <c r="R814" s="2" t="inlineStr"/>
    </row>
    <row r="815" ht="15" customHeight="1">
      <c r="A815" t="inlineStr">
        <is>
          <t>A 37872-2024</t>
        </is>
      </c>
      <c r="B815" s="1" t="n">
        <v>45544.4128125</v>
      </c>
      <c r="C815" s="1" t="n">
        <v>45915</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61932-2024</t>
        </is>
      </c>
      <c r="B816" s="1" t="n">
        <v>45653.46015046296</v>
      </c>
      <c r="C816" s="1" t="n">
        <v>45915</v>
      </c>
      <c r="D816" t="inlineStr">
        <is>
          <t>NORRBOTTENS LÄN</t>
        </is>
      </c>
      <c r="E816" t="inlineStr">
        <is>
          <t>BODEN</t>
        </is>
      </c>
      <c r="G816" t="n">
        <v>0.8</v>
      </c>
      <c r="H816" t="n">
        <v>0</v>
      </c>
      <c r="I816" t="n">
        <v>0</v>
      </c>
      <c r="J816" t="n">
        <v>0</v>
      </c>
      <c r="K816" t="n">
        <v>0</v>
      </c>
      <c r="L816" t="n">
        <v>0</v>
      </c>
      <c r="M816" t="n">
        <v>0</v>
      </c>
      <c r="N816" t="n">
        <v>0</v>
      </c>
      <c r="O816" t="n">
        <v>0</v>
      </c>
      <c r="P816" t="n">
        <v>0</v>
      </c>
      <c r="Q816" t="n">
        <v>0</v>
      </c>
      <c r="R816" s="2" t="inlineStr"/>
    </row>
    <row r="817" ht="15" customHeight="1">
      <c r="A817" t="inlineStr">
        <is>
          <t>A 61955-2024</t>
        </is>
      </c>
      <c r="B817" s="1" t="n">
        <v>45653.51605324074</v>
      </c>
      <c r="C817" s="1" t="n">
        <v>45915</v>
      </c>
      <c r="D817" t="inlineStr">
        <is>
          <t>NORRBOTTENS LÄN</t>
        </is>
      </c>
      <c r="E817" t="inlineStr">
        <is>
          <t>BODEN</t>
        </is>
      </c>
      <c r="G817" t="n">
        <v>16.8</v>
      </c>
      <c r="H817" t="n">
        <v>0</v>
      </c>
      <c r="I817" t="n">
        <v>0</v>
      </c>
      <c r="J817" t="n">
        <v>0</v>
      </c>
      <c r="K817" t="n">
        <v>0</v>
      </c>
      <c r="L817" t="n">
        <v>0</v>
      </c>
      <c r="M817" t="n">
        <v>0</v>
      </c>
      <c r="N817" t="n">
        <v>0</v>
      </c>
      <c r="O817" t="n">
        <v>0</v>
      </c>
      <c r="P817" t="n">
        <v>0</v>
      </c>
      <c r="Q817" t="n">
        <v>0</v>
      </c>
      <c r="R817" s="2" t="inlineStr"/>
    </row>
    <row r="818" ht="15" customHeight="1">
      <c r="A818" t="inlineStr">
        <is>
          <t>A 41212-2023</t>
        </is>
      </c>
      <c r="B818" s="1" t="n">
        <v>45174.4406712963</v>
      </c>
      <c r="C818" s="1" t="n">
        <v>45915</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42995-2022</t>
        </is>
      </c>
      <c r="B819" s="1" t="n">
        <v>44833</v>
      </c>
      <c r="C819" s="1" t="n">
        <v>45915</v>
      </c>
      <c r="D819" t="inlineStr">
        <is>
          <t>NORRBOTTENS LÄN</t>
        </is>
      </c>
      <c r="E819" t="inlineStr">
        <is>
          <t>BODEN</t>
        </is>
      </c>
      <c r="G819" t="n">
        <v>4.2</v>
      </c>
      <c r="H819" t="n">
        <v>0</v>
      </c>
      <c r="I819" t="n">
        <v>0</v>
      </c>
      <c r="J819" t="n">
        <v>0</v>
      </c>
      <c r="K819" t="n">
        <v>0</v>
      </c>
      <c r="L819" t="n">
        <v>0</v>
      </c>
      <c r="M819" t="n">
        <v>0</v>
      </c>
      <c r="N819" t="n">
        <v>0</v>
      </c>
      <c r="O819" t="n">
        <v>0</v>
      </c>
      <c r="P819" t="n">
        <v>0</v>
      </c>
      <c r="Q819" t="n">
        <v>0</v>
      </c>
      <c r="R819" s="2" t="inlineStr"/>
    </row>
    <row r="820" ht="15" customHeight="1">
      <c r="A820" t="inlineStr">
        <is>
          <t>A 36618-2023</t>
        </is>
      </c>
      <c r="B820" s="1" t="n">
        <v>45152</v>
      </c>
      <c r="C820" s="1" t="n">
        <v>45915</v>
      </c>
      <c r="D820" t="inlineStr">
        <is>
          <t>NORRBOTTENS LÄN</t>
        </is>
      </c>
      <c r="E820" t="inlineStr">
        <is>
          <t>BODEN</t>
        </is>
      </c>
      <c r="G820" t="n">
        <v>7.1</v>
      </c>
      <c r="H820" t="n">
        <v>0</v>
      </c>
      <c r="I820" t="n">
        <v>0</v>
      </c>
      <c r="J820" t="n">
        <v>0</v>
      </c>
      <c r="K820" t="n">
        <v>0</v>
      </c>
      <c r="L820" t="n">
        <v>0</v>
      </c>
      <c r="M820" t="n">
        <v>0</v>
      </c>
      <c r="N820" t="n">
        <v>0</v>
      </c>
      <c r="O820" t="n">
        <v>0</v>
      </c>
      <c r="P820" t="n">
        <v>0</v>
      </c>
      <c r="Q820" t="n">
        <v>0</v>
      </c>
      <c r="R820" s="2" t="inlineStr"/>
    </row>
    <row r="821" ht="15" customHeight="1">
      <c r="A821" t="inlineStr">
        <is>
          <t>A 59893-2023</t>
        </is>
      </c>
      <c r="B821" s="1" t="n">
        <v>45254</v>
      </c>
      <c r="C821" s="1" t="n">
        <v>45915</v>
      </c>
      <c r="D821" t="inlineStr">
        <is>
          <t>NORRBOTTENS LÄN</t>
        </is>
      </c>
      <c r="E821" t="inlineStr">
        <is>
          <t>BODEN</t>
        </is>
      </c>
      <c r="G821" t="n">
        <v>1.6</v>
      </c>
      <c r="H821" t="n">
        <v>0</v>
      </c>
      <c r="I821" t="n">
        <v>0</v>
      </c>
      <c r="J821" t="n">
        <v>0</v>
      </c>
      <c r="K821" t="n">
        <v>0</v>
      </c>
      <c r="L821" t="n">
        <v>0</v>
      </c>
      <c r="M821" t="n">
        <v>0</v>
      </c>
      <c r="N821" t="n">
        <v>0</v>
      </c>
      <c r="O821" t="n">
        <v>0</v>
      </c>
      <c r="P821" t="n">
        <v>0</v>
      </c>
      <c r="Q821" t="n">
        <v>0</v>
      </c>
      <c r="R821" s="2" t="inlineStr"/>
    </row>
    <row r="822" ht="15" customHeight="1">
      <c r="A822" t="inlineStr">
        <is>
          <t>A 61632-2024</t>
        </is>
      </c>
      <c r="B822" s="1" t="n">
        <v>45646.6669212963</v>
      </c>
      <c r="C822" s="1" t="n">
        <v>45915</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1017-2023</t>
        </is>
      </c>
      <c r="B823" s="1" t="n">
        <v>44935</v>
      </c>
      <c r="C823" s="1" t="n">
        <v>45915</v>
      </c>
      <c r="D823" t="inlineStr">
        <is>
          <t>NORRBOTTENS LÄN</t>
        </is>
      </c>
      <c r="E823" t="inlineStr">
        <is>
          <t>BODEN</t>
        </is>
      </c>
      <c r="G823" t="n">
        <v>4.4</v>
      </c>
      <c r="H823" t="n">
        <v>0</v>
      </c>
      <c r="I823" t="n">
        <v>0</v>
      </c>
      <c r="J823" t="n">
        <v>0</v>
      </c>
      <c r="K823" t="n">
        <v>0</v>
      </c>
      <c r="L823" t="n">
        <v>0</v>
      </c>
      <c r="M823" t="n">
        <v>0</v>
      </c>
      <c r="N823" t="n">
        <v>0</v>
      </c>
      <c r="O823" t="n">
        <v>0</v>
      </c>
      <c r="P823" t="n">
        <v>0</v>
      </c>
      <c r="Q823" t="n">
        <v>0</v>
      </c>
      <c r="R823" s="2" t="inlineStr"/>
    </row>
    <row r="824" ht="15" customHeight="1">
      <c r="A824" t="inlineStr">
        <is>
          <t>A 56837-2023</t>
        </is>
      </c>
      <c r="B824" s="1" t="n">
        <v>45244</v>
      </c>
      <c r="C824" s="1" t="n">
        <v>45915</v>
      </c>
      <c r="D824" t="inlineStr">
        <is>
          <t>NORRBOTTENS LÄN</t>
        </is>
      </c>
      <c r="E824" t="inlineStr">
        <is>
          <t>BODEN</t>
        </is>
      </c>
      <c r="F824" t="inlineStr">
        <is>
          <t>Övriga statliga verk och myndigheter</t>
        </is>
      </c>
      <c r="G824" t="n">
        <v>5.4</v>
      </c>
      <c r="H824" t="n">
        <v>0</v>
      </c>
      <c r="I824" t="n">
        <v>0</v>
      </c>
      <c r="J824" t="n">
        <v>0</v>
      </c>
      <c r="K824" t="n">
        <v>0</v>
      </c>
      <c r="L824" t="n">
        <v>0</v>
      </c>
      <c r="M824" t="n">
        <v>0</v>
      </c>
      <c r="N824" t="n">
        <v>0</v>
      </c>
      <c r="O824" t="n">
        <v>0</v>
      </c>
      <c r="P824" t="n">
        <v>0</v>
      </c>
      <c r="Q824" t="n">
        <v>0</v>
      </c>
      <c r="R824" s="2" t="inlineStr"/>
    </row>
    <row r="825" ht="15" customHeight="1">
      <c r="A825" t="inlineStr">
        <is>
          <t>A 58500-2024</t>
        </is>
      </c>
      <c r="B825" s="1" t="n">
        <v>45635.41246527778</v>
      </c>
      <c r="C825" s="1" t="n">
        <v>45915</v>
      </c>
      <c r="D825" t="inlineStr">
        <is>
          <t>NORRBOTTENS LÄN</t>
        </is>
      </c>
      <c r="E825" t="inlineStr">
        <is>
          <t>BODEN</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61969-2024</t>
        </is>
      </c>
      <c r="B826" s="1" t="n">
        <v>45653.59047453704</v>
      </c>
      <c r="C826" s="1" t="n">
        <v>45915</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8232-2024</t>
        </is>
      </c>
      <c r="B827" s="1" t="n">
        <v>45351</v>
      </c>
      <c r="C827" s="1" t="n">
        <v>45915</v>
      </c>
      <c r="D827" t="inlineStr">
        <is>
          <t>NORRBOTTENS LÄN</t>
        </is>
      </c>
      <c r="E827" t="inlineStr">
        <is>
          <t>BODEN</t>
        </is>
      </c>
      <c r="G827" t="n">
        <v>16.8</v>
      </c>
      <c r="H827" t="n">
        <v>0</v>
      </c>
      <c r="I827" t="n">
        <v>0</v>
      </c>
      <c r="J827" t="n">
        <v>0</v>
      </c>
      <c r="K827" t="n">
        <v>0</v>
      </c>
      <c r="L827" t="n">
        <v>0</v>
      </c>
      <c r="M827" t="n">
        <v>0</v>
      </c>
      <c r="N827" t="n">
        <v>0</v>
      </c>
      <c r="O827" t="n">
        <v>0</v>
      </c>
      <c r="P827" t="n">
        <v>0</v>
      </c>
      <c r="Q827" t="n">
        <v>0</v>
      </c>
      <c r="R827" s="2" t="inlineStr"/>
    </row>
    <row r="828">
      <c r="A828" t="inlineStr">
        <is>
          <t>A 12612-2025</t>
        </is>
      </c>
      <c r="B828" s="1" t="n">
        <v>45732</v>
      </c>
      <c r="C828" s="1" t="n">
        <v>45915</v>
      </c>
      <c r="D828" t="inlineStr">
        <is>
          <t>NORRBOTTENS LÄN</t>
        </is>
      </c>
      <c r="E828" t="inlineStr">
        <is>
          <t>BODEN</t>
        </is>
      </c>
      <c r="G828" t="n">
        <v>4.3</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2025-09-15T08:55:43Z</dcterms:created>
  <dcterms:modified xmlns:dcterms="http://purl.org/dc/terms/" xmlns:xsi="http://www.w3.org/2001/XMLSchema-instance" xsi:type="dcterms:W3CDTF">2025-09-15T08:55:44Z</dcterms:modified>
</cp:coreProperties>
</file>