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46235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46235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46235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46235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46235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46235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46235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46235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46235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46235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46235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46235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46235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46235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46235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58902-2021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46235</v>
      </c>
      <c r="F28" t="inlineStr">
        <is>
          <t>NORRBOTTENS LÄN</t>
        </is>
      </c>
      <c r="G28" t="inlineStr">
        <is>
          <t>BODEN</t>
        </is>
      </c>
      <c r="I28" t="n">
        <v>4.5</v>
      </c>
      <c r="J28" t="n">
        <v>1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8</v>
      </c>
      <c r="U28" t="n">
        <v>8</v>
      </c>
      <c r="V28" s="2" t="inlineStr">
        <is>
          <t>Brunpudrad nållav
Enkelbeckasin
Gammelgransskål
Lunglav
Vedticka</t>
        </is>
      </c>
      <c r="W28">
        <f>HYPERLINK("https://klasma.github.io/Logging_2582/artfynd/A 58902-2021 artfynd.xlsx", "A 58902-2021")</f>
        <v/>
      </c>
      <c r="X28">
        <f>HYPERLINK("https://klasma.github.io/Logging_2582/kartor/A 58902-2021 karta.png", "A 58902-2021")</f>
        <v/>
      </c>
      <c r="Y28">
        <f>HYPERLINK("https://klasma.github.io/Logging_2582/kartor_geotiff/A 58902-2021 georefererad karta.tif", "A 58902-2021")</f>
        <v/>
      </c>
      <c r="AA28">
        <f>HYPERLINK("https://klasma.github.io/Logging_2582/klagomål/A 58902-2021 FSC-klagomål.docx", "A 58902-2021")</f>
        <v/>
      </c>
      <c r="AB28">
        <f>HYPERLINK("https://klasma.github.io/Logging_2582/klagomålsmail/A 58902-2021 FSC-klagomål mail.docx", "A 58902-2021")</f>
        <v/>
      </c>
      <c r="AC28">
        <f>HYPERLINK("https://klasma.github.io/Logging_2582/tillsyn/A 58902-2021 tillsynsbegäran.docx", "A 58902-2021")</f>
        <v/>
      </c>
      <c r="AD28">
        <f>HYPERLINK("https://klasma.github.io/Logging_2582/tillsynsmail/A 58902-2021 tillsynsbegäran mail.docx", "A 58902-2021")</f>
        <v/>
      </c>
      <c r="AE28">
        <f>HYPERLINK("https://klasma.github.io/Logging_2582/fåglar/A 58902-2021 prioriterade fågelarter.docx", "A 58902-2021")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46235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32325-2024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45512</v>
      </c>
      <c r="E30" s="1" t="n">
        <v>46235</v>
      </c>
      <c r="F30" t="inlineStr">
        <is>
          <t>NORRBOTTENS LÄN</t>
        </is>
      </c>
      <c r="G30" t="inlineStr">
        <is>
          <t>BODEN</t>
        </is>
      </c>
      <c r="H30" t="inlineStr">
        <is>
          <t>Övriga Aktiebolag</t>
        </is>
      </c>
      <c r="I30" t="n">
        <v>36.5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Knärot
Gammelgransskål
Luddlav
Skinnlav</t>
        </is>
      </c>
      <c r="W30">
        <f>HYPERLINK("https://klasma.github.io/Logging_2582/artfynd/A 32325-2024 artfynd.xlsx", "A 32325-2024")</f>
        <v/>
      </c>
      <c r="X30">
        <f>HYPERLINK("https://klasma.github.io/Logging_2582/kartor/A 32325-2024 karta.png", "A 32325-2024")</f>
        <v/>
      </c>
      <c r="Y30">
        <f>HYPERLINK("https://klasma.github.io/Logging_2582/kartor_geotiff/A 32325-2024 georefererad karta.tif", "A 32325-2024")</f>
        <v/>
      </c>
      <c r="Z30">
        <f>HYPERLINK("https://klasma.github.io/Logging_2582/knärot/A 32325-2024 karta knärot.png", "A 32325-2024")</f>
        <v/>
      </c>
      <c r="AA30">
        <f>HYPERLINK("https://klasma.github.io/Logging_2582/klagomål/A 32325-2024 FSC-klagomål.docx", "A 32325-2024")</f>
        <v/>
      </c>
      <c r="AB30">
        <f>HYPERLINK("https://klasma.github.io/Logging_2582/klagomålsmail/A 32325-2024 FSC-klagomål mail.docx", "A 32325-2024")</f>
        <v/>
      </c>
      <c r="AC30">
        <f>HYPERLINK("https://klasma.github.io/Logging_2582/tillsyn/A 32325-2024 tillsynsbegäran.docx", "A 32325-2024")</f>
        <v/>
      </c>
      <c r="AD30">
        <f>HYPERLINK("https://klasma.github.io/Logging_2582/tillsynsmail/A 32325-2024 tillsynsbegäran mail.docx", "A 32325-2024")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46235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46235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46235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46235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46235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46235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46235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57526-2025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46235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2.9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27</v>
      </c>
      <c r="U38" t="n">
        <v>0</v>
      </c>
      <c r="V38" s="2" t="inlineStr">
        <is>
          <t>Knärot
Lunglav
Ullticka
Stuplav</t>
        </is>
      </c>
      <c r="W38">
        <f>HYPERLINK("https://klasma.github.io/Logging_2582/artfynd/A 57526-2025 artfynd.xlsx", "A 57526-2025")</f>
        <v/>
      </c>
      <c r="X38">
        <f>HYPERLINK("https://klasma.github.io/Logging_2582/kartor/A 57526-2025 karta.png", "A 57526-2025")</f>
        <v/>
      </c>
      <c r="Y38">
        <f>HYPERLINK("https://klasma.github.io/Logging_2582/kartor_geotiff/A 57526-2025 georefererad karta.tif", "A 57526-2025")</f>
        <v/>
      </c>
      <c r="Z38">
        <f>HYPERLINK("https://klasma.github.io/Logging_2582/knärot/A 57526-2025 karta knärot.png", "A 57526-2025")</f>
        <v/>
      </c>
      <c r="AA38">
        <f>HYPERLINK("https://klasma.github.io/Logging_2582/klagomål/A 57526-2025 FSC-klagomål.docx", "A 57526-2025")</f>
        <v/>
      </c>
      <c r="AB38">
        <f>HYPERLINK("https://klasma.github.io/Logging_2582/klagomålsmail/A 57526-2025 FSC-klagomål mail.docx", "A 57526-2025")</f>
        <v/>
      </c>
      <c r="AC38">
        <f>HYPERLINK("https://klasma.github.io/Logging_2582/tillsyn/A 57526-2025 tillsynsbegäran.docx", "A 57526-2025")</f>
        <v/>
      </c>
      <c r="AD38">
        <f>HYPERLINK("https://klasma.github.io/Logging_2582/tillsynsmail/A 57526-2025 tillsynsbegäran mail.docx", "A 57526-2025")</f>
        <v/>
      </c>
    </row>
    <row r="39" ht="15" customHeight="1">
      <c r="A39" t="inlineStr">
        <is>
          <t>A 21475-2026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46148</v>
      </c>
      <c r="E39" s="1" t="n">
        <v>46235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27.6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Harticka
Tretåig hackspett
Smal svampklubba
Järpe</t>
        </is>
      </c>
      <c r="W39">
        <f>HYPERLINK("https://klasma.github.io/Logging_2582/artfynd/A 21475-2026 artfynd.xlsx", "A 21475-2026")</f>
        <v/>
      </c>
      <c r="X39">
        <f>HYPERLINK("https://klasma.github.io/Logging_2582/kartor/A 21475-2026 karta.png", "A 21475-2026")</f>
        <v/>
      </c>
      <c r="Y39">
        <f>HYPERLINK("https://klasma.github.io/Logging_2582/kartor_geotiff/A 21475-2026 georefererad karta.tif", "A 21475-2026")</f>
        <v/>
      </c>
      <c r="AA39">
        <f>HYPERLINK("https://klasma.github.io/Logging_2582/klagomål/A 21475-2026 FSC-klagomål.docx", "A 21475-2026")</f>
        <v/>
      </c>
      <c r="AB39">
        <f>HYPERLINK("https://klasma.github.io/Logging_2582/klagomålsmail/A 21475-2026 FSC-klagomål mail.docx", "A 21475-2026")</f>
        <v/>
      </c>
      <c r="AC39">
        <f>HYPERLINK("https://klasma.github.io/Logging_2582/tillsyn/A 21475-2026 tillsynsbegäran.docx", "A 21475-2026")</f>
        <v/>
      </c>
      <c r="AD39">
        <f>HYPERLINK("https://klasma.github.io/Logging_2582/tillsynsmail/A 21475-2026 tillsynsbegäran mail.docx", "A 21475-2026")</f>
        <v/>
      </c>
      <c r="AE39">
        <f>HYPERLINK("https://klasma.github.io/Logging_2582/fåglar/A 21475-2026 prioriterade fågelarter.docx", "A 21475-2026")</f>
        <v/>
      </c>
    </row>
    <row r="40" ht="15" customHeight="1">
      <c r="A40" t="inlineStr">
        <is>
          <t>A 28358-2026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46235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7.3</v>
      </c>
      <c r="J40" t="n">
        <v>3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6</v>
      </c>
      <c r="U40" t="n">
        <v>0</v>
      </c>
      <c r="V40" s="2" t="inlineStr">
        <is>
          <t>Doftticka
Knärot
Lunglav
Spindelblomster</t>
        </is>
      </c>
      <c r="W40">
        <f>HYPERLINK("https://klasma.github.io/Logging_2582/artfynd/A 28358-2026 artfynd.xlsx", "A 28358-2026")</f>
        <v/>
      </c>
      <c r="X40">
        <f>HYPERLINK("https://klasma.github.io/Logging_2582/kartor/A 28358-2026 karta.png", "A 28358-2026")</f>
        <v/>
      </c>
      <c r="Y40">
        <f>HYPERLINK("https://klasma.github.io/Logging_2582/kartor_geotiff/A 28358-2026 georefererad karta.tif", "A 28358-2026")</f>
        <v/>
      </c>
      <c r="Z40">
        <f>HYPERLINK("https://klasma.github.io/Logging_2582/knärot/A 28358-2026 karta knärot.png", "A 28358-2026")</f>
        <v/>
      </c>
      <c r="AA40">
        <f>HYPERLINK("https://klasma.github.io/Logging_2582/klagomål/A 28358-2026 FSC-klagomål.docx", "A 28358-2026")</f>
        <v/>
      </c>
      <c r="AB40">
        <f>HYPERLINK("https://klasma.github.io/Logging_2582/klagomålsmail/A 28358-2026 FSC-klagomål mail.docx", "A 28358-2026")</f>
        <v/>
      </c>
      <c r="AC40">
        <f>HYPERLINK("https://klasma.github.io/Logging_2582/tillsyn/A 28358-2026 tillsynsbegäran.docx", "A 28358-2026")</f>
        <v/>
      </c>
      <c r="AD40">
        <f>HYPERLINK("https://klasma.github.io/Logging_2582/tillsynsmail/A 28358-2026 tillsynsbegäran mail.docx", "A 28358-2026")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46235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46235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46235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46235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46235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46235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46235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46235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46235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29868-2026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46235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5.3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6</v>
      </c>
      <c r="U52" t="n">
        <v>2</v>
      </c>
      <c r="V52" s="2" t="inlineStr">
        <is>
          <t>Garnlav
Lunglav
Spindelblomster</t>
        </is>
      </c>
      <c r="W52">
        <f>HYPERLINK("https://klasma.github.io/Logging_2582/artfynd/A 29868-2026 artfynd.xlsx", "A 29868-2026")</f>
        <v/>
      </c>
      <c r="X52">
        <f>HYPERLINK("https://klasma.github.io/Logging_2582/kartor/A 29868-2026 karta.png", "A 29868-2026")</f>
        <v/>
      </c>
      <c r="Y52">
        <f>HYPERLINK("https://klasma.github.io/Logging_2582/kartor_geotiff/A 29868-2026 georefererad karta.tif", "A 29868-2026")</f>
        <v/>
      </c>
      <c r="AA52">
        <f>HYPERLINK("https://klasma.github.io/Logging_2582/klagomål/A 29868-2026 FSC-klagomål.docx", "A 29868-2026")</f>
        <v/>
      </c>
      <c r="AB52">
        <f>HYPERLINK("https://klasma.github.io/Logging_2582/klagomålsmail/A 29868-2026 FSC-klagomål mail.docx", "A 29868-2026")</f>
        <v/>
      </c>
      <c r="AC52">
        <f>HYPERLINK("https://klasma.github.io/Logging_2582/tillsyn/A 29868-2026 tillsynsbegäran.docx", "A 29868-2026")</f>
        <v/>
      </c>
      <c r="AD52">
        <f>HYPERLINK("https://klasma.github.io/Logging_2582/tillsynsmail/A 29868-2026 tillsynsbegäran mail.docx", "A 29868-2026")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46235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31230-2026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46217</v>
      </c>
      <c r="E54" s="1" t="n">
        <v>46235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Fläcknycklar
Fläcknycklar × sumpnycklar</t>
        </is>
      </c>
      <c r="W54">
        <f>HYPERLINK("https://klasma.github.io/Logging_2582/artfynd/A 31230-2026 artfynd.xlsx", "A 31230-2026")</f>
        <v/>
      </c>
      <c r="X54">
        <f>HYPERLINK("https://klasma.github.io/Logging_2582/kartor/A 31230-2026 karta.png", "A 31230-2026")</f>
        <v/>
      </c>
      <c r="Y54">
        <f>HYPERLINK("https://klasma.github.io/Logging_2582/kartor_geotiff/A 31230-2026 georefererad karta.tif", "A 31230-2026")</f>
        <v/>
      </c>
      <c r="AA54">
        <f>HYPERLINK("https://klasma.github.io/Logging_2582/klagomål/A 31230-2026 FSC-klagomål.docx", "A 31230-2026")</f>
        <v/>
      </c>
      <c r="AB54">
        <f>HYPERLINK("https://klasma.github.io/Logging_2582/klagomålsmail/A 31230-2026 FSC-klagomål mail.docx", "A 31230-2026")</f>
        <v/>
      </c>
      <c r="AC54">
        <f>HYPERLINK("https://klasma.github.io/Logging_2582/tillsyn/A 31230-2026 tillsynsbegäran.docx", "A 31230-2026")</f>
        <v/>
      </c>
      <c r="AD54">
        <f>HYPERLINK("https://klasma.github.io/Logging_2582/tillsynsmail/A 31230-2026 tillsynsbegäran mail.docx", "A 31230-2026")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46235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46235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46235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46235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46235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46235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2.6</v>
      </c>
      <c r="J61" t="n">
        <v>2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3</v>
      </c>
      <c r="U61" t="n">
        <v>0</v>
      </c>
      <c r="V61" s="2" t="inlineStr">
        <is>
          <t>Doftticka
Knärot
Lunglav</t>
        </is>
      </c>
      <c r="W61">
        <f>HYPERLINK("https://klasma.github.io/Logging_2582/artfynd/A 28267-2025 artfynd.xlsx", "A 28267-2025")</f>
        <v/>
      </c>
      <c r="X61">
        <f>HYPERLINK("https://klasma.github.io/Logging_2582/kartor/A 28267-2025 karta.png", "A 28267-2025")</f>
        <v/>
      </c>
      <c r="Y61">
        <f>HYPERLINK("https://klasma.github.io/Logging_2582/kartor_geotiff/A 28267-2025 georefererad karta.tif", "A 28267-2025")</f>
        <v/>
      </c>
      <c r="Z61">
        <f>HYPERLINK("https://klasma.github.io/Logging_2582/knärot/A 28267-2025 karta knärot.png", "A 28267-2025")</f>
        <v/>
      </c>
      <c r="AA61">
        <f>HYPERLINK("https://klasma.github.io/Logging_2582/klagomål/A 28267-2025 FSC-klagomål.docx", "A 28267-2025")</f>
        <v/>
      </c>
      <c r="AB61">
        <f>HYPERLINK("https://klasma.github.io/Logging_2582/klagomålsmail/A 28267-2025 FSC-klagomål mail.docx", "A 28267-2025")</f>
        <v/>
      </c>
      <c r="AC61">
        <f>HYPERLINK("https://klasma.github.io/Logging_2582/tillsyn/A 28267-2025 tillsynsbegäran.docx", "A 28267-2025")</f>
        <v/>
      </c>
      <c r="AD61">
        <f>HYPERLINK("https://klasma.github.io/Logging_2582/tillsynsmail/A 28267-2025 tillsynsbegäran mail.docx", "A 28267-2025")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46235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46235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46235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46235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Lunglav
Öring</t>
        </is>
      </c>
      <c r="W68">
        <f>HYPERLINK("https://klasma.github.io/Logging_2582/artfynd/A 25701-2025 artfynd.xlsx", "A 25701-2025")</f>
        <v/>
      </c>
      <c r="X68">
        <f>HYPERLINK("https://klasma.github.io/Logging_2582/kartor/A 25701-2025 karta.png", "A 25701-2025")</f>
        <v/>
      </c>
      <c r="Y68">
        <f>HYPERLINK("https://klasma.github.io/Logging_2582/kartor_geotiff/A 25701-2025 georefererad karta.tif", "A 25701-2025")</f>
        <v/>
      </c>
      <c r="AA68">
        <f>HYPERLINK("https://klasma.github.io/Logging_2582/klagomål/A 25701-2025 FSC-klagomål.docx", "A 25701-2025")</f>
        <v/>
      </c>
      <c r="AB68">
        <f>HYPERLINK("https://klasma.github.io/Logging_2582/klagomålsmail/A 25701-2025 FSC-klagomål mail.docx", "A 25701-2025")</f>
        <v/>
      </c>
      <c r="AC68">
        <f>HYPERLINK("https://klasma.github.io/Logging_2582/tillsyn/A 25701-2025 tillsynsbegäran.docx", "A 25701-2025")</f>
        <v/>
      </c>
      <c r="AD68">
        <f>HYPERLINK("https://klasma.github.io/Logging_2582/tillsynsmail/A 25701-2025 tillsynsbegäran mail.docx", "A 25701-2025")</f>
        <v/>
      </c>
    </row>
    <row r="69" ht="15" customHeight="1">
      <c r="A69" t="inlineStr">
        <is>
          <t>A 54167-2025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45964</v>
      </c>
      <c r="E69" s="1" t="n">
        <v>46235</v>
      </c>
      <c r="F69" t="inlineStr">
        <is>
          <t>NORRBOTTENS LÄN</t>
        </is>
      </c>
      <c r="G69" t="inlineStr">
        <is>
          <t>BODEN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Stiftgelélav</t>
        </is>
      </c>
      <c r="W69">
        <f>HYPERLINK("https://klasma.github.io/Logging_2582/artfynd/A 54167-2025 artfynd.xlsx", "A 54167-2025")</f>
        <v/>
      </c>
      <c r="X69">
        <f>HYPERLINK("https://klasma.github.io/Logging_2582/kartor/A 54167-2025 karta.png", "A 54167-2025")</f>
        <v/>
      </c>
      <c r="Y69">
        <f>HYPERLINK("https://klasma.github.io/Logging_2582/kartor_geotiff/A 54167-2025 georefererad karta.tif", "A 54167-2025")</f>
        <v/>
      </c>
      <c r="AA69">
        <f>HYPERLINK("https://klasma.github.io/Logging_2582/klagomål/A 54167-2025 FSC-klagomål.docx", "A 54167-2025")</f>
        <v/>
      </c>
      <c r="AB69">
        <f>HYPERLINK("https://klasma.github.io/Logging_2582/klagomålsmail/A 54167-2025 FSC-klagomål mail.docx", "A 54167-2025")</f>
        <v/>
      </c>
      <c r="AC69">
        <f>HYPERLINK("https://klasma.github.io/Logging_2582/tillsyn/A 54167-2025 tillsynsbegäran.docx", "A 54167-2025")</f>
        <v/>
      </c>
      <c r="AD69">
        <f>HYPERLINK("https://klasma.github.io/Logging_2582/tillsynsmail/A 54167-2025 tillsynsbegäran mail.docx", "A 54167-2025")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46235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46235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60774-2025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45999</v>
      </c>
      <c r="E72" s="1" t="n">
        <v>46235</v>
      </c>
      <c r="F72" t="inlineStr">
        <is>
          <t>NORRBOTTENS LÄN</t>
        </is>
      </c>
      <c r="G72" t="inlineStr">
        <is>
          <t>BODEN</t>
        </is>
      </c>
      <c r="I72" t="n">
        <v>1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Ullticka
Skinnlav</t>
        </is>
      </c>
      <c r="W72">
        <f>HYPERLINK("https://klasma.github.io/Logging_2582/artfynd/A 60774-2025 artfynd.xlsx", "A 60774-2025")</f>
        <v/>
      </c>
      <c r="X72">
        <f>HYPERLINK("https://klasma.github.io/Logging_2582/kartor/A 60774-2025 karta.png", "A 60774-2025")</f>
        <v/>
      </c>
      <c r="Y72">
        <f>HYPERLINK("https://klasma.github.io/Logging_2582/kartor_geotiff/A 60774-2025 georefererad karta.tif", "A 60774-2025")</f>
        <v/>
      </c>
      <c r="AA72">
        <f>HYPERLINK("https://klasma.github.io/Logging_2582/klagomål/A 60774-2025 FSC-klagomål.docx", "A 60774-2025")</f>
        <v/>
      </c>
      <c r="AB72">
        <f>HYPERLINK("https://klasma.github.io/Logging_2582/klagomålsmail/A 60774-2025 FSC-klagomål mail.docx", "A 60774-2025")</f>
        <v/>
      </c>
      <c r="AC72">
        <f>HYPERLINK("https://klasma.github.io/Logging_2582/tillsyn/A 60774-2025 tillsynsbegäran.docx", "A 60774-2025")</f>
        <v/>
      </c>
      <c r="AD72">
        <f>HYPERLINK("https://klasma.github.io/Logging_2582/tillsynsmail/A 60774-2025 tillsynsbegäran mail.docx", "A 60774-2025")</f>
        <v/>
      </c>
    </row>
    <row r="73" ht="15" customHeight="1">
      <c r="A73" t="inlineStr">
        <is>
          <t>A 6895-2025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45701</v>
      </c>
      <c r="E73" s="1" t="n">
        <v>46235</v>
      </c>
      <c r="F73" t="inlineStr">
        <is>
          <t>NORRBOTTENS LÄN</t>
        </is>
      </c>
      <c r="G73" t="inlineStr">
        <is>
          <t>BODEN</t>
        </is>
      </c>
      <c r="I73" t="n">
        <v>1.5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Kolflarnlav
Plattlummer</t>
        </is>
      </c>
      <c r="W73">
        <f>HYPERLINK("https://klasma.github.io/Logging_2582/artfynd/A 6895-2025 artfynd.xlsx", "A 6895-2025")</f>
        <v/>
      </c>
      <c r="X73">
        <f>HYPERLINK("https://klasma.github.io/Logging_2582/kartor/A 6895-2025 karta.png", "A 6895-2025")</f>
        <v/>
      </c>
      <c r="Y73">
        <f>HYPERLINK("https://klasma.github.io/Logging_2582/kartor_geotiff/A 6895-2025 georefererad karta.tif", "A 6895-2025")</f>
        <v/>
      </c>
      <c r="AA73">
        <f>HYPERLINK("https://klasma.github.io/Logging_2582/klagomål/A 6895-2025 FSC-klagomål.docx", "A 6895-2025")</f>
        <v/>
      </c>
      <c r="AB73">
        <f>HYPERLINK("https://klasma.github.io/Logging_2582/klagomålsmail/A 6895-2025 FSC-klagomål mail.docx", "A 6895-2025")</f>
        <v/>
      </c>
      <c r="AC73">
        <f>HYPERLINK("https://klasma.github.io/Logging_2582/tillsyn/A 6895-2025 tillsynsbegäran.docx", "A 6895-2025")</f>
        <v/>
      </c>
      <c r="AD73">
        <f>HYPERLINK("https://klasma.github.io/Logging_2582/tillsynsmail/A 6895-2025 tillsynsbegäran mail.docx", "A 6895-2025")</f>
        <v/>
      </c>
    </row>
    <row r="74" ht="15" customHeight="1">
      <c r="A74" t="inlineStr">
        <is>
          <t>A 31758-2025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46235</v>
      </c>
      <c r="F74" t="inlineStr">
        <is>
          <t>NORRBOTTENS LÄN</t>
        </is>
      </c>
      <c r="G74" t="inlineStr">
        <is>
          <t>BODEN</t>
        </is>
      </c>
      <c r="I74" t="n">
        <v>19.9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0</v>
      </c>
      <c r="V74" s="2" t="inlineStr">
        <is>
          <t>Garnlav
Tretåig hackspett</t>
        </is>
      </c>
      <c r="W74">
        <f>HYPERLINK("https://klasma.github.io/Logging_2582/artfynd/A 31758-2025 artfynd.xlsx", "A 31758-2025")</f>
        <v/>
      </c>
      <c r="X74">
        <f>HYPERLINK("https://klasma.github.io/Logging_2582/kartor/A 31758-2025 karta.png", "A 31758-2025")</f>
        <v/>
      </c>
      <c r="Y74">
        <f>HYPERLINK("https://klasma.github.io/Logging_2582/kartor_geotiff/A 31758-2025 georefererad karta.tif", "A 31758-2025")</f>
        <v/>
      </c>
      <c r="AA74">
        <f>HYPERLINK("https://klasma.github.io/Logging_2582/klagomål/A 31758-2025 FSC-klagomål.docx", "A 31758-2025")</f>
        <v/>
      </c>
      <c r="AB74">
        <f>HYPERLINK("https://klasma.github.io/Logging_2582/klagomålsmail/A 31758-2025 FSC-klagomål mail.docx", "A 31758-2025")</f>
        <v/>
      </c>
      <c r="AC74">
        <f>HYPERLINK("https://klasma.github.io/Logging_2582/tillsyn/A 31758-2025 tillsynsbegäran.docx", "A 31758-2025")</f>
        <v/>
      </c>
      <c r="AD74">
        <f>HYPERLINK("https://klasma.github.io/Logging_2582/tillsynsmail/A 31758-2025 tillsynsbegäran mail.docx", "A 31758-2025")</f>
        <v/>
      </c>
      <c r="AE74">
        <f>HYPERLINK("https://klasma.github.io/Logging_2582/fåglar/A 31758-2025 prioriterade fågelarter.docx", "A 31758-2025")</f>
        <v/>
      </c>
    </row>
    <row r="75" ht="15" customHeight="1">
      <c r="A75" t="inlineStr">
        <is>
          <t>A 34737-2024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45526</v>
      </c>
      <c r="E75" s="1" t="n">
        <v>46235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4</v>
      </c>
      <c r="U75" t="n">
        <v>1</v>
      </c>
      <c r="V75" s="2" t="inlineStr">
        <is>
          <t>Lunglav
Fläcknycklar</t>
        </is>
      </c>
      <c r="W75">
        <f>HYPERLINK("https://klasma.github.io/Logging_2582/artfynd/A 34737-2024 artfynd.xlsx", "A 34737-2024")</f>
        <v/>
      </c>
      <c r="X75">
        <f>HYPERLINK("https://klasma.github.io/Logging_2582/kartor/A 34737-2024 karta.png", "A 34737-2024")</f>
        <v/>
      </c>
      <c r="Y75">
        <f>HYPERLINK("https://klasma.github.io/Logging_2582/kartor_geotiff/A 34737-2024 georefererad karta.tif", "A 34737-2024")</f>
        <v/>
      </c>
      <c r="AA75">
        <f>HYPERLINK("https://klasma.github.io/Logging_2582/klagomål/A 34737-2024 FSC-klagomål.docx", "A 34737-2024")</f>
        <v/>
      </c>
      <c r="AB75">
        <f>HYPERLINK("https://klasma.github.io/Logging_2582/klagomålsmail/A 34737-2024 FSC-klagomål mail.docx", "A 34737-2024")</f>
        <v/>
      </c>
      <c r="AC75">
        <f>HYPERLINK("https://klasma.github.io/Logging_2582/tillsyn/A 34737-2024 tillsynsbegäran.docx", "A 34737-2024")</f>
        <v/>
      </c>
      <c r="AD75">
        <f>HYPERLINK("https://klasma.github.io/Logging_2582/tillsynsmail/A 34737-2024 tillsynsbegäran mail.docx", "A 34737-2024")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46235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46235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21657-2026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46149</v>
      </c>
      <c r="E78" s="1" t="n">
        <v>46235</v>
      </c>
      <c r="F78" t="inlineStr">
        <is>
          <t>NORRBOTTENS LÄN</t>
        </is>
      </c>
      <c r="G78" t="inlineStr">
        <is>
          <t>BODEN</t>
        </is>
      </c>
      <c r="I78" t="n">
        <v>9.800000000000001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Orre
Utter</t>
        </is>
      </c>
      <c r="W78">
        <f>HYPERLINK("https://klasma.github.io/Logging_2582/artfynd/A 21657-2026 artfynd.xlsx", "A 21657-2026")</f>
        <v/>
      </c>
      <c r="X78">
        <f>HYPERLINK("https://klasma.github.io/Logging_2582/kartor/A 21657-2026 karta.png", "A 21657-2026")</f>
        <v/>
      </c>
      <c r="Y78">
        <f>HYPERLINK("https://klasma.github.io/Logging_2582/kartor_geotiff/A 21657-2026 georefererad karta.tif", "A 21657-2026")</f>
        <v/>
      </c>
      <c r="AA78">
        <f>HYPERLINK("https://klasma.github.io/Logging_2582/klagomål/A 21657-2026 FSC-klagomål.docx", "A 21657-2026")</f>
        <v/>
      </c>
      <c r="AB78">
        <f>HYPERLINK("https://klasma.github.io/Logging_2582/klagomålsmail/A 21657-2026 FSC-klagomål mail.docx", "A 21657-2026")</f>
        <v/>
      </c>
      <c r="AC78">
        <f>HYPERLINK("https://klasma.github.io/Logging_2582/tillsyn/A 21657-2026 tillsynsbegäran.docx", "A 21657-2026")</f>
        <v/>
      </c>
      <c r="AD78">
        <f>HYPERLINK("https://klasma.github.io/Logging_2582/tillsynsmail/A 21657-2026 tillsynsbegäran mail.docx", "A 21657-2026")</f>
        <v/>
      </c>
      <c r="AE78">
        <f>HYPERLINK("https://klasma.github.io/Logging_2582/fåglar/A 21657-2026 prioriterade fågelarter.docx", "A 21657-2026")</f>
        <v/>
      </c>
    </row>
    <row r="79" ht="15" customHeight="1">
      <c r="A79" t="inlineStr">
        <is>
          <t>A 34164-2023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45137</v>
      </c>
      <c r="E79" s="1" t="n">
        <v>46235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2.2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Tretåig hackspett</t>
        </is>
      </c>
      <c r="W79">
        <f>HYPERLINK("https://klasma.github.io/Logging_2582/artfynd/A 34164-2023 artfynd.xlsx", "A 34164-2023")</f>
        <v/>
      </c>
      <c r="X79">
        <f>HYPERLINK("https://klasma.github.io/Logging_2582/kartor/A 34164-2023 karta.png", "A 34164-2023")</f>
        <v/>
      </c>
      <c r="Y79">
        <f>HYPERLINK("https://klasma.github.io/Logging_2582/kartor_geotiff/A 34164-2023 georefererad karta.tif", "A 34164-2023")</f>
        <v/>
      </c>
      <c r="AA79">
        <f>HYPERLINK("https://klasma.github.io/Logging_2582/klagomål/A 34164-2023 FSC-klagomål.docx", "A 34164-2023")</f>
        <v/>
      </c>
      <c r="AB79">
        <f>HYPERLINK("https://klasma.github.io/Logging_2582/klagomålsmail/A 34164-2023 FSC-klagomål mail.docx", "A 34164-2023")</f>
        <v/>
      </c>
      <c r="AC79">
        <f>HYPERLINK("https://klasma.github.io/Logging_2582/tillsyn/A 34164-2023 tillsynsbegäran.docx", "A 34164-2023")</f>
        <v/>
      </c>
      <c r="AD79">
        <f>HYPERLINK("https://klasma.github.io/Logging_2582/tillsynsmail/A 34164-2023 tillsynsbegäran mail.docx", "A 34164-2023")</f>
        <v/>
      </c>
      <c r="AE79">
        <f>HYPERLINK("https://klasma.github.io/Logging_2582/fåglar/A 34164-2023 prioriterade fågelarter.docx", "A 34164-2023")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46235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46235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23794-2026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46164</v>
      </c>
      <c r="E82" s="1" t="n">
        <v>46235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3.1</v>
      </c>
      <c r="J82" t="n">
        <v>2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Plattlummer
Spindelblomster</t>
        </is>
      </c>
      <c r="W82">
        <f>HYPERLINK("https://klasma.github.io/Logging_2582/artfynd/A 23794-2026 artfynd.xlsx", "A 23794-2026")</f>
        <v/>
      </c>
      <c r="X82">
        <f>HYPERLINK("https://klasma.github.io/Logging_2582/kartor/A 23794-2026 karta.png", "A 23794-2026")</f>
        <v/>
      </c>
      <c r="Y82">
        <f>HYPERLINK("https://klasma.github.io/Logging_2582/kartor_geotiff/A 23794-2026 georefererad karta.tif", "A 23794-2026")</f>
        <v/>
      </c>
      <c r="AA82">
        <f>HYPERLINK("https://klasma.github.io/Logging_2582/klagomål/A 23794-2026 FSC-klagomål.docx", "A 23794-2026")</f>
        <v/>
      </c>
      <c r="AB82">
        <f>HYPERLINK("https://klasma.github.io/Logging_2582/klagomålsmail/A 23794-2026 FSC-klagomål mail.docx", "A 23794-2026")</f>
        <v/>
      </c>
      <c r="AC82">
        <f>HYPERLINK("https://klasma.github.io/Logging_2582/tillsyn/A 23794-2026 tillsynsbegäran.docx", "A 23794-2026")</f>
        <v/>
      </c>
      <c r="AD82">
        <f>HYPERLINK("https://klasma.github.io/Logging_2582/tillsynsmail/A 23794-2026 tillsynsbegäran mail.docx", "A 23794-2026")</f>
        <v/>
      </c>
    </row>
    <row r="83" ht="15" customHeight="1">
      <c r="A83" t="inlineStr">
        <is>
          <t>A 29807-2026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46235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Mörk kolflarnlav</t>
        </is>
      </c>
      <c r="W83">
        <f>HYPERLINK("https://klasma.github.io/Logging_2582/artfynd/A 29807-2026 artfynd.xlsx", "A 29807-2026")</f>
        <v/>
      </c>
      <c r="X83">
        <f>HYPERLINK("https://klasma.github.io/Logging_2582/kartor/A 29807-2026 karta.png", "A 29807-2026")</f>
        <v/>
      </c>
      <c r="Y83">
        <f>HYPERLINK("https://klasma.github.io/Logging_2582/kartor_geotiff/A 29807-2026 georefererad karta.tif", "A 29807-2026")</f>
        <v/>
      </c>
      <c r="AA83">
        <f>HYPERLINK("https://klasma.github.io/Logging_2582/klagomål/A 29807-2026 FSC-klagomål.docx", "A 29807-2026")</f>
        <v/>
      </c>
      <c r="AB83">
        <f>HYPERLINK("https://klasma.github.io/Logging_2582/klagomålsmail/A 29807-2026 FSC-klagomål mail.docx", "A 29807-2026")</f>
        <v/>
      </c>
      <c r="AC83">
        <f>HYPERLINK("https://klasma.github.io/Logging_2582/tillsyn/A 29807-2026 tillsynsbegäran.docx", "A 29807-2026")</f>
        <v/>
      </c>
      <c r="AD83">
        <f>HYPERLINK("https://klasma.github.io/Logging_2582/tillsynsmail/A 29807-2026 tillsynsbegäran mail.docx", "A 29807-2026")</f>
        <v/>
      </c>
    </row>
    <row r="84" ht="15" customHeight="1">
      <c r="A84" t="inlineStr">
        <is>
          <t>A 29881-2026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46235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Lunglav
Fläcknycklar</t>
        </is>
      </c>
      <c r="W84">
        <f>HYPERLINK("https://klasma.github.io/Logging_2582/artfynd/A 29881-2026 artfynd.xlsx", "A 29881-2026")</f>
        <v/>
      </c>
      <c r="X84">
        <f>HYPERLINK("https://klasma.github.io/Logging_2582/kartor/A 29881-2026 karta.png", "A 29881-2026")</f>
        <v/>
      </c>
      <c r="Y84">
        <f>HYPERLINK("https://klasma.github.io/Logging_2582/kartor_geotiff/A 29881-2026 georefererad karta.tif", "A 29881-2026")</f>
        <v/>
      </c>
      <c r="AA84">
        <f>HYPERLINK("https://klasma.github.io/Logging_2582/klagomål/A 29881-2026 FSC-klagomål.docx", "A 29881-2026")</f>
        <v/>
      </c>
      <c r="AB84">
        <f>HYPERLINK("https://klasma.github.io/Logging_2582/klagomålsmail/A 29881-2026 FSC-klagomål mail.docx", "A 29881-2026")</f>
        <v/>
      </c>
      <c r="AC84">
        <f>HYPERLINK("https://klasma.github.io/Logging_2582/tillsyn/A 29881-2026 tillsynsbegäran.docx", "A 29881-2026")</f>
        <v/>
      </c>
      <c r="AD84">
        <f>HYPERLINK("https://klasma.github.io/Logging_2582/tillsynsmail/A 29881-2026 tillsynsbegäran mail.docx", "A 29881-2026")</f>
        <v/>
      </c>
    </row>
    <row r="85" ht="15" customHeight="1">
      <c r="A85" t="inlineStr">
        <is>
          <t>A 29860-2026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46235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Knottrig blåslav
Lunglav</t>
        </is>
      </c>
      <c r="W85">
        <f>HYPERLINK("https://klasma.github.io/Logging_2582/artfynd/A 29860-2026 artfynd.xlsx", "A 29860-2026")</f>
        <v/>
      </c>
      <c r="X85">
        <f>HYPERLINK("https://klasma.github.io/Logging_2582/kartor/A 29860-2026 karta.png", "A 29860-2026")</f>
        <v/>
      </c>
      <c r="Y85">
        <f>HYPERLINK("https://klasma.github.io/Logging_2582/kartor_geotiff/A 29860-2026 georefererad karta.tif", "A 29860-2026")</f>
        <v/>
      </c>
      <c r="AA85">
        <f>HYPERLINK("https://klasma.github.io/Logging_2582/klagomål/A 29860-2026 FSC-klagomål.docx", "A 29860-2026")</f>
        <v/>
      </c>
      <c r="AB85">
        <f>HYPERLINK("https://klasma.github.io/Logging_2582/klagomålsmail/A 29860-2026 FSC-klagomål mail.docx", "A 29860-2026")</f>
        <v/>
      </c>
      <c r="AC85">
        <f>HYPERLINK("https://klasma.github.io/Logging_2582/tillsyn/A 29860-2026 tillsynsbegäran.docx", "A 29860-2026")</f>
        <v/>
      </c>
      <c r="AD85">
        <f>HYPERLINK("https://klasma.github.io/Logging_2582/tillsynsmail/A 29860-2026 tillsynsbegäran mail.docx", "A 29860-2026")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46235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46235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46235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46235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17292-2022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46235</v>
      </c>
      <c r="F90" t="inlineStr">
        <is>
          <t>NORRBOTTENS LÄN</t>
        </is>
      </c>
      <c r="G90" t="inlineStr">
        <is>
          <t>BODEN</t>
        </is>
      </c>
      <c r="H90" t="inlineStr">
        <is>
          <t>Kyrkan</t>
        </is>
      </c>
      <c r="I90" t="n">
        <v>0.8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Revlummer</t>
        </is>
      </c>
      <c r="W90">
        <f>HYPERLINK("https://klasma.github.io/Logging_2582/artfynd/A 17292-2022 artfynd.xlsx", "A 17292-2022")</f>
        <v/>
      </c>
      <c r="X90">
        <f>HYPERLINK("https://klasma.github.io/Logging_2582/kartor/A 17292-2022 karta.png", "A 17292-2022")</f>
        <v/>
      </c>
      <c r="Y90">
        <f>HYPERLINK("https://klasma.github.io/Logging_2582/kartor_geotiff/A 17292-2022 georefererad karta.tif", "A 17292-2022")</f>
        <v/>
      </c>
      <c r="AA90">
        <f>HYPERLINK("https://klasma.github.io/Logging_2582/klagomål/A 17292-2022 FSC-klagomål.docx", "A 17292-2022")</f>
        <v/>
      </c>
      <c r="AB90">
        <f>HYPERLINK("https://klasma.github.io/Logging_2582/klagomålsmail/A 17292-2022 FSC-klagomål mail.docx", "A 17292-2022")</f>
        <v/>
      </c>
      <c r="AC90">
        <f>HYPERLINK("https://klasma.github.io/Logging_2582/tillsyn/A 17292-2022 tillsynsbegäran.docx", "A 17292-2022")</f>
        <v/>
      </c>
      <c r="AD90">
        <f>HYPERLINK("https://klasma.github.io/Logging_2582/tillsynsmail/A 17292-2022 tillsynsbegäran mail.docx", "A 17292-2022")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46235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46235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46235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61210-2024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46235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4</v>
      </c>
      <c r="U94" t="n">
        <v>0</v>
      </c>
      <c r="V94" s="2" t="inlineStr">
        <is>
          <t>Skrovlig taggsvamp
Blå taggsvamp</t>
        </is>
      </c>
      <c r="W94">
        <f>HYPERLINK("https://klasma.github.io/Logging_2582/artfynd/A 61210-2024 artfynd.xlsx", "A 61210-2024")</f>
        <v/>
      </c>
      <c r="X94">
        <f>HYPERLINK("https://klasma.github.io/Logging_2582/kartor/A 61210-2024 karta.png", "A 61210-2024")</f>
        <v/>
      </c>
      <c r="Y94">
        <f>HYPERLINK("https://klasma.github.io/Logging_2582/kartor_geotiff/A 61210-2024 georefererad karta.tif", "A 61210-2024")</f>
        <v/>
      </c>
      <c r="AA94">
        <f>HYPERLINK("https://klasma.github.io/Logging_2582/klagomål/A 61210-2024 FSC-klagomål.docx", "A 61210-2024")</f>
        <v/>
      </c>
      <c r="AB94">
        <f>HYPERLINK("https://klasma.github.io/Logging_2582/klagomålsmail/A 61210-2024 FSC-klagomål mail.docx", "A 61210-2024")</f>
        <v/>
      </c>
      <c r="AC94">
        <f>HYPERLINK("https://klasma.github.io/Logging_2582/tillsyn/A 61210-2024 tillsynsbegäran.docx", "A 61210-2024")</f>
        <v/>
      </c>
      <c r="AD94">
        <f>HYPERLINK("https://klasma.github.io/Logging_2582/tillsynsmail/A 61210-2024 tillsynsbegäran mail.docx", "A 61210-2024")</f>
        <v/>
      </c>
    </row>
    <row r="95" ht="15" customHeight="1">
      <c r="A95" t="inlineStr">
        <is>
          <t>A 1507-2022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46235</v>
      </c>
      <c r="F95" t="inlineStr">
        <is>
          <t>NORRBOTTENS LÄN</t>
        </is>
      </c>
      <c r="G95" t="inlineStr">
        <is>
          <t>BODEN</t>
        </is>
      </c>
      <c r="H95" t="inlineStr">
        <is>
          <t>Övriga statliga verk och myndigheter</t>
        </is>
      </c>
      <c r="I95" t="n">
        <v>15.4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Gråspett</t>
        </is>
      </c>
      <c r="W95">
        <f>HYPERLINK("https://klasma.github.io/Logging_2582/artfynd/A 1507-2022 artfynd.xlsx", "A 1507-2022")</f>
        <v/>
      </c>
      <c r="X95">
        <f>HYPERLINK("https://klasma.github.io/Logging_2582/kartor/A 1507-2022 karta.png", "A 1507-2022")</f>
        <v/>
      </c>
      <c r="Y95">
        <f>HYPERLINK("https://klasma.github.io/Logging_2582/kartor_geotiff/A 1507-2022 georefererad karta.tif", "A 1507-2022")</f>
        <v/>
      </c>
      <c r="AA95">
        <f>HYPERLINK("https://klasma.github.io/Logging_2582/klagomål/A 1507-2022 FSC-klagomål.docx", "A 1507-2022")</f>
        <v/>
      </c>
      <c r="AB95">
        <f>HYPERLINK("https://klasma.github.io/Logging_2582/klagomålsmail/A 1507-2022 FSC-klagomål mail.docx", "A 1507-2022")</f>
        <v/>
      </c>
      <c r="AC95">
        <f>HYPERLINK("https://klasma.github.io/Logging_2582/tillsyn/A 1507-2022 tillsynsbegäran.docx", "A 1507-2022")</f>
        <v/>
      </c>
      <c r="AD95">
        <f>HYPERLINK("https://klasma.github.io/Logging_2582/tillsynsmail/A 1507-2022 tillsynsbegäran mail.docx", "A 1507-2022")</f>
        <v/>
      </c>
      <c r="AE95">
        <f>HYPERLINK("https://klasma.github.io/Logging_2582/fåglar/A 1507-2022 prioriterade fågelarter.docx", "A 1507-2022")</f>
        <v/>
      </c>
    </row>
    <row r="96" ht="15" customHeight="1">
      <c r="A96" t="inlineStr">
        <is>
          <t>A 32971-2024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45517</v>
      </c>
      <c r="E96" s="1" t="n">
        <v>46235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5</v>
      </c>
      <c r="U96" t="n">
        <v>4</v>
      </c>
      <c r="V96" s="2" t="inlineStr">
        <is>
          <t>Lunglav
Fläcknycklar</t>
        </is>
      </c>
      <c r="W96">
        <f>HYPERLINK("https://klasma.github.io/Logging_2582/artfynd/A 32971-2024 artfynd.xlsx", "A 32971-2024")</f>
        <v/>
      </c>
      <c r="X96">
        <f>HYPERLINK("https://klasma.github.io/Logging_2582/kartor/A 32971-2024 karta.png", "A 32971-2024")</f>
        <v/>
      </c>
      <c r="Y96">
        <f>HYPERLINK("https://klasma.github.io/Logging_2582/kartor_geotiff/A 32971-2024 georefererad karta.tif", "A 32971-2024")</f>
        <v/>
      </c>
      <c r="AA96">
        <f>HYPERLINK("https://klasma.github.io/Logging_2582/klagomål/A 32971-2024 FSC-klagomål.docx", "A 32971-2024")</f>
        <v/>
      </c>
      <c r="AB96">
        <f>HYPERLINK("https://klasma.github.io/Logging_2582/klagomålsmail/A 32971-2024 FSC-klagomål mail.docx", "A 32971-2024")</f>
        <v/>
      </c>
      <c r="AC96">
        <f>HYPERLINK("https://klasma.github.io/Logging_2582/tillsyn/A 32971-2024 tillsynsbegäran.docx", "A 32971-2024")</f>
        <v/>
      </c>
      <c r="AD96">
        <f>HYPERLINK("https://klasma.github.io/Logging_2582/tillsynsmail/A 32971-2024 tillsynsbegäran mail.docx", "A 32971-2024")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46235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Utter</t>
        </is>
      </c>
      <c r="W97">
        <f>HYPERLINK("https://klasma.github.io/Logging_2582/artfynd/A 22906-2023 artfynd.xlsx", "A 22906-2023")</f>
        <v/>
      </c>
      <c r="X97">
        <f>HYPERLINK("https://klasma.github.io/Logging_2582/kartor/A 22906-2023 karta.png", "A 22906-2023")</f>
        <v/>
      </c>
      <c r="Y97">
        <f>HYPERLINK("https://klasma.github.io/Logging_2582/kartor_geotiff/A 22906-2023 georefererad karta.tif", "A 22906-2023")</f>
        <v/>
      </c>
      <c r="AA97">
        <f>HYPERLINK("https://klasma.github.io/Logging_2582/klagomål/A 22906-2023 FSC-klagomål.docx", "A 22906-2023")</f>
        <v/>
      </c>
      <c r="AB97">
        <f>HYPERLINK("https://klasma.github.io/Logging_2582/klagomålsmail/A 22906-2023 FSC-klagomål mail.docx", "A 22906-2023")</f>
        <v/>
      </c>
      <c r="AC97">
        <f>HYPERLINK("https://klasma.github.io/Logging_2582/tillsyn/A 22906-2023 tillsynsbegäran.docx", "A 22906-2023")</f>
        <v/>
      </c>
      <c r="AD97">
        <f>HYPERLINK("https://klasma.github.io/Logging_2582/tillsynsmail/A 22906-2023 tillsynsbegäran mail.docx", "A 22906-2023")</f>
        <v/>
      </c>
      <c r="AE97">
        <f>HYPERLINK("https://klasma.github.io/Logging_2582/fåglar/A 22906-2023 prioriterade fågelarter.docx", "A 22906-2023")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46235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6639-2024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46235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23.8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Kungsfågel</t>
        </is>
      </c>
      <c r="W99">
        <f>HYPERLINK("https://klasma.github.io/Logging_2582/artfynd/A 6639-2024 artfynd.xlsx", "A 6639-2024")</f>
        <v/>
      </c>
      <c r="X99">
        <f>HYPERLINK("https://klasma.github.io/Logging_2582/kartor/A 6639-2024 karta.png", "A 6639-2024")</f>
        <v/>
      </c>
      <c r="Y99">
        <f>HYPERLINK("https://klasma.github.io/Logging_2582/kartor_geotiff/A 6639-2024 georefererad karta.tif", "A 6639-2024")</f>
        <v/>
      </c>
      <c r="AA99">
        <f>HYPERLINK("https://klasma.github.io/Logging_2582/klagomål/A 6639-2024 FSC-klagomål.docx", "A 6639-2024")</f>
        <v/>
      </c>
      <c r="AB99">
        <f>HYPERLINK("https://klasma.github.io/Logging_2582/klagomålsmail/A 6639-2024 FSC-klagomål mail.docx", "A 6639-2024")</f>
        <v/>
      </c>
      <c r="AC99">
        <f>HYPERLINK("https://klasma.github.io/Logging_2582/tillsyn/A 6639-2024 tillsynsbegäran.docx", "A 6639-2024")</f>
        <v/>
      </c>
      <c r="AD99">
        <f>HYPERLINK("https://klasma.github.io/Logging_2582/tillsynsmail/A 6639-2024 tillsynsbegäran mail.docx", "A 6639-2024")</f>
        <v/>
      </c>
    </row>
    <row r="100" ht="15" customHeight="1">
      <c r="A100" t="inlineStr">
        <is>
          <t>A 28867-2025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46235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8.199999999999999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12</v>
      </c>
      <c r="U100" t="n">
        <v>12</v>
      </c>
      <c r="V100" s="2" t="inlineStr">
        <is>
          <t>Knärot
Fläcknycklar</t>
        </is>
      </c>
      <c r="W100">
        <f>HYPERLINK("https://klasma.github.io/Logging_2582/artfynd/A 28867-2025 artfynd.xlsx", "A 28867-2025")</f>
        <v/>
      </c>
      <c r="X100">
        <f>HYPERLINK("https://klasma.github.io/Logging_2582/kartor/A 28867-2025 karta.png", "A 28867-2025")</f>
        <v/>
      </c>
      <c r="Y100">
        <f>HYPERLINK("https://klasma.github.io/Logging_2582/kartor_geotiff/A 28867-2025 georefererad karta.tif", "A 28867-2025")</f>
        <v/>
      </c>
      <c r="Z100">
        <f>HYPERLINK("https://klasma.github.io/Logging_2582/knärot/A 28867-2025 karta knärot.png", "A 28867-2025")</f>
        <v/>
      </c>
      <c r="AA100">
        <f>HYPERLINK("https://klasma.github.io/Logging_2582/klagomål/A 28867-2025 FSC-klagomål.docx", "A 28867-2025")</f>
        <v/>
      </c>
      <c r="AB100">
        <f>HYPERLINK("https://klasma.github.io/Logging_2582/klagomålsmail/A 28867-2025 FSC-klagomål mail.docx", "A 28867-2025")</f>
        <v/>
      </c>
      <c r="AC100">
        <f>HYPERLINK("https://klasma.github.io/Logging_2582/tillsyn/A 28867-2025 tillsynsbegäran.docx", "A 28867-2025")</f>
        <v/>
      </c>
      <c r="AD100">
        <f>HYPERLINK("https://klasma.github.io/Logging_2582/tillsynsmail/A 28867-2025 tillsynsbegäran mail.docx", "A 28867-2025")</f>
        <v/>
      </c>
    </row>
    <row r="101" ht="15" customHeight="1">
      <c r="A101" t="inlineStr">
        <is>
          <t>A 37086-2025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46235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Aktiebolag</t>
        </is>
      </c>
      <c r="I101" t="n">
        <v>22.8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Stuplav</t>
        </is>
      </c>
      <c r="W101">
        <f>HYPERLINK("https://klasma.github.io/Logging_2582/artfynd/A 37086-2025 artfynd.xlsx", "A 37086-2025")</f>
        <v/>
      </c>
      <c r="X101">
        <f>HYPERLINK("https://klasma.github.io/Logging_2582/kartor/A 37086-2025 karta.png", "A 37086-2025")</f>
        <v/>
      </c>
      <c r="Y101">
        <f>HYPERLINK("https://klasma.github.io/Logging_2582/kartor_geotiff/A 37086-2025 georefererad karta.tif", "A 37086-2025")</f>
        <v/>
      </c>
      <c r="AA101">
        <f>HYPERLINK("https://klasma.github.io/Logging_2582/klagomål/A 37086-2025 FSC-klagomål.docx", "A 37086-2025")</f>
        <v/>
      </c>
      <c r="AB101">
        <f>HYPERLINK("https://klasma.github.io/Logging_2582/klagomålsmail/A 37086-2025 FSC-klagomål mail.docx", "A 37086-2025")</f>
        <v/>
      </c>
      <c r="AC101">
        <f>HYPERLINK("https://klasma.github.io/Logging_2582/tillsyn/A 37086-2025 tillsynsbegäran.docx", "A 37086-2025")</f>
        <v/>
      </c>
      <c r="AD101">
        <f>HYPERLINK("https://klasma.github.io/Logging_2582/tillsynsmail/A 37086-2025 tillsynsbegäran mail.docx", "A 37086-2025")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46235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46235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46235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46235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46235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49410-2023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46235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Lunglav</t>
        </is>
      </c>
      <c r="W108">
        <f>HYPERLINK("https://klasma.github.io/Logging_2582/artfynd/A 49410-2023 artfynd.xlsx", "A 49410-2023")</f>
        <v/>
      </c>
      <c r="X108">
        <f>HYPERLINK("https://klasma.github.io/Logging_2582/kartor/A 49410-2023 karta.png", "A 49410-2023")</f>
        <v/>
      </c>
      <c r="Y108">
        <f>HYPERLINK("https://klasma.github.io/Logging_2582/kartor_geotiff/A 49410-2023 georefererad karta.tif", "A 49410-2023")</f>
        <v/>
      </c>
      <c r="AA108">
        <f>HYPERLINK("https://klasma.github.io/Logging_2582/klagomål/A 49410-2023 FSC-klagomål.docx", "A 49410-2023")</f>
        <v/>
      </c>
      <c r="AB108">
        <f>HYPERLINK("https://klasma.github.io/Logging_2582/klagomålsmail/A 49410-2023 FSC-klagomål mail.docx", "A 49410-2023")</f>
        <v/>
      </c>
      <c r="AC108">
        <f>HYPERLINK("https://klasma.github.io/Logging_2582/tillsyn/A 49410-2023 tillsynsbegäran.docx", "A 49410-2023")</f>
        <v/>
      </c>
      <c r="AD108">
        <f>HYPERLINK("https://klasma.github.io/Logging_2582/tillsynsmail/A 49410-2023 tillsynsbegäran mail.docx", "A 49410-2023")</f>
        <v/>
      </c>
    </row>
    <row r="109" ht="15" customHeight="1">
      <c r="A109" t="inlineStr">
        <is>
          <t>A 22892-2024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46235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Bollvitmossa</t>
        </is>
      </c>
      <c r="W109">
        <f>HYPERLINK("https://klasma.github.io/Logging_2582/artfynd/A 22892-2024 artfynd.xlsx", "A 22892-2024")</f>
        <v/>
      </c>
      <c r="X109">
        <f>HYPERLINK("https://klasma.github.io/Logging_2582/kartor/A 22892-2024 karta.png", "A 22892-2024")</f>
        <v/>
      </c>
      <c r="Y109">
        <f>HYPERLINK("https://klasma.github.io/Logging_2582/kartor_geotiff/A 22892-2024 georefererad karta.tif", "A 22892-2024")</f>
        <v/>
      </c>
      <c r="AA109">
        <f>HYPERLINK("https://klasma.github.io/Logging_2582/klagomål/A 22892-2024 FSC-klagomål.docx", "A 22892-2024")</f>
        <v/>
      </c>
      <c r="AB109">
        <f>HYPERLINK("https://klasma.github.io/Logging_2582/klagomålsmail/A 22892-2024 FSC-klagomål mail.docx", "A 22892-2024")</f>
        <v/>
      </c>
      <c r="AC109">
        <f>HYPERLINK("https://klasma.github.io/Logging_2582/tillsyn/A 22892-2024 tillsynsbegäran.docx", "A 22892-2024")</f>
        <v/>
      </c>
      <c r="AD109">
        <f>HYPERLINK("https://klasma.github.io/Logging_2582/tillsynsmail/A 22892-2024 tillsynsbegäran mail.docx", "A 22892-2024")</f>
        <v/>
      </c>
    </row>
    <row r="110" ht="15" customHeight="1">
      <c r="A110" t="inlineStr">
        <is>
          <t>A 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46235</v>
      </c>
      <c r="F110" t="inlineStr">
        <is>
          <t>NORRBOTTENS LÄN</t>
        </is>
      </c>
      <c r="G110" t="inlineStr">
        <is>
          <t>BODEN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HYPERLINK("https://klasma.github.io/Logging_2582/artfynd/A 665-2023 artfynd.xlsx", "A 665-2023")</f>
        <v/>
      </c>
      <c r="X110">
        <f>HYPERLINK("https://klasma.github.io/Logging_2582/kartor/A 665-2023 karta.png", "A 665-2023")</f>
        <v/>
      </c>
      <c r="Y110">
        <f>HYPERLINK("https://klasma.github.io/Logging_2582/kartor_geotiff/A 665-2023 georefererad karta.tif", "A 665-2023")</f>
        <v/>
      </c>
      <c r="AA110">
        <f>HYPERLINK("https://klasma.github.io/Logging_2582/klagomål/A 665-2023 FSC-klagomål.docx", "A 665-2023")</f>
        <v/>
      </c>
      <c r="AB110">
        <f>HYPERLINK("https://klasma.github.io/Logging_2582/klagomålsmail/A 665-2023 FSC-klagomål mail.docx", "A 665-2023")</f>
        <v/>
      </c>
      <c r="AC110">
        <f>HYPERLINK("https://klasma.github.io/Logging_2582/tillsyn/A 665-2023 tillsynsbegäran.docx", "A 665-2023")</f>
        <v/>
      </c>
      <c r="AD110">
        <f>HYPERLINK("https://klasma.github.io/Logging_2582/tillsynsmail/A 665-2023 tillsynsbegäran mail.docx", "A 665-2023")</f>
        <v/>
      </c>
      <c r="AE110">
        <f>HYPERLINK("https://klasma.github.io/Logging_2582/fåglar/A 665-2023 prioriterade fågelarter.docx", "A 665-2023")</f>
        <v/>
      </c>
    </row>
    <row r="111" ht="15" customHeight="1">
      <c r="A111" t="inlineStr">
        <is>
          <t>A 18678-2025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46235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HYPERLINK("https://klasma.github.io/Logging_2582/artfynd/A 18678-2025 artfynd.xlsx", "A 18678-2025")</f>
        <v/>
      </c>
      <c r="X111">
        <f>HYPERLINK("https://klasma.github.io/Logging_2582/kartor/A 18678-2025 karta.png", "A 18678-2025")</f>
        <v/>
      </c>
      <c r="Y111">
        <f>HYPERLINK("https://klasma.github.io/Logging_2582/kartor_geotiff/A 18678-2025 georefererad karta.tif", "A 18678-2025")</f>
        <v/>
      </c>
      <c r="AA111">
        <f>HYPERLINK("https://klasma.github.io/Logging_2582/klagomål/A 18678-2025 FSC-klagomål.docx", "A 18678-2025")</f>
        <v/>
      </c>
      <c r="AB111">
        <f>HYPERLINK("https://klasma.github.io/Logging_2582/klagomålsmail/A 18678-2025 FSC-klagomål mail.docx", "A 18678-2025")</f>
        <v/>
      </c>
      <c r="AC111">
        <f>HYPERLINK("https://klasma.github.io/Logging_2582/tillsyn/A 18678-2025 tillsynsbegäran.docx", "A 18678-2025")</f>
        <v/>
      </c>
      <c r="AD111">
        <f>HYPERLINK("https://klasma.github.io/Logging_2582/tillsynsmail/A 18678-2025 tillsynsbegäran mail.docx", "A 18678-2025")</f>
        <v/>
      </c>
    </row>
    <row r="112" ht="15" customHeight="1">
      <c r="A112" t="inlineStr">
        <is>
          <t>A 13568-2022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46235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Lavskrika</t>
        </is>
      </c>
      <c r="W112">
        <f>HYPERLINK("https://klasma.github.io/Logging_2582/artfynd/A 13568-2022 artfynd.xlsx", "A 13568-2022")</f>
        <v/>
      </c>
      <c r="X112">
        <f>HYPERLINK("https://klasma.github.io/Logging_2582/kartor/A 13568-2022 karta.png", "A 13568-2022")</f>
        <v/>
      </c>
      <c r="Y112">
        <f>HYPERLINK("https://klasma.github.io/Logging_2582/kartor_geotiff/A 13568-2022 georefererad karta.tif", "A 13568-2022")</f>
        <v/>
      </c>
      <c r="AA112">
        <f>HYPERLINK("https://klasma.github.io/Logging_2582/klagomål/A 13568-2022 FSC-klagomål.docx", "A 13568-2022")</f>
        <v/>
      </c>
      <c r="AB112">
        <f>HYPERLINK("https://klasma.github.io/Logging_2582/klagomålsmail/A 13568-2022 FSC-klagomål mail.docx", "A 13568-2022")</f>
        <v/>
      </c>
      <c r="AC112">
        <f>HYPERLINK("https://klasma.github.io/Logging_2582/tillsyn/A 13568-2022 tillsynsbegäran.docx", "A 13568-2022")</f>
        <v/>
      </c>
      <c r="AD112">
        <f>HYPERLINK("https://klasma.github.io/Logging_2582/tillsynsmail/A 13568-2022 tillsynsbegäran mail.docx", "A 13568-2022")</f>
        <v/>
      </c>
      <c r="AE112">
        <f>HYPERLINK("https://klasma.github.io/Logging_2582/fåglar/A 13568-2022 prioriterade fågelarter.docx", "A 13568-2022")</f>
        <v/>
      </c>
    </row>
    <row r="113" ht="15" customHeight="1">
      <c r="A113" t="inlineStr">
        <is>
          <t>A 2568-2024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46235</v>
      </c>
      <c r="F113" t="inlineStr">
        <is>
          <t>NORRBOTTENS LÄN</t>
        </is>
      </c>
      <c r="G113" t="inlineStr">
        <is>
          <t>BODEN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 taggsvamp</t>
        </is>
      </c>
      <c r="W113">
        <f>HYPERLINK("https://klasma.github.io/Logging_2582/artfynd/A 2568-2024 artfynd.xlsx", "A 2568-2024")</f>
        <v/>
      </c>
      <c r="X113">
        <f>HYPERLINK("https://klasma.github.io/Logging_2582/kartor/A 2568-2024 karta.png", "A 2568-2024")</f>
        <v/>
      </c>
      <c r="Y113">
        <f>HYPERLINK("https://klasma.github.io/Logging_2582/kartor_geotiff/A 2568-2024 georefererad karta.tif", "A 2568-2024")</f>
        <v/>
      </c>
      <c r="AA113">
        <f>HYPERLINK("https://klasma.github.io/Logging_2582/klagomål/A 2568-2024 FSC-klagomål.docx", "A 2568-2024")</f>
        <v/>
      </c>
      <c r="AB113">
        <f>HYPERLINK("https://klasma.github.io/Logging_2582/klagomålsmail/A 2568-2024 FSC-klagomål mail.docx", "A 2568-2024")</f>
        <v/>
      </c>
      <c r="AC113">
        <f>HYPERLINK("https://klasma.github.io/Logging_2582/tillsyn/A 2568-2024 tillsynsbegäran.docx", "A 2568-2024")</f>
        <v/>
      </c>
      <c r="AD113">
        <f>HYPERLINK("https://klasma.github.io/Logging_2582/tillsynsmail/A 2568-2024 tillsynsbegäran mail.docx", "A 2568-2024")</f>
        <v/>
      </c>
    </row>
    <row r="114" ht="15" customHeight="1">
      <c r="A114" t="inlineStr">
        <is>
          <t>A 68560-2021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46235</v>
      </c>
      <c r="F114" t="inlineStr">
        <is>
          <t>NORRBOTTENS LÄN</t>
        </is>
      </c>
      <c r="G114" t="inlineStr">
        <is>
          <t>BODEN</t>
        </is>
      </c>
      <c r="I114" t="n">
        <v>3.5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4</v>
      </c>
      <c r="U114" t="n">
        <v>4</v>
      </c>
      <c r="V114" s="2" t="inlineStr">
        <is>
          <t>Småflikig brosklav</t>
        </is>
      </c>
      <c r="W114">
        <f>HYPERLINK("https://klasma.github.io/Logging_2582/artfynd/A 68560-2021 artfynd.xlsx", "A 68560-2021")</f>
        <v/>
      </c>
      <c r="X114">
        <f>HYPERLINK("https://klasma.github.io/Logging_2582/kartor/A 68560-2021 karta.png", "A 68560-2021")</f>
        <v/>
      </c>
      <c r="Y114">
        <f>HYPERLINK("https://klasma.github.io/Logging_2582/kartor_geotiff/A 68560-2021 georefererad karta.tif", "A 68560-2021")</f>
        <v/>
      </c>
      <c r="AA114">
        <f>HYPERLINK("https://klasma.github.io/Logging_2582/klagomål/A 68560-2021 FSC-klagomål.docx", "A 68560-2021")</f>
        <v/>
      </c>
      <c r="AB114">
        <f>HYPERLINK("https://klasma.github.io/Logging_2582/klagomålsmail/A 68560-2021 FSC-klagomål mail.docx", "A 68560-2021")</f>
        <v/>
      </c>
      <c r="AC114">
        <f>HYPERLINK("https://klasma.github.io/Logging_2582/tillsyn/A 68560-2021 tillsynsbegäran.docx", "A 68560-2021")</f>
        <v/>
      </c>
      <c r="AD114">
        <f>HYPERLINK("https://klasma.github.io/Logging_2582/tillsynsmail/A 68560-2021 tillsynsbegäran mail.docx", "A 68560-2021")</f>
        <v/>
      </c>
    </row>
    <row r="115" ht="15" customHeight="1">
      <c r="A115" t="inlineStr">
        <is>
          <t>A 41087-2024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45559</v>
      </c>
      <c r="E115" s="1" t="n">
        <v>46235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HYPERLINK("https://klasma.github.io/Logging_2582/artfynd/A 41087-2024 artfynd.xlsx", "A 41087-2024")</f>
        <v/>
      </c>
      <c r="X115">
        <f>HYPERLINK("https://klasma.github.io/Logging_2582/kartor/A 41087-2024 karta.png", "A 41087-2024")</f>
        <v/>
      </c>
      <c r="Y115">
        <f>HYPERLINK("https://klasma.github.io/Logging_2582/kartor_geotiff/A 41087-2024 georefererad karta.tif", "A 41087-2024")</f>
        <v/>
      </c>
      <c r="AA115">
        <f>HYPERLINK("https://klasma.github.io/Logging_2582/klagomål/A 41087-2024 FSC-klagomål.docx", "A 41087-2024")</f>
        <v/>
      </c>
      <c r="AB115">
        <f>HYPERLINK("https://klasma.github.io/Logging_2582/klagomålsmail/A 41087-2024 FSC-klagomål mail.docx", "A 41087-2024")</f>
        <v/>
      </c>
      <c r="AC115">
        <f>HYPERLINK("https://klasma.github.io/Logging_2582/tillsyn/A 41087-2024 tillsynsbegäran.docx", "A 41087-2024")</f>
        <v/>
      </c>
      <c r="AD115">
        <f>HYPERLINK("https://klasma.github.io/Logging_2582/tillsynsmail/A 41087-2024 tillsynsbegäran mail.docx", "A 41087-2024")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46235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41443-2025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46235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HYPERLINK("https://klasma.github.io/Logging_2582/artfynd/A 41443-2025 artfynd.xlsx", "A 41443-2025")</f>
        <v/>
      </c>
      <c r="X117">
        <f>HYPERLINK("https://klasma.github.io/Logging_2582/kartor/A 41443-2025 karta.png", "A 41443-2025")</f>
        <v/>
      </c>
      <c r="Y117">
        <f>HYPERLINK("https://klasma.github.io/Logging_2582/kartor_geotiff/A 41443-2025 georefererad karta.tif", "A 41443-2025")</f>
        <v/>
      </c>
      <c r="AA117">
        <f>HYPERLINK("https://klasma.github.io/Logging_2582/klagomål/A 41443-2025 FSC-klagomål.docx", "A 41443-2025")</f>
        <v/>
      </c>
      <c r="AB117">
        <f>HYPERLINK("https://klasma.github.io/Logging_2582/klagomålsmail/A 41443-2025 FSC-klagomål mail.docx", "A 41443-2025")</f>
        <v/>
      </c>
      <c r="AC117">
        <f>HYPERLINK("https://klasma.github.io/Logging_2582/tillsyn/A 41443-2025 tillsynsbegäran.docx", "A 41443-2025")</f>
        <v/>
      </c>
      <c r="AD117">
        <f>HYPERLINK("https://klasma.github.io/Logging_2582/tillsynsmail/A 41443-2025 tillsynsbegäran mail.docx", "A 41443-2025")</f>
        <v/>
      </c>
    </row>
    <row r="118" ht="15" customHeight="1">
      <c r="A118" t="inlineStr">
        <is>
          <t>A 41436-2025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46235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21.5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Fläcknycklar</t>
        </is>
      </c>
      <c r="W118">
        <f>HYPERLINK("https://klasma.github.io/Logging_2582/artfynd/A 41436-2025 artfynd.xlsx", "A 41436-2025")</f>
        <v/>
      </c>
      <c r="X118">
        <f>HYPERLINK("https://klasma.github.io/Logging_2582/kartor/A 41436-2025 karta.png", "A 41436-2025")</f>
        <v/>
      </c>
      <c r="Y118">
        <f>HYPERLINK("https://klasma.github.io/Logging_2582/kartor_geotiff/A 41436-2025 georefererad karta.tif", "A 41436-2025")</f>
        <v/>
      </c>
      <c r="AA118">
        <f>HYPERLINK("https://klasma.github.io/Logging_2582/klagomål/A 41436-2025 FSC-klagomål.docx", "A 41436-2025")</f>
        <v/>
      </c>
      <c r="AB118">
        <f>HYPERLINK("https://klasma.github.io/Logging_2582/klagomålsmail/A 41436-2025 FSC-klagomål mail.docx", "A 41436-2025")</f>
        <v/>
      </c>
      <c r="AC118">
        <f>HYPERLINK("https://klasma.github.io/Logging_2582/tillsyn/A 41436-2025 tillsynsbegäran.docx", "A 41436-2025")</f>
        <v/>
      </c>
      <c r="AD118">
        <f>HYPERLINK("https://klasma.github.io/Logging_2582/tillsynsmail/A 41436-2025 tillsynsbegäran mail.docx", "A 41436-2025")</f>
        <v/>
      </c>
    </row>
    <row r="119" ht="15" customHeight="1">
      <c r="A119" t="inlineStr">
        <is>
          <t>A 26359-2022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46235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11.4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HYPERLINK("https://klasma.github.io/Logging_2582/artfynd/A 26359-2022 artfynd.xlsx", "A 26359-2022")</f>
        <v/>
      </c>
      <c r="X119">
        <f>HYPERLINK("https://klasma.github.io/Logging_2582/kartor/A 26359-2022 karta.png", "A 26359-2022")</f>
        <v/>
      </c>
      <c r="Y119">
        <f>HYPERLINK("https://klasma.github.io/Logging_2582/kartor_geotiff/A 26359-2022 georefererad karta.tif", "A 26359-2022")</f>
        <v/>
      </c>
      <c r="AA119">
        <f>HYPERLINK("https://klasma.github.io/Logging_2582/klagomål/A 26359-2022 FSC-klagomål.docx", "A 26359-2022")</f>
        <v/>
      </c>
      <c r="AB119">
        <f>HYPERLINK("https://klasma.github.io/Logging_2582/klagomålsmail/A 26359-2022 FSC-klagomål mail.docx", "A 26359-2022")</f>
        <v/>
      </c>
      <c r="AC119">
        <f>HYPERLINK("https://klasma.github.io/Logging_2582/tillsyn/A 26359-2022 tillsynsbegäran.docx", "A 26359-2022")</f>
        <v/>
      </c>
      <c r="AD119">
        <f>HYPERLINK("https://klasma.github.io/Logging_2582/tillsynsmail/A 26359-2022 tillsynsbegäran mail.docx", "A 26359-2022")</f>
        <v/>
      </c>
    </row>
    <row r="120" ht="15" customHeight="1">
      <c r="A120" t="inlineStr">
        <is>
          <t>A 21310-2026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46147</v>
      </c>
      <c r="E120" s="1" t="n">
        <v>46235</v>
      </c>
      <c r="F120" t="inlineStr">
        <is>
          <t>NORRBOTTENS LÄN</t>
        </is>
      </c>
      <c r="G120" t="inlineStr">
        <is>
          <t>BODEN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HYPERLINK("https://klasma.github.io/Logging_2582/artfynd/A 21310-2026 artfynd.xlsx", "A 21310-2026")</f>
        <v/>
      </c>
      <c r="X120">
        <f>HYPERLINK("https://klasma.github.io/Logging_2582/kartor/A 21310-2026 karta.png", "A 21310-2026")</f>
        <v/>
      </c>
      <c r="Y120">
        <f>HYPERLINK("https://klasma.github.io/Logging_2582/kartor_geotiff/A 21310-2026 georefererad karta.tif", "A 21310-2026")</f>
        <v/>
      </c>
      <c r="AA120">
        <f>HYPERLINK("https://klasma.github.io/Logging_2582/klagomål/A 21310-2026 FSC-klagomål.docx", "A 21310-2026")</f>
        <v/>
      </c>
      <c r="AB120">
        <f>HYPERLINK("https://klasma.github.io/Logging_2582/klagomålsmail/A 21310-2026 FSC-klagomål mail.docx", "A 21310-2026")</f>
        <v/>
      </c>
      <c r="AC120">
        <f>HYPERLINK("https://klasma.github.io/Logging_2582/tillsyn/A 21310-2026 tillsynsbegäran.docx", "A 21310-2026")</f>
        <v/>
      </c>
      <c r="AD120">
        <f>HYPERLINK("https://klasma.github.io/Logging_2582/tillsynsmail/A 21310-2026 tillsynsbegäran mail.docx", "A 21310-2026")</f>
        <v/>
      </c>
    </row>
    <row r="121" ht="15" customHeight="1">
      <c r="A121" t="inlineStr">
        <is>
          <t>A 50394-2025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45944</v>
      </c>
      <c r="E121" s="1" t="n">
        <v>46235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HYPERLINK("https://klasma.github.io/Logging_2582/artfynd/A 50394-2025 artfynd.xlsx", "A 50394-2025")</f>
        <v/>
      </c>
      <c r="X121">
        <f>HYPERLINK("https://klasma.github.io/Logging_2582/kartor/A 50394-2025 karta.png", "A 50394-2025")</f>
        <v/>
      </c>
      <c r="Y121">
        <f>HYPERLINK("https://klasma.github.io/Logging_2582/kartor_geotiff/A 50394-2025 georefererad karta.tif", "A 50394-2025")</f>
        <v/>
      </c>
      <c r="AA121">
        <f>HYPERLINK("https://klasma.github.io/Logging_2582/klagomål/A 50394-2025 FSC-klagomål.docx", "A 50394-2025")</f>
        <v/>
      </c>
      <c r="AB121">
        <f>HYPERLINK("https://klasma.github.io/Logging_2582/klagomålsmail/A 50394-2025 FSC-klagomål mail.docx", "A 50394-2025")</f>
        <v/>
      </c>
      <c r="AC121">
        <f>HYPERLINK("https://klasma.github.io/Logging_2582/tillsyn/A 50394-2025 tillsynsbegäran.docx", "A 50394-2025")</f>
        <v/>
      </c>
      <c r="AD121">
        <f>HYPERLINK("https://klasma.github.io/Logging_2582/tillsynsmail/A 50394-2025 tillsynsbegäran mail.docx", "A 50394-2025")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46235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46235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46235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46235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53180-2025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46235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13.2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HYPERLINK("https://klasma.github.io/Logging_2582/artfynd/A 53180-2025 artfynd.xlsx", "A 53180-2025")</f>
        <v/>
      </c>
      <c r="X126">
        <f>HYPERLINK("https://klasma.github.io/Logging_2582/kartor/A 53180-2025 karta.png", "A 53180-2025")</f>
        <v/>
      </c>
      <c r="Y126">
        <f>HYPERLINK("https://klasma.github.io/Logging_2582/kartor_geotiff/A 53180-2025 georefererad karta.tif", "A 53180-2025")</f>
        <v/>
      </c>
      <c r="AA126">
        <f>HYPERLINK("https://klasma.github.io/Logging_2582/klagomål/A 53180-2025 FSC-klagomål.docx", "A 53180-2025")</f>
        <v/>
      </c>
      <c r="AB126">
        <f>HYPERLINK("https://klasma.github.io/Logging_2582/klagomålsmail/A 53180-2025 FSC-klagomål mail.docx", "A 53180-2025")</f>
        <v/>
      </c>
      <c r="AC126">
        <f>HYPERLINK("https://klasma.github.io/Logging_2582/tillsyn/A 53180-2025 tillsynsbegäran.docx", "A 53180-2025")</f>
        <v/>
      </c>
      <c r="AD126">
        <f>HYPERLINK("https://klasma.github.io/Logging_2582/tillsynsmail/A 53180-2025 tillsynsbegäran mail.docx", "A 53180-2025")</f>
        <v/>
      </c>
    </row>
    <row r="127" ht="15" customHeight="1">
      <c r="A127" t="inlineStr">
        <is>
          <t>A 53590-2025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46235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Gulskölding</t>
        </is>
      </c>
      <c r="W127">
        <f>HYPERLINK("https://klasma.github.io/Logging_2582/artfynd/A 53590-2025 artfynd.xlsx", "A 53590-2025")</f>
        <v/>
      </c>
      <c r="X127">
        <f>HYPERLINK("https://klasma.github.io/Logging_2582/kartor/A 53590-2025 karta.png", "A 53590-2025")</f>
        <v/>
      </c>
      <c r="Y127">
        <f>HYPERLINK("https://klasma.github.io/Logging_2582/kartor_geotiff/A 53590-2025 georefererad karta.tif", "A 53590-2025")</f>
        <v/>
      </c>
      <c r="AA127">
        <f>HYPERLINK("https://klasma.github.io/Logging_2582/klagomål/A 53590-2025 FSC-klagomål.docx", "A 53590-2025")</f>
        <v/>
      </c>
      <c r="AB127">
        <f>HYPERLINK("https://klasma.github.io/Logging_2582/klagomålsmail/A 53590-2025 FSC-klagomål mail.docx", "A 53590-2025")</f>
        <v/>
      </c>
      <c r="AC127">
        <f>HYPERLINK("https://klasma.github.io/Logging_2582/tillsyn/A 53590-2025 tillsynsbegäran.docx", "A 53590-2025")</f>
        <v/>
      </c>
      <c r="AD127">
        <f>HYPERLINK("https://klasma.github.io/Logging_2582/tillsynsmail/A 53590-2025 tillsynsbegäran mail.docx", "A 53590-2025")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46235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36743-2024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46235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36743-2024 artfynd.xlsx", "A 36743-2024")</f>
        <v/>
      </c>
      <c r="X129">
        <f>HYPERLINK("https://klasma.github.io/Logging_2582/kartor/A 36743-2024 karta.png", "A 36743-2024")</f>
        <v/>
      </c>
      <c r="Y129">
        <f>HYPERLINK("https://klasma.github.io/Logging_2582/kartor_geotiff/A 36743-2024 georefererad karta.tif", "A 36743-2024")</f>
        <v/>
      </c>
      <c r="AA129">
        <f>HYPERLINK("https://klasma.github.io/Logging_2582/klagomål/A 36743-2024 FSC-klagomål.docx", "A 36743-2024")</f>
        <v/>
      </c>
      <c r="AB129">
        <f>HYPERLINK("https://klasma.github.io/Logging_2582/klagomålsmail/A 36743-2024 FSC-klagomål mail.docx", "A 36743-2024")</f>
        <v/>
      </c>
      <c r="AC129">
        <f>HYPERLINK("https://klasma.github.io/Logging_2582/tillsyn/A 36743-2024 tillsynsbegäran.docx", "A 36743-2024")</f>
        <v/>
      </c>
      <c r="AD129">
        <f>HYPERLINK("https://klasma.github.io/Logging_2582/tillsynsmail/A 36743-2024 tillsynsbegäran mail.docx", "A 36743-2024")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46235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12832-2022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44642</v>
      </c>
      <c r="E131" s="1" t="n">
        <v>46235</v>
      </c>
      <c r="F131" t="inlineStr">
        <is>
          <t>NORRBOTTENS LÄN</t>
        </is>
      </c>
      <c r="G131" t="inlineStr">
        <is>
          <t>BODEN</t>
        </is>
      </c>
      <c r="I131" t="n">
        <v>6.6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Doftticka</t>
        </is>
      </c>
      <c r="W131">
        <f>HYPERLINK("https://klasma.github.io/Logging_2582/artfynd/A 12832-2022 artfynd.xlsx", "A 12832-2022")</f>
        <v/>
      </c>
      <c r="X131">
        <f>HYPERLINK("https://klasma.github.io/Logging_2582/kartor/A 12832-2022 karta.png", "A 12832-2022")</f>
        <v/>
      </c>
      <c r="Y131">
        <f>HYPERLINK("https://klasma.github.io/Logging_2582/kartor_geotiff/A 12832-2022 georefererad karta.tif", "A 12832-2022")</f>
        <v/>
      </c>
      <c r="AA131">
        <f>HYPERLINK("https://klasma.github.io/Logging_2582/klagomål/A 12832-2022 FSC-klagomål.docx", "A 12832-2022")</f>
        <v/>
      </c>
      <c r="AB131">
        <f>HYPERLINK("https://klasma.github.io/Logging_2582/klagomålsmail/A 12832-2022 FSC-klagomål mail.docx", "A 12832-2022")</f>
        <v/>
      </c>
      <c r="AC131">
        <f>HYPERLINK("https://klasma.github.io/Logging_2582/tillsyn/A 12832-2022 tillsynsbegäran.docx", "A 12832-2022")</f>
        <v/>
      </c>
      <c r="AD131">
        <f>HYPERLINK("https://klasma.github.io/Logging_2582/tillsynsmail/A 12832-2022 tillsynsbegäran mail.docx", "A 12832-2022")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46235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29875-2026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46235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Tallticka</t>
        </is>
      </c>
      <c r="W133">
        <f>HYPERLINK("https://klasma.github.io/Logging_2582/artfynd/A 29875-2026 artfynd.xlsx", "A 29875-2026")</f>
        <v/>
      </c>
      <c r="X133">
        <f>HYPERLINK("https://klasma.github.io/Logging_2582/kartor/A 29875-2026 karta.png", "A 29875-2026")</f>
        <v/>
      </c>
      <c r="Y133">
        <f>HYPERLINK("https://klasma.github.io/Logging_2582/kartor_geotiff/A 29875-2026 georefererad karta.tif", "A 29875-2026")</f>
        <v/>
      </c>
      <c r="AA133">
        <f>HYPERLINK("https://klasma.github.io/Logging_2582/klagomål/A 29875-2026 FSC-klagomål.docx", "A 29875-2026")</f>
        <v/>
      </c>
      <c r="AB133">
        <f>HYPERLINK("https://klasma.github.io/Logging_2582/klagomålsmail/A 29875-2026 FSC-klagomål mail.docx", "A 29875-2026")</f>
        <v/>
      </c>
      <c r="AC133">
        <f>HYPERLINK("https://klasma.github.io/Logging_2582/tillsyn/A 29875-2026 tillsynsbegäran.docx", "A 29875-2026")</f>
        <v/>
      </c>
      <c r="AD133">
        <f>HYPERLINK("https://klasma.github.io/Logging_2582/tillsynsmail/A 29875-2026 tillsynsbegäran mail.docx", "A 29875-2026")</f>
        <v/>
      </c>
    </row>
    <row r="134" ht="15" customHeight="1">
      <c r="A134" t="inlineStr">
        <is>
          <t>A 60781-2025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46235</v>
      </c>
      <c r="F134" t="inlineStr">
        <is>
          <t>NORRBOTTENS LÄN</t>
        </is>
      </c>
      <c r="G134" t="inlineStr">
        <is>
          <t>BODEN</t>
        </is>
      </c>
      <c r="I134" t="n">
        <v>12.3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Rosenticka</t>
        </is>
      </c>
      <c r="W134">
        <f>HYPERLINK("https://klasma.github.io/Logging_2582/artfynd/A 60781-2025 artfynd.xlsx", "A 60781-2025")</f>
        <v/>
      </c>
      <c r="X134">
        <f>HYPERLINK("https://klasma.github.io/Logging_2582/kartor/A 60781-2025 karta.png", "A 60781-2025")</f>
        <v/>
      </c>
      <c r="Y134">
        <f>HYPERLINK("https://klasma.github.io/Logging_2582/kartor_geotiff/A 60781-2025 georefererad karta.tif", "A 60781-2025")</f>
        <v/>
      </c>
      <c r="AA134">
        <f>HYPERLINK("https://klasma.github.io/Logging_2582/klagomål/A 60781-2025 FSC-klagomål.docx", "A 60781-2025")</f>
        <v/>
      </c>
      <c r="AB134">
        <f>HYPERLINK("https://klasma.github.io/Logging_2582/klagomålsmail/A 60781-2025 FSC-klagomål mail.docx", "A 60781-2025")</f>
        <v/>
      </c>
      <c r="AC134">
        <f>HYPERLINK("https://klasma.github.io/Logging_2582/tillsyn/A 60781-2025 tillsynsbegäran.docx", "A 60781-2025")</f>
        <v/>
      </c>
      <c r="AD134">
        <f>HYPERLINK("https://klasma.github.io/Logging_2582/tillsynsmail/A 60781-2025 tillsynsbegäran mail.docx", "A 60781-2025")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46235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46235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68514-2021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44529</v>
      </c>
      <c r="E137" s="1" t="n">
        <v>46235</v>
      </c>
      <c r="F137" t="inlineStr">
        <is>
          <t>NORRBOTTENS LÄN</t>
        </is>
      </c>
      <c r="G137" t="inlineStr">
        <is>
          <t>BODEN</t>
        </is>
      </c>
      <c r="I137" t="n">
        <v>6.2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Spillkråka</t>
        </is>
      </c>
      <c r="W137">
        <f>HYPERLINK("https://klasma.github.io/Logging_2582/artfynd/A 68514-2021 artfynd.xlsx", "A 68514-2021")</f>
        <v/>
      </c>
      <c r="X137">
        <f>HYPERLINK("https://klasma.github.io/Logging_2582/kartor/A 68514-2021 karta.png", "A 68514-2021")</f>
        <v/>
      </c>
      <c r="Y137">
        <f>HYPERLINK("https://klasma.github.io/Logging_2582/kartor_geotiff/A 68514-2021 georefererad karta.tif", "A 68514-2021")</f>
        <v/>
      </c>
      <c r="Z137">
        <f>HYPERLINK("https://klasma.github.io/Logging_2582/knärot/A 68514-2021 karta knärot.png", "A 68514-2021")</f>
        <v/>
      </c>
      <c r="AA137">
        <f>HYPERLINK("https://klasma.github.io/Logging_2582/klagomål/A 68514-2021 FSC-klagomål.docx", "A 68514-2021")</f>
        <v/>
      </c>
      <c r="AB137">
        <f>HYPERLINK("https://klasma.github.io/Logging_2582/klagomålsmail/A 68514-2021 FSC-klagomål mail.docx", "A 68514-2021")</f>
        <v/>
      </c>
      <c r="AC137">
        <f>HYPERLINK("https://klasma.github.io/Logging_2582/tillsyn/A 68514-2021 tillsynsbegäran.docx", "A 68514-2021")</f>
        <v/>
      </c>
      <c r="AD137">
        <f>HYPERLINK("https://klasma.github.io/Logging_2582/tillsynsmail/A 68514-2021 tillsynsbegäran mail.docx", "A 68514-2021")</f>
        <v/>
      </c>
      <c r="AE137">
        <f>HYPERLINK("https://klasma.github.io/Logging_2582/fåglar/A 68514-2021 prioriterade fågelarter.docx", "A 68514-2021")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46235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46235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4878-2026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46235</v>
      </c>
      <c r="F140" t="inlineStr">
        <is>
          <t>NORRBOTTENS LÄN</t>
        </is>
      </c>
      <c r="G140" t="inlineStr">
        <is>
          <t>BODEN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Vanlig padda</t>
        </is>
      </c>
      <c r="W140">
        <f>HYPERLINK("https://klasma.github.io/Logging_2582/artfynd/A 4878-2026 artfynd.xlsx", "A 4878-2026")</f>
        <v/>
      </c>
      <c r="X140">
        <f>HYPERLINK("https://klasma.github.io/Logging_2582/kartor/A 4878-2026 karta.png", "A 4878-2026")</f>
        <v/>
      </c>
      <c r="Y140">
        <f>HYPERLINK("https://klasma.github.io/Logging_2582/kartor_geotiff/A 4878-2026 georefererad karta.tif", "A 4878-2026")</f>
        <v/>
      </c>
      <c r="AA140">
        <f>HYPERLINK("https://klasma.github.io/Logging_2582/klagomål/A 4878-2026 FSC-klagomål.docx", "A 4878-2026")</f>
        <v/>
      </c>
      <c r="AB140">
        <f>HYPERLINK("https://klasma.github.io/Logging_2582/klagomålsmail/A 4878-2026 FSC-klagomål mail.docx", "A 4878-2026")</f>
        <v/>
      </c>
      <c r="AC140">
        <f>HYPERLINK("https://klasma.github.io/Logging_2582/tillsyn/A 4878-2026 tillsynsbegäran.docx", "A 4878-2026")</f>
        <v/>
      </c>
      <c r="AD140">
        <f>HYPERLINK("https://klasma.github.io/Logging_2582/tillsynsmail/A 4878-2026 tillsynsbegäran mail.docx", "A 4878-2026")</f>
        <v/>
      </c>
    </row>
    <row r="141" ht="15" customHeight="1">
      <c r="A141" t="inlineStr">
        <is>
          <t>A 2565-2026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46235</v>
      </c>
      <c r="F141" t="inlineStr">
        <is>
          <t>NORRBOTTENS LÄN</t>
        </is>
      </c>
      <c r="G141" t="inlineStr">
        <is>
          <t>BODEN</t>
        </is>
      </c>
      <c r="H141" t="inlineStr">
        <is>
          <t>Naturvårdsverket</t>
        </is>
      </c>
      <c r="I141" t="n">
        <v>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2</v>
      </c>
      <c r="V141" s="2" t="inlineStr">
        <is>
          <t>Garnlav</t>
        </is>
      </c>
      <c r="W141">
        <f>HYPERLINK("https://klasma.github.io/Logging_2582/artfynd/A 2565-2026 artfynd.xlsx", "A 2565-2026")</f>
        <v/>
      </c>
      <c r="X141">
        <f>HYPERLINK("https://klasma.github.io/Logging_2582/kartor/A 2565-2026 karta.png", "A 2565-2026")</f>
        <v/>
      </c>
      <c r="Y141">
        <f>HYPERLINK("https://klasma.github.io/Logging_2582/kartor_geotiff/A 2565-2026 georefererad karta.tif", "A 2565-2026")</f>
        <v/>
      </c>
      <c r="AA141">
        <f>HYPERLINK("https://klasma.github.io/Logging_2582/klagomål/A 2565-2026 FSC-klagomål.docx", "A 2565-2026")</f>
        <v/>
      </c>
      <c r="AB141">
        <f>HYPERLINK("https://klasma.github.io/Logging_2582/klagomålsmail/A 2565-2026 FSC-klagomål mail.docx", "A 2565-2026")</f>
        <v/>
      </c>
      <c r="AC141">
        <f>HYPERLINK("https://klasma.github.io/Logging_2582/tillsyn/A 2565-2026 tillsynsbegäran.docx", "A 2565-2026")</f>
        <v/>
      </c>
      <c r="AD141">
        <f>HYPERLINK("https://klasma.github.io/Logging_2582/tillsynsmail/A 2565-2026 tillsynsbegäran mail.docx", "A 2565-2026")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46235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26438-2026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46183</v>
      </c>
      <c r="E143" s="1" t="n">
        <v>46235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15.9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Kolflarnlav</t>
        </is>
      </c>
      <c r="W143">
        <f>HYPERLINK("https://klasma.github.io/Logging_2582/artfynd/A 26438-2026 artfynd.xlsx", "A 26438-2026")</f>
        <v/>
      </c>
      <c r="X143">
        <f>HYPERLINK("https://klasma.github.io/Logging_2582/kartor/A 26438-2026 karta.png", "A 26438-2026")</f>
        <v/>
      </c>
      <c r="Y143">
        <f>HYPERLINK("https://klasma.github.io/Logging_2582/kartor_geotiff/A 26438-2026 georefererad karta.tif", "A 26438-2026")</f>
        <v/>
      </c>
      <c r="AA143">
        <f>HYPERLINK("https://klasma.github.io/Logging_2582/klagomål/A 26438-2026 FSC-klagomål.docx", "A 26438-2026")</f>
        <v/>
      </c>
      <c r="AB143">
        <f>HYPERLINK("https://klasma.github.io/Logging_2582/klagomålsmail/A 26438-2026 FSC-klagomål mail.docx", "A 26438-2026")</f>
        <v/>
      </c>
      <c r="AC143">
        <f>HYPERLINK("https://klasma.github.io/Logging_2582/tillsyn/A 26438-2026 tillsynsbegäran.docx", "A 26438-2026")</f>
        <v/>
      </c>
      <c r="AD143">
        <f>HYPERLINK("https://klasma.github.io/Logging_2582/tillsynsmail/A 26438-2026 tillsynsbegäran mail.docx", "A 26438-2026")</f>
        <v/>
      </c>
    </row>
    <row r="144" ht="15" customHeight="1">
      <c r="A144" t="inlineStr">
        <is>
          <t>A 26690-2026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46184</v>
      </c>
      <c r="E144" s="1" t="n">
        <v>46235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26690-2026 artfynd.xlsx", "A 26690-2026")</f>
        <v/>
      </c>
      <c r="X144">
        <f>HYPERLINK("https://klasma.github.io/Logging_2582/kartor/A 26690-2026 karta.png", "A 26690-2026")</f>
        <v/>
      </c>
      <c r="Y144">
        <f>HYPERLINK("https://klasma.github.io/Logging_2582/kartor_geotiff/A 26690-2026 georefererad karta.tif", "A 26690-2026")</f>
        <v/>
      </c>
      <c r="Z144">
        <f>HYPERLINK("https://klasma.github.io/Logging_2582/knärot/A 26690-2026 karta knärot.png", "A 26690-2026")</f>
        <v/>
      </c>
      <c r="AA144">
        <f>HYPERLINK("https://klasma.github.io/Logging_2582/klagomål/A 26690-2026 FSC-klagomål.docx", "A 26690-2026")</f>
        <v/>
      </c>
      <c r="AB144">
        <f>HYPERLINK("https://klasma.github.io/Logging_2582/klagomålsmail/A 26690-2026 FSC-klagomål mail.docx", "A 26690-2026")</f>
        <v/>
      </c>
      <c r="AC144">
        <f>HYPERLINK("https://klasma.github.io/Logging_2582/tillsyn/A 26690-2026 tillsynsbegäran.docx", "A 26690-2026")</f>
        <v/>
      </c>
      <c r="AD144">
        <f>HYPERLINK("https://klasma.github.io/Logging_2582/tillsynsmail/A 26690-2026 tillsynsbegäran mail.docx", "A 26690-2026")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46235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46235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46235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52078-2021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44463</v>
      </c>
      <c r="E148" s="1" t="n">
        <v>46235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4</v>
      </c>
      <c r="U148" t="n">
        <v>4</v>
      </c>
      <c r="V148" s="2" t="inlineStr">
        <is>
          <t>Knärot</t>
        </is>
      </c>
      <c r="W148">
        <f>HYPERLINK("https://klasma.github.io/Logging_2582/artfynd/A 52078-2021 artfynd.xlsx", "A 52078-2021")</f>
        <v/>
      </c>
      <c r="X148">
        <f>HYPERLINK("https://klasma.github.io/Logging_2582/kartor/A 52078-2021 karta.png", "A 52078-2021")</f>
        <v/>
      </c>
      <c r="Y148">
        <f>HYPERLINK("https://klasma.github.io/Logging_2582/kartor_geotiff/A 52078-2021 georefererad karta.tif", "A 52078-2021")</f>
        <v/>
      </c>
      <c r="Z148">
        <f>HYPERLINK("https://klasma.github.io/Logging_2582/knärot/A 52078-2021 karta knärot.png", "A 52078-2021")</f>
        <v/>
      </c>
      <c r="AA148">
        <f>HYPERLINK("https://klasma.github.io/Logging_2582/klagomål/A 52078-2021 FSC-klagomål.docx", "A 52078-2021")</f>
        <v/>
      </c>
      <c r="AB148">
        <f>HYPERLINK("https://klasma.github.io/Logging_2582/klagomålsmail/A 52078-2021 FSC-klagomål mail.docx", "A 52078-2021")</f>
        <v/>
      </c>
      <c r="AC148">
        <f>HYPERLINK("https://klasma.github.io/Logging_2582/tillsyn/A 52078-2021 tillsynsbegäran.docx", "A 52078-2021")</f>
        <v/>
      </c>
      <c r="AD148">
        <f>HYPERLINK("https://klasma.github.io/Logging_2582/tillsynsmail/A 52078-2021 tillsynsbegäran mail.docx", "A 52078-2021")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46235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46235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46235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46235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46235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46235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46235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46235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46235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46235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44577</v>
      </c>
      <c r="E160" s="1" t="n">
        <v>46235</v>
      </c>
      <c r="F160" t="inlineStr">
        <is>
          <t>NORRBOTTENS LÄN</t>
        </is>
      </c>
      <c r="G160" t="inlineStr">
        <is>
          <t>BODEN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46235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46235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46235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46235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46235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46235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46235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46235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46235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46235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46235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46235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46235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46235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46235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46235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46235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46235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46235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46235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46235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46235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46235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46235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46235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46235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46235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46235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46235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46235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46235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46235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46235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46235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46235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46235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46235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46235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46235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39833-2021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44414</v>
      </c>
      <c r="E200" s="1" t="n">
        <v>46235</v>
      </c>
      <c r="F200" t="inlineStr">
        <is>
          <t>NORRBOTTENS LÄN</t>
        </is>
      </c>
      <c r="G200" t="inlineStr">
        <is>
          <t>BODEN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44439</v>
      </c>
      <c r="E201" s="1" t="n">
        <v>46235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46235</v>
      </c>
      <c r="F202" t="inlineStr">
        <is>
          <t>NORRBOTTENS LÄN</t>
        </is>
      </c>
      <c r="G202" t="inlineStr">
        <is>
          <t>BODEN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46235</v>
      </c>
      <c r="F203" t="inlineStr">
        <is>
          <t>NORRBOTTENS LÄN</t>
        </is>
      </c>
      <c r="G203" t="inlineStr">
        <is>
          <t>BODEN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46235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11.3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44635</v>
      </c>
      <c r="E205" s="1" t="n">
        <v>46235</v>
      </c>
      <c r="F205" t="inlineStr">
        <is>
          <t>NORRBOTTENS LÄN</t>
        </is>
      </c>
      <c r="G205" t="inlineStr">
        <is>
          <t>BODEN</t>
        </is>
      </c>
      <c r="H205" t="inlineStr">
        <is>
          <t>Kyrkan</t>
        </is>
      </c>
      <c r="I205" t="n">
        <v>16.5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44625</v>
      </c>
      <c r="E206" s="1" t="n">
        <v>46235</v>
      </c>
      <c r="F206" t="inlineStr">
        <is>
          <t>NORRBOTTENS LÄN</t>
        </is>
      </c>
      <c r="G206" t="inlineStr">
        <is>
          <t>BODEN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44883</v>
      </c>
      <c r="E207" s="1" t="n">
        <v>46235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46235</v>
      </c>
      <c r="F208" t="inlineStr">
        <is>
          <t>NORRBOTTENS LÄN</t>
        </is>
      </c>
      <c r="G208" t="inlineStr">
        <is>
          <t>BODEN</t>
        </is>
      </c>
      <c r="H208" t="inlineStr">
        <is>
          <t>Övriga statliga verk och myndigheter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44428</v>
      </c>
      <c r="E209" s="1" t="n">
        <v>46235</v>
      </c>
      <c r="F209" t="inlineStr">
        <is>
          <t>NORRBOTTENS LÄN</t>
        </is>
      </c>
      <c r="G209" t="inlineStr">
        <is>
          <t>BODEN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44831</v>
      </c>
      <c r="E210" s="1" t="n">
        <v>46235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44441</v>
      </c>
      <c r="E211" s="1" t="n">
        <v>46235</v>
      </c>
      <c r="F211" t="inlineStr">
        <is>
          <t>NORRBOTTENS LÄN</t>
        </is>
      </c>
      <c r="G211" t="inlineStr">
        <is>
          <t>BODEN</t>
        </is>
      </c>
      <c r="I211" t="n">
        <v>13.6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46235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46235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46235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46235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46235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57583-2021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44484</v>
      </c>
      <c r="E217" s="1" t="n">
        <v>46235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45419</v>
      </c>
      <c r="E218" s="1" t="n">
        <v>46235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46235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46235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46235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46235</v>
      </c>
      <c r="F222" t="inlineStr">
        <is>
          <t>NORRBOTTENS LÄN</t>
        </is>
      </c>
      <c r="G222" t="inlineStr">
        <is>
          <t>BODEN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46235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44795</v>
      </c>
      <c r="E224" s="1" t="n">
        <v>46235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45429</v>
      </c>
      <c r="E225" s="1" t="n">
        <v>46235</v>
      </c>
      <c r="F225" t="inlineStr">
        <is>
          <t>NORRBOTTENS LÄN</t>
        </is>
      </c>
      <c r="G225" t="inlineStr">
        <is>
          <t>BODEN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46235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46235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46235</v>
      </c>
      <c r="F228" t="inlineStr">
        <is>
          <t>NORRBOTTENS LÄN</t>
        </is>
      </c>
      <c r="G228" t="inlineStr">
        <is>
          <t>BODEN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46235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46235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45589</v>
      </c>
      <c r="E231" s="1" t="n">
        <v>46235</v>
      </c>
      <c r="F231" t="inlineStr">
        <is>
          <t>NORRBOTTENS LÄN</t>
        </is>
      </c>
      <c r="G231" t="inlineStr">
        <is>
          <t>BODEN</t>
        </is>
      </c>
      <c r="H231" t="inlineStr">
        <is>
          <t>Naturvårdsverket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44747</v>
      </c>
      <c r="E232" s="1" t="n">
        <v>46235</v>
      </c>
      <c r="F232" t="inlineStr">
        <is>
          <t>NORRBOTTENS LÄN</t>
        </is>
      </c>
      <c r="G232" t="inlineStr">
        <is>
          <t>BODEN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44706</v>
      </c>
      <c r="E233" s="1" t="n">
        <v>46235</v>
      </c>
      <c r="F233" t="inlineStr">
        <is>
          <t>NORRBOTTENS LÄN</t>
        </is>
      </c>
      <c r="G233" t="inlineStr">
        <is>
          <t>BODEN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41180-2021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44423</v>
      </c>
      <c r="E234" s="1" t="n">
        <v>46235</v>
      </c>
      <c r="F234" t="inlineStr">
        <is>
          <t>NORRBOTTENS LÄN</t>
        </is>
      </c>
      <c r="G234" t="inlineStr">
        <is>
          <t>BODEN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46235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46235</v>
      </c>
      <c r="F236" t="inlineStr">
        <is>
          <t>NORRBOTTENS LÄN</t>
        </is>
      </c>
      <c r="G236" t="inlineStr">
        <is>
          <t>BODEN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46235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46235</v>
      </c>
      <c r="F238" t="inlineStr">
        <is>
          <t>NORRBOTTENS LÄN</t>
        </is>
      </c>
      <c r="G238" t="inlineStr">
        <is>
          <t>BODEN</t>
        </is>
      </c>
      <c r="H238" t="inlineStr">
        <is>
          <t>Övriga statliga verk och myndigheter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877-2023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44931</v>
      </c>
      <c r="E239" s="1" t="n">
        <v>46235</v>
      </c>
      <c r="F239" t="inlineStr">
        <is>
          <t>NORRBOTTENS LÄN</t>
        </is>
      </c>
      <c r="G239" t="inlineStr">
        <is>
          <t>BODEN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43969-2024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45572</v>
      </c>
      <c r="E240" s="1" t="n">
        <v>46235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44734</v>
      </c>
      <c r="E241" s="1" t="n">
        <v>46235</v>
      </c>
      <c r="F241" t="inlineStr">
        <is>
          <t>NORRBOTTENS LÄN</t>
        </is>
      </c>
      <c r="G241" t="inlineStr">
        <is>
          <t>BODEN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46235</v>
      </c>
      <c r="F242" t="inlineStr">
        <is>
          <t>NORRBOTTENS LÄN</t>
        </is>
      </c>
      <c r="G242" t="inlineStr">
        <is>
          <t>BODEN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46235</v>
      </c>
      <c r="F243" t="inlineStr">
        <is>
          <t>NORRBOTTENS LÄN</t>
        </is>
      </c>
      <c r="G243" t="inlineStr">
        <is>
          <t>BODEN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46235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46235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46235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46235</v>
      </c>
      <c r="F247" t="inlineStr">
        <is>
          <t>NORRBOTTENS LÄN</t>
        </is>
      </c>
      <c r="G247" t="inlineStr">
        <is>
          <t>BODEN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46235</v>
      </c>
      <c r="F248" t="inlineStr">
        <is>
          <t>NORRBOTTENS LÄN</t>
        </is>
      </c>
      <c r="G248" t="inlineStr">
        <is>
          <t>BODEN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46235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45591</v>
      </c>
      <c r="E250" s="1" t="n">
        <v>46235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46235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46235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46235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46235</v>
      </c>
      <c r="F254" t="inlineStr">
        <is>
          <t>NORRBOTTENS LÄN</t>
        </is>
      </c>
      <c r="G254" t="inlineStr">
        <is>
          <t>BODEN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46235</v>
      </c>
      <c r="F255" t="inlineStr">
        <is>
          <t>NORRBOTTENS LÄN</t>
        </is>
      </c>
      <c r="G255" t="inlineStr">
        <is>
          <t>BODEN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46235</v>
      </c>
      <c r="F256" t="inlineStr">
        <is>
          <t>NORRBOTTENS LÄN</t>
        </is>
      </c>
      <c r="G256" t="inlineStr">
        <is>
          <t>BODEN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45014</v>
      </c>
      <c r="E257" s="1" t="n">
        <v>46235</v>
      </c>
      <c r="F257" t="inlineStr">
        <is>
          <t>NORRBOTTENS LÄN</t>
        </is>
      </c>
      <c r="G257" t="inlineStr">
        <is>
          <t>BODEN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46235</v>
      </c>
      <c r="F258" t="inlineStr">
        <is>
          <t>NORRBOTTENS LÄN</t>
        </is>
      </c>
      <c r="G258" t="inlineStr">
        <is>
          <t>BODEN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46235</v>
      </c>
      <c r="F259" t="inlineStr">
        <is>
          <t>NORRBOTTENS LÄN</t>
        </is>
      </c>
      <c r="G259" t="inlineStr">
        <is>
          <t>BODEN</t>
        </is>
      </c>
      <c r="H259" t="inlineStr">
        <is>
          <t>Övriga statliga verk och myndigheter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46235</v>
      </c>
      <c r="F260" t="inlineStr">
        <is>
          <t>NORRBOTTENS LÄN</t>
        </is>
      </c>
      <c r="G260" t="inlineStr">
        <is>
          <t>BODEN</t>
        </is>
      </c>
      <c r="I260" t="n">
        <v>16.1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46235</v>
      </c>
      <c r="F261" t="inlineStr">
        <is>
          <t>NORRBOTTENS LÄN</t>
        </is>
      </c>
      <c r="G261" t="inlineStr">
        <is>
          <t>BODEN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68565-2021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46235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46235</v>
      </c>
      <c r="F263" t="inlineStr">
        <is>
          <t>NORRBOTTENS LÄN</t>
        </is>
      </c>
      <c r="G263" t="inlineStr">
        <is>
          <t>BODEN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46235</v>
      </c>
      <c r="F264" t="inlineStr">
        <is>
          <t>NORRBOTTENS LÄN</t>
        </is>
      </c>
      <c r="G264" t="inlineStr">
        <is>
          <t>BODEN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45463</v>
      </c>
      <c r="E265" s="1" t="n">
        <v>46235</v>
      </c>
      <c r="F265" t="inlineStr">
        <is>
          <t>NORRBOTTENS LÄN</t>
        </is>
      </c>
      <c r="G265" t="inlineStr">
        <is>
          <t>BODEN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46235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46235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46235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46235</v>
      </c>
      <c r="F269" t="inlineStr">
        <is>
          <t>NORRBOTTENS LÄN</t>
        </is>
      </c>
      <c r="G269" t="inlineStr">
        <is>
          <t>BODEN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46235</v>
      </c>
      <c r="F270" t="inlineStr">
        <is>
          <t>NORRBOTTENS LÄN</t>
        </is>
      </c>
      <c r="G270" t="inlineStr">
        <is>
          <t>BODEN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46235</v>
      </c>
      <c r="F271" t="inlineStr">
        <is>
          <t>NORRBOTTENS LÄN</t>
        </is>
      </c>
      <c r="G271" t="inlineStr">
        <is>
          <t>BODEN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56111-2021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44477</v>
      </c>
      <c r="E272" s="1" t="n">
        <v>46235</v>
      </c>
      <c r="F272" t="inlineStr">
        <is>
          <t>NORRBOTTENS LÄN</t>
        </is>
      </c>
      <c r="G272" t="inlineStr">
        <is>
          <t>BODEN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46235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46235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46235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46235</v>
      </c>
      <c r="F276" t="inlineStr">
        <is>
          <t>NORRBOTTENS LÄN</t>
        </is>
      </c>
      <c r="G276" t="inlineStr">
        <is>
          <t>BODEN</t>
        </is>
      </c>
      <c r="H276" t="inlineStr">
        <is>
          <t>Övriga Aktiebolag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46235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45512</v>
      </c>
      <c r="E278" s="1" t="n">
        <v>46235</v>
      </c>
      <c r="F278" t="inlineStr">
        <is>
          <t>NORRBOTTENS LÄN</t>
        </is>
      </c>
      <c r="G278" t="inlineStr">
        <is>
          <t>BODEN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45132</v>
      </c>
      <c r="E279" s="1" t="n">
        <v>46235</v>
      </c>
      <c r="F279" t="inlineStr">
        <is>
          <t>NORRBOTTENS LÄN</t>
        </is>
      </c>
      <c r="G279" t="inlineStr">
        <is>
          <t>BODEN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46235</v>
      </c>
      <c r="F280" t="inlineStr">
        <is>
          <t>NORRBOTTENS LÄN</t>
        </is>
      </c>
      <c r="G280" t="inlineStr">
        <is>
          <t>BODEN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46235</v>
      </c>
      <c r="F281" t="inlineStr">
        <is>
          <t>NORRBOTTENS LÄN</t>
        </is>
      </c>
      <c r="G281" t="inlineStr">
        <is>
          <t>BODEN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74264-2021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44558</v>
      </c>
      <c r="E282" s="1" t="n">
        <v>46235</v>
      </c>
      <c r="F282" t="inlineStr">
        <is>
          <t>NORRBOTTENS LÄN</t>
        </is>
      </c>
      <c r="G282" t="inlineStr">
        <is>
          <t>BODEN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46235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46235</v>
      </c>
      <c r="F284" t="inlineStr">
        <is>
          <t>NORRBOTTENS LÄN</t>
        </is>
      </c>
      <c r="G284" t="inlineStr">
        <is>
          <t>BODEN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46235</v>
      </c>
      <c r="F285" t="inlineStr">
        <is>
          <t>NORRBOTTENS LÄN</t>
        </is>
      </c>
      <c r="G285" t="inlineStr">
        <is>
          <t>BODEN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46235</v>
      </c>
      <c r="F286" t="inlineStr">
        <is>
          <t>NORRBOTTENS LÄN</t>
        </is>
      </c>
      <c r="G286" t="inlineStr">
        <is>
          <t>BODEN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46235</v>
      </c>
      <c r="F287" t="inlineStr">
        <is>
          <t>NORRBOTTENS LÄN</t>
        </is>
      </c>
      <c r="G287" t="inlineStr">
        <is>
          <t>BODEN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45935</v>
      </c>
      <c r="E288" s="1" t="n">
        <v>46235</v>
      </c>
      <c r="F288" t="inlineStr">
        <is>
          <t>NORRBOTTENS LÄN</t>
        </is>
      </c>
      <c r="G288" t="inlineStr">
        <is>
          <t>BODEN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45708</v>
      </c>
      <c r="E289" s="1" t="n">
        <v>46235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15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46235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45653</v>
      </c>
      <c r="E291" s="1" t="n">
        <v>46235</v>
      </c>
      <c r="F291" t="inlineStr">
        <is>
          <t>NORRBOTTENS LÄN</t>
        </is>
      </c>
      <c r="G291" t="inlineStr">
        <is>
          <t>BODEN</t>
        </is>
      </c>
      <c r="I291" t="n">
        <v>47.3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46235</v>
      </c>
      <c r="F292" t="inlineStr">
        <is>
          <t>NORRBOTTENS LÄN</t>
        </is>
      </c>
      <c r="G292" t="inlineStr">
        <is>
          <t>BODEN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45586</v>
      </c>
      <c r="E293" s="1" t="n">
        <v>46235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45902</v>
      </c>
      <c r="E294" s="1" t="n">
        <v>46235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46235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45523</v>
      </c>
      <c r="E296" s="1" t="n">
        <v>46235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46541-2021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44445</v>
      </c>
      <c r="E297" s="1" t="n">
        <v>46235</v>
      </c>
      <c r="F297" t="inlineStr">
        <is>
          <t>NORRBOTTENS LÄN</t>
        </is>
      </c>
      <c r="G297" t="inlineStr">
        <is>
          <t>BODEN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46235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46235</v>
      </c>
      <c r="F299" t="inlineStr">
        <is>
          <t>NORRBOTTENS LÄN</t>
        </is>
      </c>
      <c r="G299" t="inlineStr">
        <is>
          <t>BODEN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46235</v>
      </c>
      <c r="F300" t="inlineStr">
        <is>
          <t>NORRBOTTENS LÄN</t>
        </is>
      </c>
      <c r="G300" t="inlineStr">
        <is>
          <t>BODEN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46235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46235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46235</v>
      </c>
      <c r="F303" t="inlineStr">
        <is>
          <t>NORRBOTTENS LÄN</t>
        </is>
      </c>
      <c r="G303" t="inlineStr">
        <is>
          <t>BODEN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46235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46235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46235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46235</v>
      </c>
      <c r="F307" t="inlineStr">
        <is>
          <t>NORRBOTTENS LÄN</t>
        </is>
      </c>
      <c r="G307" t="inlineStr">
        <is>
          <t>BODEN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46235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46235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46235</v>
      </c>
      <c r="F310" t="inlineStr">
        <is>
          <t>NORRBOTTENS LÄN</t>
        </is>
      </c>
      <c r="G310" t="inlineStr">
        <is>
          <t>BODEN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3462-2022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44585</v>
      </c>
      <c r="E311" s="1" t="n">
        <v>46235</v>
      </c>
      <c r="F311" t="inlineStr">
        <is>
          <t>NORRBOTTENS LÄN</t>
        </is>
      </c>
      <c r="G311" t="inlineStr">
        <is>
          <t>BODEN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46235</v>
      </c>
      <c r="F312" t="inlineStr">
        <is>
          <t>NORRBOTTENS LÄN</t>
        </is>
      </c>
      <c r="G312" t="inlineStr">
        <is>
          <t>BODEN</t>
        </is>
      </c>
      <c r="I312" t="n">
        <v>13.6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46235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44726</v>
      </c>
      <c r="E314" s="1" t="n">
        <v>46235</v>
      </c>
      <c r="F314" t="inlineStr">
        <is>
          <t>NORRBOTTENS LÄN</t>
        </is>
      </c>
      <c r="G314" t="inlineStr">
        <is>
          <t>BODEN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46235</v>
      </c>
      <c r="F315" t="inlineStr">
        <is>
          <t>NORRBOTTENS LÄN</t>
        </is>
      </c>
      <c r="G315" t="inlineStr">
        <is>
          <t>BODEN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46235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46235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46235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46235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46235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44642</v>
      </c>
      <c r="E321" s="1" t="n">
        <v>46235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statliga verk och myndigheter</t>
        </is>
      </c>
      <c r="I321" t="n">
        <v>15.8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46235</v>
      </c>
      <c r="F322" t="inlineStr">
        <is>
          <t>NORRBOTTENS LÄN</t>
        </is>
      </c>
      <c r="G322" t="inlineStr">
        <is>
          <t>BODEN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46235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46235</v>
      </c>
      <c r="F324" t="inlineStr">
        <is>
          <t>NORRBOTTENS LÄN</t>
        </is>
      </c>
      <c r="G324" t="inlineStr">
        <is>
          <t>BODEN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46235</v>
      </c>
      <c r="F325" t="inlineStr">
        <is>
          <t>NORRBOTTENS LÄN</t>
        </is>
      </c>
      <c r="G325" t="inlineStr">
        <is>
          <t>BODEN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46235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44847</v>
      </c>
      <c r="E327" s="1" t="n">
        <v>46235</v>
      </c>
      <c r="F327" t="inlineStr">
        <is>
          <t>NORRBOTTENS LÄN</t>
        </is>
      </c>
      <c r="G327" t="inlineStr">
        <is>
          <t>BODEN</t>
        </is>
      </c>
      <c r="I327" t="n">
        <v>28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46235</v>
      </c>
      <c r="F328" t="inlineStr">
        <is>
          <t>NORRBOTTENS LÄN</t>
        </is>
      </c>
      <c r="G328" t="inlineStr">
        <is>
          <t>BODEN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46235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46235</v>
      </c>
      <c r="F330" t="inlineStr">
        <is>
          <t>NORRBOTTENS LÄN</t>
        </is>
      </c>
      <c r="G330" t="inlineStr">
        <is>
          <t>BODEN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46235</v>
      </c>
      <c r="F331" t="inlineStr">
        <is>
          <t>NORRBOTTENS LÄN</t>
        </is>
      </c>
      <c r="G331" t="inlineStr">
        <is>
          <t>BODEN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46235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46235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45919</v>
      </c>
      <c r="E334" s="1" t="n">
        <v>46235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45919</v>
      </c>
      <c r="E335" s="1" t="n">
        <v>46235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46235</v>
      </c>
      <c r="F336" t="inlineStr">
        <is>
          <t>NORRBOTTENS LÄN</t>
        </is>
      </c>
      <c r="G336" t="inlineStr">
        <is>
          <t>BODEN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46235</v>
      </c>
      <c r="F337" t="inlineStr">
        <is>
          <t>NORRBOTTENS LÄN</t>
        </is>
      </c>
      <c r="G337" t="inlineStr">
        <is>
          <t>BODEN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46235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46235</v>
      </c>
      <c r="F339" t="inlineStr">
        <is>
          <t>NORRBOTTENS LÄN</t>
        </is>
      </c>
      <c r="G339" t="inlineStr">
        <is>
          <t>BODEN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46235</v>
      </c>
      <c r="F340" t="inlineStr">
        <is>
          <t>NORRBOTTENS LÄN</t>
        </is>
      </c>
      <c r="G340" t="inlineStr">
        <is>
          <t>BODEN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46235</v>
      </c>
      <c r="F341" t="inlineStr">
        <is>
          <t>NORRBOTTENS LÄN</t>
        </is>
      </c>
      <c r="G341" t="inlineStr">
        <is>
          <t>BODEN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46235</v>
      </c>
      <c r="F342" t="inlineStr">
        <is>
          <t>NORRBOTTENS LÄN</t>
        </is>
      </c>
      <c r="G342" t="inlineStr">
        <is>
          <t>BODEN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46235</v>
      </c>
      <c r="F343" t="inlineStr">
        <is>
          <t>NORRBOTTENS LÄN</t>
        </is>
      </c>
      <c r="G343" t="inlineStr">
        <is>
          <t>BODEN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46235</v>
      </c>
      <c r="F344" t="inlineStr">
        <is>
          <t>NORRBOTTENS LÄN</t>
        </is>
      </c>
      <c r="G344" t="inlineStr">
        <is>
          <t>BODEN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46235</v>
      </c>
      <c r="F345" t="inlineStr">
        <is>
          <t>NORRBOTTENS LÄN</t>
        </is>
      </c>
      <c r="G345" t="inlineStr">
        <is>
          <t>BODEN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44657</v>
      </c>
      <c r="E346" s="1" t="n">
        <v>46235</v>
      </c>
      <c r="F346" t="inlineStr">
        <is>
          <t>NORRBOTTENS LÄN</t>
        </is>
      </c>
      <c r="G346" t="inlineStr">
        <is>
          <t>BODEN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44657</v>
      </c>
      <c r="E347" s="1" t="n">
        <v>46235</v>
      </c>
      <c r="F347" t="inlineStr">
        <is>
          <t>NORRBOTTENS LÄN</t>
        </is>
      </c>
      <c r="G347" t="inlineStr">
        <is>
          <t>BODEN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11647-2023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44994</v>
      </c>
      <c r="E348" s="1" t="n">
        <v>46235</v>
      </c>
      <c r="F348" t="inlineStr">
        <is>
          <t>NORRBOTTENS LÄN</t>
        </is>
      </c>
      <c r="G348" t="inlineStr">
        <is>
          <t>BODEN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46235</v>
      </c>
      <c r="F349" t="inlineStr">
        <is>
          <t>NORRBOTTENS LÄN</t>
        </is>
      </c>
      <c r="G349" t="inlineStr">
        <is>
          <t>BODEN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44673</v>
      </c>
      <c r="E350" s="1" t="n">
        <v>46235</v>
      </c>
      <c r="F350" t="inlineStr">
        <is>
          <t>NORRBOTTENS LÄN</t>
        </is>
      </c>
      <c r="G350" t="inlineStr">
        <is>
          <t>BODEN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46235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45924</v>
      </c>
      <c r="E352" s="1" t="n">
        <v>46235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46235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46235</v>
      </c>
      <c r="F354" t="inlineStr">
        <is>
          <t>NORRBOTTENS LÄN</t>
        </is>
      </c>
      <c r="G354" t="inlineStr">
        <is>
          <t>BODEN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46235</v>
      </c>
      <c r="F355" t="inlineStr">
        <is>
          <t>NORRBOTTENS LÄN</t>
        </is>
      </c>
      <c r="G355" t="inlineStr">
        <is>
          <t>BODEN</t>
        </is>
      </c>
      <c r="H355" t="inlineStr">
        <is>
          <t>Naturvårdsverket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46235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46235</v>
      </c>
      <c r="F357" t="inlineStr">
        <is>
          <t>NORRBOTTENS LÄN</t>
        </is>
      </c>
      <c r="G357" t="inlineStr">
        <is>
          <t>BODEN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46235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46235</v>
      </c>
      <c r="F359" t="inlineStr">
        <is>
          <t>NORRBOTTENS LÄN</t>
        </is>
      </c>
      <c r="G359" t="inlineStr">
        <is>
          <t>BODEN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46235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46235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46235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46235</v>
      </c>
      <c r="F363" t="inlineStr">
        <is>
          <t>NORRBOTTENS LÄN</t>
        </is>
      </c>
      <c r="G363" t="inlineStr">
        <is>
          <t>BODEN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46235</v>
      </c>
      <c r="F364" t="inlineStr">
        <is>
          <t>NORRBOTTENS LÄN</t>
        </is>
      </c>
      <c r="G364" t="inlineStr">
        <is>
          <t>BODEN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46235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45906</v>
      </c>
      <c r="E366" s="1" t="n">
        <v>46235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46235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45933</v>
      </c>
      <c r="E368" s="1" t="n">
        <v>46235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48091-2025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45933</v>
      </c>
      <c r="E369" s="1" t="n">
        <v>46235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59029-2022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46235</v>
      </c>
      <c r="F370" t="inlineStr">
        <is>
          <t>NORRBOTTENS LÄN</t>
        </is>
      </c>
      <c r="G370" t="inlineStr">
        <is>
          <t>BODEN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45893</v>
      </c>
      <c r="E371" s="1" t="n">
        <v>46235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statliga verk och myndigheter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46235</v>
      </c>
      <c r="F372" t="inlineStr">
        <is>
          <t>NORRBOTTENS LÄN</t>
        </is>
      </c>
      <c r="G372" t="inlineStr">
        <is>
          <t>BODEN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46235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46235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46235</v>
      </c>
      <c r="F375" t="inlineStr">
        <is>
          <t>NORRBOTTENS LÄN</t>
        </is>
      </c>
      <c r="G375" t="inlineStr">
        <is>
          <t>BODEN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73910-2021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44552</v>
      </c>
      <c r="E376" s="1" t="n">
        <v>46235</v>
      </c>
      <c r="F376" t="inlineStr">
        <is>
          <t>NORRBOTTENS LÄN</t>
        </is>
      </c>
      <c r="G376" t="inlineStr">
        <is>
          <t>BODEN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46235</v>
      </c>
      <c r="F377" t="inlineStr">
        <is>
          <t>NORRBOTTENS LÄN</t>
        </is>
      </c>
      <c r="G377" t="inlineStr">
        <is>
          <t>BODEN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8776-2022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44614</v>
      </c>
      <c r="E378" s="1" t="n">
        <v>46235</v>
      </c>
      <c r="F378" t="inlineStr">
        <is>
          <t>NORRBOTTENS LÄN</t>
        </is>
      </c>
      <c r="G378" t="inlineStr">
        <is>
          <t>BODEN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45212</v>
      </c>
      <c r="E379" s="1" t="n">
        <v>46235</v>
      </c>
      <c r="F379" t="inlineStr">
        <is>
          <t>NORRBOTTENS LÄN</t>
        </is>
      </c>
      <c r="G379" t="inlineStr">
        <is>
          <t>BODEN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45470</v>
      </c>
      <c r="E380" s="1" t="n">
        <v>46235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Aktiebolag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46235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46235</v>
      </c>
      <c r="F382" t="inlineStr">
        <is>
          <t>NORRBOTTENS LÄN</t>
        </is>
      </c>
      <c r="G382" t="inlineStr">
        <is>
          <t>BODEN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46235</v>
      </c>
      <c r="F383" t="inlineStr">
        <is>
          <t>NORRBOTTENS LÄN</t>
        </is>
      </c>
      <c r="G383" t="inlineStr">
        <is>
          <t>BODEN</t>
        </is>
      </c>
      <c r="I383" t="n">
        <v>17.2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46235</v>
      </c>
      <c r="F384" t="inlineStr">
        <is>
          <t>NORRBOTTENS LÄN</t>
        </is>
      </c>
      <c r="G384" t="inlineStr">
        <is>
          <t>BODEN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46235</v>
      </c>
      <c r="F385" t="inlineStr">
        <is>
          <t>NORRBOTTENS LÄN</t>
        </is>
      </c>
      <c r="G385" t="inlineStr">
        <is>
          <t>BODEN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46235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46235</v>
      </c>
      <c r="F387" t="inlineStr">
        <is>
          <t>NORRBOTTENS LÄN</t>
        </is>
      </c>
      <c r="G387" t="inlineStr">
        <is>
          <t>BODEN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46235</v>
      </c>
      <c r="F388" t="inlineStr">
        <is>
          <t>NORRBOTTENS LÄN</t>
        </is>
      </c>
      <c r="G388" t="inlineStr">
        <is>
          <t>BODEN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46235</v>
      </c>
      <c r="F389" t="inlineStr">
        <is>
          <t>NORRBOTTENS LÄN</t>
        </is>
      </c>
      <c r="G389" t="inlineStr">
        <is>
          <t>BODEN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46235</v>
      </c>
      <c r="F390" t="inlineStr">
        <is>
          <t>NORRBOTTENS LÄN</t>
        </is>
      </c>
      <c r="G390" t="inlineStr">
        <is>
          <t>BODEN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46235</v>
      </c>
      <c r="F391" t="inlineStr">
        <is>
          <t>NORRBOTTENS LÄN</t>
        </is>
      </c>
      <c r="G391" t="inlineStr">
        <is>
          <t>BODEN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46235</v>
      </c>
      <c r="F392" t="inlineStr">
        <is>
          <t>NORRBOTTENS LÄN</t>
        </is>
      </c>
      <c r="G392" t="inlineStr">
        <is>
          <t>BODEN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46235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44566</v>
      </c>
      <c r="E394" s="1" t="n">
        <v>46235</v>
      </c>
      <c r="F394" t="inlineStr">
        <is>
          <t>NORRBOTTENS LÄN</t>
        </is>
      </c>
      <c r="G394" t="inlineStr">
        <is>
          <t>BODEN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46235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46235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46235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44994</v>
      </c>
      <c r="E398" s="1" t="n">
        <v>46235</v>
      </c>
      <c r="F398" t="inlineStr">
        <is>
          <t>NORRBOTTENS LÄN</t>
        </is>
      </c>
      <c r="G398" t="inlineStr">
        <is>
          <t>BODEN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45943</v>
      </c>
      <c r="E399" s="1" t="n">
        <v>46235</v>
      </c>
      <c r="F399" t="inlineStr">
        <is>
          <t>NORRBOTTENS LÄN</t>
        </is>
      </c>
      <c r="G399" t="inlineStr">
        <is>
          <t>BODEN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46235</v>
      </c>
      <c r="F400" t="inlineStr">
        <is>
          <t>NORRBOTTENS LÄN</t>
        </is>
      </c>
      <c r="G400" t="inlineStr">
        <is>
          <t>BODEN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46235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46235</v>
      </c>
      <c r="F402" t="inlineStr">
        <is>
          <t>NORRBOTTENS LÄN</t>
        </is>
      </c>
      <c r="G402" t="inlineStr">
        <is>
          <t>BODEN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45543</v>
      </c>
      <c r="E403" s="1" t="n">
        <v>46235</v>
      </c>
      <c r="F403" t="inlineStr">
        <is>
          <t>NORRBOTTENS LÄN</t>
        </is>
      </c>
      <c r="G403" t="inlineStr">
        <is>
          <t>BODEN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46235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46235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46235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46235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46235</v>
      </c>
      <c r="F408" t="inlineStr">
        <is>
          <t>NORRBOTTENS LÄN</t>
        </is>
      </c>
      <c r="G408" t="inlineStr">
        <is>
          <t>BODEN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46235</v>
      </c>
      <c r="F409" t="inlineStr">
        <is>
          <t>NORRBOTTENS LÄN</t>
        </is>
      </c>
      <c r="G409" t="inlineStr">
        <is>
          <t>BODEN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46235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46235</v>
      </c>
      <c r="F411" t="inlineStr">
        <is>
          <t>NORRBOTTENS LÄN</t>
        </is>
      </c>
      <c r="G411" t="inlineStr">
        <is>
          <t>BODEN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46235</v>
      </c>
      <c r="F412" t="inlineStr">
        <is>
          <t>NORRBOTTENS LÄN</t>
        </is>
      </c>
      <c r="G412" t="inlineStr">
        <is>
          <t>BODEN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59331-2021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44490</v>
      </c>
      <c r="E413" s="1" t="n">
        <v>46235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57563-2023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46235</v>
      </c>
      <c r="F414" t="inlineStr">
        <is>
          <t>NORRBOTTENS LÄN</t>
        </is>
      </c>
      <c r="G414" t="inlineStr">
        <is>
          <t>BODEN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46235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46235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46235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46235</v>
      </c>
      <c r="F418" t="inlineStr">
        <is>
          <t>NORRBOTTENS LÄN</t>
        </is>
      </c>
      <c r="G418" t="inlineStr">
        <is>
          <t>BODEN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16699-2024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45408</v>
      </c>
      <c r="E419" s="1" t="n">
        <v>46235</v>
      </c>
      <c r="F419" t="inlineStr">
        <is>
          <t>NORRBOTTENS LÄN</t>
        </is>
      </c>
      <c r="G419" t="inlineStr">
        <is>
          <t>BODEN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46235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46235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45427</v>
      </c>
      <c r="E422" s="1" t="n">
        <v>46235</v>
      </c>
      <c r="F422" t="inlineStr">
        <is>
          <t>NORRBOTTENS LÄN</t>
        </is>
      </c>
      <c r="G422" t="inlineStr">
        <is>
          <t>BODEN</t>
        </is>
      </c>
      <c r="I422" t="n">
        <v>22.1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46235</v>
      </c>
      <c r="F423" t="inlineStr">
        <is>
          <t>NORRBOTTENS LÄN</t>
        </is>
      </c>
      <c r="G423" t="inlineStr">
        <is>
          <t>BODEN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46235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46235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45085</v>
      </c>
      <c r="E426" s="1" t="n">
        <v>46235</v>
      </c>
      <c r="F426" t="inlineStr">
        <is>
          <t>NORRBOTTENS LÄN</t>
        </is>
      </c>
      <c r="G426" t="inlineStr">
        <is>
          <t>BODEN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46235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46235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46235</v>
      </c>
      <c r="F429" t="inlineStr">
        <is>
          <t>NORRBOTTENS LÄN</t>
        </is>
      </c>
      <c r="G429" t="inlineStr">
        <is>
          <t>BODEN</t>
        </is>
      </c>
      <c r="I429" t="n">
        <v>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46235</v>
      </c>
      <c r="F430" t="inlineStr">
        <is>
          <t>NORRBOTTENS LÄN</t>
        </is>
      </c>
      <c r="G430" t="inlineStr">
        <is>
          <t>BODEN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45476</v>
      </c>
      <c r="E431" s="1" t="n">
        <v>46235</v>
      </c>
      <c r="F431" t="inlineStr">
        <is>
          <t>NORRBOTTENS LÄN</t>
        </is>
      </c>
      <c r="G431" t="inlineStr">
        <is>
          <t>BODEN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61750-2024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45649</v>
      </c>
      <c r="E432" s="1" t="n">
        <v>46235</v>
      </c>
      <c r="F432" t="inlineStr">
        <is>
          <t>NORRBOTTENS LÄN</t>
        </is>
      </c>
      <c r="G432" t="inlineStr">
        <is>
          <t>BODEN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46235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46235</v>
      </c>
      <c r="F434" t="inlineStr">
        <is>
          <t>NORRBOTTENS LÄN</t>
        </is>
      </c>
      <c r="G434" t="inlineStr">
        <is>
          <t>BODEN</t>
        </is>
      </c>
      <c r="I434" t="n">
        <v>16.1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46235</v>
      </c>
      <c r="F435" t="inlineStr">
        <is>
          <t>NORRBOTTENS LÄN</t>
        </is>
      </c>
      <c r="G435" t="inlineStr">
        <is>
          <t>BODEN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28512-2026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46235</v>
      </c>
      <c r="F436" t="inlineStr">
        <is>
          <t>NORRBOTTENS LÄN</t>
        </is>
      </c>
      <c r="G436" t="inlineStr">
        <is>
          <t>BODEN</t>
        </is>
      </c>
      <c r="I436" t="n">
        <v>10.8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46235</v>
      </c>
      <c r="F437" t="inlineStr">
        <is>
          <t>NORRBOTTENS LÄN</t>
        </is>
      </c>
      <c r="G437" t="inlineStr">
        <is>
          <t>BODEN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28490-2026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46197</v>
      </c>
      <c r="E438" s="1" t="n">
        <v>46235</v>
      </c>
      <c r="F438" t="inlineStr">
        <is>
          <t>NORRBOTTENS LÄN</t>
        </is>
      </c>
      <c r="G438" t="inlineStr">
        <is>
          <t>BODEN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46235</v>
      </c>
      <c r="F439" t="inlineStr">
        <is>
          <t>NORRBOTTENS LÄN</t>
        </is>
      </c>
      <c r="G439" t="inlineStr">
        <is>
          <t>BODEN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46235</v>
      </c>
      <c r="F440" t="inlineStr">
        <is>
          <t>NORRBOTTENS LÄN</t>
        </is>
      </c>
      <c r="G440" t="inlineStr">
        <is>
          <t>BODEN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46235</v>
      </c>
      <c r="F441" t="inlineStr">
        <is>
          <t>NORRBOTTENS LÄN</t>
        </is>
      </c>
      <c r="G441" t="inlineStr">
        <is>
          <t>BODEN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46235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46235</v>
      </c>
      <c r="F443" t="inlineStr">
        <is>
          <t>NORRBOTTENS LÄN</t>
        </is>
      </c>
      <c r="G443" t="inlineStr">
        <is>
          <t>BODEN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46235</v>
      </c>
      <c r="F444" t="inlineStr">
        <is>
          <t>NORRBOTTENS LÄN</t>
        </is>
      </c>
      <c r="G444" t="inlineStr">
        <is>
          <t>BODEN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48107-2022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44856</v>
      </c>
      <c r="E445" s="1" t="n">
        <v>46235</v>
      </c>
      <c r="F445" t="inlineStr">
        <is>
          <t>NORRBOTTENS LÄN</t>
        </is>
      </c>
      <c r="G445" t="inlineStr">
        <is>
          <t>BODEN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46235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46235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46235</v>
      </c>
      <c r="F448" t="inlineStr">
        <is>
          <t>NORRBOTTENS LÄN</t>
        </is>
      </c>
      <c r="G448" t="inlineStr">
        <is>
          <t>BODEN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46235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46235</v>
      </c>
      <c r="F450" t="inlineStr">
        <is>
          <t>NORRBOTTENS LÄN</t>
        </is>
      </c>
      <c r="G450" t="inlineStr">
        <is>
          <t>BODEN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46235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44823</v>
      </c>
      <c r="E452" s="1" t="n">
        <v>46235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46235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21329-2024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45440</v>
      </c>
      <c r="E454" s="1" t="n">
        <v>46235</v>
      </c>
      <c r="F454" t="inlineStr">
        <is>
          <t>NORRBOTTENS LÄN</t>
        </is>
      </c>
      <c r="G454" t="inlineStr">
        <is>
          <t>BODEN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46235</v>
      </c>
      <c r="F455" t="inlineStr">
        <is>
          <t>NORRBOTTENS LÄN</t>
        </is>
      </c>
      <c r="G455" t="inlineStr">
        <is>
          <t>BODEN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46235</v>
      </c>
      <c r="F456" t="inlineStr">
        <is>
          <t>NORRBOTTENS LÄN</t>
        </is>
      </c>
      <c r="G456" t="inlineStr">
        <is>
          <t>BODEN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718-2022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44568</v>
      </c>
      <c r="E457" s="1" t="n">
        <v>46235</v>
      </c>
      <c r="F457" t="inlineStr">
        <is>
          <t>NORRBOTTENS LÄN</t>
        </is>
      </c>
      <c r="G457" t="inlineStr">
        <is>
          <t>BODEN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46235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45667</v>
      </c>
      <c r="E459" s="1" t="n">
        <v>46235</v>
      </c>
      <c r="F459" t="inlineStr">
        <is>
          <t>NORRBOTTENS LÄN</t>
        </is>
      </c>
      <c r="G459" t="inlineStr">
        <is>
          <t>BODEN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44648</v>
      </c>
      <c r="E460" s="1" t="n">
        <v>46235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46235</v>
      </c>
      <c r="F461" t="inlineStr">
        <is>
          <t>NORRBOTTENS LÄN</t>
        </is>
      </c>
      <c r="G461" t="inlineStr">
        <is>
          <t>BODEN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45499</v>
      </c>
      <c r="E462" s="1" t="n">
        <v>46235</v>
      </c>
      <c r="F462" t="inlineStr">
        <is>
          <t>NORRBOTTENS LÄN</t>
        </is>
      </c>
      <c r="G462" t="inlineStr">
        <is>
          <t>BODEN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46235</v>
      </c>
      <c r="F463" t="inlineStr">
        <is>
          <t>NORRBOTTENS LÄN</t>
        </is>
      </c>
      <c r="G463" t="inlineStr">
        <is>
          <t>BODEN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46235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46235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46235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46235</v>
      </c>
      <c r="F467" t="inlineStr">
        <is>
          <t>NORRBOTTENS LÄN</t>
        </is>
      </c>
      <c r="G467" t="inlineStr">
        <is>
          <t>BODEN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8571-2025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45709</v>
      </c>
      <c r="E468" s="1" t="n">
        <v>46235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Aktiebolag</t>
        </is>
      </c>
      <c r="I468" t="n">
        <v>14.3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45972</v>
      </c>
      <c r="E469" s="1" t="n">
        <v>46235</v>
      </c>
      <c r="F469" t="inlineStr">
        <is>
          <t>NORRBOTTENS LÄN</t>
        </is>
      </c>
      <c r="G469" t="inlineStr">
        <is>
          <t>BODEN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45764</v>
      </c>
      <c r="E470" s="1" t="n">
        <v>46235</v>
      </c>
      <c r="F470" t="inlineStr">
        <is>
          <t>NORRBOTTENS LÄN</t>
        </is>
      </c>
      <c r="G470" t="inlineStr">
        <is>
          <t>BODEN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45773</v>
      </c>
      <c r="E471" s="1" t="n">
        <v>46235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46235</v>
      </c>
      <c r="F472" t="inlineStr">
        <is>
          <t>NORRBOTTENS LÄN</t>
        </is>
      </c>
      <c r="G472" t="inlineStr">
        <is>
          <t>BODEN</t>
        </is>
      </c>
      <c r="H472" t="inlineStr">
        <is>
          <t>Naturvårdsverket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46235</v>
      </c>
      <c r="F473" t="inlineStr">
        <is>
          <t>NORRBOTTENS LÄN</t>
        </is>
      </c>
      <c r="G473" t="inlineStr">
        <is>
          <t>BODEN</t>
        </is>
      </c>
      <c r="H473" t="inlineStr">
        <is>
          <t>Naturvårdsverket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56440-2025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46235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46235</v>
      </c>
      <c r="F475" t="inlineStr">
        <is>
          <t>NORRBOTTENS LÄN</t>
        </is>
      </c>
      <c r="G475" t="inlineStr">
        <is>
          <t>BODEN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46235</v>
      </c>
      <c r="F476" t="inlineStr">
        <is>
          <t>NORRBOTTENS LÄN</t>
        </is>
      </c>
      <c r="G476" t="inlineStr">
        <is>
          <t>BODEN</t>
        </is>
      </c>
      <c r="I476" t="n">
        <v>38.7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46235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46235</v>
      </c>
      <c r="F478" t="inlineStr">
        <is>
          <t>NORRBOTTENS LÄN</t>
        </is>
      </c>
      <c r="G478" t="inlineStr">
        <is>
          <t>BODEN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46235</v>
      </c>
      <c r="F479" t="inlineStr">
        <is>
          <t>NORRBOTTENS LÄN</t>
        </is>
      </c>
      <c r="G479" t="inlineStr">
        <is>
          <t>BODEN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46512-2021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44445</v>
      </c>
      <c r="E480" s="1" t="n">
        <v>46235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46235</v>
      </c>
      <c r="F481" t="inlineStr">
        <is>
          <t>NORRBOTTENS LÄN</t>
        </is>
      </c>
      <c r="G481" t="inlineStr">
        <is>
          <t>BODEN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46235</v>
      </c>
      <c r="F482" t="inlineStr">
        <is>
          <t>NORRBOTTENS LÄN</t>
        </is>
      </c>
      <c r="G482" t="inlineStr">
        <is>
          <t>BODEN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44474</v>
      </c>
      <c r="E483" s="1" t="n">
        <v>46235</v>
      </c>
      <c r="F483" t="inlineStr">
        <is>
          <t>NORRBOTTENS LÄN</t>
        </is>
      </c>
      <c r="G483" t="inlineStr">
        <is>
          <t>BODEN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46235</v>
      </c>
      <c r="F484" t="inlineStr">
        <is>
          <t>NORRBOTTENS LÄN</t>
        </is>
      </c>
      <c r="G484" t="inlineStr">
        <is>
          <t>BODEN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46235</v>
      </c>
      <c r="F485" t="inlineStr">
        <is>
          <t>NORRBOTTENS LÄN</t>
        </is>
      </c>
      <c r="G485" t="inlineStr">
        <is>
          <t>BODEN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46235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11.3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46235</v>
      </c>
      <c r="F487" t="inlineStr">
        <is>
          <t>NORRBOTTENS LÄN</t>
        </is>
      </c>
      <c r="G487" t="inlineStr">
        <is>
          <t>BODEN</t>
        </is>
      </c>
      <c r="I487" t="n">
        <v>12.2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46235</v>
      </c>
      <c r="F488" t="inlineStr">
        <is>
          <t>NORRBOTTENS LÄN</t>
        </is>
      </c>
      <c r="G488" t="inlineStr">
        <is>
          <t>BODEN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46235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46235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46235</v>
      </c>
      <c r="F491" t="inlineStr">
        <is>
          <t>NORRBOTTENS LÄN</t>
        </is>
      </c>
      <c r="G491" t="inlineStr">
        <is>
          <t>BODEN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45748</v>
      </c>
      <c r="E492" s="1" t="n">
        <v>46235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46235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67438-2021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44524</v>
      </c>
      <c r="E494" s="1" t="n">
        <v>46235</v>
      </c>
      <c r="F494" t="inlineStr">
        <is>
          <t>NORRBOTTENS LÄN</t>
        </is>
      </c>
      <c r="G494" t="inlineStr">
        <is>
          <t>BODEN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45761</v>
      </c>
      <c r="E495" s="1" t="n">
        <v>46235</v>
      </c>
      <c r="F495" t="inlineStr">
        <is>
          <t>NORRBOTTENS LÄN</t>
        </is>
      </c>
      <c r="G495" t="inlineStr">
        <is>
          <t>BODEN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46235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45744</v>
      </c>
      <c r="E497" s="1" t="n">
        <v>46235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46235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58662-2025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46235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46235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45984</v>
      </c>
      <c r="E501" s="1" t="n">
        <v>46235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46235</v>
      </c>
      <c r="F502" t="inlineStr">
        <is>
          <t>NORRBOTTENS LÄN</t>
        </is>
      </c>
      <c r="G502" t="inlineStr">
        <is>
          <t>BODEN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58099-2023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45248</v>
      </c>
      <c r="E503" s="1" t="n">
        <v>46235</v>
      </c>
      <c r="F503" t="inlineStr">
        <is>
          <t>NORRBOTTENS LÄN</t>
        </is>
      </c>
      <c r="G503" t="inlineStr">
        <is>
          <t>BODEN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46235</v>
      </c>
      <c r="F504" t="inlineStr">
        <is>
          <t>NORRBOTTENS LÄN</t>
        </is>
      </c>
      <c r="G504" t="inlineStr">
        <is>
          <t>BODEN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46235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46235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46235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46235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46235</v>
      </c>
      <c r="F509" t="inlineStr">
        <is>
          <t>NORRBOTTENS LÄN</t>
        </is>
      </c>
      <c r="G509" t="inlineStr">
        <is>
          <t>BODEN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49127-2023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45210</v>
      </c>
      <c r="E510" s="1" t="n">
        <v>46235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45099</v>
      </c>
      <c r="E511" s="1" t="n">
        <v>46235</v>
      </c>
      <c r="F511" t="inlineStr">
        <is>
          <t>NORRBOTTENS LÄN</t>
        </is>
      </c>
      <c r="G511" t="inlineStr">
        <is>
          <t>BODEN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46235</v>
      </c>
      <c r="F512" t="inlineStr">
        <is>
          <t>NORRBOTTENS LÄN</t>
        </is>
      </c>
      <c r="G512" t="inlineStr">
        <is>
          <t>BODEN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44887</v>
      </c>
      <c r="E513" s="1" t="n">
        <v>46235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44565</v>
      </c>
      <c r="E514" s="1" t="n">
        <v>46235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46206</v>
      </c>
      <c r="E515" s="1" t="n">
        <v>46235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46235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46235</v>
      </c>
      <c r="F517" t="inlineStr">
        <is>
          <t>NORRBOTTENS LÄN</t>
        </is>
      </c>
      <c r="G517" t="inlineStr">
        <is>
          <t>BODEN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45085</v>
      </c>
      <c r="E518" s="1" t="n">
        <v>46235</v>
      </c>
      <c r="F518" t="inlineStr">
        <is>
          <t>NORRBOTTENS LÄN</t>
        </is>
      </c>
      <c r="G518" t="inlineStr">
        <is>
          <t>BODEN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45115-2021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44438</v>
      </c>
      <c r="E519" s="1" t="n">
        <v>46235</v>
      </c>
      <c r="F519" t="inlineStr">
        <is>
          <t>NORRBOTTENS LÄN</t>
        </is>
      </c>
      <c r="G519" t="inlineStr">
        <is>
          <t>BODEN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45677-2021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44441</v>
      </c>
      <c r="E520" s="1" t="n">
        <v>46235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68591-2021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44529</v>
      </c>
      <c r="E521" s="1" t="n">
        <v>46235</v>
      </c>
      <c r="F521" t="inlineStr">
        <is>
          <t>NORRBOTTENS LÄN</t>
        </is>
      </c>
      <c r="G521" t="inlineStr">
        <is>
          <t>BODEN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45070</v>
      </c>
      <c r="E522" s="1" t="n">
        <v>46235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46235</v>
      </c>
      <c r="F523" t="inlineStr">
        <is>
          <t>NORRBOTTENS LÄN</t>
        </is>
      </c>
      <c r="G523" t="inlineStr">
        <is>
          <t>BODEN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46235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46235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46235</v>
      </c>
      <c r="F526" t="inlineStr">
        <is>
          <t>NORRBOTTENS LÄN</t>
        </is>
      </c>
      <c r="G526" t="inlineStr">
        <is>
          <t>BODEN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45994</v>
      </c>
      <c r="E527" s="1" t="n">
        <v>46235</v>
      </c>
      <c r="F527" t="inlineStr">
        <is>
          <t>NORRBOTTENS LÄN</t>
        </is>
      </c>
      <c r="G527" t="inlineStr">
        <is>
          <t>BODEN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45994</v>
      </c>
      <c r="E528" s="1" t="n">
        <v>46235</v>
      </c>
      <c r="F528" t="inlineStr">
        <is>
          <t>NORRBOTTENS LÄN</t>
        </is>
      </c>
      <c r="G528" t="inlineStr">
        <is>
          <t>BODEN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46235</v>
      </c>
      <c r="F529" t="inlineStr">
        <is>
          <t>NORRBOTTENS LÄN</t>
        </is>
      </c>
      <c r="G529" t="inlineStr">
        <is>
          <t>BODEN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46235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45674</v>
      </c>
      <c r="E531" s="1" t="n">
        <v>46235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44463</v>
      </c>
      <c r="E532" s="1" t="n">
        <v>46235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46235</v>
      </c>
      <c r="F533" t="inlineStr">
        <is>
          <t>NORRBOTTENS LÄN</t>
        </is>
      </c>
      <c r="G533" t="inlineStr">
        <is>
          <t>BODEN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60395-2025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46235</v>
      </c>
      <c r="F534" t="inlineStr">
        <is>
          <t>NORRBOTTENS LÄN</t>
        </is>
      </c>
      <c r="G534" t="inlineStr">
        <is>
          <t>BODEN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46235</v>
      </c>
      <c r="F535" t="inlineStr">
        <is>
          <t>NORRBOTTENS LÄN</t>
        </is>
      </c>
      <c r="G535" t="inlineStr">
        <is>
          <t>BODEN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46235</v>
      </c>
      <c r="F536" t="inlineStr">
        <is>
          <t>NORRBOTTENS LÄN</t>
        </is>
      </c>
      <c r="G536" t="inlineStr">
        <is>
          <t>BODEN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45996</v>
      </c>
      <c r="E537" s="1" t="n">
        <v>46235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60429-2025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45995</v>
      </c>
      <c r="E538" s="1" t="n">
        <v>46235</v>
      </c>
      <c r="F538" t="inlineStr">
        <is>
          <t>NORRBOTTENS LÄN</t>
        </is>
      </c>
      <c r="G538" t="inlineStr">
        <is>
          <t>BODEN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46235</v>
      </c>
      <c r="F539" t="inlineStr">
        <is>
          <t>NORRBOTTENS LÄN</t>
        </is>
      </c>
      <c r="G539" t="inlineStr">
        <is>
          <t>BODEN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46235</v>
      </c>
      <c r="F540" t="inlineStr">
        <is>
          <t>NORRBOTTENS LÄN</t>
        </is>
      </c>
      <c r="G540" t="inlineStr">
        <is>
          <t>BODEN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45906</v>
      </c>
      <c r="E541" s="1" t="n">
        <v>46235</v>
      </c>
      <c r="F541" t="inlineStr">
        <is>
          <t>NORRBOTTENS LÄN</t>
        </is>
      </c>
      <c r="G541" t="inlineStr">
        <is>
          <t>BODEN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45999</v>
      </c>
      <c r="E542" s="1" t="n">
        <v>46235</v>
      </c>
      <c r="F542" t="inlineStr">
        <is>
          <t>NORRBOTTENS LÄN</t>
        </is>
      </c>
      <c r="G542" t="inlineStr">
        <is>
          <t>BODEN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38219-2022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46235</v>
      </c>
      <c r="F543" t="inlineStr">
        <is>
          <t>NORRBOTTENS LÄN</t>
        </is>
      </c>
      <c r="G543" t="inlineStr">
        <is>
          <t>BODEN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46235</v>
      </c>
      <c r="F544" t="inlineStr">
        <is>
          <t>NORRBOTTENS LÄN</t>
        </is>
      </c>
      <c r="G544" t="inlineStr">
        <is>
          <t>BODEN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46235</v>
      </c>
      <c r="F545" t="inlineStr">
        <is>
          <t>NORRBOTTENS LÄN</t>
        </is>
      </c>
      <c r="G545" t="inlineStr">
        <is>
          <t>BODEN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46235</v>
      </c>
      <c r="F546" t="inlineStr">
        <is>
          <t>NORRBOTTENS LÄN</t>
        </is>
      </c>
      <c r="G546" t="inlineStr">
        <is>
          <t>BODEN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46235</v>
      </c>
      <c r="F547" t="inlineStr">
        <is>
          <t>NORRBOTTENS LÄN</t>
        </is>
      </c>
      <c r="G547" t="inlineStr">
        <is>
          <t>BODEN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45102</v>
      </c>
      <c r="E548" s="1" t="n">
        <v>46235</v>
      </c>
      <c r="F548" t="inlineStr">
        <is>
          <t>NORRBOTTENS LÄN</t>
        </is>
      </c>
      <c r="G548" t="inlineStr">
        <is>
          <t>BODEN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48592-2024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45593</v>
      </c>
      <c r="E549" s="1" t="n">
        <v>46235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45894</v>
      </c>
      <c r="E550" s="1" t="n">
        <v>46235</v>
      </c>
      <c r="F550" t="inlineStr">
        <is>
          <t>NORRBOTTENS LÄN</t>
        </is>
      </c>
      <c r="G550" t="inlineStr">
        <is>
          <t>BODEN</t>
        </is>
      </c>
      <c r="H550" t="inlineStr">
        <is>
          <t>Övriga statliga verk och myndigheter</t>
        </is>
      </c>
      <c r="I550" t="n">
        <v>17.6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61384-2025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46001</v>
      </c>
      <c r="E551" s="1" t="n">
        <v>46235</v>
      </c>
      <c r="F551" t="inlineStr">
        <is>
          <t>NORRBOTTENS LÄN</t>
        </is>
      </c>
      <c r="G551" t="inlineStr">
        <is>
          <t>BODEN</t>
        </is>
      </c>
      <c r="I551" t="n">
        <v>17.1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46235</v>
      </c>
      <c r="F552" t="inlineStr">
        <is>
          <t>NORRBOTTENS LÄN</t>
        </is>
      </c>
      <c r="G552" t="inlineStr">
        <is>
          <t>BODEN</t>
        </is>
      </c>
      <c r="H552" t="inlineStr">
        <is>
          <t>Kommuner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46235</v>
      </c>
      <c r="F553" t="inlineStr">
        <is>
          <t>NORRBOTTENS LÄN</t>
        </is>
      </c>
      <c r="G553" t="inlineStr">
        <is>
          <t>BODEN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46235</v>
      </c>
      <c r="F554" t="inlineStr">
        <is>
          <t>NORRBOTTENS LÄN</t>
        </is>
      </c>
      <c r="G554" t="inlineStr">
        <is>
          <t>BODEN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46235</v>
      </c>
      <c r="F555" t="inlineStr">
        <is>
          <t>NORRBOTTENS LÄN</t>
        </is>
      </c>
      <c r="G555" t="inlineStr">
        <is>
          <t>BODEN</t>
        </is>
      </c>
      <c r="H555" t="inlineStr">
        <is>
          <t>Kommuner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46235</v>
      </c>
      <c r="F556" t="inlineStr">
        <is>
          <t>NORRBOTTENS LÄN</t>
        </is>
      </c>
      <c r="G556" t="inlineStr">
        <is>
          <t>BODEN</t>
        </is>
      </c>
      <c r="H556" t="inlineStr">
        <is>
          <t>Kommuner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46235</v>
      </c>
      <c r="F557" t="inlineStr">
        <is>
          <t>NORRBOTTENS LÄN</t>
        </is>
      </c>
      <c r="G557" t="inlineStr">
        <is>
          <t>BODEN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46208</v>
      </c>
      <c r="E558" s="1" t="n">
        <v>46235</v>
      </c>
      <c r="F558" t="inlineStr">
        <is>
          <t>NORRBOTTENS LÄN</t>
        </is>
      </c>
      <c r="G558" t="inlineStr">
        <is>
          <t>BODEN</t>
        </is>
      </c>
      <c r="I558" t="n">
        <v>9.800000000000001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46235</v>
      </c>
      <c r="F559" t="inlineStr">
        <is>
          <t>NORRBOTTENS LÄN</t>
        </is>
      </c>
      <c r="G559" t="inlineStr">
        <is>
          <t>BODEN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46003</v>
      </c>
      <c r="E560" s="1" t="n">
        <v>46235</v>
      </c>
      <c r="F560" t="inlineStr">
        <is>
          <t>NORRBOTTENS LÄN</t>
        </is>
      </c>
      <c r="G560" t="inlineStr">
        <is>
          <t>BODEN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46235</v>
      </c>
      <c r="F561" t="inlineStr">
        <is>
          <t>NORRBOTTENS LÄN</t>
        </is>
      </c>
      <c r="G561" t="inlineStr">
        <is>
          <t>BODEN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46235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46235</v>
      </c>
      <c r="F563" t="inlineStr">
        <is>
          <t>NORRBOTTENS LÄN</t>
        </is>
      </c>
      <c r="G563" t="inlineStr">
        <is>
          <t>BODEN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46235</v>
      </c>
      <c r="F564" t="inlineStr">
        <is>
          <t>NORRBOTTENS LÄN</t>
        </is>
      </c>
      <c r="G564" t="inlineStr">
        <is>
          <t>BODEN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46235</v>
      </c>
      <c r="F565" t="inlineStr">
        <is>
          <t>NORRBOTTENS LÄN</t>
        </is>
      </c>
      <c r="G565" t="inlineStr">
        <is>
          <t>BODEN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45454</v>
      </c>
      <c r="E566" s="1" t="n">
        <v>46235</v>
      </c>
      <c r="F566" t="inlineStr">
        <is>
          <t>NORRBOTTENS LÄN</t>
        </is>
      </c>
      <c r="G566" t="inlineStr">
        <is>
          <t>BODEN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61949-2025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46003</v>
      </c>
      <c r="E567" s="1" t="n">
        <v>46235</v>
      </c>
      <c r="F567" t="inlineStr">
        <is>
          <t>NORRBOTTENS LÄN</t>
        </is>
      </c>
      <c r="G567" t="inlineStr">
        <is>
          <t>BODEN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46235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30745-2026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46211</v>
      </c>
      <c r="E569" s="1" t="n">
        <v>46235</v>
      </c>
      <c r="F569" t="inlineStr">
        <is>
          <t>NORRBOTTENS LÄN</t>
        </is>
      </c>
      <c r="G569" t="inlineStr">
        <is>
          <t>BODEN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46235</v>
      </c>
      <c r="F570" t="inlineStr">
        <is>
          <t>NORRBOTTENS LÄN</t>
        </is>
      </c>
      <c r="G570" t="inlineStr">
        <is>
          <t>BODEN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46235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46235</v>
      </c>
      <c r="F572" t="inlineStr">
        <is>
          <t>NORRBOTTENS LÄN</t>
        </is>
      </c>
      <c r="G572" t="inlineStr">
        <is>
          <t>BODEN</t>
        </is>
      </c>
      <c r="I572" t="n">
        <v>18.6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45425</v>
      </c>
      <c r="E573" s="1" t="n">
        <v>46235</v>
      </c>
      <c r="F573" t="inlineStr">
        <is>
          <t>NORRBOTTENS LÄN</t>
        </is>
      </c>
      <c r="G573" t="inlineStr">
        <is>
          <t>BODEN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45406</v>
      </c>
      <c r="E574" s="1" t="n">
        <v>46235</v>
      </c>
      <c r="F574" t="inlineStr">
        <is>
          <t>NORRBOTTENS LÄN</t>
        </is>
      </c>
      <c r="G574" t="inlineStr">
        <is>
          <t>BODEN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46235</v>
      </c>
      <c r="F575" t="inlineStr">
        <is>
          <t>NORRBOTTENS LÄN</t>
        </is>
      </c>
      <c r="G575" t="inlineStr">
        <is>
          <t>BODEN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46235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62994-2025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46009</v>
      </c>
      <c r="E577" s="1" t="n">
        <v>46235</v>
      </c>
      <c r="F577" t="inlineStr">
        <is>
          <t>NORRBOTTENS LÄN</t>
        </is>
      </c>
      <c r="G577" t="inlineStr">
        <is>
          <t>BODEN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46235</v>
      </c>
      <c r="F578" t="inlineStr">
        <is>
          <t>NORRBOTTENS LÄN</t>
        </is>
      </c>
      <c r="G578" t="inlineStr">
        <is>
          <t>BODEN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62992-2025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46009</v>
      </c>
      <c r="E579" s="1" t="n">
        <v>46235</v>
      </c>
      <c r="F579" t="inlineStr">
        <is>
          <t>NORRBOTTENS LÄN</t>
        </is>
      </c>
      <c r="G579" t="inlineStr">
        <is>
          <t>BODEN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46235</v>
      </c>
      <c r="F580" t="inlineStr">
        <is>
          <t>NORRBOTTENS LÄN</t>
        </is>
      </c>
      <c r="G580" t="inlineStr">
        <is>
          <t>BODEN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45125</v>
      </c>
      <c r="E581" s="1" t="n">
        <v>46235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45646</v>
      </c>
      <c r="E582" s="1" t="n">
        <v>46235</v>
      </c>
      <c r="F582" t="inlineStr">
        <is>
          <t>NORRBOTTENS LÄN</t>
        </is>
      </c>
      <c r="G582" t="inlineStr">
        <is>
          <t>BODEN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45766</v>
      </c>
      <c r="E583" s="1" t="n">
        <v>46235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58877-2021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44489</v>
      </c>
      <c r="E584" s="1" t="n">
        <v>46235</v>
      </c>
      <c r="F584" t="inlineStr">
        <is>
          <t>NORRBOTTENS LÄN</t>
        </is>
      </c>
      <c r="G584" t="inlineStr">
        <is>
          <t>BODEN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46235</v>
      </c>
      <c r="F585" t="inlineStr">
        <is>
          <t>NORRBOTTENS LÄN</t>
        </is>
      </c>
      <c r="G585" t="inlineStr">
        <is>
          <t>BODEN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46235</v>
      </c>
      <c r="F586" t="inlineStr">
        <is>
          <t>NORRBOTTENS LÄN</t>
        </is>
      </c>
      <c r="G586" t="inlineStr">
        <is>
          <t>BODEN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63398-2025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46012</v>
      </c>
      <c r="E587" s="1" t="n">
        <v>46235</v>
      </c>
      <c r="F587" t="inlineStr">
        <is>
          <t>NORRBOTTENS LÄN</t>
        </is>
      </c>
      <c r="G587" t="inlineStr">
        <is>
          <t>BODEN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46235</v>
      </c>
      <c r="F588" t="inlineStr">
        <is>
          <t>NORRBOTTENS LÄN</t>
        </is>
      </c>
      <c r="G588" t="inlineStr">
        <is>
          <t>BODEN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46012</v>
      </c>
      <c r="E589" s="1" t="n">
        <v>46235</v>
      </c>
      <c r="F589" t="inlineStr">
        <is>
          <t>NORRBOTTENS LÄN</t>
        </is>
      </c>
      <c r="G589" t="inlineStr">
        <is>
          <t>BODEN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46012</v>
      </c>
      <c r="E590" s="1" t="n">
        <v>46235</v>
      </c>
      <c r="F590" t="inlineStr">
        <is>
          <t>NORRBOTTENS LÄN</t>
        </is>
      </c>
      <c r="G590" t="inlineStr">
        <is>
          <t>BODEN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45099</v>
      </c>
      <c r="E591" s="1" t="n">
        <v>46235</v>
      </c>
      <c r="F591" t="inlineStr">
        <is>
          <t>NORRBOTTENS LÄN</t>
        </is>
      </c>
      <c r="G591" t="inlineStr">
        <is>
          <t>BODEN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46235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44657</v>
      </c>
      <c r="E593" s="1" t="n">
        <v>46235</v>
      </c>
      <c r="F593" t="inlineStr">
        <is>
          <t>NORRBOTTENS LÄN</t>
        </is>
      </c>
      <c r="G593" t="inlineStr">
        <is>
          <t>BODEN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46235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8028-2024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45350</v>
      </c>
      <c r="E595" s="1" t="n">
        <v>46235</v>
      </c>
      <c r="F595" t="inlineStr">
        <is>
          <t>NORRBOTTENS LÄN</t>
        </is>
      </c>
      <c r="G595" t="inlineStr">
        <is>
          <t>BODEN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46172</v>
      </c>
      <c r="E596" s="1" t="n">
        <v>46235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46235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61103-2022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44908</v>
      </c>
      <c r="E598" s="1" t="n">
        <v>46235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46235</v>
      </c>
      <c r="F599" t="inlineStr">
        <is>
          <t>NORRBOTTENS LÄN</t>
        </is>
      </c>
      <c r="G599" t="inlineStr">
        <is>
          <t>BODEN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63891-2025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46020</v>
      </c>
      <c r="E600" s="1" t="n">
        <v>46235</v>
      </c>
      <c r="F600" t="inlineStr">
        <is>
          <t>NORRBOTTENS LÄN</t>
        </is>
      </c>
      <c r="G600" t="inlineStr">
        <is>
          <t>BODEN</t>
        </is>
      </c>
      <c r="I600" t="n">
        <v>12.5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8752-2026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46066</v>
      </c>
      <c r="E601" s="1" t="n">
        <v>46235</v>
      </c>
      <c r="F601" t="inlineStr">
        <is>
          <t>NORRBOTTENS LÄN</t>
        </is>
      </c>
      <c r="G601" t="inlineStr">
        <is>
          <t>BODEN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46235</v>
      </c>
      <c r="F602" t="inlineStr">
        <is>
          <t>NORRBOTTENS LÄN</t>
        </is>
      </c>
      <c r="G602" t="inlineStr">
        <is>
          <t>BODEN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46235</v>
      </c>
      <c r="F603" t="inlineStr">
        <is>
          <t>NORRBOTTENS LÄN</t>
        </is>
      </c>
      <c r="G603" t="inlineStr">
        <is>
          <t>BODEN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46235</v>
      </c>
      <c r="F604" t="inlineStr">
        <is>
          <t>NORRBOTTENS LÄN</t>
        </is>
      </c>
      <c r="G604" t="inlineStr">
        <is>
          <t>BODEN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9319-2024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45358</v>
      </c>
      <c r="E605" s="1" t="n">
        <v>46235</v>
      </c>
      <c r="F605" t="inlineStr">
        <is>
          <t>NORRBOTTENS LÄN</t>
        </is>
      </c>
      <c r="G605" t="inlineStr">
        <is>
          <t>BODEN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46235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46217</v>
      </c>
      <c r="E607" s="1" t="n">
        <v>46235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46235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46235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57873-2021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44484</v>
      </c>
      <c r="E610" s="1" t="n">
        <v>46235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57895-2021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44486</v>
      </c>
      <c r="E611" s="1" t="n">
        <v>46235</v>
      </c>
      <c r="F611" t="inlineStr">
        <is>
          <t>NORRBOTTENS LÄN</t>
        </is>
      </c>
      <c r="G611" t="inlineStr">
        <is>
          <t>BODEN</t>
        </is>
      </c>
      <c r="I611" t="n">
        <v>9.199999999999999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46235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46235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46020</v>
      </c>
      <c r="E614" s="1" t="n">
        <v>46235</v>
      </c>
      <c r="F614" t="inlineStr">
        <is>
          <t>NORRBOTTENS LÄN</t>
        </is>
      </c>
      <c r="G614" t="inlineStr">
        <is>
          <t>BODEN</t>
        </is>
      </c>
      <c r="I614" t="n">
        <v>10.9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48129-2023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46235</v>
      </c>
      <c r="F615" t="inlineStr">
        <is>
          <t>NORRBOTTENS LÄN</t>
        </is>
      </c>
      <c r="G615" t="inlineStr">
        <is>
          <t>BODEN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46235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46235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2771-2026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46036</v>
      </c>
      <c r="E618" s="1" t="n">
        <v>46235</v>
      </c>
      <c r="F618" t="inlineStr">
        <is>
          <t>NORRBOTTENS LÄN</t>
        </is>
      </c>
      <c r="G618" t="inlineStr">
        <is>
          <t>BODEN</t>
        </is>
      </c>
      <c r="H618" t="inlineStr">
        <is>
          <t>Kommuner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39272-2024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46235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46177</v>
      </c>
      <c r="E620" s="1" t="n">
        <v>46235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46235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46235</v>
      </c>
      <c r="F622" t="inlineStr">
        <is>
          <t>NORRBOTTENS LÄN</t>
        </is>
      </c>
      <c r="G622" t="inlineStr">
        <is>
          <t>BODEN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46235</v>
      </c>
      <c r="F623" t="inlineStr">
        <is>
          <t>NORRBOTTENS LÄN</t>
        </is>
      </c>
      <c r="G623" t="inlineStr">
        <is>
          <t>BODEN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46235</v>
      </c>
      <c r="F624" t="inlineStr">
        <is>
          <t>NORRBOTTENS LÄN</t>
        </is>
      </c>
      <c r="G624" t="inlineStr">
        <is>
          <t>BODEN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44553-2024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45574</v>
      </c>
      <c r="E625" s="1" t="n">
        <v>46235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44567-2024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45574</v>
      </c>
      <c r="E626" s="1" t="n">
        <v>46235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64649-2023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46235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68611-2021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44529</v>
      </c>
      <c r="E628" s="1" t="n">
        <v>46235</v>
      </c>
      <c r="F628" t="inlineStr">
        <is>
          <t>NORRBOTTENS LÄN</t>
        </is>
      </c>
      <c r="G628" t="inlineStr">
        <is>
          <t>BODEN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46235</v>
      </c>
      <c r="F629" t="inlineStr">
        <is>
          <t>NORRBOTTENS LÄN</t>
        </is>
      </c>
      <c r="G629" t="inlineStr">
        <is>
          <t>BODEN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46235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26122-2026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46235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46235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46235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46235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46235</v>
      </c>
      <c r="F635" t="inlineStr">
        <is>
          <t>NORRBOTTENS LÄN</t>
        </is>
      </c>
      <c r="G635" t="inlineStr">
        <is>
          <t>BODEN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9596-2023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44983</v>
      </c>
      <c r="E636" s="1" t="n">
        <v>46235</v>
      </c>
      <c r="F636" t="inlineStr">
        <is>
          <t>NORRBOTTENS LÄN</t>
        </is>
      </c>
      <c r="G636" t="inlineStr">
        <is>
          <t>BODEN</t>
        </is>
      </c>
      <c r="I636" t="n">
        <v>37.1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54718-2024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45618</v>
      </c>
      <c r="E637" s="1" t="n">
        <v>46235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46235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45604</v>
      </c>
      <c r="E639" s="1" t="n">
        <v>46235</v>
      </c>
      <c r="F639" t="inlineStr">
        <is>
          <t>NORRBOTTENS LÄN</t>
        </is>
      </c>
      <c r="G639" t="inlineStr">
        <is>
          <t>BODEN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46235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46235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46235</v>
      </c>
      <c r="F642" t="inlineStr">
        <is>
          <t>NORRBOTTENS LÄN</t>
        </is>
      </c>
      <c r="G642" t="inlineStr">
        <is>
          <t>BODEN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46235</v>
      </c>
      <c r="F643" t="inlineStr">
        <is>
          <t>NORRBOTTENS LÄN</t>
        </is>
      </c>
      <c r="G643" t="inlineStr">
        <is>
          <t>BODEN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46235</v>
      </c>
      <c r="F644" t="inlineStr">
        <is>
          <t>NORRBOTTENS LÄN</t>
        </is>
      </c>
      <c r="G644" t="inlineStr">
        <is>
          <t>BODEN</t>
        </is>
      </c>
      <c r="I644" t="n">
        <v>18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46235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26386-2026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46235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46235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8.5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45772</v>
      </c>
      <c r="E648" s="1" t="n">
        <v>46235</v>
      </c>
      <c r="F648" t="inlineStr">
        <is>
          <t>NORRBOTTENS LÄN</t>
        </is>
      </c>
      <c r="G648" t="inlineStr">
        <is>
          <t>BODEN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60337-2024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45643</v>
      </c>
      <c r="E649" s="1" t="n">
        <v>46235</v>
      </c>
      <c r="F649" t="inlineStr">
        <is>
          <t>NORRBOTTENS LÄN</t>
        </is>
      </c>
      <c r="G649" t="inlineStr">
        <is>
          <t>BODEN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46235</v>
      </c>
      <c r="F650" t="inlineStr">
        <is>
          <t>NORRBOTTENS LÄN</t>
        </is>
      </c>
      <c r="G650" t="inlineStr">
        <is>
          <t>BODEN</t>
        </is>
      </c>
      <c r="H650" t="inlineStr">
        <is>
          <t>Naturvårdsverket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46235</v>
      </c>
      <c r="F651" t="inlineStr">
        <is>
          <t>NORRBOTTENS LÄN</t>
        </is>
      </c>
      <c r="G651" t="inlineStr">
        <is>
          <t>BODEN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46058</v>
      </c>
      <c r="E652" s="1" t="n">
        <v>46235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46235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17417-2023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46235</v>
      </c>
      <c r="F654" t="inlineStr">
        <is>
          <t>NORRBOTTENS LÄN</t>
        </is>
      </c>
      <c r="G654" t="inlineStr">
        <is>
          <t>BODEN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46235</v>
      </c>
      <c r="F655" t="inlineStr">
        <is>
          <t>NORRBOTTENS LÄN</t>
        </is>
      </c>
      <c r="G655" t="inlineStr">
        <is>
          <t>BODEN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67068-2021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44522</v>
      </c>
      <c r="E656" s="1" t="n">
        <v>46235</v>
      </c>
      <c r="F656" t="inlineStr">
        <is>
          <t>NORRBOTTENS LÄN</t>
        </is>
      </c>
      <c r="G656" t="inlineStr">
        <is>
          <t>BODEN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46235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45591</v>
      </c>
      <c r="E658" s="1" t="n">
        <v>46235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8120-2022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46235</v>
      </c>
      <c r="F659" t="inlineStr">
        <is>
          <t>NORRBOTTENS LÄN</t>
        </is>
      </c>
      <c r="G659" t="inlineStr">
        <is>
          <t>BODEN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46235</v>
      </c>
      <c r="F660" t="inlineStr">
        <is>
          <t>NORRBOTTENS LÄN</t>
        </is>
      </c>
      <c r="G660" t="inlineStr">
        <is>
          <t>BODEN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46235</v>
      </c>
      <c r="F661" t="inlineStr">
        <is>
          <t>NORRBOTTENS LÄN</t>
        </is>
      </c>
      <c r="G661" t="inlineStr">
        <is>
          <t>BODEN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46235</v>
      </c>
      <c r="F662" t="inlineStr">
        <is>
          <t>NORRBOTTENS LÄN</t>
        </is>
      </c>
      <c r="G662" t="inlineStr">
        <is>
          <t>BODEN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7923-2026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46235</v>
      </c>
      <c r="F663" t="inlineStr">
        <is>
          <t>NORRBOTTENS LÄN</t>
        </is>
      </c>
      <c r="G663" t="inlineStr">
        <is>
          <t>BODEN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46235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  <c r="Z664">
        <f>HYPERLINK("https://klasma.github.io/Logging_2582/knärot/A 26776-2026 karta knärot.png", "A 26776-2026")</f>
        <v/>
      </c>
      <c r="AA664">
        <f>HYPERLINK("https://klasma.github.io/Logging_2582/klagomål/A 26776-2026 FSC-klagomål.docx", "A 26776-2026")</f>
        <v/>
      </c>
      <c r="AB664">
        <f>HYPERLINK("https://klasma.github.io/Logging_2582/klagomålsmail/A 26776-2026 FSC-klagomål mail.docx", "A 26776-2026")</f>
        <v/>
      </c>
      <c r="AC664">
        <f>HYPERLINK("https://klasma.github.io/Logging_2582/tillsyn/A 26776-2026 tillsynsbegäran.docx", "A 26776-2026")</f>
        <v/>
      </c>
      <c r="AD664">
        <f>HYPERLINK("https://klasma.github.io/Logging_2582/tillsynsmail/A 26776-2026 tillsynsbegäran mail.docx", "A 26776-2026")</f>
        <v/>
      </c>
    </row>
    <row r="665" ht="15" customHeight="1">
      <c r="A665" t="inlineStr">
        <is>
          <t>A 8433-2026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46235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46235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38371-2023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46235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46235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45758</v>
      </c>
      <c r="E669" s="1" t="n">
        <v>46235</v>
      </c>
      <c r="F669" t="inlineStr">
        <is>
          <t>NORRBOTTENS LÄN</t>
        </is>
      </c>
      <c r="G669" t="inlineStr">
        <is>
          <t>BODEN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46235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45341</v>
      </c>
      <c r="E671" s="1" t="n">
        <v>46235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46235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42.2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34760-2022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44795</v>
      </c>
      <c r="E673" s="1" t="n">
        <v>46235</v>
      </c>
      <c r="F673" t="inlineStr">
        <is>
          <t>NORRBOTTENS LÄN</t>
        </is>
      </c>
      <c r="G673" t="inlineStr">
        <is>
          <t>BODEN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50327-2023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45216</v>
      </c>
      <c r="E674" s="1" t="n">
        <v>46235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45596</v>
      </c>
      <c r="E675" s="1" t="n">
        <v>46235</v>
      </c>
      <c r="F675" t="inlineStr">
        <is>
          <t>NORRBOTTENS LÄN</t>
        </is>
      </c>
      <c r="G675" t="inlineStr">
        <is>
          <t>BODEN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45600</v>
      </c>
      <c r="E676" s="1" t="n">
        <v>46235</v>
      </c>
      <c r="F676" t="inlineStr">
        <is>
          <t>NORRBOTTENS LÄN</t>
        </is>
      </c>
      <c r="G676" t="inlineStr">
        <is>
          <t>BODEN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50107-2024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46235</v>
      </c>
      <c r="F677" t="inlineStr">
        <is>
          <t>NORRBOTTENS LÄN</t>
        </is>
      </c>
      <c r="G677" t="inlineStr">
        <is>
          <t>BODEN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46235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45653</v>
      </c>
      <c r="E679" s="1" t="n">
        <v>46235</v>
      </c>
      <c r="F679" t="inlineStr">
        <is>
          <t>NORRBOTTENS LÄN</t>
        </is>
      </c>
      <c r="G679" t="inlineStr">
        <is>
          <t>BODEN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41212-2023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46235</v>
      </c>
      <c r="F680" t="inlineStr">
        <is>
          <t>NORRBOTTENS LÄN</t>
        </is>
      </c>
      <c r="G680" t="inlineStr">
        <is>
          <t>BODEN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42995-2022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44833</v>
      </c>
      <c r="E681" s="1" t="n">
        <v>46235</v>
      </c>
      <c r="F681" t="inlineStr">
        <is>
          <t>NORRBOTTENS LÄN</t>
        </is>
      </c>
      <c r="G681" t="inlineStr">
        <is>
          <t>BODEN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46235</v>
      </c>
      <c r="F682" t="inlineStr">
        <is>
          <t>NORRBOTTENS LÄN</t>
        </is>
      </c>
      <c r="G682" t="inlineStr">
        <is>
          <t>BODEN</t>
        </is>
      </c>
      <c r="I682" t="n">
        <v>22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46235</v>
      </c>
      <c r="F683" t="inlineStr">
        <is>
          <t>NORRBOTTENS LÄN</t>
        </is>
      </c>
      <c r="G683" t="inlineStr">
        <is>
          <t>BODEN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46076</v>
      </c>
      <c r="E684" s="1" t="n">
        <v>46235</v>
      </c>
      <c r="F684" t="inlineStr">
        <is>
          <t>NORRBOTTENS LÄN</t>
        </is>
      </c>
      <c r="G684" t="inlineStr">
        <is>
          <t>BODEN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46235</v>
      </c>
      <c r="F685" t="inlineStr">
        <is>
          <t>NORRBOTTENS LÄN</t>
        </is>
      </c>
      <c r="G685" t="inlineStr">
        <is>
          <t>BODEN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59893-2023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45254</v>
      </c>
      <c r="E686" s="1" t="n">
        <v>46235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46235</v>
      </c>
      <c r="F687" t="inlineStr">
        <is>
          <t>NORRBOTTENS LÄN</t>
        </is>
      </c>
      <c r="G687" t="inlineStr">
        <is>
          <t>BODEN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46234</v>
      </c>
      <c r="E688" s="1" t="n">
        <v>46235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46234</v>
      </c>
      <c r="E689" s="1" t="n">
        <v>46235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46235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46235</v>
      </c>
      <c r="F691" t="inlineStr">
        <is>
          <t>NORRBOTTENS LÄN</t>
        </is>
      </c>
      <c r="G691" t="inlineStr">
        <is>
          <t>BODEN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27749-2026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46235</v>
      </c>
      <c r="F692" t="inlineStr">
        <is>
          <t>NORRBOTTENS LÄN</t>
        </is>
      </c>
      <c r="G692" t="inlineStr">
        <is>
          <t>BODEN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44935</v>
      </c>
      <c r="E693" s="1" t="n">
        <v>46235</v>
      </c>
      <c r="F693" t="inlineStr">
        <is>
          <t>NORRBOTTENS LÄN</t>
        </is>
      </c>
      <c r="G693" t="inlineStr">
        <is>
          <t>BODEN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10694-2026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46235</v>
      </c>
      <c r="F694" t="inlineStr">
        <is>
          <t>NORRBOTTENS LÄN</t>
        </is>
      </c>
      <c r="G694" t="inlineStr">
        <is>
          <t>BODEN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2426-2024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45310</v>
      </c>
      <c r="E695" s="1" t="n">
        <v>46235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46235</v>
      </c>
      <c r="F696" t="inlineStr">
        <is>
          <t>NORRBOTTENS LÄN</t>
        </is>
      </c>
      <c r="G696" t="inlineStr">
        <is>
          <t>BODEN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46235</v>
      </c>
      <c r="F697" t="inlineStr">
        <is>
          <t>NORRBOTTENS LÄN</t>
        </is>
      </c>
      <c r="G697" t="inlineStr">
        <is>
          <t>BODEN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46235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46235</v>
      </c>
      <c r="F699" t="inlineStr">
        <is>
          <t>NORRBOTTENS LÄN</t>
        </is>
      </c>
      <c r="G699" t="inlineStr">
        <is>
          <t>BODEN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44628</v>
      </c>
      <c r="E700" s="1" t="n">
        <v>46235</v>
      </c>
      <c r="F700" t="inlineStr">
        <is>
          <t>NORRBOTTENS LÄN</t>
        </is>
      </c>
      <c r="G700" t="inlineStr">
        <is>
          <t>BODEN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46235</v>
      </c>
      <c r="F701" t="inlineStr">
        <is>
          <t>NORRBOTTENS LÄN</t>
        </is>
      </c>
      <c r="G701" t="inlineStr">
        <is>
          <t>BODEN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41957-2024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46235</v>
      </c>
      <c r="F702" t="inlineStr">
        <is>
          <t>NORRBOTTENS LÄN</t>
        </is>
      </c>
      <c r="G702" t="inlineStr">
        <is>
          <t>BODEN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32347-2024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45512</v>
      </c>
      <c r="E703" s="1" t="n">
        <v>46235</v>
      </c>
      <c r="F703" t="inlineStr">
        <is>
          <t>NORRBOTTENS LÄN</t>
        </is>
      </c>
      <c r="G703" t="inlineStr">
        <is>
          <t>BODEN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46235</v>
      </c>
      <c r="F704" t="inlineStr">
        <is>
          <t>NORRBOTTENS LÄN</t>
        </is>
      </c>
      <c r="G704" t="inlineStr">
        <is>
          <t>BODEN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12338-2026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46235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48950-2022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44859</v>
      </c>
      <c r="E706" s="1" t="n">
        <v>46235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49859-2023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45212</v>
      </c>
      <c r="E707" s="1" t="n">
        <v>46235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4630-2025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45687</v>
      </c>
      <c r="E708" s="1" t="n">
        <v>46235</v>
      </c>
      <c r="F708" t="inlineStr">
        <is>
          <t>NORRBOTTENS LÄN</t>
        </is>
      </c>
      <c r="G708" t="inlineStr">
        <is>
          <t>BODEN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46235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45560</v>
      </c>
      <c r="E710" s="1" t="n">
        <v>46235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19590-2025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46235</v>
      </c>
      <c r="F711" t="inlineStr">
        <is>
          <t>NORRBOTTENS LÄN</t>
        </is>
      </c>
      <c r="G711" t="inlineStr">
        <is>
          <t>BODEN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46235</v>
      </c>
      <c r="F712" t="inlineStr">
        <is>
          <t>NORRBOTTENS LÄN</t>
        </is>
      </c>
      <c r="G712" t="inlineStr">
        <is>
          <t>BODEN</t>
        </is>
      </c>
      <c r="H712" t="inlineStr">
        <is>
          <t>Övriga statliga verk och myndigheter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45653</v>
      </c>
      <c r="E713" s="1" t="n">
        <v>46235</v>
      </c>
      <c r="F713" t="inlineStr">
        <is>
          <t>NORRBOTTENS LÄN</t>
        </is>
      </c>
      <c r="G713" t="inlineStr">
        <is>
          <t>BODEN</t>
        </is>
      </c>
      <c r="I713" t="n">
        <v>9.699999999999999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45376-2025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45922</v>
      </c>
      <c r="E714" s="1" t="n">
        <v>46235</v>
      </c>
      <c r="F714" t="inlineStr">
        <is>
          <t>NORRBOTTENS LÄN</t>
        </is>
      </c>
      <c r="G714" t="inlineStr">
        <is>
          <t>BODEN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13717-2026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46235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14245-2026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46099</v>
      </c>
      <c r="E716" s="1" t="n">
        <v>46235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45761</v>
      </c>
      <c r="E717" s="1" t="n">
        <v>46235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statliga verk och myndigheter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45672</v>
      </c>
      <c r="E718" s="1" t="n">
        <v>46235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46235</v>
      </c>
      <c r="F719" t="inlineStr">
        <is>
          <t>NORRBOTTENS LÄN</t>
        </is>
      </c>
      <c r="G719" t="inlineStr">
        <is>
          <t>BODEN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45770</v>
      </c>
      <c r="E720" s="1" t="n">
        <v>46235</v>
      </c>
      <c r="F720" t="inlineStr">
        <is>
          <t>NORRBOTTENS LÄN</t>
        </is>
      </c>
      <c r="G720" t="inlineStr">
        <is>
          <t>BODEN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31456-2024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45505</v>
      </c>
      <c r="E721" s="1" t="n">
        <v>46235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45476</v>
      </c>
      <c r="E722" s="1" t="n">
        <v>46235</v>
      </c>
      <c r="F722" t="inlineStr">
        <is>
          <t>NORRBOTTENS LÄN</t>
        </is>
      </c>
      <c r="G722" t="inlineStr">
        <is>
          <t>BODEN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15342-2026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46105</v>
      </c>
      <c r="E723" s="1" t="n">
        <v>46235</v>
      </c>
      <c r="F723" t="inlineStr">
        <is>
          <t>NORRBOTTENS LÄN</t>
        </is>
      </c>
      <c r="G723" t="inlineStr">
        <is>
          <t>BODEN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46235</v>
      </c>
      <c r="F724" t="inlineStr">
        <is>
          <t>NORRBOTTENS LÄN</t>
        </is>
      </c>
      <c r="G724" t="inlineStr">
        <is>
          <t>BODEN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19048-2025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46235</v>
      </c>
      <c r="F725" t="inlineStr">
        <is>
          <t>NORRBOTTENS LÄN</t>
        </is>
      </c>
      <c r="G725" t="inlineStr">
        <is>
          <t>BODEN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19050-2025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45764</v>
      </c>
      <c r="E726" s="1" t="n">
        <v>46235</v>
      </c>
      <c r="F726" t="inlineStr">
        <is>
          <t>NORRBOTTENS LÄN</t>
        </is>
      </c>
      <c r="G726" t="inlineStr">
        <is>
          <t>BODEN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45460</v>
      </c>
      <c r="E727" s="1" t="n">
        <v>46235</v>
      </c>
      <c r="F727" t="inlineStr">
        <is>
          <t>NORRBOTTENS LÄN</t>
        </is>
      </c>
      <c r="G727" t="inlineStr">
        <is>
          <t>BODEN</t>
        </is>
      </c>
      <c r="H727" t="inlineStr">
        <is>
          <t>Övriga Aktiebolag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44421</v>
      </c>
      <c r="E728" s="1" t="n">
        <v>46235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54236-2022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44881</v>
      </c>
      <c r="E729" s="1" t="n">
        <v>46235</v>
      </c>
      <c r="F729" t="inlineStr">
        <is>
          <t>NORRBOTTENS LÄN</t>
        </is>
      </c>
      <c r="G729" t="inlineStr">
        <is>
          <t>BODEN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55317-2023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45237</v>
      </c>
      <c r="E730" s="1" t="n">
        <v>46235</v>
      </c>
      <c r="F730" t="inlineStr">
        <is>
          <t>NORRBOTTENS LÄN</t>
        </is>
      </c>
      <c r="G730" t="inlineStr">
        <is>
          <t>BODEN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45397</v>
      </c>
      <c r="E731" s="1" t="n">
        <v>46235</v>
      </c>
      <c r="F731" t="inlineStr">
        <is>
          <t>NORRBOTTENS LÄN</t>
        </is>
      </c>
      <c r="G731" t="inlineStr">
        <is>
          <t>BODEN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14802-2024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45397</v>
      </c>
      <c r="E732" s="1" t="n">
        <v>46235</v>
      </c>
      <c r="F732" t="inlineStr">
        <is>
          <t>NORRBOTTENS LÄN</t>
        </is>
      </c>
      <c r="G732" t="inlineStr">
        <is>
          <t>BODEN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49162-2023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45210</v>
      </c>
      <c r="E733" s="1" t="n">
        <v>46235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45391</v>
      </c>
      <c r="E734" s="1" t="n">
        <v>46235</v>
      </c>
      <c r="F734" t="inlineStr">
        <is>
          <t>NORRBOTTENS LÄN</t>
        </is>
      </c>
      <c r="G734" t="inlineStr">
        <is>
          <t>BODEN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46235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57575-2025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45980</v>
      </c>
      <c r="E736" s="1" t="n">
        <v>46235</v>
      </c>
      <c r="F736" t="inlineStr">
        <is>
          <t>NORRBOTTENS LÄN</t>
        </is>
      </c>
      <c r="G736" t="inlineStr">
        <is>
          <t>BODEN</t>
        </is>
      </c>
      <c r="I736" t="n">
        <v>19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45778</v>
      </c>
      <c r="E737" s="1" t="n">
        <v>46235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46235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46122</v>
      </c>
      <c r="E739" s="1" t="n">
        <v>46235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21349-2025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45782</v>
      </c>
      <c r="E740" s="1" t="n">
        <v>46235</v>
      </c>
      <c r="F740" t="inlineStr">
        <is>
          <t>NORRBOTTENS LÄN</t>
        </is>
      </c>
      <c r="G740" t="inlineStr">
        <is>
          <t>BODEN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46122</v>
      </c>
      <c r="E741" s="1" t="n">
        <v>46235</v>
      </c>
      <c r="F741" t="inlineStr">
        <is>
          <t>NORRBOTTENS LÄN</t>
        </is>
      </c>
      <c r="G741" t="inlineStr">
        <is>
          <t>BODEN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32754-2022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44783</v>
      </c>
      <c r="E742" s="1" t="n">
        <v>46235</v>
      </c>
      <c r="F742" t="inlineStr">
        <is>
          <t>NORRBOTTENS LÄN</t>
        </is>
      </c>
      <c r="G742" t="inlineStr">
        <is>
          <t>BODEN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47097-2023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45201</v>
      </c>
      <c r="E743" s="1" t="n">
        <v>46235</v>
      </c>
      <c r="F743" t="inlineStr">
        <is>
          <t>NORRBOTTENS LÄN</t>
        </is>
      </c>
      <c r="G743" t="inlineStr">
        <is>
          <t>BODEN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46126</v>
      </c>
      <c r="E744" s="1" t="n">
        <v>46235</v>
      </c>
      <c r="F744" t="inlineStr">
        <is>
          <t>NORRBOTTENS LÄN</t>
        </is>
      </c>
      <c r="G744" t="inlineStr">
        <is>
          <t>BODEN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18221-2026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46235</v>
      </c>
      <c r="F745" t="inlineStr">
        <is>
          <t>NORRBOTTENS LÄN</t>
        </is>
      </c>
      <c r="G745" t="inlineStr">
        <is>
          <t>BODEN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46127</v>
      </c>
      <c r="E746" s="1" t="n">
        <v>46235</v>
      </c>
      <c r="F746" t="inlineStr">
        <is>
          <t>NORRBOTTENS LÄN</t>
        </is>
      </c>
      <c r="G746" t="inlineStr">
        <is>
          <t>BODEN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46235</v>
      </c>
      <c r="F747" t="inlineStr">
        <is>
          <t>NORRBOTTENS LÄN</t>
        </is>
      </c>
      <c r="G747" t="inlineStr">
        <is>
          <t>BODEN</t>
        </is>
      </c>
      <c r="I747" t="n">
        <v>11.7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11865-2025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45728</v>
      </c>
      <c r="E748" s="1" t="n">
        <v>46235</v>
      </c>
      <c r="F748" t="inlineStr">
        <is>
          <t>NORRBOTTENS LÄN</t>
        </is>
      </c>
      <c r="G748" t="inlineStr">
        <is>
          <t>BODEN</t>
        </is>
      </c>
      <c r="H748" t="inlineStr">
        <is>
          <t>Övriga Aktiebolag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46235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19200-2026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46235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46235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57579-2023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45246</v>
      </c>
      <c r="E752" s="1" t="n">
        <v>46235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18428-2025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45762</v>
      </c>
      <c r="E753" s="1" t="n">
        <v>46235</v>
      </c>
      <c r="F753" t="inlineStr">
        <is>
          <t>NORRBOTTENS LÄN</t>
        </is>
      </c>
      <c r="G753" t="inlineStr">
        <is>
          <t>BODEN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46235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45718</v>
      </c>
      <c r="E755" s="1" t="n">
        <v>46235</v>
      </c>
      <c r="F755" t="inlineStr">
        <is>
          <t>NORRBOTTENS LÄN</t>
        </is>
      </c>
      <c r="G755" t="inlineStr">
        <is>
          <t>BODEN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57968-2023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45247</v>
      </c>
      <c r="E756" s="1" t="n">
        <v>46235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45314</v>
      </c>
      <c r="E757" s="1" t="n">
        <v>46235</v>
      </c>
      <c r="F757" t="inlineStr">
        <is>
          <t>NORRBOTTENS LÄN</t>
        </is>
      </c>
      <c r="G757" t="inlineStr">
        <is>
          <t>BODEN</t>
        </is>
      </c>
      <c r="I757" t="n">
        <v>17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59688-2023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45256</v>
      </c>
      <c r="E758" s="1" t="n">
        <v>46235</v>
      </c>
      <c r="F758" t="inlineStr">
        <is>
          <t>NORRBOTTENS LÄN</t>
        </is>
      </c>
      <c r="G758" t="inlineStr">
        <is>
          <t>BODEN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57604-2021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44484</v>
      </c>
      <c r="E759" s="1" t="n">
        <v>46235</v>
      </c>
      <c r="F759" t="inlineStr">
        <is>
          <t>NORRBOTTENS LÄN</t>
        </is>
      </c>
      <c r="G759" t="inlineStr">
        <is>
          <t>BODEN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45680</v>
      </c>
      <c r="E760" s="1" t="n">
        <v>46235</v>
      </c>
      <c r="F760" t="inlineStr">
        <is>
          <t>NORRBOTTENS LÄN</t>
        </is>
      </c>
      <c r="G760" t="inlineStr">
        <is>
          <t>BODEN</t>
        </is>
      </c>
      <c r="H760" t="inlineStr">
        <is>
          <t>Naturvårdsverket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59890-2023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45254</v>
      </c>
      <c r="E761" s="1" t="n">
        <v>46235</v>
      </c>
      <c r="F761" t="inlineStr">
        <is>
          <t>NORRBOTTENS LÄN</t>
        </is>
      </c>
      <c r="G761" t="inlineStr">
        <is>
          <t>BODEN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59983-2023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45257</v>
      </c>
      <c r="E762" s="1" t="n">
        <v>46235</v>
      </c>
      <c r="F762" t="inlineStr">
        <is>
          <t>NORRBOTTENS LÄN</t>
        </is>
      </c>
      <c r="G762" t="inlineStr">
        <is>
          <t>BODEN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44648</v>
      </c>
      <c r="E763" s="1" t="n">
        <v>46235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46235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62589-2025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46007</v>
      </c>
      <c r="E765" s="1" t="n">
        <v>46235</v>
      </c>
      <c r="F765" t="inlineStr">
        <is>
          <t>NORRBOTTENS LÄN</t>
        </is>
      </c>
      <c r="G765" t="inlineStr">
        <is>
          <t>BODEN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22372-2025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45786</v>
      </c>
      <c r="E766" s="1" t="n">
        <v>46235</v>
      </c>
      <c r="F766" t="inlineStr">
        <is>
          <t>NORRBOTTENS LÄN</t>
        </is>
      </c>
      <c r="G766" t="inlineStr">
        <is>
          <t>BODEN</t>
        </is>
      </c>
      <c r="H766" t="inlineStr">
        <is>
          <t>Kommuner</t>
        </is>
      </c>
      <c r="I766" t="n">
        <v>16.3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45356</v>
      </c>
      <c r="E767" s="1" t="n">
        <v>46235</v>
      </c>
      <c r="F767" t="inlineStr">
        <is>
          <t>NORRBOTTENS LÄN</t>
        </is>
      </c>
      <c r="G767" t="inlineStr">
        <is>
          <t>BODEN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36115-2023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46235</v>
      </c>
      <c r="F768" t="inlineStr">
        <is>
          <t>NORRBOTTENS LÄN</t>
        </is>
      </c>
      <c r="G768" t="inlineStr">
        <is>
          <t>BODEN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54935-2021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44474</v>
      </c>
      <c r="E769" s="1" t="n">
        <v>46235</v>
      </c>
      <c r="F769" t="inlineStr">
        <is>
          <t>NORRBOTTENS LÄN</t>
        </is>
      </c>
      <c r="G769" t="inlineStr">
        <is>
          <t>BODEN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46235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61241-2023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45260</v>
      </c>
      <c r="E771" s="1" t="n">
        <v>46235</v>
      </c>
      <c r="F771" t="inlineStr">
        <is>
          <t>NORRBOTTENS LÄN</t>
        </is>
      </c>
      <c r="G771" t="inlineStr">
        <is>
          <t>BODEN</t>
        </is>
      </c>
      <c r="I771" t="n">
        <v>33.9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15881-2023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46235</v>
      </c>
      <c r="F772" t="inlineStr">
        <is>
          <t>NORRBOTTENS LÄN</t>
        </is>
      </c>
      <c r="G772" t="inlineStr">
        <is>
          <t>BODEN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57600-2021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46235</v>
      </c>
      <c r="F773" t="inlineStr">
        <is>
          <t>NORRBOTTENS LÄN</t>
        </is>
      </c>
      <c r="G773" t="inlineStr">
        <is>
          <t>BODEN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44573</v>
      </c>
      <c r="E774" s="1" t="n">
        <v>46235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statliga verk och myndigheter</t>
        </is>
      </c>
      <c r="I774" t="n">
        <v>9.9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7442-2024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45345</v>
      </c>
      <c r="E775" s="1" t="n">
        <v>46235</v>
      </c>
      <c r="F775" t="inlineStr">
        <is>
          <t>NORRBOTTENS LÄN</t>
        </is>
      </c>
      <c r="G775" t="inlineStr">
        <is>
          <t>BODEN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29377-2024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45483</v>
      </c>
      <c r="E776" s="1" t="n">
        <v>46235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10240-2026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46235</v>
      </c>
      <c r="F777" t="inlineStr">
        <is>
          <t>NORRBOTTENS LÄN</t>
        </is>
      </c>
      <c r="G777" t="inlineStr">
        <is>
          <t>BODEN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45285</v>
      </c>
      <c r="E778" s="1" t="n">
        <v>46235</v>
      </c>
      <c r="F778" t="inlineStr">
        <is>
          <t>NORRBOTTENS LÄN</t>
        </is>
      </c>
      <c r="G778" t="inlineStr">
        <is>
          <t>BODEN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45529</v>
      </c>
      <c r="E779" s="1" t="n">
        <v>46235</v>
      </c>
      <c r="F779" t="inlineStr">
        <is>
          <t>NORRBOTTENS LÄN</t>
        </is>
      </c>
      <c r="G779" t="inlineStr">
        <is>
          <t>BODEN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25627-2022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44732</v>
      </c>
      <c r="E780" s="1" t="n">
        <v>46235</v>
      </c>
      <c r="F780" t="inlineStr">
        <is>
          <t>NORRBOTTENS LÄN</t>
        </is>
      </c>
      <c r="G780" t="inlineStr">
        <is>
          <t>BODEN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45323</v>
      </c>
      <c r="E781" s="1" t="n">
        <v>46235</v>
      </c>
      <c r="F781" t="inlineStr">
        <is>
          <t>NORRBOTTENS LÄN</t>
        </is>
      </c>
      <c r="G781" t="inlineStr">
        <is>
          <t>BODEN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45379</v>
      </c>
      <c r="E782" s="1" t="n">
        <v>46235</v>
      </c>
      <c r="F782" t="inlineStr">
        <is>
          <t>NORRBOTTENS LÄN</t>
        </is>
      </c>
      <c r="G782" t="inlineStr">
        <is>
          <t>BODEN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45791</v>
      </c>
      <c r="E783" s="1" t="n">
        <v>46235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10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7159-2023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46235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45210</v>
      </c>
      <c r="E785" s="1" t="n">
        <v>46235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45692</v>
      </c>
      <c r="E786" s="1" t="n">
        <v>46235</v>
      </c>
      <c r="F786" t="inlineStr">
        <is>
          <t>NORRBOTTENS LÄN</t>
        </is>
      </c>
      <c r="G786" t="inlineStr">
        <is>
          <t>BODEN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31754-2024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45509</v>
      </c>
      <c r="E787" s="1" t="n">
        <v>46235</v>
      </c>
      <c r="F787" t="inlineStr">
        <is>
          <t>NORRBOTTENS LÄN</t>
        </is>
      </c>
      <c r="G787" t="inlineStr">
        <is>
          <t>BODEN</t>
        </is>
      </c>
      <c r="I787" t="n">
        <v>11.1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46235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48420-2024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45590</v>
      </c>
      <c r="E789" s="1" t="n">
        <v>46235</v>
      </c>
      <c r="F789" t="inlineStr">
        <is>
          <t>NORRBOTTENS LÄN</t>
        </is>
      </c>
      <c r="G789" t="inlineStr">
        <is>
          <t>BODEN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48427-2024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45590</v>
      </c>
      <c r="E790" s="1" t="n">
        <v>46235</v>
      </c>
      <c r="F790" t="inlineStr">
        <is>
          <t>NORRBOTTENS LÄN</t>
        </is>
      </c>
      <c r="G790" t="inlineStr">
        <is>
          <t>BODEN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45793</v>
      </c>
      <c r="E791" s="1" t="n">
        <v>46235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46235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36438-2024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45537</v>
      </c>
      <c r="E793" s="1" t="n">
        <v>46235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24699-2025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45798</v>
      </c>
      <c r="E794" s="1" t="n">
        <v>46235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46235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46235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45797</v>
      </c>
      <c r="E797" s="1" t="n">
        <v>46235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45798</v>
      </c>
      <c r="E798" s="1" t="n">
        <v>46235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49806-2022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44862</v>
      </c>
      <c r="E799" s="1" t="n">
        <v>46235</v>
      </c>
      <c r="F799" t="inlineStr">
        <is>
          <t>NORRBOTTENS LÄN</t>
        </is>
      </c>
      <c r="G799" t="inlineStr">
        <is>
          <t>BODEN</t>
        </is>
      </c>
      <c r="I799" t="n">
        <v>7.9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37114-2024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45539</v>
      </c>
      <c r="E800" s="1" t="n">
        <v>46235</v>
      </c>
      <c r="F800" t="inlineStr">
        <is>
          <t>NORRBOTTENS LÄN</t>
        </is>
      </c>
      <c r="G800" t="inlineStr">
        <is>
          <t>BODEN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24733-2025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45799</v>
      </c>
      <c r="E801" s="1" t="n">
        <v>46235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25983-2025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45803</v>
      </c>
      <c r="E802" s="1" t="n">
        <v>46235</v>
      </c>
      <c r="F802" t="inlineStr">
        <is>
          <t>NORRBOTTENS LÄN</t>
        </is>
      </c>
      <c r="G802" t="inlineStr">
        <is>
          <t>BODEN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48431-2024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46235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52247-2024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46235</v>
      </c>
      <c r="F804" t="inlineStr">
        <is>
          <t>NORRBOTTENS LÄN</t>
        </is>
      </c>
      <c r="G804" t="inlineStr">
        <is>
          <t>BODEN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52248-2024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45608</v>
      </c>
      <c r="E805" s="1" t="n">
        <v>46235</v>
      </c>
      <c r="F805" t="inlineStr">
        <is>
          <t>NORRBOTTENS LÄN</t>
        </is>
      </c>
      <c r="G805" t="inlineStr">
        <is>
          <t>BODEN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45763</v>
      </c>
      <c r="E806" s="1" t="n">
        <v>46235</v>
      </c>
      <c r="F806" t="inlineStr">
        <is>
          <t>NORRBOTTENS LÄN</t>
        </is>
      </c>
      <c r="G806" t="inlineStr">
        <is>
          <t>BODEN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38652-2024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45546</v>
      </c>
      <c r="E807" s="1" t="n">
        <v>46235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45464</v>
      </c>
      <c r="E808" s="1" t="n">
        <v>46235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56474-2023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45243</v>
      </c>
      <c r="E809" s="1" t="n">
        <v>46235</v>
      </c>
      <c r="F809" t="inlineStr">
        <is>
          <t>NORRBOTTENS LÄN</t>
        </is>
      </c>
      <c r="G809" t="inlineStr">
        <is>
          <t>BODEN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61031-2024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45645</v>
      </c>
      <c r="E810" s="1" t="n">
        <v>46235</v>
      </c>
      <c r="F810" t="inlineStr">
        <is>
          <t>NORRBOTTENS LÄN</t>
        </is>
      </c>
      <c r="G810" t="inlineStr">
        <is>
          <t>BODEN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19564-2024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45429</v>
      </c>
      <c r="E811" s="1" t="n">
        <v>46235</v>
      </c>
      <c r="F811" t="inlineStr">
        <is>
          <t>NORRBOTTENS LÄN</t>
        </is>
      </c>
      <c r="G811" t="inlineStr">
        <is>
          <t>BODEN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46235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27508-2025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45813</v>
      </c>
      <c r="E813" s="1" t="n">
        <v>46235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27604-2025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45813</v>
      </c>
      <c r="E814" s="1" t="n">
        <v>46235</v>
      </c>
      <c r="F814" t="inlineStr">
        <is>
          <t>NORRBOTTENS LÄN</t>
        </is>
      </c>
      <c r="G814" t="inlineStr">
        <is>
          <t>BODEN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45766</v>
      </c>
      <c r="E815" s="1" t="n">
        <v>46235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46235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28297-2025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46235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3090-2024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45316</v>
      </c>
      <c r="E818" s="1" t="n">
        <v>46235</v>
      </c>
      <c r="F818" t="inlineStr">
        <is>
          <t>NORRBOTTENS LÄN</t>
        </is>
      </c>
      <c r="G818" t="inlineStr">
        <is>
          <t>BODEN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19060-2024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45427</v>
      </c>
      <c r="E819" s="1" t="n">
        <v>46235</v>
      </c>
      <c r="F819" t="inlineStr">
        <is>
          <t>NORRBOTTENS LÄN</t>
        </is>
      </c>
      <c r="G819" t="inlineStr">
        <is>
          <t>BODEN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44625-2024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46235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29109-2024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46235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28270-2025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45818</v>
      </c>
      <c r="E822" s="1" t="n">
        <v>46235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30089-2025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45826</v>
      </c>
      <c r="E823" s="1" t="n">
        <v>46235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31203-2025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46235</v>
      </c>
      <c r="F824" t="inlineStr">
        <is>
          <t>NORRBOTTENS LÄN</t>
        </is>
      </c>
      <c r="G824" t="inlineStr">
        <is>
          <t>BODEN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46235</v>
      </c>
      <c r="F825" t="inlineStr">
        <is>
          <t>NORRBOTTENS LÄN</t>
        </is>
      </c>
      <c r="G825" t="inlineStr">
        <is>
          <t>BODEN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31487-2025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45833</v>
      </c>
      <c r="E826" s="1" t="n">
        <v>46235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9.800000000000001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31531-2025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46235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Aktiebolag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45803</v>
      </c>
      <c r="E828" s="1" t="n">
        <v>46235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32052-2025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45835</v>
      </c>
      <c r="E829" s="1" t="n">
        <v>46235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33276-2025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46235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15486-2025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45747</v>
      </c>
      <c r="E831" s="1" t="n">
        <v>46235</v>
      </c>
      <c r="F831" t="inlineStr">
        <is>
          <t>NORRBOTTENS LÄN</t>
        </is>
      </c>
      <c r="G831" t="inlineStr">
        <is>
          <t>BODEN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33130-2025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45840</v>
      </c>
      <c r="E832" s="1" t="n">
        <v>46235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33981-2025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45843</v>
      </c>
      <c r="E833" s="1" t="n">
        <v>46235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51280-2024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45603</v>
      </c>
      <c r="E834" s="1" t="n">
        <v>46235</v>
      </c>
      <c r="F834" t="inlineStr">
        <is>
          <t>NORRBOTTENS LÄN</t>
        </is>
      </c>
      <c r="G834" t="inlineStr">
        <is>
          <t>BODEN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35561-2025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45856</v>
      </c>
      <c r="E835" s="1" t="n">
        <v>46235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10.8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2601-2025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45674</v>
      </c>
      <c r="E836" s="1" t="n">
        <v>46235</v>
      </c>
      <c r="F836" t="inlineStr">
        <is>
          <t>NORRBOTTENS LÄN</t>
        </is>
      </c>
      <c r="G836" t="inlineStr">
        <is>
          <t>BODEN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49728-2024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45596</v>
      </c>
      <c r="E837" s="1" t="n">
        <v>46235</v>
      </c>
      <c r="F837" t="inlineStr">
        <is>
          <t>NORRBOTTENS LÄN</t>
        </is>
      </c>
      <c r="G837" t="inlineStr">
        <is>
          <t>BODEN</t>
        </is>
      </c>
      <c r="I837" t="n">
        <v>22.7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24058-2025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45796</v>
      </c>
      <c r="E838" s="1" t="n">
        <v>46235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36019-2025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45863</v>
      </c>
      <c r="E839" s="1" t="n">
        <v>46235</v>
      </c>
      <c r="F839" t="inlineStr">
        <is>
          <t>NORRBOTTENS LÄN</t>
        </is>
      </c>
      <c r="G839" t="inlineStr">
        <is>
          <t>BODEN</t>
        </is>
      </c>
      <c r="I839" t="n">
        <v>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32582-2025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45838</v>
      </c>
      <c r="E840" s="1" t="n">
        <v>46235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24193-2024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45456</v>
      </c>
      <c r="E841" s="1" t="n">
        <v>46235</v>
      </c>
      <c r="F841" t="inlineStr">
        <is>
          <t>NORRBOTTENS LÄN</t>
        </is>
      </c>
      <c r="G841" t="inlineStr">
        <is>
          <t>BODEN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10730-2024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45369</v>
      </c>
      <c r="E842" s="1" t="n">
        <v>46235</v>
      </c>
      <c r="F842" t="inlineStr">
        <is>
          <t>NORRBOTTENS LÄN</t>
        </is>
      </c>
      <c r="G842" t="inlineStr">
        <is>
          <t>BODEN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36926-2025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45874</v>
      </c>
      <c r="E843" s="1" t="n">
        <v>46235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8.4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45868</v>
      </c>
      <c r="E844" s="1" t="n">
        <v>46235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37404-2025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45877</v>
      </c>
      <c r="E845" s="1" t="n">
        <v>46235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37653-2025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45880</v>
      </c>
      <c r="E846" s="1" t="n">
        <v>46235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37854-2025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46235</v>
      </c>
      <c r="F847" t="inlineStr">
        <is>
          <t>NORRBOTTENS LÄN</t>
        </is>
      </c>
      <c r="G847" t="inlineStr">
        <is>
          <t>BODEN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45882</v>
      </c>
      <c r="E848" s="1" t="n">
        <v>46235</v>
      </c>
      <c r="F848" t="inlineStr">
        <is>
          <t>NORRBOTTENS LÄN</t>
        </is>
      </c>
      <c r="G848" t="inlineStr">
        <is>
          <t>BODEN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38288-2025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46235</v>
      </c>
      <c r="F849" t="inlineStr">
        <is>
          <t>NORRBOTTENS LÄN</t>
        </is>
      </c>
      <c r="G849" t="inlineStr">
        <is>
          <t>BODEN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46235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46235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46235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46235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46235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46235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46235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46235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46235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46235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46235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46235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46235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46235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46235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46235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46235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46235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46235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46235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46235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46235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2026-08-01T01:50:46Z</dcterms:created>
  <dcterms:modified xmlns:dcterms="http://purl.org/dc/terms/" xmlns:xsi="http://www.w3.org/2001/XMLSchema-instance" xsi:type="dcterms:W3CDTF">2026-08-01T01:50:47Z</dcterms:modified>
</cp:coreProperties>
</file>