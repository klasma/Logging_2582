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46253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46253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46253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46253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46253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46253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46253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46253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46253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46253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28183-2026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8.199999999999999</v>
      </c>
      <c r="J24" t="n">
        <v>2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18</v>
      </c>
      <c r="U24" t="n">
        <v>18</v>
      </c>
      <c r="V24" s="2" t="inlineStr">
        <is>
          <t>Knärot
Blå taggsvamp
Lunglav
Orange taggsvamp
Grönpyrola
Fläcknycklar</t>
        </is>
      </c>
      <c r="W24">
        <f>HYPERLINK("https://klasma.github.io/Logging_2582/artfynd/A 28183-2026 artfynd.xlsx", "A 28183-2026")</f>
        <v/>
      </c>
      <c r="X24">
        <f>HYPERLINK("https://klasma.github.io/Logging_2582/kartor/A 28183-2026 karta.png", "A 28183-2026")</f>
        <v/>
      </c>
      <c r="Y24">
        <f>HYPERLINK("https://klasma.github.io/Logging_2582/kartor_geotiff/A 28183-2026 georefererad karta.tif", "A 28183-2026")</f>
        <v/>
      </c>
      <c r="Z24">
        <f>HYPERLINK("https://klasma.github.io/Logging_2582/knärot/A 28183-2026 karta knärot.png", "A 28183-2026")</f>
        <v/>
      </c>
      <c r="AA24">
        <f>HYPERLINK("https://klasma.github.io/Logging_2582/klagomål/A 28183-2026 FSC-klagomål.docx", "A 28183-2026")</f>
        <v/>
      </c>
      <c r="AB24">
        <f>HYPERLINK("https://klasma.github.io/Logging_2582/klagomålsmail/A 28183-2026 FSC-klagomål mail.docx", "A 28183-2026")</f>
        <v/>
      </c>
      <c r="AC24">
        <f>HYPERLINK("https://klasma.github.io/Logging_2582/tillsyn/A 28183-2026 tillsynsbegäran.docx", "A 28183-2026")</f>
        <v/>
      </c>
      <c r="AD24">
        <f>HYPERLINK("https://klasma.github.io/Logging_2582/tillsynsmail/A 28183-2026 tillsynsbegäran mail.docx", "A 28183-2026")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46253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46253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46253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46253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46253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46253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32309-2025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46253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13.6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6</v>
      </c>
      <c r="U34" t="n">
        <v>4</v>
      </c>
      <c r="V34" s="2" t="inlineStr">
        <is>
          <t>Doftticka
Garnlav
Lunglav
Bårdlav
Stuplav</t>
        </is>
      </c>
      <c r="W34">
        <f>HYPERLINK("https://klasma.github.io/Logging_2582/artfynd/A 32309-2025 artfynd.xlsx", "A 32309-2025")</f>
        <v/>
      </c>
      <c r="X34">
        <f>HYPERLINK("https://klasma.github.io/Logging_2582/kartor/A 32309-2025 karta.png", "A 32309-2025")</f>
        <v/>
      </c>
      <c r="Y34">
        <f>HYPERLINK("https://klasma.github.io/Logging_2582/kartor_geotiff/A 32309-2025 georefererad karta.tif", "A 32309-2025")</f>
        <v/>
      </c>
      <c r="AA34">
        <f>HYPERLINK("https://klasma.github.io/Logging_2582/klagomål/A 32309-2025 FSC-klagomål.docx", "A 32309-2025")</f>
        <v/>
      </c>
      <c r="AB34">
        <f>HYPERLINK("https://klasma.github.io/Logging_2582/klagomålsmail/A 32309-2025 FSC-klagomål mail.docx", "A 32309-2025")</f>
        <v/>
      </c>
      <c r="AC34">
        <f>HYPERLINK("https://klasma.github.io/Logging_2582/tillsyn/A 32309-2025 tillsynsbegäran.docx", "A 32309-2025")</f>
        <v/>
      </c>
      <c r="AD34">
        <f>HYPERLINK("https://klasma.github.io/Logging_2582/tillsynsmail/A 32309-2025 tillsynsbegäran mail.docx", "A 32309-2025")</f>
        <v/>
      </c>
    </row>
    <row r="35" ht="15" customHeight="1">
      <c r="A35" t="inlineStr">
        <is>
          <t>A 43709-2025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46253</v>
      </c>
      <c r="F35" t="inlineStr">
        <is>
          <t>NORRBOTTENS LÄN</t>
        </is>
      </c>
      <c r="G35" t="inlineStr">
        <is>
          <t>BODEN</t>
        </is>
      </c>
      <c r="I35" t="n">
        <v>7.7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Vitryggig hackspett
Talltita
Tretåig hackspett
Björksplintborre
Spillkråka</t>
        </is>
      </c>
      <c r="W35">
        <f>HYPERLINK("https://klasma.github.io/Logging_2582/artfynd/A 43709-2025 artfynd.xlsx", "A 43709-2025")</f>
        <v/>
      </c>
      <c r="X35">
        <f>HYPERLINK("https://klasma.github.io/Logging_2582/kartor/A 43709-2025 karta.png", "A 43709-2025")</f>
        <v/>
      </c>
      <c r="Y35">
        <f>HYPERLINK("https://klasma.github.io/Logging_2582/kartor_geotiff/A 43709-2025 georefererad karta.tif", "A 43709-2025")</f>
        <v/>
      </c>
      <c r="AA35">
        <f>HYPERLINK("https://klasma.github.io/Logging_2582/klagomål/A 43709-2025 FSC-klagomål.docx", "A 43709-2025")</f>
        <v/>
      </c>
      <c r="AB35">
        <f>HYPERLINK("https://klasma.github.io/Logging_2582/klagomålsmail/A 43709-2025 FSC-klagomål mail.docx", "A 43709-2025")</f>
        <v/>
      </c>
      <c r="AC35">
        <f>HYPERLINK("https://klasma.github.io/Logging_2582/tillsyn/A 43709-2025 tillsynsbegäran.docx", "A 43709-2025")</f>
        <v/>
      </c>
      <c r="AD35">
        <f>HYPERLINK("https://klasma.github.io/Logging_2582/tillsynsmail/A 43709-2025 tillsynsbegäran mail.docx", "A 43709-2025")</f>
        <v/>
      </c>
      <c r="AE35">
        <f>HYPERLINK("https://klasma.github.io/Logging_2582/fåglar/A 43709-2025 prioriterade fågelarter.docx", "A 43709-2025")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46253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39868-2025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45893</v>
      </c>
      <c r="E37" s="1" t="n">
        <v>46253</v>
      </c>
      <c r="F37" t="inlineStr">
        <is>
          <t>NORRBOTTENS LÄN</t>
        </is>
      </c>
      <c r="G37" t="inlineStr">
        <is>
          <t>BODEN</t>
        </is>
      </c>
      <c r="H37" t="inlineStr">
        <is>
          <t>Övriga statliga verk och myndigheter</t>
        </is>
      </c>
      <c r="I37" t="n">
        <v>3.1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Nötkråka
Talltita
Gråspett
Järpe
Spillkråka</t>
        </is>
      </c>
      <c r="W37">
        <f>HYPERLINK("https://klasma.github.io/Logging_2582/artfynd/A 39868-2025 artfynd.xlsx", "A 39868-2025")</f>
        <v/>
      </c>
      <c r="X37">
        <f>HYPERLINK("https://klasma.github.io/Logging_2582/kartor/A 39868-2025 karta.png", "A 39868-2025")</f>
        <v/>
      </c>
      <c r="Y37">
        <f>HYPERLINK("https://klasma.github.io/Logging_2582/kartor_geotiff/A 39868-2025 georefererad karta.tif", "A 39868-2025")</f>
        <v/>
      </c>
      <c r="AA37">
        <f>HYPERLINK("https://klasma.github.io/Logging_2582/klagomål/A 39868-2025 FSC-klagomål.docx", "A 39868-2025")</f>
        <v/>
      </c>
      <c r="AB37">
        <f>HYPERLINK("https://klasma.github.io/Logging_2582/klagomålsmail/A 39868-2025 FSC-klagomål mail.docx", "A 39868-2025")</f>
        <v/>
      </c>
      <c r="AC37">
        <f>HYPERLINK("https://klasma.github.io/Logging_2582/tillsyn/A 39868-2025 tillsynsbegäran.docx", "A 39868-2025")</f>
        <v/>
      </c>
      <c r="AD37">
        <f>HYPERLINK("https://klasma.github.io/Logging_2582/tillsynsmail/A 39868-2025 tillsynsbegäran mail.docx", "A 39868-2025")</f>
        <v/>
      </c>
      <c r="AE37">
        <f>HYPERLINK("https://klasma.github.io/Logging_2582/fåglar/A 39868-2025 prioriterade fågelarter.docx", "A 39868-2025")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46253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30513-2026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46253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10.2</v>
      </c>
      <c r="J39" t="n">
        <v>1</v>
      </c>
      <c r="K39" t="n">
        <v>1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14</v>
      </c>
      <c r="U39" t="n">
        <v>5</v>
      </c>
      <c r="V39" s="2" t="inlineStr">
        <is>
          <t>Gräddporing
Knärot
Nordtagging
Tallticka
Grönpyrola</t>
        </is>
      </c>
      <c r="W39">
        <f>HYPERLINK("https://klasma.github.io/Logging_2582/artfynd/A 30513-2026 artfynd.xlsx", "A 30513-2026")</f>
        <v/>
      </c>
      <c r="X39">
        <f>HYPERLINK("https://klasma.github.io/Logging_2582/kartor/A 30513-2026 karta.png", "A 30513-2026")</f>
        <v/>
      </c>
      <c r="Y39">
        <f>HYPERLINK("https://klasma.github.io/Logging_2582/kartor_geotiff/A 30513-2026 georefererad karta.tif", "A 30513-2026")</f>
        <v/>
      </c>
      <c r="Z39">
        <f>HYPERLINK("https://klasma.github.io/Logging_2582/knärot/A 30513-2026 karta knärot.png", "A 30513-2026")</f>
        <v/>
      </c>
      <c r="AA39">
        <f>HYPERLINK("https://klasma.github.io/Logging_2582/klagomål/A 30513-2026 FSC-klagomål.docx", "A 30513-2026")</f>
        <v/>
      </c>
      <c r="AB39">
        <f>HYPERLINK("https://klasma.github.io/Logging_2582/klagomålsmail/A 30513-2026 FSC-klagomål mail.docx", "A 30513-2026")</f>
        <v/>
      </c>
      <c r="AC39">
        <f>HYPERLINK("https://klasma.github.io/Logging_2582/tillsyn/A 30513-2026 tillsynsbegäran.docx", "A 30513-2026")</f>
        <v/>
      </c>
      <c r="AD39">
        <f>HYPERLINK("https://klasma.github.io/Logging_2582/tillsynsmail/A 30513-2026 tillsynsbegäran mail.docx", "A 30513-2026")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46253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46253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46253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46253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46253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46253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46253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10087-2026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46253</v>
      </c>
      <c r="F50" t="inlineStr">
        <is>
          <t>NORRBOTTENS LÄN</t>
        </is>
      </c>
      <c r="G50" t="inlineStr">
        <is>
          <t>BODEN</t>
        </is>
      </c>
      <c r="I50" t="n">
        <v>5.9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Korthornad vedstekel
Skogsödla
Vanlig padda</t>
        </is>
      </c>
      <c r="W50">
        <f>HYPERLINK("https://klasma.github.io/Logging_2582/artfynd/A 10087-2026 artfynd.xlsx", "A 10087-2026")</f>
        <v/>
      </c>
      <c r="X50">
        <f>HYPERLINK("https://klasma.github.io/Logging_2582/kartor/A 10087-2026 karta.png", "A 10087-2026")</f>
        <v/>
      </c>
      <c r="Y50">
        <f>HYPERLINK("https://klasma.github.io/Logging_2582/kartor_geotiff/A 10087-2026 georefererad karta.tif", "A 10087-2026")</f>
        <v/>
      </c>
      <c r="AA50">
        <f>HYPERLINK("https://klasma.github.io/Logging_2582/klagomål/A 10087-2026 FSC-klagomål.docx", "A 10087-2026")</f>
        <v/>
      </c>
      <c r="AB50">
        <f>HYPERLINK("https://klasma.github.io/Logging_2582/klagomålsmail/A 10087-2026 FSC-klagomål mail.docx", "A 10087-2026")</f>
        <v/>
      </c>
      <c r="AC50">
        <f>HYPERLINK("https://klasma.github.io/Logging_2582/tillsyn/A 10087-2026 tillsynsbegäran.docx", "A 10087-2026")</f>
        <v/>
      </c>
      <c r="AD50">
        <f>HYPERLINK("https://klasma.github.io/Logging_2582/tillsynsmail/A 10087-2026 tillsynsbegäran mail.docx", "A 10087-2026")</f>
        <v/>
      </c>
    </row>
    <row r="51" ht="15" customHeight="1">
      <c r="A51" t="inlineStr">
        <is>
          <t>A 43719-2025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46253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1.1</v>
      </c>
      <c r="J51" t="n">
        <v>0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Liten hornflikmossa
Vedtrappmossa
Stuplav</t>
        </is>
      </c>
      <c r="W51">
        <f>HYPERLINK("https://klasma.github.io/Logging_2582/artfynd/A 43719-2025 artfynd.xlsx", "A 43719-2025")</f>
        <v/>
      </c>
      <c r="X51">
        <f>HYPERLINK("https://klasma.github.io/Logging_2582/kartor/A 43719-2025 karta.png", "A 43719-2025")</f>
        <v/>
      </c>
      <c r="Y51">
        <f>HYPERLINK("https://klasma.github.io/Logging_2582/kartor_geotiff/A 43719-2025 georefererad karta.tif", "A 43719-2025")</f>
        <v/>
      </c>
      <c r="AA51">
        <f>HYPERLINK("https://klasma.github.io/Logging_2582/klagomål/A 43719-2025 FSC-klagomål.docx", "A 43719-2025")</f>
        <v/>
      </c>
      <c r="AB51">
        <f>HYPERLINK("https://klasma.github.io/Logging_2582/klagomålsmail/A 43719-2025 FSC-klagomål mail.docx", "A 43719-2025")</f>
        <v/>
      </c>
      <c r="AC51">
        <f>HYPERLINK("https://klasma.github.io/Logging_2582/tillsyn/A 43719-2025 tillsynsbegäran.docx", "A 43719-2025")</f>
        <v/>
      </c>
      <c r="AD51">
        <f>HYPERLINK("https://klasma.github.io/Logging_2582/tillsynsmail/A 43719-2025 tillsynsbegäran mail.docx", "A 43719-2025")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46253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46253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46253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46253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46253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46253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46253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46253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46253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46253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46253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46253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28867-2025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46253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8.199999999999999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12</v>
      </c>
      <c r="U68" t="n">
        <v>12</v>
      </c>
      <c r="V68" s="2" t="inlineStr">
        <is>
          <t>Knärot
Fläcknycklar</t>
        </is>
      </c>
      <c r="W68">
        <f>HYPERLINK("https://klasma.github.io/Logging_2582/artfynd/A 28867-2025 artfynd.xlsx", "A 28867-2025")</f>
        <v/>
      </c>
      <c r="X68">
        <f>HYPERLINK("https://klasma.github.io/Logging_2582/kartor/A 28867-2025 karta.png", "A 28867-2025")</f>
        <v/>
      </c>
      <c r="Y68">
        <f>HYPERLINK("https://klasma.github.io/Logging_2582/kartor_geotiff/A 28867-2025 georefererad karta.tif", "A 28867-2025")</f>
        <v/>
      </c>
      <c r="Z68">
        <f>HYPERLINK("https://klasma.github.io/Logging_2582/knärot/A 28867-2025 karta knärot.png", "A 28867-2025")</f>
        <v/>
      </c>
      <c r="AA68">
        <f>HYPERLINK("https://klasma.github.io/Logging_2582/klagomål/A 28867-2025 FSC-klagomål.docx", "A 28867-2025")</f>
        <v/>
      </c>
      <c r="AB68">
        <f>HYPERLINK("https://klasma.github.io/Logging_2582/klagomålsmail/A 28867-2025 FSC-klagomål mail.docx", "A 28867-2025")</f>
        <v/>
      </c>
      <c r="AC68">
        <f>HYPERLINK("https://klasma.github.io/Logging_2582/tillsyn/A 28867-2025 tillsynsbegäran.docx", "A 28867-2025")</f>
        <v/>
      </c>
      <c r="AD68">
        <f>HYPERLINK("https://klasma.github.io/Logging_2582/tillsynsmail/A 28867-2025 tillsynsbegäran mail.docx", "A 28867-2025")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46253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6895-2025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45701</v>
      </c>
      <c r="E70" s="1" t="n">
        <v>46253</v>
      </c>
      <c r="F70" t="inlineStr">
        <is>
          <t>NORRBOTTENS LÄN</t>
        </is>
      </c>
      <c r="G70" t="inlineStr">
        <is>
          <t>BODEN</t>
        </is>
      </c>
      <c r="I70" t="n">
        <v>1.5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Kolflarnlav
Plattlummer</t>
        </is>
      </c>
      <c r="W70">
        <f>HYPERLINK("https://klasma.github.io/Logging_2582/artfynd/A 6895-2025 artfynd.xlsx", "A 6895-2025")</f>
        <v/>
      </c>
      <c r="X70">
        <f>HYPERLINK("https://klasma.github.io/Logging_2582/kartor/A 6895-2025 karta.png", "A 6895-2025")</f>
        <v/>
      </c>
      <c r="Y70">
        <f>HYPERLINK("https://klasma.github.io/Logging_2582/kartor_geotiff/A 6895-2025 georefererad karta.tif", "A 6895-2025")</f>
        <v/>
      </c>
      <c r="AA70">
        <f>HYPERLINK("https://klasma.github.io/Logging_2582/klagomål/A 6895-2025 FSC-klagomål.docx", "A 6895-2025")</f>
        <v/>
      </c>
      <c r="AB70">
        <f>HYPERLINK("https://klasma.github.io/Logging_2582/klagomålsmail/A 6895-2025 FSC-klagomål mail.docx", "A 6895-2025")</f>
        <v/>
      </c>
      <c r="AC70">
        <f>HYPERLINK("https://klasma.github.io/Logging_2582/tillsyn/A 6895-2025 tillsynsbegäran.docx", "A 6895-2025")</f>
        <v/>
      </c>
      <c r="AD70">
        <f>HYPERLINK("https://klasma.github.io/Logging_2582/tillsynsmail/A 6895-2025 tillsynsbegäran mail.docx", "A 6895-2025")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46253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34737-2024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45526</v>
      </c>
      <c r="E72" s="1" t="n">
        <v>46253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Lunglav
Fläcknycklar</t>
        </is>
      </c>
      <c r="W72">
        <f>HYPERLINK("https://klasma.github.io/Logging_2582/artfynd/A 34737-2024 artfynd.xlsx", "A 34737-2024")</f>
        <v/>
      </c>
      <c r="X72">
        <f>HYPERLINK("https://klasma.github.io/Logging_2582/kartor/A 34737-2024 karta.png", "A 34737-2024")</f>
        <v/>
      </c>
      <c r="Y72">
        <f>HYPERLINK("https://klasma.github.io/Logging_2582/kartor_geotiff/A 34737-2024 georefererad karta.tif", "A 34737-2024")</f>
        <v/>
      </c>
      <c r="AA72">
        <f>HYPERLINK("https://klasma.github.io/Logging_2582/klagomål/A 34737-2024 FSC-klagomål.docx", "A 34737-2024")</f>
        <v/>
      </c>
      <c r="AB72">
        <f>HYPERLINK("https://klasma.github.io/Logging_2582/klagomålsmail/A 34737-2024 FSC-klagomål mail.docx", "A 34737-2024")</f>
        <v/>
      </c>
      <c r="AC72">
        <f>HYPERLINK("https://klasma.github.io/Logging_2582/tillsyn/A 34737-2024 tillsynsbegäran.docx", "A 34737-2024")</f>
        <v/>
      </c>
      <c r="AD72">
        <f>HYPERLINK("https://klasma.github.io/Logging_2582/tillsynsmail/A 34737-2024 tillsynsbegäran mail.docx", "A 34737-2024")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46253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43315-2025 artfynd.xlsx", "A 43315-2025")</f>
        <v/>
      </c>
      <c r="X73">
        <f>HYPERLINK("https://klasma.github.io/Logging_2582/kartor/A 43315-2025 karta.png", "A 43315-2025")</f>
        <v/>
      </c>
      <c r="Y73">
        <f>HYPERLINK("https://klasma.github.io/Logging_2582/kartor_geotiff/A 43315-2025 georefererad karta.tif", "A 43315-2025")</f>
        <v/>
      </c>
      <c r="AA73">
        <f>HYPERLINK("https://klasma.github.io/Logging_2582/klagomål/A 43315-2025 FSC-klagomål.docx", "A 43315-2025")</f>
        <v/>
      </c>
      <c r="AB73">
        <f>HYPERLINK("https://klasma.github.io/Logging_2582/klagomålsmail/A 43315-2025 FSC-klagomål mail.docx", "A 43315-2025")</f>
        <v/>
      </c>
      <c r="AC73">
        <f>HYPERLINK("https://klasma.github.io/Logging_2582/tillsyn/A 43315-2025 tillsynsbegäran.docx", "A 43315-2025")</f>
        <v/>
      </c>
      <c r="AD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46253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43310-2025 artfynd.xlsx", "A 43310-2025")</f>
        <v/>
      </c>
      <c r="X74">
        <f>HYPERLINK("https://klasma.github.io/Logging_2582/kartor/A 43310-2025 karta.png", "A 43310-2025")</f>
        <v/>
      </c>
      <c r="Y74">
        <f>HYPERLINK("https://klasma.github.io/Logging_2582/kartor_geotiff/A 43310-2025 georefererad karta.tif", "A 43310-2025")</f>
        <v/>
      </c>
      <c r="AA74">
        <f>HYPERLINK("https://klasma.github.io/Logging_2582/klagomål/A 43310-2025 FSC-klagomål.docx", "A 43310-2025")</f>
        <v/>
      </c>
      <c r="AB74">
        <f>HYPERLINK("https://klasma.github.io/Logging_2582/klagomålsmail/A 43310-2025 FSC-klagomål mail.docx", "A 43310-2025")</f>
        <v/>
      </c>
      <c r="AC74">
        <f>HYPERLINK("https://klasma.github.io/Logging_2582/tillsyn/A 43310-2025 tillsynsbegäran.docx", "A 43310-2025")</f>
        <v/>
      </c>
      <c r="AD74">
        <f>HYPERLINK("https://klasma.github.io/Logging_2582/tillsynsmail/A 43310-2025 tillsynsbegäran mail.docx", "A 43310-2025")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46253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Doftticka
Lunglav</t>
        </is>
      </c>
      <c r="W75">
        <f>HYPERLINK("https://klasma.github.io/Logging_2582/artfynd/A 45477-2025 artfynd.xlsx", "A 45477-2025")</f>
        <v/>
      </c>
      <c r="X75">
        <f>HYPERLINK("https://klasma.github.io/Logging_2582/kartor/A 45477-2025 karta.png", "A 45477-2025")</f>
        <v/>
      </c>
      <c r="Y75">
        <f>HYPERLINK("https://klasma.github.io/Logging_2582/kartor_geotiff/A 45477-2025 georefererad karta.tif", "A 45477-2025")</f>
        <v/>
      </c>
      <c r="AA75">
        <f>HYPERLINK("https://klasma.github.io/Logging_2582/klagomål/A 45477-2025 FSC-klagomål.docx", "A 45477-2025")</f>
        <v/>
      </c>
      <c r="AB75">
        <f>HYPERLINK("https://klasma.github.io/Logging_2582/klagomålsmail/A 45477-2025 FSC-klagomål mail.docx", "A 45477-2025")</f>
        <v/>
      </c>
      <c r="AC75">
        <f>HYPERLINK("https://klasma.github.io/Logging_2582/tillsyn/A 45477-2025 tillsynsbegäran.docx", "A 45477-2025")</f>
        <v/>
      </c>
      <c r="AD75">
        <f>HYPERLINK("https://klasma.github.io/Logging_2582/tillsynsmail/A 45477-2025 tillsynsbegäran mail.docx", "A 45477-2025")</f>
        <v/>
      </c>
    </row>
    <row r="76" ht="15" customHeight="1">
      <c r="A76" t="inlineStr">
        <is>
          <t>A 34164-2023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45137</v>
      </c>
      <c r="E76" s="1" t="n">
        <v>46253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2.2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Tretåig hackspett</t>
        </is>
      </c>
      <c r="W76">
        <f>HYPERLINK("https://klasma.github.io/Logging_2582/artfynd/A 34164-2023 artfynd.xlsx", "A 34164-2023")</f>
        <v/>
      </c>
      <c r="X76">
        <f>HYPERLINK("https://klasma.github.io/Logging_2582/kartor/A 34164-2023 karta.png", "A 34164-2023")</f>
        <v/>
      </c>
      <c r="Y76">
        <f>HYPERLINK("https://klasma.github.io/Logging_2582/kartor_geotiff/A 34164-2023 georefererad karta.tif", "A 34164-2023")</f>
        <v/>
      </c>
      <c r="AA76">
        <f>HYPERLINK("https://klasma.github.io/Logging_2582/klagomål/A 34164-2023 FSC-klagomål.docx", "A 34164-2023")</f>
        <v/>
      </c>
      <c r="AB76">
        <f>HYPERLINK("https://klasma.github.io/Logging_2582/klagomålsmail/A 34164-2023 FSC-klagomål mail.docx", "A 34164-2023")</f>
        <v/>
      </c>
      <c r="AC76">
        <f>HYPERLINK("https://klasma.github.io/Logging_2582/tillsyn/A 34164-2023 tillsynsbegäran.docx", "A 34164-2023")</f>
        <v/>
      </c>
      <c r="AD76">
        <f>HYPERLINK("https://klasma.github.io/Logging_2582/tillsynsmail/A 34164-2023 tillsynsbegäran mail.docx", "A 34164-2023")</f>
        <v/>
      </c>
      <c r="AE76">
        <f>HYPERLINK("https://klasma.github.io/Logging_2582/fåglar/A 34164-2023 prioriterade fågelarter.docx", "A 34164-2023")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46253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46253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Lunglav
Rynkskinn</t>
        </is>
      </c>
      <c r="W78">
        <f>HYPERLINK("https://klasma.github.io/Logging_2582/artfynd/A 9306-2025 artfynd.xlsx", "A 9306-2025")</f>
        <v/>
      </c>
      <c r="X78">
        <f>HYPERLINK("https://klasma.github.io/Logging_2582/kartor/A 9306-2025 karta.png", "A 9306-2025")</f>
        <v/>
      </c>
      <c r="Y78">
        <f>HYPERLINK("https://klasma.github.io/Logging_2582/kartor_geotiff/A 9306-2025 georefererad karta.tif", "A 9306-2025")</f>
        <v/>
      </c>
      <c r="AA78">
        <f>HYPERLINK("https://klasma.github.io/Logging_2582/klagomål/A 9306-2025 FSC-klagomål.docx", "A 9306-2025")</f>
        <v/>
      </c>
      <c r="AB78">
        <f>HYPERLINK("https://klasma.github.io/Logging_2582/klagomålsmail/A 9306-2025 FSC-klagomål mail.docx", "A 9306-2025")</f>
        <v/>
      </c>
      <c r="AC78">
        <f>HYPERLINK("https://klasma.github.io/Logging_2582/tillsyn/A 9306-2025 tillsynsbegäran.docx", "A 9306-2025")</f>
        <v/>
      </c>
      <c r="AD78">
        <f>HYPERLINK("https://klasma.github.io/Logging_2582/tillsynsmail/A 9306-2025 tillsynsbegäran mail.docx", "A 9306-2025")</f>
        <v/>
      </c>
    </row>
    <row r="79" ht="15" customHeight="1">
      <c r="A79" t="inlineStr">
        <is>
          <t>A 37086-2025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45875</v>
      </c>
      <c r="E79" s="1" t="n">
        <v>46253</v>
      </c>
      <c r="F79" t="inlineStr">
        <is>
          <t>NORRBOTTENS LÄN</t>
        </is>
      </c>
      <c r="G79" t="inlineStr">
        <is>
          <t>BODEN</t>
        </is>
      </c>
      <c r="H79" t="inlineStr">
        <is>
          <t>Övriga Aktiebolag</t>
        </is>
      </c>
      <c r="I79" t="n">
        <v>22.8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37086-2025 artfynd.xlsx", "A 37086-2025")</f>
        <v/>
      </c>
      <c r="X79">
        <f>HYPERLINK("https://klasma.github.io/Logging_2582/kartor/A 37086-2025 karta.png", "A 37086-2025")</f>
        <v/>
      </c>
      <c r="Y79">
        <f>HYPERLINK("https://klasma.github.io/Logging_2582/kartor_geotiff/A 37086-2025 georefererad karta.tif", "A 37086-2025")</f>
        <v/>
      </c>
      <c r="AA79">
        <f>HYPERLINK("https://klasma.github.io/Logging_2582/klagomål/A 37086-2025 FSC-klagomål.docx", "A 37086-2025")</f>
        <v/>
      </c>
      <c r="AB79">
        <f>HYPERLINK("https://klasma.github.io/Logging_2582/klagomålsmail/A 37086-2025 FSC-klagomål mail.docx", "A 37086-2025")</f>
        <v/>
      </c>
      <c r="AC79">
        <f>HYPERLINK("https://klasma.github.io/Logging_2582/tillsyn/A 37086-2025 tillsynsbegäran.docx", "A 37086-2025")</f>
        <v/>
      </c>
      <c r="AD79">
        <f>HYPERLINK("https://klasma.github.io/Logging_2582/tillsynsmail/A 37086-2025 tillsynsbegäran mail.docx", "A 37086-2025")</f>
        <v/>
      </c>
    </row>
    <row r="80" ht="15" customHeight="1">
      <c r="A80" t="inlineStr">
        <is>
          <t>A 54167-2025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46253</v>
      </c>
      <c r="F80" t="inlineStr">
        <is>
          <t>NORRBOTTENS LÄN</t>
        </is>
      </c>
      <c r="G80" t="inlineStr">
        <is>
          <t>BODEN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Lunglav
Stiftgelélav</t>
        </is>
      </c>
      <c r="W80">
        <f>HYPERLINK("https://klasma.github.io/Logging_2582/artfynd/A 54167-2025 artfynd.xlsx", "A 54167-2025")</f>
        <v/>
      </c>
      <c r="X80">
        <f>HYPERLINK("https://klasma.github.io/Logging_2582/kartor/A 54167-2025 karta.png", "A 54167-2025")</f>
        <v/>
      </c>
      <c r="Y80">
        <f>HYPERLINK("https://klasma.github.io/Logging_2582/kartor_geotiff/A 54167-2025 georefererad karta.tif", "A 54167-2025")</f>
        <v/>
      </c>
      <c r="AA80">
        <f>HYPERLINK("https://klasma.github.io/Logging_2582/klagomål/A 54167-2025 FSC-klagomål.docx", "A 54167-2025")</f>
        <v/>
      </c>
      <c r="AB80">
        <f>HYPERLINK("https://klasma.github.io/Logging_2582/klagomålsmail/A 54167-2025 FSC-klagomål mail.docx", "A 54167-2025")</f>
        <v/>
      </c>
      <c r="AC80">
        <f>HYPERLINK("https://klasma.github.io/Logging_2582/tillsyn/A 54167-2025 tillsynsbegäran.docx", "A 54167-2025")</f>
        <v/>
      </c>
      <c r="AD80">
        <f>HYPERLINK("https://klasma.github.io/Logging_2582/tillsynsmail/A 54167-2025 tillsynsbegäran mail.docx", "A 54167-2025")</f>
        <v/>
      </c>
    </row>
    <row r="81" ht="15" customHeight="1">
      <c r="A81" t="inlineStr">
        <is>
          <t>A 60774-2025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46253</v>
      </c>
      <c r="F81" t="inlineStr">
        <is>
          <t>NORRBOTTENS LÄN</t>
        </is>
      </c>
      <c r="G81" t="inlineStr">
        <is>
          <t>BODEN</t>
        </is>
      </c>
      <c r="I81" t="n">
        <v>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Ullticka
Skinnlav</t>
        </is>
      </c>
      <c r="W81">
        <f>HYPERLINK("https://klasma.github.io/Logging_2582/artfynd/A 60774-2025 artfynd.xlsx", "A 60774-2025")</f>
        <v/>
      </c>
      <c r="X81">
        <f>HYPERLINK("https://klasma.github.io/Logging_2582/kartor/A 60774-2025 karta.png", "A 60774-2025")</f>
        <v/>
      </c>
      <c r="Y81">
        <f>HYPERLINK("https://klasma.github.io/Logging_2582/kartor_geotiff/A 60774-2025 georefererad karta.tif", "A 60774-2025")</f>
        <v/>
      </c>
      <c r="AA81">
        <f>HYPERLINK("https://klasma.github.io/Logging_2582/klagomål/A 60774-2025 FSC-klagomål.docx", "A 60774-2025")</f>
        <v/>
      </c>
      <c r="AB81">
        <f>HYPERLINK("https://klasma.github.io/Logging_2582/klagomålsmail/A 60774-2025 FSC-klagomål mail.docx", "A 60774-2025")</f>
        <v/>
      </c>
      <c r="AC81">
        <f>HYPERLINK("https://klasma.github.io/Logging_2582/tillsyn/A 60774-2025 tillsynsbegäran.docx", "A 60774-2025")</f>
        <v/>
      </c>
      <c r="AD81">
        <f>HYPERLINK("https://klasma.github.io/Logging_2582/tillsynsmail/A 60774-2025 tillsynsbegäran mail.docx", "A 60774-2025")</f>
        <v/>
      </c>
    </row>
    <row r="82" ht="15" customHeight="1">
      <c r="A82" t="inlineStr">
        <is>
          <t>A 31758-2025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46253</v>
      </c>
      <c r="F82" t="inlineStr">
        <is>
          <t>NORRBOTTENS LÄN</t>
        </is>
      </c>
      <c r="G82" t="inlineStr">
        <is>
          <t>BODEN</t>
        </is>
      </c>
      <c r="I82" t="n">
        <v>19.9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Garnlav
Tretåig hackspett</t>
        </is>
      </c>
      <c r="W82">
        <f>HYPERLINK("https://klasma.github.io/Logging_2582/artfynd/A 31758-2025 artfynd.xlsx", "A 31758-2025")</f>
        <v/>
      </c>
      <c r="X82">
        <f>HYPERLINK("https://klasma.github.io/Logging_2582/kartor/A 31758-2025 karta.png", "A 31758-2025")</f>
        <v/>
      </c>
      <c r="Y82">
        <f>HYPERLINK("https://klasma.github.io/Logging_2582/kartor_geotiff/A 31758-2025 georefererad karta.tif", "A 31758-2025")</f>
        <v/>
      </c>
      <c r="AA82">
        <f>HYPERLINK("https://klasma.github.io/Logging_2582/klagomål/A 31758-2025 FSC-klagomål.docx", "A 31758-2025")</f>
        <v/>
      </c>
      <c r="AB82">
        <f>HYPERLINK("https://klasma.github.io/Logging_2582/klagomålsmail/A 31758-2025 FSC-klagomål mail.docx", "A 31758-2025")</f>
        <v/>
      </c>
      <c r="AC82">
        <f>HYPERLINK("https://klasma.github.io/Logging_2582/tillsyn/A 31758-2025 tillsynsbegäran.docx", "A 31758-2025")</f>
        <v/>
      </c>
      <c r="AD82">
        <f>HYPERLINK("https://klasma.github.io/Logging_2582/tillsynsmail/A 31758-2025 tillsynsbegäran mail.docx", "A 31758-2025")</f>
        <v/>
      </c>
      <c r="AE82">
        <f>HYPERLINK("https://klasma.github.io/Logging_2582/fåglar/A 31758-2025 prioriterade fågelarter.docx", "A 31758-2025")</f>
        <v/>
      </c>
    </row>
    <row r="83" ht="15" customHeight="1">
      <c r="A83" t="inlineStr">
        <is>
          <t>A 17292-2022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44678</v>
      </c>
      <c r="E83" s="1" t="n">
        <v>46253</v>
      </c>
      <c r="F83" t="inlineStr">
        <is>
          <t>NORRBOTTENS LÄN</t>
        </is>
      </c>
      <c r="G83" t="inlineStr">
        <is>
          <t>BODEN</t>
        </is>
      </c>
      <c r="H83" t="inlineStr">
        <is>
          <t>Kyrkan</t>
        </is>
      </c>
      <c r="I83" t="n">
        <v>0.8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Revlummer</t>
        </is>
      </c>
      <c r="W83">
        <f>HYPERLINK("https://klasma.github.io/Logging_2582/artfynd/A 17292-2022 artfynd.xlsx", "A 17292-2022")</f>
        <v/>
      </c>
      <c r="X83">
        <f>HYPERLINK("https://klasma.github.io/Logging_2582/kartor/A 17292-2022 karta.png", "A 17292-2022")</f>
        <v/>
      </c>
      <c r="Y83">
        <f>HYPERLINK("https://klasma.github.io/Logging_2582/kartor_geotiff/A 17292-2022 georefererad karta.tif", "A 17292-2022")</f>
        <v/>
      </c>
      <c r="AA83">
        <f>HYPERLINK("https://klasma.github.io/Logging_2582/klagomål/A 17292-2022 FSC-klagomål.docx", "A 17292-2022")</f>
        <v/>
      </c>
      <c r="AB83">
        <f>HYPERLINK("https://klasma.github.io/Logging_2582/klagomålsmail/A 17292-2022 FSC-klagomål mail.docx", "A 17292-2022")</f>
        <v/>
      </c>
      <c r="AC83">
        <f>HYPERLINK("https://klasma.github.io/Logging_2582/tillsyn/A 17292-2022 tillsynsbegäran.docx", "A 17292-2022")</f>
        <v/>
      </c>
      <c r="AD83">
        <f>HYPERLINK("https://klasma.github.io/Logging_2582/tillsynsmail/A 17292-2022 tillsynsbegäran mail.docx", "A 17292-2022")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46253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46253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46253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46253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46253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1507-2022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46253</v>
      </c>
      <c r="F89" t="inlineStr">
        <is>
          <t>NORRBOTTENS LÄN</t>
        </is>
      </c>
      <c r="G89" t="inlineStr">
        <is>
          <t>BODEN</t>
        </is>
      </c>
      <c r="H89" t="inlineStr">
        <is>
          <t>Övriga statliga verk och myndigheter</t>
        </is>
      </c>
      <c r="I89" t="n">
        <v>15.4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Talltita
Gråspett</t>
        </is>
      </c>
      <c r="W89">
        <f>HYPERLINK("https://klasma.github.io/Logging_2582/artfynd/A 1507-2022 artfynd.xlsx", "A 1507-2022")</f>
        <v/>
      </c>
      <c r="X89">
        <f>HYPERLINK("https://klasma.github.io/Logging_2582/kartor/A 1507-2022 karta.png", "A 1507-2022")</f>
        <v/>
      </c>
      <c r="Y89">
        <f>HYPERLINK("https://klasma.github.io/Logging_2582/kartor_geotiff/A 1507-2022 georefererad karta.tif", "A 1507-2022")</f>
        <v/>
      </c>
      <c r="AA89">
        <f>HYPERLINK("https://klasma.github.io/Logging_2582/klagomål/A 1507-2022 FSC-klagomål.docx", "A 1507-2022")</f>
        <v/>
      </c>
      <c r="AB89">
        <f>HYPERLINK("https://klasma.github.io/Logging_2582/klagomålsmail/A 1507-2022 FSC-klagomål mail.docx", "A 1507-2022")</f>
        <v/>
      </c>
      <c r="AC89">
        <f>HYPERLINK("https://klasma.github.io/Logging_2582/tillsyn/A 1507-2022 tillsynsbegäran.docx", "A 1507-2022")</f>
        <v/>
      </c>
      <c r="AD89">
        <f>HYPERLINK("https://klasma.github.io/Logging_2582/tillsynsmail/A 1507-2022 tillsynsbegäran mail.docx", "A 1507-2022")</f>
        <v/>
      </c>
      <c r="AE89">
        <f>HYPERLINK("https://klasma.github.io/Logging_2582/fåglar/A 1507-2022 prioriterade fågelarter.docx", "A 1507-2022")</f>
        <v/>
      </c>
    </row>
    <row r="90" ht="15" customHeight="1">
      <c r="A90" t="inlineStr">
        <is>
          <t>A 32971-2024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46253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10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5</v>
      </c>
      <c r="U90" t="n">
        <v>4</v>
      </c>
      <c r="V90" s="2" t="inlineStr">
        <is>
          <t>Lunglav
Fläcknycklar</t>
        </is>
      </c>
      <c r="W90">
        <f>HYPERLINK("https://klasma.github.io/Logging_2582/artfynd/A 32971-2024 artfynd.xlsx", "A 32971-2024")</f>
        <v/>
      </c>
      <c r="X90">
        <f>HYPERLINK("https://klasma.github.io/Logging_2582/kartor/A 32971-2024 karta.png", "A 32971-2024")</f>
        <v/>
      </c>
      <c r="Y90">
        <f>HYPERLINK("https://klasma.github.io/Logging_2582/kartor_geotiff/A 32971-2024 georefererad karta.tif", "A 32971-2024")</f>
        <v/>
      </c>
      <c r="AA90">
        <f>HYPERLINK("https://klasma.github.io/Logging_2582/klagomål/A 32971-2024 FSC-klagomål.docx", "A 32971-2024")</f>
        <v/>
      </c>
      <c r="AB90">
        <f>HYPERLINK("https://klasma.github.io/Logging_2582/klagomålsmail/A 32971-2024 FSC-klagomål mail.docx", "A 32971-2024")</f>
        <v/>
      </c>
      <c r="AC90">
        <f>HYPERLINK("https://klasma.github.io/Logging_2582/tillsyn/A 32971-2024 tillsynsbegäran.docx", "A 32971-2024")</f>
        <v/>
      </c>
      <c r="AD90">
        <f>HYPERLINK("https://klasma.github.io/Logging_2582/tillsynsmail/A 32971-2024 tillsynsbegäran mail.docx", "A 32971-2024")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46253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48899-2024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46253</v>
      </c>
      <c r="F92" t="inlineStr">
        <is>
          <t>NORRBOTTENS LÄN</t>
        </is>
      </c>
      <c r="G92" t="inlineStr">
        <is>
          <t>BODEN</t>
        </is>
      </c>
      <c r="H92" t="inlineStr">
        <is>
          <t>SCA</t>
        </is>
      </c>
      <c r="I92" t="n">
        <v>18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Hässlebrodd
Fläcknycklar</t>
        </is>
      </c>
      <c r="W92">
        <f>HYPERLINK("https://klasma.github.io/Logging_2582/artfynd/A 48899-2024 artfynd.xlsx", "A 48899-2024")</f>
        <v/>
      </c>
      <c r="X92">
        <f>HYPERLINK("https://klasma.github.io/Logging_2582/kartor/A 48899-2024 karta.png", "A 48899-2024")</f>
        <v/>
      </c>
      <c r="Y92">
        <f>HYPERLINK("https://klasma.github.io/Logging_2582/kartor_geotiff/A 48899-2024 georefererad karta.tif", "A 48899-2024")</f>
        <v/>
      </c>
      <c r="AA92">
        <f>HYPERLINK("https://klasma.github.io/Logging_2582/klagomål/A 48899-2024 FSC-klagomål.docx", "A 48899-2024")</f>
        <v/>
      </c>
      <c r="AB92">
        <f>HYPERLINK("https://klasma.github.io/Logging_2582/klagomålsmail/A 48899-2024 FSC-klagomål mail.docx", "A 48899-2024")</f>
        <v/>
      </c>
      <c r="AC92">
        <f>HYPERLINK("https://klasma.github.io/Logging_2582/tillsyn/A 48899-2024 tillsynsbegäran.docx", "A 48899-2024")</f>
        <v/>
      </c>
      <c r="AD92">
        <f>HYPERLINK("https://klasma.github.io/Logging_2582/tillsynsmail/A 48899-2024 tillsynsbegäran mail.docx", "A 48899-2024")</f>
        <v/>
      </c>
    </row>
    <row r="93" ht="15" customHeight="1">
      <c r="A93" t="inlineStr">
        <is>
          <t>A 31233-2026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46217</v>
      </c>
      <c r="E93" s="1" t="n">
        <v>46253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18.5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Lunglav
Fläcknycklar</t>
        </is>
      </c>
      <c r="W93">
        <f>HYPERLINK("https://klasma.github.io/Logging_2582/artfynd/A 31233-2026 artfynd.xlsx", "A 31233-2026")</f>
        <v/>
      </c>
      <c r="X93">
        <f>HYPERLINK("https://klasma.github.io/Logging_2582/kartor/A 31233-2026 karta.png", "A 31233-2026")</f>
        <v/>
      </c>
      <c r="Y93">
        <f>HYPERLINK("https://klasma.github.io/Logging_2582/kartor_geotiff/A 31233-2026 georefererad karta.tif", "A 31233-2026")</f>
        <v/>
      </c>
      <c r="AA93">
        <f>HYPERLINK("https://klasma.github.io/Logging_2582/klagomål/A 31233-2026 FSC-klagomål.docx", "A 31233-2026")</f>
        <v/>
      </c>
      <c r="AB93">
        <f>HYPERLINK("https://klasma.github.io/Logging_2582/klagomålsmail/A 31233-2026 FSC-klagomål mail.docx", "A 31233-2026")</f>
        <v/>
      </c>
      <c r="AC93">
        <f>HYPERLINK("https://klasma.github.io/Logging_2582/tillsyn/A 31233-2026 tillsynsbegäran.docx", "A 31233-2026")</f>
        <v/>
      </c>
      <c r="AD93">
        <f>HYPERLINK("https://klasma.github.io/Logging_2582/tillsynsmail/A 31233-2026 tillsynsbegäran mail.docx", "A 31233-2026")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46253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46253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33096-2026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46253</v>
      </c>
      <c r="F96" t="inlineStr">
        <is>
          <t>NORRBOTTENS LÄN</t>
        </is>
      </c>
      <c r="G96" t="inlineStr">
        <is>
          <t>BODEN</t>
        </is>
      </c>
      <c r="I96" t="n">
        <v>36.6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HYPERLINK("https://klasma.github.io/Logging_2582/artfynd/A 33096-2026 artfynd.xlsx", "A 33096-2026")</f>
        <v/>
      </c>
      <c r="X96">
        <f>HYPERLINK("https://klasma.github.io/Logging_2582/kartor/A 33096-2026 karta.png", "A 33096-2026")</f>
        <v/>
      </c>
      <c r="Y96">
        <f>HYPERLINK("https://klasma.github.io/Logging_2582/kartor_geotiff/A 33096-2026 georefererad karta.tif", "A 33096-2026")</f>
        <v/>
      </c>
      <c r="AA96">
        <f>HYPERLINK("https://klasma.github.io/Logging_2582/klagomål/A 33096-2026 FSC-klagomål.docx", "A 33096-2026")</f>
        <v/>
      </c>
      <c r="AB96">
        <f>HYPERLINK("https://klasma.github.io/Logging_2582/klagomålsmail/A 33096-2026 FSC-klagomål mail.docx", "A 33096-2026")</f>
        <v/>
      </c>
      <c r="AC96">
        <f>HYPERLINK("https://klasma.github.io/Logging_2582/tillsyn/A 33096-2026 tillsynsbegäran.docx", "A 33096-2026")</f>
        <v/>
      </c>
      <c r="AD96">
        <f>HYPERLINK("https://klasma.github.io/Logging_2582/tillsynsmail/A 33096-2026 tillsynsbegäran mail.docx", "A 33096-2026")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46253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46253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46253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900-2024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46253</v>
      </c>
      <c r="F100" t="inlineStr">
        <is>
          <t>NORRBOTTENS LÄN</t>
        </is>
      </c>
      <c r="G100" t="inlineStr">
        <is>
          <t>BODEN</t>
        </is>
      </c>
      <c r="I100" t="n">
        <v>5.2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Revlummer</t>
        </is>
      </c>
      <c r="W100">
        <f>HYPERLINK("https://klasma.github.io/Logging_2582/artfynd/A 900-2024 artfynd.xlsx", "A 900-2024")</f>
        <v/>
      </c>
      <c r="X100">
        <f>HYPERLINK("https://klasma.github.io/Logging_2582/kartor/A 900-2024 karta.png", "A 900-2024")</f>
        <v/>
      </c>
      <c r="Y100">
        <f>HYPERLINK("https://klasma.github.io/Logging_2582/kartor_geotiff/A 900-2024 georefererad karta.tif", "A 900-2024")</f>
        <v/>
      </c>
      <c r="Z100">
        <f>HYPERLINK("https://klasma.github.io/Logging_2582/knärot/A 900-2024 karta knärot.png", "A 900-2024")</f>
        <v/>
      </c>
      <c r="AA100">
        <f>HYPERLINK("https://klasma.github.io/Logging_2582/klagomål/A 900-2024 FSC-klagomål.docx", "A 900-2024")</f>
        <v/>
      </c>
      <c r="AB100">
        <f>HYPERLINK("https://klasma.github.io/Logging_2582/klagomålsmail/A 900-2024 FSC-klagomål mail.docx", "A 900-2024")</f>
        <v/>
      </c>
      <c r="AC100">
        <f>HYPERLINK("https://klasma.github.io/Logging_2582/tillsyn/A 900-2024 tillsynsbegäran.docx", "A 900-2024")</f>
        <v/>
      </c>
      <c r="AD100">
        <f>HYPERLINK("https://klasma.github.io/Logging_2582/tillsynsmail/A 900-2024 tillsynsbegäran mail.docx", "A 900-2024")</f>
        <v/>
      </c>
    </row>
    <row r="101" ht="15" customHeight="1">
      <c r="A101" t="inlineStr">
        <is>
          <t>A 33416-2026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46253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Plattlummer</t>
        </is>
      </c>
      <c r="W101">
        <f>HYPERLINK("https://klasma.github.io/Logging_2582/artfynd/A 33416-2026 artfynd.xlsx", "A 33416-2026")</f>
        <v/>
      </c>
      <c r="X101">
        <f>HYPERLINK("https://klasma.github.io/Logging_2582/kartor/A 33416-2026 karta.png", "A 33416-2026")</f>
        <v/>
      </c>
      <c r="Y101">
        <f>HYPERLINK("https://klasma.github.io/Logging_2582/kartor_geotiff/A 33416-2026 georefererad karta.tif", "A 33416-2026")</f>
        <v/>
      </c>
      <c r="AA101">
        <f>HYPERLINK("https://klasma.github.io/Logging_2582/klagomål/A 33416-2026 FSC-klagomål.docx", "A 33416-2026")</f>
        <v/>
      </c>
      <c r="AB101">
        <f>HYPERLINK("https://klasma.github.io/Logging_2582/klagomålsmail/A 33416-2026 FSC-klagomål mail.docx", "A 33416-2026")</f>
        <v/>
      </c>
      <c r="AC101">
        <f>HYPERLINK("https://klasma.github.io/Logging_2582/tillsyn/A 33416-2026 tillsynsbegäran.docx", "A 33416-2026")</f>
        <v/>
      </c>
      <c r="AD101">
        <f>HYPERLINK("https://klasma.github.io/Logging_2582/tillsynsmail/A 33416-2026 tillsynsbegäran mail.docx", "A 33416-2026")</f>
        <v/>
      </c>
    </row>
    <row r="102" ht="15" customHeight="1">
      <c r="A102" t="inlineStr">
        <is>
          <t>A 42233-2022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44830</v>
      </c>
      <c r="E102" s="1" t="n">
        <v>46253</v>
      </c>
      <c r="F102" t="inlineStr">
        <is>
          <t>NORRBOTTENS LÄN</t>
        </is>
      </c>
      <c r="G102" t="inlineStr">
        <is>
          <t>BODEN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Enkelbeckasin
Svartvit flugsnappare</t>
        </is>
      </c>
      <c r="W102">
        <f>HYPERLINK("https://klasma.github.io/Logging_2582/artfynd/A 42233-2022 artfynd.xlsx", "A 42233-2022")</f>
        <v/>
      </c>
      <c r="X102">
        <f>HYPERLINK("https://klasma.github.io/Logging_2582/kartor/A 42233-2022 karta.png", "A 42233-2022")</f>
        <v/>
      </c>
      <c r="Y102">
        <f>HYPERLINK("https://klasma.github.io/Logging_2582/kartor_geotiff/A 42233-2022 georefererad karta.tif", "A 42233-2022")</f>
        <v/>
      </c>
      <c r="AA102">
        <f>HYPERLINK("https://klasma.github.io/Logging_2582/klagomål/A 42233-2022 FSC-klagomål.docx", "A 42233-2022")</f>
        <v/>
      </c>
      <c r="AB102">
        <f>HYPERLINK("https://klasma.github.io/Logging_2582/klagomålsmail/A 42233-2022 FSC-klagomål mail.docx", "A 42233-2022")</f>
        <v/>
      </c>
      <c r="AC102">
        <f>HYPERLINK("https://klasma.github.io/Logging_2582/tillsyn/A 42233-2022 tillsynsbegäran.docx", "A 42233-2022")</f>
        <v/>
      </c>
      <c r="AD102">
        <f>HYPERLINK("https://klasma.github.io/Logging_2582/tillsynsmail/A 42233-2022 tillsynsbegäran mail.docx", "A 42233-2022")</f>
        <v/>
      </c>
      <c r="AE102">
        <f>HYPERLINK("https://klasma.github.io/Logging_2582/fåglar/A 42233-2022 prioriterade fågelarter.docx", "A 42233-2022")</f>
        <v/>
      </c>
    </row>
    <row r="103" ht="15" customHeight="1">
      <c r="A103" t="inlineStr">
        <is>
          <t>A 22906-2023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45072</v>
      </c>
      <c r="E103" s="1" t="n">
        <v>46253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3.5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Talltita
Utter</t>
        </is>
      </c>
      <c r="W103">
        <f>HYPERLINK("https://klasma.github.io/Logging_2582/artfynd/A 22906-2023 artfynd.xlsx", "A 22906-2023")</f>
        <v/>
      </c>
      <c r="X103">
        <f>HYPERLINK("https://klasma.github.io/Logging_2582/kartor/A 22906-2023 karta.png", "A 22906-2023")</f>
        <v/>
      </c>
      <c r="Y103">
        <f>HYPERLINK("https://klasma.github.io/Logging_2582/kartor_geotiff/A 22906-2023 georefererad karta.tif", "A 22906-2023")</f>
        <v/>
      </c>
      <c r="AA103">
        <f>HYPERLINK("https://klasma.github.io/Logging_2582/klagomål/A 22906-2023 FSC-klagomål.docx", "A 22906-2023")</f>
        <v/>
      </c>
      <c r="AB103">
        <f>HYPERLINK("https://klasma.github.io/Logging_2582/klagomålsmail/A 22906-2023 FSC-klagomål mail.docx", "A 22906-2023")</f>
        <v/>
      </c>
      <c r="AC103">
        <f>HYPERLINK("https://klasma.github.io/Logging_2582/tillsyn/A 22906-2023 tillsynsbegäran.docx", "A 22906-2023")</f>
        <v/>
      </c>
      <c r="AD103">
        <f>HYPERLINK("https://klasma.github.io/Logging_2582/tillsynsmail/A 22906-2023 tillsynsbegäran mail.docx", "A 22906-2023")</f>
        <v/>
      </c>
      <c r="AE103">
        <f>HYPERLINK("https://klasma.github.io/Logging_2582/fåglar/A 22906-2023 prioriterade fågelarter.docx", "A 22906-2023")</f>
        <v/>
      </c>
    </row>
    <row r="104" ht="15" customHeight="1">
      <c r="A104" t="inlineStr">
        <is>
          <t>A 6639-2024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45341</v>
      </c>
      <c r="E104" s="1" t="n">
        <v>46253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statliga verk och myndigheter</t>
        </is>
      </c>
      <c r="I104" t="n">
        <v>23.8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Kungsfågel</t>
        </is>
      </c>
      <c r="W104">
        <f>HYPERLINK("https://klasma.github.io/Logging_2582/artfynd/A 6639-2024 artfynd.xlsx", "A 6639-2024")</f>
        <v/>
      </c>
      <c r="X104">
        <f>HYPERLINK("https://klasma.github.io/Logging_2582/kartor/A 6639-2024 karta.png", "A 6639-2024")</f>
        <v/>
      </c>
      <c r="Y104">
        <f>HYPERLINK("https://klasma.github.io/Logging_2582/kartor_geotiff/A 6639-2024 georefererad karta.tif", "A 6639-2024")</f>
        <v/>
      </c>
      <c r="AA104">
        <f>HYPERLINK("https://klasma.github.io/Logging_2582/klagomål/A 6639-2024 FSC-klagomål.docx", "A 6639-2024")</f>
        <v/>
      </c>
      <c r="AB104">
        <f>HYPERLINK("https://klasma.github.io/Logging_2582/klagomålsmail/A 6639-2024 FSC-klagomål mail.docx", "A 6639-2024")</f>
        <v/>
      </c>
      <c r="AC104">
        <f>HYPERLINK("https://klasma.github.io/Logging_2582/tillsyn/A 6639-2024 tillsynsbegäran.docx", "A 6639-2024")</f>
        <v/>
      </c>
      <c r="AD104">
        <f>HYPERLINK("https://klasma.github.io/Logging_2582/tillsynsmail/A 6639-2024 tillsynsbegäran mail.docx", "A 6639-2024")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46253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46253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46253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46253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46253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22892-2024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46253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0.8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Bollvitmossa</t>
        </is>
      </c>
      <c r="W110">
        <f>HYPERLINK("https://klasma.github.io/Logging_2582/artfynd/A 22892-2024 artfynd.xlsx", "A 22892-2024")</f>
        <v/>
      </c>
      <c r="X110">
        <f>HYPERLINK("https://klasma.github.io/Logging_2582/kartor/A 22892-2024 karta.png", "A 22892-2024")</f>
        <v/>
      </c>
      <c r="Y110">
        <f>HYPERLINK("https://klasma.github.io/Logging_2582/kartor_geotiff/A 22892-2024 georefererad karta.tif", "A 22892-2024")</f>
        <v/>
      </c>
      <c r="AA110">
        <f>HYPERLINK("https://klasma.github.io/Logging_2582/klagomål/A 22892-2024 FSC-klagomål.docx", "A 22892-2024")</f>
        <v/>
      </c>
      <c r="AB110">
        <f>HYPERLINK("https://klasma.github.io/Logging_2582/klagomålsmail/A 22892-2024 FSC-klagomål mail.docx", "A 22892-2024")</f>
        <v/>
      </c>
      <c r="AC110">
        <f>HYPERLINK("https://klasma.github.io/Logging_2582/tillsyn/A 22892-2024 tillsynsbegäran.docx", "A 22892-2024")</f>
        <v/>
      </c>
      <c r="AD110">
        <f>HYPERLINK("https://klasma.github.io/Logging_2582/tillsynsmail/A 22892-2024 tillsynsbegäran mail.docx", "A 22892-2024")</f>
        <v/>
      </c>
    </row>
    <row r="111" ht="15" customHeight="1">
      <c r="A111" t="inlineStr">
        <is>
          <t>A 13568-2022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46253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Lavskrika</t>
        </is>
      </c>
      <c r="W111">
        <f>HYPERLINK("https://klasma.github.io/Logging_2582/artfynd/A 13568-2022 artfynd.xlsx", "A 13568-2022")</f>
        <v/>
      </c>
      <c r="X111">
        <f>HYPERLINK("https://klasma.github.io/Logging_2582/kartor/A 13568-2022 karta.png", "A 13568-2022")</f>
        <v/>
      </c>
      <c r="Y111">
        <f>HYPERLINK("https://klasma.github.io/Logging_2582/kartor_geotiff/A 13568-2022 georefererad karta.tif", "A 13568-2022")</f>
        <v/>
      </c>
      <c r="AA111">
        <f>HYPERLINK("https://klasma.github.io/Logging_2582/klagomål/A 13568-2022 FSC-klagomål.docx", "A 13568-2022")</f>
        <v/>
      </c>
      <c r="AB111">
        <f>HYPERLINK("https://klasma.github.io/Logging_2582/klagomålsmail/A 13568-2022 FSC-klagomål mail.docx", "A 13568-2022")</f>
        <v/>
      </c>
      <c r="AC111">
        <f>HYPERLINK("https://klasma.github.io/Logging_2582/tillsyn/A 13568-2022 tillsynsbegäran.docx", "A 13568-2022")</f>
        <v/>
      </c>
      <c r="AD111">
        <f>HYPERLINK("https://klasma.github.io/Logging_2582/tillsynsmail/A 13568-2022 tillsynsbegäran mail.docx", "A 13568-2022")</f>
        <v/>
      </c>
      <c r="AE111">
        <f>HYPERLINK("https://klasma.github.io/Logging_2582/fåglar/A 13568-2022 prioriterade fågelarter.docx", "A 13568-2022")</f>
        <v/>
      </c>
    </row>
    <row r="112" ht="15" customHeight="1">
      <c r="A112" t="inlineStr">
        <is>
          <t>A 68560-2021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46253</v>
      </c>
      <c r="F112" t="inlineStr">
        <is>
          <t>NORRBOTTENS LÄN</t>
        </is>
      </c>
      <c r="G112" t="inlineStr">
        <is>
          <t>BODEN</t>
        </is>
      </c>
      <c r="I112" t="n">
        <v>3.5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4</v>
      </c>
      <c r="U112" t="n">
        <v>4</v>
      </c>
      <c r="V112" s="2" t="inlineStr">
        <is>
          <t>Småflikig brosklav</t>
        </is>
      </c>
      <c r="W112">
        <f>HYPERLINK("https://klasma.github.io/Logging_2582/artfynd/A 68560-2021 artfynd.xlsx", "A 68560-2021")</f>
        <v/>
      </c>
      <c r="X112">
        <f>HYPERLINK("https://klasma.github.io/Logging_2582/kartor/A 68560-2021 karta.png", "A 68560-2021")</f>
        <v/>
      </c>
      <c r="Y112">
        <f>HYPERLINK("https://klasma.github.io/Logging_2582/kartor_geotiff/A 68560-2021 georefererad karta.tif", "A 68560-2021")</f>
        <v/>
      </c>
      <c r="AA112">
        <f>HYPERLINK("https://klasma.github.io/Logging_2582/klagomål/A 68560-2021 FSC-klagomål.docx", "A 68560-2021")</f>
        <v/>
      </c>
      <c r="AB112">
        <f>HYPERLINK("https://klasma.github.io/Logging_2582/klagomålsmail/A 68560-2021 FSC-klagomål mail.docx", "A 68560-2021")</f>
        <v/>
      </c>
      <c r="AC112">
        <f>HYPERLINK("https://klasma.github.io/Logging_2582/tillsyn/A 68560-2021 tillsynsbegäran.docx", "A 68560-2021")</f>
        <v/>
      </c>
      <c r="AD112">
        <f>HYPERLINK("https://klasma.github.io/Logging_2582/tillsynsmail/A 68560-2021 tillsynsbegäran mail.docx", "A 68560-2021")</f>
        <v/>
      </c>
    </row>
    <row r="113" ht="15" customHeight="1">
      <c r="A113" t="inlineStr">
        <is>
          <t>A 41087-2024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45559</v>
      </c>
      <c r="E113" s="1" t="n">
        <v>46253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HYPERLINK("https://klasma.github.io/Logging_2582/artfynd/A 41087-2024 artfynd.xlsx", "A 41087-2024")</f>
        <v/>
      </c>
      <c r="X113">
        <f>HYPERLINK("https://klasma.github.io/Logging_2582/kartor/A 41087-2024 karta.png", "A 41087-2024")</f>
        <v/>
      </c>
      <c r="Y113">
        <f>HYPERLINK("https://klasma.github.io/Logging_2582/kartor_geotiff/A 41087-2024 georefererad karta.tif", "A 41087-2024")</f>
        <v/>
      </c>
      <c r="AA113">
        <f>HYPERLINK("https://klasma.github.io/Logging_2582/klagomål/A 41087-2024 FSC-klagomål.docx", "A 41087-2024")</f>
        <v/>
      </c>
      <c r="AB113">
        <f>HYPERLINK("https://klasma.github.io/Logging_2582/klagomålsmail/A 41087-2024 FSC-klagomål mail.docx", "A 41087-2024")</f>
        <v/>
      </c>
      <c r="AC113">
        <f>HYPERLINK("https://klasma.github.io/Logging_2582/tillsyn/A 41087-2024 tillsynsbegäran.docx", "A 41087-2024")</f>
        <v/>
      </c>
      <c r="AD113">
        <f>HYPERLINK("https://klasma.github.io/Logging_2582/tillsynsmail/A 41087-2024 tillsynsbegäran mail.docx", "A 41087-2024")</f>
        <v/>
      </c>
    </row>
    <row r="114" ht="15" customHeight="1">
      <c r="A114" t="inlineStr">
        <is>
          <t>A 32600-2024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45513</v>
      </c>
      <c r="E114" s="1" t="n">
        <v>46253</v>
      </c>
      <c r="F114" t="inlineStr">
        <is>
          <t>NORRBOTTENS LÄN</t>
        </is>
      </c>
      <c r="G114" t="inlineStr">
        <is>
          <t>BODEN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32600-2024 artfynd.xlsx", "A 32600-2024")</f>
        <v/>
      </c>
      <c r="X114">
        <f>HYPERLINK("https://klasma.github.io/Logging_2582/kartor/A 32600-2024 karta.png", "A 32600-2024")</f>
        <v/>
      </c>
      <c r="Y114">
        <f>HYPERLINK("https://klasma.github.io/Logging_2582/kartor_geotiff/A 32600-2024 georefererad karta.tif", "A 32600-2024")</f>
        <v/>
      </c>
      <c r="AA114">
        <f>HYPERLINK("https://klasma.github.io/Logging_2582/klagomål/A 32600-2024 FSC-klagomål.docx", "A 32600-2024")</f>
        <v/>
      </c>
      <c r="AB114">
        <f>HYPERLINK("https://klasma.github.io/Logging_2582/klagomålsmail/A 32600-2024 FSC-klagomål mail.docx", "A 32600-2024")</f>
        <v/>
      </c>
      <c r="AC114">
        <f>HYPERLINK("https://klasma.github.io/Logging_2582/tillsyn/A 32600-2024 tillsynsbegäran.docx", "A 32600-2024")</f>
        <v/>
      </c>
      <c r="AD114">
        <f>HYPERLINK("https://klasma.github.io/Logging_2582/tillsynsmail/A 32600-2024 tillsynsbegäran mail.docx", "A 32600-2024")</f>
        <v/>
      </c>
    </row>
    <row r="115" ht="15" customHeight="1">
      <c r="A115" t="inlineStr">
        <is>
          <t>A 4878-2026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46048</v>
      </c>
      <c r="E115" s="1" t="n">
        <v>46253</v>
      </c>
      <c r="F115" t="inlineStr">
        <is>
          <t>NORRBOTTENS LÄN</t>
        </is>
      </c>
      <c r="G115" t="inlineStr">
        <is>
          <t>BODEN</t>
        </is>
      </c>
      <c r="I115" t="n">
        <v>1.8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padda</t>
        </is>
      </c>
      <c r="W115">
        <f>HYPERLINK("https://klasma.github.io/Logging_2582/artfynd/A 4878-2026 artfynd.xlsx", "A 4878-2026")</f>
        <v/>
      </c>
      <c r="X115">
        <f>HYPERLINK("https://klasma.github.io/Logging_2582/kartor/A 4878-2026 karta.png", "A 4878-2026")</f>
        <v/>
      </c>
      <c r="Y115">
        <f>HYPERLINK("https://klasma.github.io/Logging_2582/kartor_geotiff/A 4878-2026 georefererad karta.tif", "A 4878-2026")</f>
        <v/>
      </c>
      <c r="AA115">
        <f>HYPERLINK("https://klasma.github.io/Logging_2582/klagomål/A 4878-2026 FSC-klagomål.docx", "A 4878-2026")</f>
        <v/>
      </c>
      <c r="AB115">
        <f>HYPERLINK("https://klasma.github.io/Logging_2582/klagomålsmail/A 4878-2026 FSC-klagomål mail.docx", "A 4878-2026")</f>
        <v/>
      </c>
      <c r="AC115">
        <f>HYPERLINK("https://klasma.github.io/Logging_2582/tillsyn/A 4878-2026 tillsynsbegäran.docx", "A 4878-2026")</f>
        <v/>
      </c>
      <c r="AD115">
        <f>HYPERLINK("https://klasma.github.io/Logging_2582/tillsynsmail/A 4878-2026 tillsynsbegäran mail.docx", "A 4878-2026")</f>
        <v/>
      </c>
    </row>
    <row r="116" ht="15" customHeight="1">
      <c r="A116" t="inlineStr">
        <is>
          <t>A 41443-2025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45901</v>
      </c>
      <c r="E116" s="1" t="n">
        <v>46253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HYPERLINK("https://klasma.github.io/Logging_2582/artfynd/A 41443-2025 artfynd.xlsx", "A 41443-2025")</f>
        <v/>
      </c>
      <c r="X116">
        <f>HYPERLINK("https://klasma.github.io/Logging_2582/kartor/A 41443-2025 karta.png", "A 41443-2025")</f>
        <v/>
      </c>
      <c r="Y116">
        <f>HYPERLINK("https://klasma.github.io/Logging_2582/kartor_geotiff/A 41443-2025 georefererad karta.tif", "A 41443-2025")</f>
        <v/>
      </c>
      <c r="AA116">
        <f>HYPERLINK("https://klasma.github.io/Logging_2582/klagomål/A 41443-2025 FSC-klagomål.docx", "A 41443-2025")</f>
        <v/>
      </c>
      <c r="AB116">
        <f>HYPERLINK("https://klasma.github.io/Logging_2582/klagomålsmail/A 41443-2025 FSC-klagomål mail.docx", "A 41443-2025")</f>
        <v/>
      </c>
      <c r="AC116">
        <f>HYPERLINK("https://klasma.github.io/Logging_2582/tillsyn/A 41443-2025 tillsynsbegäran.docx", "A 41443-2025")</f>
        <v/>
      </c>
      <c r="AD116">
        <f>HYPERLINK("https://klasma.github.io/Logging_2582/tillsynsmail/A 41443-2025 tillsynsbegäran mail.docx", "A 41443-2025")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46253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Tallticka</t>
        </is>
      </c>
      <c r="W117">
        <f>HYPERLINK("https://klasma.github.io/Logging_2582/artfynd/A 26359-2022 artfynd.xlsx", "A 26359-2022")</f>
        <v/>
      </c>
      <c r="X117">
        <f>HYPERLINK("https://klasma.github.io/Logging_2582/kartor/A 26359-2022 karta.png", "A 26359-2022")</f>
        <v/>
      </c>
      <c r="Y117">
        <f>HYPERLINK("https://klasma.github.io/Logging_2582/kartor_geotiff/A 26359-2022 georefererad karta.tif", "A 26359-2022")</f>
        <v/>
      </c>
      <c r="AA117">
        <f>HYPERLINK("https://klasma.github.io/Logging_2582/klagomål/A 26359-2022 FSC-klagomål.docx", "A 26359-2022")</f>
        <v/>
      </c>
      <c r="AB117">
        <f>HYPERLINK("https://klasma.github.io/Logging_2582/klagomålsmail/A 26359-2022 FSC-klagomål mail.docx", "A 26359-2022")</f>
        <v/>
      </c>
      <c r="AC117">
        <f>HYPERLINK("https://klasma.github.io/Logging_2582/tillsyn/A 26359-2022 tillsynsbegäran.docx", "A 26359-2022")</f>
        <v/>
      </c>
      <c r="AD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14329-2026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46253</v>
      </c>
      <c r="F118" t="inlineStr">
        <is>
          <t>NORRBOTTENS LÄN</t>
        </is>
      </c>
      <c r="G118" t="inlineStr">
        <is>
          <t>BODEN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HYPERLINK("https://klasma.github.io/Logging_2582/artfynd/A 14329-2026 artfynd.xlsx", "A 14329-2026")</f>
        <v/>
      </c>
      <c r="X118">
        <f>HYPERLINK("https://klasma.github.io/Logging_2582/kartor/A 14329-2026 karta.png", "A 14329-2026")</f>
        <v/>
      </c>
      <c r="Y118">
        <f>HYPERLINK("https://klasma.github.io/Logging_2582/kartor_geotiff/A 14329-2026 georefererad karta.tif", "A 14329-2026")</f>
        <v/>
      </c>
      <c r="AA118">
        <f>HYPERLINK("https://klasma.github.io/Logging_2582/klagomål/A 14329-2026 FSC-klagomål.docx", "A 14329-2026")</f>
        <v/>
      </c>
      <c r="AB118">
        <f>HYPERLINK("https://klasma.github.io/Logging_2582/klagomålsmail/A 14329-2026 FSC-klagomål mail.docx", "A 14329-2026")</f>
        <v/>
      </c>
      <c r="AC118">
        <f>HYPERLINK("https://klasma.github.io/Logging_2582/tillsyn/A 14329-2026 tillsynsbegäran.docx", "A 14329-2026")</f>
        <v/>
      </c>
      <c r="AD118">
        <f>HYPERLINK("https://klasma.github.io/Logging_2582/tillsynsmail/A 14329-2026 tillsynsbegäran mail.docx", "A 14329-2026")</f>
        <v/>
      </c>
      <c r="AE118">
        <f>HYPERLINK("https://klasma.github.io/Logging_2582/fåglar/A 14329-2026 prioriterade fågelarter.docx", "A 14329-2026")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46253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46253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46253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46253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46253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HYPERLINK("https://klasma.github.io/Logging_2582/artfynd/A 53180-2025 artfynd.xlsx", "A 53180-2025")</f>
        <v/>
      </c>
      <c r="X124">
        <f>HYPERLINK("https://klasma.github.io/Logging_2582/kartor/A 53180-2025 karta.png", "A 53180-2025")</f>
        <v/>
      </c>
      <c r="Y124">
        <f>HYPERLINK("https://klasma.github.io/Logging_2582/kartor_geotiff/A 53180-2025 georefererad karta.tif", "A 53180-2025")</f>
        <v/>
      </c>
      <c r="AA124">
        <f>HYPERLINK("https://klasma.github.io/Logging_2582/klagomål/A 53180-2025 FSC-klagomål.docx", "A 53180-2025")</f>
        <v/>
      </c>
      <c r="AB124">
        <f>HYPERLINK("https://klasma.github.io/Logging_2582/klagomålsmail/A 53180-2025 FSC-klagomål mail.docx", "A 53180-2025")</f>
        <v/>
      </c>
      <c r="AC124">
        <f>HYPERLINK("https://klasma.github.io/Logging_2582/tillsyn/A 53180-2025 tillsynsbegäran.docx", "A 53180-2025")</f>
        <v/>
      </c>
      <c r="AD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12832-2022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44642</v>
      </c>
      <c r="E125" s="1" t="n">
        <v>46253</v>
      </c>
      <c r="F125" t="inlineStr">
        <is>
          <t>NORRBOTTENS LÄN</t>
        </is>
      </c>
      <c r="G125" t="inlineStr">
        <is>
          <t>BODEN</t>
        </is>
      </c>
      <c r="I125" t="n">
        <v>6.6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Doftticka</t>
        </is>
      </c>
      <c r="W125">
        <f>HYPERLINK("https://klasma.github.io/Logging_2582/artfynd/A 12832-2022 artfynd.xlsx", "A 12832-2022")</f>
        <v/>
      </c>
      <c r="X125">
        <f>HYPERLINK("https://klasma.github.io/Logging_2582/kartor/A 12832-2022 karta.png", "A 12832-2022")</f>
        <v/>
      </c>
      <c r="Y125">
        <f>HYPERLINK("https://klasma.github.io/Logging_2582/kartor_geotiff/A 12832-2022 georefererad karta.tif", "A 12832-2022")</f>
        <v/>
      </c>
      <c r="AA125">
        <f>HYPERLINK("https://klasma.github.io/Logging_2582/klagomål/A 12832-2022 FSC-klagomål.docx", "A 12832-2022")</f>
        <v/>
      </c>
      <c r="AB125">
        <f>HYPERLINK("https://klasma.github.io/Logging_2582/klagomålsmail/A 12832-2022 FSC-klagomål mail.docx", "A 12832-2022")</f>
        <v/>
      </c>
      <c r="AC125">
        <f>HYPERLINK("https://klasma.github.io/Logging_2582/tillsyn/A 12832-2022 tillsynsbegäran.docx", "A 12832-2022")</f>
        <v/>
      </c>
      <c r="AD125">
        <f>HYPERLINK("https://klasma.github.io/Logging_2582/tillsynsmail/A 12832-2022 tillsynsbegäran mail.docx", "A 12832-2022")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46253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19580-2026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46253</v>
      </c>
      <c r="F127" t="inlineStr">
        <is>
          <t>NORRBOTTENS LÄN</t>
        </is>
      </c>
      <c r="G127" t="inlineStr">
        <is>
          <t>BODEN</t>
        </is>
      </c>
      <c r="I127" t="n">
        <v>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Dropptaggsvamp</t>
        </is>
      </c>
      <c r="W127">
        <f>HYPERLINK("https://klasma.github.io/Logging_2582/artfynd/A 19580-2026 artfynd.xlsx", "A 19580-2026")</f>
        <v/>
      </c>
      <c r="X127">
        <f>HYPERLINK("https://klasma.github.io/Logging_2582/kartor/A 19580-2026 karta.png", "A 19580-2026")</f>
        <v/>
      </c>
      <c r="Y127">
        <f>HYPERLINK("https://klasma.github.io/Logging_2582/kartor_geotiff/A 19580-2026 georefererad karta.tif", "A 19580-2026")</f>
        <v/>
      </c>
      <c r="AA127">
        <f>HYPERLINK("https://klasma.github.io/Logging_2582/klagomål/A 19580-2026 FSC-klagomål.docx", "A 19580-2026")</f>
        <v/>
      </c>
      <c r="AB127">
        <f>HYPERLINK("https://klasma.github.io/Logging_2582/klagomålsmail/A 19580-2026 FSC-klagomål mail.docx", "A 19580-2026")</f>
        <v/>
      </c>
      <c r="AC127">
        <f>HYPERLINK("https://klasma.github.io/Logging_2582/tillsyn/A 19580-2026 tillsynsbegäran.docx", "A 19580-2026")</f>
        <v/>
      </c>
      <c r="AD127">
        <f>HYPERLINK("https://klasma.github.io/Logging_2582/tillsynsmail/A 19580-2026 tillsynsbegäran mail.docx", "A 19580-2026")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46253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56598-2025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46253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56598-2025 artfynd.xlsx", "A 56598-2025")</f>
        <v/>
      </c>
      <c r="X129">
        <f>HYPERLINK("https://klasma.github.io/Logging_2582/kartor/A 56598-2025 karta.png", "A 56598-2025")</f>
        <v/>
      </c>
      <c r="Y129">
        <f>HYPERLINK("https://klasma.github.io/Logging_2582/kartor_geotiff/A 56598-2025 georefererad karta.tif", "A 56598-2025")</f>
        <v/>
      </c>
      <c r="AA129">
        <f>HYPERLINK("https://klasma.github.io/Logging_2582/klagomål/A 56598-2025 FSC-klagomål.docx", "A 56598-2025")</f>
        <v/>
      </c>
      <c r="AB129">
        <f>HYPERLINK("https://klasma.github.io/Logging_2582/klagomålsmail/A 56598-2025 FSC-klagomål mail.docx", "A 56598-2025")</f>
        <v/>
      </c>
      <c r="AC129">
        <f>HYPERLINK("https://klasma.github.io/Logging_2582/tillsyn/A 56598-2025 tillsynsbegäran.docx", "A 56598-2025")</f>
        <v/>
      </c>
      <c r="AD129">
        <f>HYPERLINK("https://klasma.github.io/Logging_2582/tillsynsmail/A 56598-2025 tillsynsbegäran mail.docx", "A 56598-2025")</f>
        <v/>
      </c>
    </row>
    <row r="130" ht="15" customHeight="1">
      <c r="A130" t="inlineStr">
        <is>
          <t>A 49410-2023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46253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49410-2023 artfynd.xlsx", "A 49410-2023")</f>
        <v/>
      </c>
      <c r="X130">
        <f>HYPERLINK("https://klasma.github.io/Logging_2582/kartor/A 49410-2023 karta.png", "A 49410-2023")</f>
        <v/>
      </c>
      <c r="Y130">
        <f>HYPERLINK("https://klasma.github.io/Logging_2582/kartor_geotiff/A 49410-2023 georefererad karta.tif", "A 49410-2023")</f>
        <v/>
      </c>
      <c r="AA130">
        <f>HYPERLINK("https://klasma.github.io/Logging_2582/klagomål/A 49410-2023 FSC-klagomål.docx", "A 49410-2023")</f>
        <v/>
      </c>
      <c r="AB130">
        <f>HYPERLINK("https://klasma.github.io/Logging_2582/klagomålsmail/A 49410-2023 FSC-klagomål mail.docx", "A 49410-2023")</f>
        <v/>
      </c>
      <c r="AC130">
        <f>HYPERLINK("https://klasma.github.io/Logging_2582/tillsyn/A 49410-2023 tillsynsbegäran.docx", "A 49410-2023")</f>
        <v/>
      </c>
      <c r="AD130">
        <f>HYPERLINK("https://klasma.github.io/Logging_2582/tillsynsmail/A 49410-2023 tillsynsbegäran mail.docx", "A 49410-2023")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46253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46253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62002-2025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46253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Vitgrynig nållav</t>
        </is>
      </c>
      <c r="W133">
        <f>HYPERLINK("https://klasma.github.io/Logging_2582/artfynd/A 62002-2025 artfynd.xlsx", "A 62002-2025")</f>
        <v/>
      </c>
      <c r="X133">
        <f>HYPERLINK("https://klasma.github.io/Logging_2582/kartor/A 62002-2025 karta.png", "A 62002-2025")</f>
        <v/>
      </c>
      <c r="Y133">
        <f>HYPERLINK("https://klasma.github.io/Logging_2582/kartor_geotiff/A 62002-2025 georefererad karta.tif", "A 62002-2025")</f>
        <v/>
      </c>
      <c r="AA133">
        <f>HYPERLINK("https://klasma.github.io/Logging_2582/klagomål/A 62002-2025 FSC-klagomål.docx", "A 62002-2025")</f>
        <v/>
      </c>
      <c r="AB133">
        <f>HYPERLINK("https://klasma.github.io/Logging_2582/klagomålsmail/A 62002-2025 FSC-klagomål mail.docx", "A 62002-2025")</f>
        <v/>
      </c>
      <c r="AC133">
        <f>HYPERLINK("https://klasma.github.io/Logging_2582/tillsyn/A 62002-2025 tillsynsbegäran.docx", "A 62002-2025")</f>
        <v/>
      </c>
      <c r="AD133">
        <f>HYPERLINK("https://klasma.github.io/Logging_2582/tillsynsmail/A 62002-2025 tillsynsbegäran mail.docx", "A 62002-2025")</f>
        <v/>
      </c>
    </row>
    <row r="134" ht="15" customHeight="1">
      <c r="A134" t="inlineStr">
        <is>
          <t>A 21310-2026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46253</v>
      </c>
      <c r="F134" t="inlineStr">
        <is>
          <t>NORRBOTTENS LÄN</t>
        </is>
      </c>
      <c r="G134" t="inlineStr">
        <is>
          <t>BODEN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21310-2026 artfynd.xlsx", "A 21310-2026")</f>
        <v/>
      </c>
      <c r="X134">
        <f>HYPERLINK("https://klasma.github.io/Logging_2582/kartor/A 21310-2026 karta.png", "A 21310-2026")</f>
        <v/>
      </c>
      <c r="Y134">
        <f>HYPERLINK("https://klasma.github.io/Logging_2582/kartor_geotiff/A 21310-2026 georefererad karta.tif", "A 21310-2026")</f>
        <v/>
      </c>
      <c r="AA134">
        <f>HYPERLINK("https://klasma.github.io/Logging_2582/klagomål/A 21310-2026 FSC-klagomål.docx", "A 21310-2026")</f>
        <v/>
      </c>
      <c r="AB134">
        <f>HYPERLINK("https://klasma.github.io/Logging_2582/klagomålsmail/A 21310-2026 FSC-klagomål mail.docx", "A 21310-2026")</f>
        <v/>
      </c>
      <c r="AC134">
        <f>HYPERLINK("https://klasma.github.io/Logging_2582/tillsyn/A 21310-2026 tillsynsbegäran.docx", "A 21310-2026")</f>
        <v/>
      </c>
      <c r="AD134">
        <f>HYPERLINK("https://klasma.github.io/Logging_2582/tillsynsmail/A 21310-2026 tillsynsbegäran mail.docx", "A 21310-2026")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46253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25805-2026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46253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3.6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HYPERLINK("https://klasma.github.io/Logging_2582/artfynd/A 25805-2026 artfynd.xlsx", "A 25805-2026")</f>
        <v/>
      </c>
      <c r="X136">
        <f>HYPERLINK("https://klasma.github.io/Logging_2582/kartor/A 25805-2026 karta.png", "A 25805-2026")</f>
        <v/>
      </c>
      <c r="Y136">
        <f>HYPERLINK("https://klasma.github.io/Logging_2582/kartor_geotiff/A 25805-2026 georefererad karta.tif", "A 25805-2026")</f>
        <v/>
      </c>
      <c r="AA136">
        <f>HYPERLINK("https://klasma.github.io/Logging_2582/klagomål/A 25805-2026 FSC-klagomål.docx", "A 25805-2026")</f>
        <v/>
      </c>
      <c r="AB136">
        <f>HYPERLINK("https://klasma.github.io/Logging_2582/klagomålsmail/A 25805-2026 FSC-klagomål mail.docx", "A 25805-2026")</f>
        <v/>
      </c>
      <c r="AC136">
        <f>HYPERLINK("https://klasma.github.io/Logging_2582/tillsyn/A 25805-2026 tillsynsbegäran.docx", "A 25805-2026")</f>
        <v/>
      </c>
      <c r="AD136">
        <f>HYPERLINK("https://klasma.github.io/Logging_2582/tillsynsmail/A 25805-2026 tillsynsbegäran mail.docx", "A 25805-2026")</f>
        <v/>
      </c>
    </row>
    <row r="137" ht="15" customHeight="1">
      <c r="A137" t="inlineStr">
        <is>
          <t>A 25801-2026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HYPERLINK("https://klasma.github.io/Logging_2582/artfynd/A 25801-2026 artfynd.xlsx", "A 25801-2026")</f>
        <v/>
      </c>
      <c r="X137">
        <f>HYPERLINK("https://klasma.github.io/Logging_2582/kartor/A 25801-2026 karta.png", "A 25801-2026")</f>
        <v/>
      </c>
      <c r="Y137">
        <f>HYPERLINK("https://klasma.github.io/Logging_2582/kartor_geotiff/A 25801-2026 georefererad karta.tif", "A 25801-2026")</f>
        <v/>
      </c>
      <c r="Z137">
        <f>HYPERLINK("https://klasma.github.io/Logging_2582/knärot/A 25801-2026 karta knärot.png", "A 25801-2026")</f>
        <v/>
      </c>
      <c r="AA137">
        <f>HYPERLINK("https://klasma.github.io/Logging_2582/klagomål/A 25801-2026 FSC-klagomål.docx", "A 25801-2026")</f>
        <v/>
      </c>
      <c r="AB137">
        <f>HYPERLINK("https://klasma.github.io/Logging_2582/klagomålsmail/A 25801-2026 FSC-klagomål mail.docx", "A 25801-2026")</f>
        <v/>
      </c>
      <c r="AC137">
        <f>HYPERLINK("https://klasma.github.io/Logging_2582/tillsyn/A 25801-2026 tillsynsbegäran.docx", "A 25801-2026")</f>
        <v/>
      </c>
      <c r="AD137">
        <f>HYPERLINK("https://klasma.github.io/Logging_2582/tillsynsmail/A 25801-2026 tillsynsbegäran mail.docx", "A 25801-2026")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46253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Spindelblomster</t>
        </is>
      </c>
      <c r="W138">
        <f>HYPERLINK("https://klasma.github.io/Logging_2582/artfynd/A 25803-2026 artfynd.xlsx", "A 25803-2026")</f>
        <v/>
      </c>
      <c r="X138">
        <f>HYPERLINK("https://klasma.github.io/Logging_2582/kartor/A 25803-2026 karta.png", "A 25803-2026")</f>
        <v/>
      </c>
      <c r="Y138">
        <f>HYPERLINK("https://klasma.github.io/Logging_2582/kartor_geotiff/A 25803-2026 georefererad karta.tif", "A 25803-2026")</f>
        <v/>
      </c>
      <c r="AA138">
        <f>HYPERLINK("https://klasma.github.io/Logging_2582/klagomål/A 25803-2026 FSC-klagomål.docx", "A 25803-2026")</f>
        <v/>
      </c>
      <c r="AB138">
        <f>HYPERLINK("https://klasma.github.io/Logging_2582/klagomålsmail/A 25803-2026 FSC-klagomål mail.docx", "A 25803-2026")</f>
        <v/>
      </c>
      <c r="AC138">
        <f>HYPERLINK("https://klasma.github.io/Logging_2582/tillsyn/A 25803-2026 tillsynsbegäran.docx", "A 25803-2026")</f>
        <v/>
      </c>
      <c r="AD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26438-2026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46183</v>
      </c>
      <c r="E139" s="1" t="n">
        <v>46253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15.9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Kolflarnlav</t>
        </is>
      </c>
      <c r="W139">
        <f>HYPERLINK("https://klasma.github.io/Logging_2582/artfynd/A 26438-2026 artfynd.xlsx", "A 26438-2026")</f>
        <v/>
      </c>
      <c r="X139">
        <f>HYPERLINK("https://klasma.github.io/Logging_2582/kartor/A 26438-2026 karta.png", "A 26438-2026")</f>
        <v/>
      </c>
      <c r="Y139">
        <f>HYPERLINK("https://klasma.github.io/Logging_2582/kartor_geotiff/A 26438-2026 georefererad karta.tif", "A 26438-2026")</f>
        <v/>
      </c>
      <c r="AA139">
        <f>HYPERLINK("https://klasma.github.io/Logging_2582/klagomål/A 26438-2026 FSC-klagomål.docx", "A 26438-2026")</f>
        <v/>
      </c>
      <c r="AB139">
        <f>HYPERLINK("https://klasma.github.io/Logging_2582/klagomålsmail/A 26438-2026 FSC-klagomål mail.docx", "A 26438-2026")</f>
        <v/>
      </c>
      <c r="AC139">
        <f>HYPERLINK("https://klasma.github.io/Logging_2582/tillsyn/A 26438-2026 tillsynsbegäran.docx", "A 26438-2026")</f>
        <v/>
      </c>
      <c r="AD139">
        <f>HYPERLINK("https://klasma.github.io/Logging_2582/tillsynsmail/A 26438-2026 tillsynsbegäran mail.docx", "A 26438-2026")</f>
        <v/>
      </c>
    </row>
    <row r="140" ht="15" customHeight="1">
      <c r="A140" t="inlineStr">
        <is>
          <t>A 26690-2026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46253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11.9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HYPERLINK("https://klasma.github.io/Logging_2582/artfynd/A 26690-2026 artfynd.xlsx", "A 26690-2026")</f>
        <v/>
      </c>
      <c r="X140">
        <f>HYPERLINK("https://klasma.github.io/Logging_2582/kartor/A 26690-2026 karta.png", "A 26690-2026")</f>
        <v/>
      </c>
      <c r="Y140">
        <f>HYPERLINK("https://klasma.github.io/Logging_2582/kartor_geotiff/A 26690-2026 georefererad karta.tif", "A 26690-2026")</f>
        <v/>
      </c>
      <c r="Z140">
        <f>HYPERLINK("https://klasma.github.io/Logging_2582/knärot/A 26690-2026 karta knärot.png", "A 26690-2026")</f>
        <v/>
      </c>
      <c r="AA140">
        <f>HYPERLINK("https://klasma.github.io/Logging_2582/klagomål/A 26690-2026 FSC-klagomål.docx", "A 26690-2026")</f>
        <v/>
      </c>
      <c r="AB140">
        <f>HYPERLINK("https://klasma.github.io/Logging_2582/klagomålsmail/A 26690-2026 FSC-klagomål mail.docx", "A 26690-2026")</f>
        <v/>
      </c>
      <c r="AC140">
        <f>HYPERLINK("https://klasma.github.io/Logging_2582/tillsyn/A 26690-2026 tillsynsbegäran.docx", "A 26690-2026")</f>
        <v/>
      </c>
      <c r="AD140">
        <f>HYPERLINK("https://klasma.github.io/Logging_2582/tillsynsmail/A 26690-2026 tillsynsbegäran mail.docx", "A 26690-2026")</f>
        <v/>
      </c>
    </row>
    <row r="141" ht="15" customHeight="1">
      <c r="A141" t="inlineStr">
        <is>
          <t>A 19396-2022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46253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Tallticka</t>
        </is>
      </c>
      <c r="W141">
        <f>HYPERLINK("https://klasma.github.io/Logging_2582/artfynd/A 19396-2022 artfynd.xlsx", "A 19396-2022")</f>
        <v/>
      </c>
      <c r="X141">
        <f>HYPERLINK("https://klasma.github.io/Logging_2582/kartor/A 19396-2022 karta.png", "A 19396-2022")</f>
        <v/>
      </c>
      <c r="Y141">
        <f>HYPERLINK("https://klasma.github.io/Logging_2582/kartor_geotiff/A 19396-2022 georefererad karta.tif", "A 19396-2022")</f>
        <v/>
      </c>
      <c r="AA141">
        <f>HYPERLINK("https://klasma.github.io/Logging_2582/klagomål/A 19396-2022 FSC-klagomål.docx", "A 19396-2022")</f>
        <v/>
      </c>
      <c r="AB141">
        <f>HYPERLINK("https://klasma.github.io/Logging_2582/klagomålsmail/A 19396-2022 FSC-klagomål mail.docx", "A 19396-2022")</f>
        <v/>
      </c>
      <c r="AC141">
        <f>HYPERLINK("https://klasma.github.io/Logging_2582/tillsyn/A 19396-2022 tillsynsbegäran.docx", "A 19396-2022")</f>
        <v/>
      </c>
      <c r="AD141">
        <f>HYPERLINK("https://klasma.github.io/Logging_2582/tillsynsmail/A 19396-2022 tillsynsbegäran mail.docx", "A 19396-2022")</f>
        <v/>
      </c>
    </row>
    <row r="142" ht="15" customHeight="1">
      <c r="A142" t="inlineStr">
        <is>
          <t>A 2565-2026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46253</v>
      </c>
      <c r="F142" t="inlineStr">
        <is>
          <t>NORRBOTTENS LÄN</t>
        </is>
      </c>
      <c r="G142" t="inlineStr">
        <is>
          <t>BODEN</t>
        </is>
      </c>
      <c r="H142" t="inlineStr">
        <is>
          <t>Naturvårdsverket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2</v>
      </c>
      <c r="V142" s="2" t="inlineStr">
        <is>
          <t>Garnlav</t>
        </is>
      </c>
      <c r="W142">
        <f>HYPERLINK("https://klasma.github.io/Logging_2582/artfynd/A 2565-2026 artfynd.xlsx", "A 2565-2026")</f>
        <v/>
      </c>
      <c r="X142">
        <f>HYPERLINK("https://klasma.github.io/Logging_2582/kartor/A 2565-2026 karta.png", "A 2565-2026")</f>
        <v/>
      </c>
      <c r="Y142">
        <f>HYPERLINK("https://klasma.github.io/Logging_2582/kartor_geotiff/A 2565-2026 georefererad karta.tif", "A 2565-2026")</f>
        <v/>
      </c>
      <c r="AA142">
        <f>HYPERLINK("https://klasma.github.io/Logging_2582/klagomål/A 2565-2026 FSC-klagomål.docx", "A 2565-2026")</f>
        <v/>
      </c>
      <c r="AB142">
        <f>HYPERLINK("https://klasma.github.io/Logging_2582/klagomålsmail/A 2565-2026 FSC-klagomål mail.docx", "A 2565-2026")</f>
        <v/>
      </c>
      <c r="AC142">
        <f>HYPERLINK("https://klasma.github.io/Logging_2582/tillsyn/A 2565-2026 tillsynsbegäran.docx", "A 2565-2026")</f>
        <v/>
      </c>
      <c r="AD142">
        <f>HYPERLINK("https://klasma.github.io/Logging_2582/tillsynsmail/A 2565-2026 tillsynsbegäran mail.docx", "A 2565-2026")</f>
        <v/>
      </c>
    </row>
    <row r="143" ht="15" customHeight="1">
      <c r="A143" t="inlineStr">
        <is>
          <t>A 32159-2026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46236</v>
      </c>
      <c r="E143" s="1" t="n">
        <v>46253</v>
      </c>
      <c r="F143" t="inlineStr">
        <is>
          <t>NORRBOTTENS LÄN</t>
        </is>
      </c>
      <c r="G143" t="inlineStr">
        <is>
          <t>BODEN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32159-2026 artfynd.xlsx", "A 32159-2026")</f>
        <v/>
      </c>
      <c r="X143">
        <f>HYPERLINK("https://klasma.github.io/Logging_2582/kartor/A 32159-2026 karta.png", "A 32159-2026")</f>
        <v/>
      </c>
      <c r="Y143">
        <f>HYPERLINK("https://klasma.github.io/Logging_2582/kartor_geotiff/A 32159-2026 georefererad karta.tif", "A 32159-2026")</f>
        <v/>
      </c>
      <c r="AA143">
        <f>HYPERLINK("https://klasma.github.io/Logging_2582/klagomål/A 32159-2026 FSC-klagomål.docx", "A 32159-2026")</f>
        <v/>
      </c>
      <c r="AB143">
        <f>HYPERLINK("https://klasma.github.io/Logging_2582/klagomålsmail/A 32159-2026 FSC-klagomål mail.docx", "A 32159-2026")</f>
        <v/>
      </c>
      <c r="AC143">
        <f>HYPERLINK("https://klasma.github.io/Logging_2582/tillsyn/A 32159-2026 tillsynsbegäran.docx", "A 32159-2026")</f>
        <v/>
      </c>
      <c r="AD143">
        <f>HYPERLINK("https://klasma.github.io/Logging_2582/tillsynsmail/A 32159-2026 tillsynsbegäran mail.docx", "A 32159-2026")</f>
        <v/>
      </c>
    </row>
    <row r="144" ht="15" customHeight="1">
      <c r="A144" t="inlineStr">
        <is>
          <t>A 52078-2021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44463</v>
      </c>
      <c r="E144" s="1" t="n">
        <v>46253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4</v>
      </c>
      <c r="U144" t="n">
        <v>4</v>
      </c>
      <c r="V144" s="2" t="inlineStr">
        <is>
          <t>Knärot</t>
        </is>
      </c>
      <c r="W144">
        <f>HYPERLINK("https://klasma.github.io/Logging_2582/artfynd/A 52078-2021 artfynd.xlsx", "A 52078-2021")</f>
        <v/>
      </c>
      <c r="X144">
        <f>HYPERLINK("https://klasma.github.io/Logging_2582/kartor/A 52078-2021 karta.png", "A 52078-2021")</f>
        <v/>
      </c>
      <c r="Y144">
        <f>HYPERLINK("https://klasma.github.io/Logging_2582/kartor_geotiff/A 52078-2021 georefererad karta.tif", "A 52078-2021")</f>
        <v/>
      </c>
      <c r="Z144">
        <f>HYPERLINK("https://klasma.github.io/Logging_2582/knärot/A 52078-2021 karta knärot.png", "A 52078-2021")</f>
        <v/>
      </c>
      <c r="AA144">
        <f>HYPERLINK("https://klasma.github.io/Logging_2582/klagomål/A 52078-2021 FSC-klagomål.docx", "A 52078-2021")</f>
        <v/>
      </c>
      <c r="AB144">
        <f>HYPERLINK("https://klasma.github.io/Logging_2582/klagomålsmail/A 52078-2021 FSC-klagomål mail.docx", "A 52078-2021")</f>
        <v/>
      </c>
      <c r="AC144">
        <f>HYPERLINK("https://klasma.github.io/Logging_2582/tillsyn/A 52078-2021 tillsynsbegäran.docx", "A 52078-2021")</f>
        <v/>
      </c>
      <c r="AD144">
        <f>HYPERLINK("https://klasma.github.io/Logging_2582/tillsynsmail/A 52078-2021 tillsynsbegäran mail.docx", "A 52078-2021")</f>
        <v/>
      </c>
    </row>
    <row r="145" ht="15" customHeight="1">
      <c r="A145" t="inlineStr">
        <is>
          <t>A 32664-2026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46253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14.3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4</v>
      </c>
      <c r="U145" t="n">
        <v>0</v>
      </c>
      <c r="V145" s="2" t="inlineStr">
        <is>
          <t>Lunglav</t>
        </is>
      </c>
      <c r="W145">
        <f>HYPERLINK("https://klasma.github.io/Logging_2582/artfynd/A 32664-2026 artfynd.xlsx", "A 32664-2026")</f>
        <v/>
      </c>
      <c r="X145">
        <f>HYPERLINK("https://klasma.github.io/Logging_2582/kartor/A 32664-2026 karta.png", "A 32664-2026")</f>
        <v/>
      </c>
      <c r="Y145">
        <f>HYPERLINK("https://klasma.github.io/Logging_2582/kartor_geotiff/A 32664-2026 georefererad karta.tif", "A 32664-2026")</f>
        <v/>
      </c>
      <c r="AA145">
        <f>HYPERLINK("https://klasma.github.io/Logging_2582/klagomål/A 32664-2026 FSC-klagomål.docx", "A 32664-2026")</f>
        <v/>
      </c>
      <c r="AB145">
        <f>HYPERLINK("https://klasma.github.io/Logging_2582/klagomålsmail/A 32664-2026 FSC-klagomål mail.docx", "A 32664-2026")</f>
        <v/>
      </c>
      <c r="AC145">
        <f>HYPERLINK("https://klasma.github.io/Logging_2582/tillsyn/A 32664-2026 tillsynsbegäran.docx", "A 32664-2026")</f>
        <v/>
      </c>
      <c r="AD145">
        <f>HYPERLINK("https://klasma.github.io/Logging_2582/tillsynsmail/A 32664-2026 tillsynsbegäran mail.docx", "A 32664-2026")</f>
        <v/>
      </c>
    </row>
    <row r="146" ht="15" customHeight="1">
      <c r="A146" t="inlineStr">
        <is>
          <t>A 32708-2026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46253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Lunglav</t>
        </is>
      </c>
      <c r="W146">
        <f>HYPERLINK("https://klasma.github.io/Logging_2582/artfynd/A 32708-2026 artfynd.xlsx", "A 32708-2026")</f>
        <v/>
      </c>
      <c r="X146">
        <f>HYPERLINK("https://klasma.github.io/Logging_2582/kartor/A 32708-2026 karta.png", "A 32708-2026")</f>
        <v/>
      </c>
      <c r="Y146">
        <f>HYPERLINK("https://klasma.github.io/Logging_2582/kartor_geotiff/A 32708-2026 georefererad karta.tif", "A 32708-2026")</f>
        <v/>
      </c>
      <c r="AA146">
        <f>HYPERLINK("https://klasma.github.io/Logging_2582/klagomål/A 32708-2026 FSC-klagomål.docx", "A 32708-2026")</f>
        <v/>
      </c>
      <c r="AB146">
        <f>HYPERLINK("https://klasma.github.io/Logging_2582/klagomålsmail/A 32708-2026 FSC-klagomål mail.docx", "A 32708-2026")</f>
        <v/>
      </c>
      <c r="AC146">
        <f>HYPERLINK("https://klasma.github.io/Logging_2582/tillsyn/A 32708-2026 tillsynsbegäran.docx", "A 32708-2026")</f>
        <v/>
      </c>
      <c r="AD146">
        <f>HYPERLINK("https://klasma.github.io/Logging_2582/tillsynsmail/A 32708-2026 tillsynsbegäran mail.docx", "A 32708-2026")</f>
        <v/>
      </c>
    </row>
    <row r="147" ht="15" customHeight="1">
      <c r="A147" t="inlineStr">
        <is>
          <t>A 29875-2026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46253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Tallticka</t>
        </is>
      </c>
      <c r="W147">
        <f>HYPERLINK("https://klasma.github.io/Logging_2582/artfynd/A 29875-2026 artfynd.xlsx", "A 29875-2026")</f>
        <v/>
      </c>
      <c r="X147">
        <f>HYPERLINK("https://klasma.github.io/Logging_2582/kartor/A 29875-2026 karta.png", "A 29875-2026")</f>
        <v/>
      </c>
      <c r="Y147">
        <f>HYPERLINK("https://klasma.github.io/Logging_2582/kartor_geotiff/A 29875-2026 georefererad karta.tif", "A 29875-2026")</f>
        <v/>
      </c>
      <c r="AA147">
        <f>HYPERLINK("https://klasma.github.io/Logging_2582/klagomål/A 29875-2026 FSC-klagomål.docx", "A 29875-2026")</f>
        <v/>
      </c>
      <c r="AB147">
        <f>HYPERLINK("https://klasma.github.io/Logging_2582/klagomålsmail/A 29875-2026 FSC-klagomål mail.docx", "A 29875-2026")</f>
        <v/>
      </c>
      <c r="AC147">
        <f>HYPERLINK("https://klasma.github.io/Logging_2582/tillsyn/A 29875-2026 tillsynsbegäran.docx", "A 29875-2026")</f>
        <v/>
      </c>
      <c r="AD147">
        <f>HYPERLINK("https://klasma.github.io/Logging_2582/tillsynsmail/A 29875-2026 tillsynsbegäran mail.docx", "A 29875-2026")</f>
        <v/>
      </c>
    </row>
    <row r="148" ht="15" customHeight="1">
      <c r="A148" t="inlineStr">
        <is>
          <t>A 665-2023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44925</v>
      </c>
      <c r="E148" s="1" t="n">
        <v>46253</v>
      </c>
      <c r="F148" t="inlineStr">
        <is>
          <t>NORRBOTTENS LÄN</t>
        </is>
      </c>
      <c r="G148" t="inlineStr">
        <is>
          <t>BODEN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Duvhök</t>
        </is>
      </c>
      <c r="W148">
        <f>HYPERLINK("https://klasma.github.io/Logging_2582/artfynd/A 665-2023 artfynd.xlsx", "A 665-2023")</f>
        <v/>
      </c>
      <c r="X148">
        <f>HYPERLINK("https://klasma.github.io/Logging_2582/kartor/A 665-2023 karta.png", "A 665-2023")</f>
        <v/>
      </c>
      <c r="Y148">
        <f>HYPERLINK("https://klasma.github.io/Logging_2582/kartor_geotiff/A 665-2023 georefererad karta.tif", "A 665-2023")</f>
        <v/>
      </c>
      <c r="AA148">
        <f>HYPERLINK("https://klasma.github.io/Logging_2582/klagomål/A 665-2023 FSC-klagomål.docx", "A 665-2023")</f>
        <v/>
      </c>
      <c r="AB148">
        <f>HYPERLINK("https://klasma.github.io/Logging_2582/klagomålsmail/A 665-2023 FSC-klagomål mail.docx", "A 665-2023")</f>
        <v/>
      </c>
      <c r="AC148">
        <f>HYPERLINK("https://klasma.github.io/Logging_2582/tillsyn/A 665-2023 tillsynsbegäran.docx", "A 665-2023")</f>
        <v/>
      </c>
      <c r="AD148">
        <f>HYPERLINK("https://klasma.github.io/Logging_2582/tillsynsmail/A 665-2023 tillsynsbegäran mail.docx", "A 665-2023")</f>
        <v/>
      </c>
      <c r="AE148">
        <f>HYPERLINK("https://klasma.github.io/Logging_2582/fåglar/A 665-2023 prioriterade fågelarter.docx", "A 665-2023")</f>
        <v/>
      </c>
    </row>
    <row r="149" ht="15" customHeight="1">
      <c r="A149" t="inlineStr">
        <is>
          <t>A 2568-2024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46253</v>
      </c>
      <c r="F149" t="inlineStr">
        <is>
          <t>NORRBOTTENS LÄN</t>
        </is>
      </c>
      <c r="G149" t="inlineStr">
        <is>
          <t>BODEN</t>
        </is>
      </c>
      <c r="I149" t="n">
        <v>1.6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 taggsvamp</t>
        </is>
      </c>
      <c r="W149">
        <f>HYPERLINK("https://klasma.github.io/Logging_2582/artfynd/A 2568-2024 artfynd.xlsx", "A 2568-2024")</f>
        <v/>
      </c>
      <c r="X149">
        <f>HYPERLINK("https://klasma.github.io/Logging_2582/kartor/A 2568-2024 karta.png", "A 2568-2024")</f>
        <v/>
      </c>
      <c r="Y149">
        <f>HYPERLINK("https://klasma.github.io/Logging_2582/kartor_geotiff/A 2568-2024 georefererad karta.tif", "A 2568-2024")</f>
        <v/>
      </c>
      <c r="AA149">
        <f>HYPERLINK("https://klasma.github.io/Logging_2582/klagomål/A 2568-2024 FSC-klagomål.docx", "A 2568-2024")</f>
        <v/>
      </c>
      <c r="AB149">
        <f>HYPERLINK("https://klasma.github.io/Logging_2582/klagomålsmail/A 2568-2024 FSC-klagomål mail.docx", "A 2568-2024")</f>
        <v/>
      </c>
      <c r="AC149">
        <f>HYPERLINK("https://klasma.github.io/Logging_2582/tillsyn/A 2568-2024 tillsynsbegäran.docx", "A 2568-2024")</f>
        <v/>
      </c>
      <c r="AD149">
        <f>HYPERLINK("https://klasma.github.io/Logging_2582/tillsynsmail/A 2568-2024 tillsynsbegäran mail.docx", "A 2568-2024")</f>
        <v/>
      </c>
    </row>
    <row r="150" ht="15" customHeight="1">
      <c r="A150" t="inlineStr">
        <is>
          <t>A 36743-2024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46253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HYPERLINK("https://klasma.github.io/Logging_2582/artfynd/A 36743-2024 artfynd.xlsx", "A 36743-2024")</f>
        <v/>
      </c>
      <c r="X150">
        <f>HYPERLINK("https://klasma.github.io/Logging_2582/kartor/A 36743-2024 karta.png", "A 36743-2024")</f>
        <v/>
      </c>
      <c r="Y150">
        <f>HYPERLINK("https://klasma.github.io/Logging_2582/kartor_geotiff/A 36743-2024 georefererad karta.tif", "A 36743-2024")</f>
        <v/>
      </c>
      <c r="AA150">
        <f>HYPERLINK("https://klasma.github.io/Logging_2582/klagomål/A 36743-2024 FSC-klagomål.docx", "A 36743-2024")</f>
        <v/>
      </c>
      <c r="AB150">
        <f>HYPERLINK("https://klasma.github.io/Logging_2582/klagomålsmail/A 36743-2024 FSC-klagomål mail.docx", "A 36743-2024")</f>
        <v/>
      </c>
      <c r="AC150">
        <f>HYPERLINK("https://klasma.github.io/Logging_2582/tillsyn/A 36743-2024 tillsynsbegäran.docx", "A 36743-2024")</f>
        <v/>
      </c>
      <c r="AD150">
        <f>HYPERLINK("https://klasma.github.io/Logging_2582/tillsynsmail/A 36743-2024 tillsynsbegäran mail.docx", "A 36743-2024")</f>
        <v/>
      </c>
    </row>
    <row r="151" ht="15" customHeight="1">
      <c r="A151" t="inlineStr">
        <is>
          <t>A 68514-2021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44529</v>
      </c>
      <c r="E151" s="1" t="n">
        <v>46253</v>
      </c>
      <c r="F151" t="inlineStr">
        <is>
          <t>NORRBOTTENS LÄN</t>
        </is>
      </c>
      <c r="G151" t="inlineStr">
        <is>
          <t>BODEN</t>
        </is>
      </c>
      <c r="I151" t="n">
        <v>6.2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Spillkråka</t>
        </is>
      </c>
      <c r="W151">
        <f>HYPERLINK("https://klasma.github.io/Logging_2582/artfynd/A 68514-2021 artfynd.xlsx", "A 68514-2021")</f>
        <v/>
      </c>
      <c r="X151">
        <f>HYPERLINK("https://klasma.github.io/Logging_2582/kartor/A 68514-2021 karta.png", "A 68514-2021")</f>
        <v/>
      </c>
      <c r="Y151">
        <f>HYPERLINK("https://klasma.github.io/Logging_2582/kartor_geotiff/A 68514-2021 georefererad karta.tif", "A 68514-2021")</f>
        <v/>
      </c>
      <c r="Z151">
        <f>HYPERLINK("https://klasma.github.io/Logging_2582/knärot/A 68514-2021 karta knärot.png", "A 68514-2021")</f>
        <v/>
      </c>
      <c r="AA151">
        <f>HYPERLINK("https://klasma.github.io/Logging_2582/klagomål/A 68514-2021 FSC-klagomål.docx", "A 68514-2021")</f>
        <v/>
      </c>
      <c r="AB151">
        <f>HYPERLINK("https://klasma.github.io/Logging_2582/klagomålsmail/A 68514-2021 FSC-klagomål mail.docx", "A 68514-2021")</f>
        <v/>
      </c>
      <c r="AC151">
        <f>HYPERLINK("https://klasma.github.io/Logging_2582/tillsyn/A 68514-2021 tillsynsbegäran.docx", "A 68514-2021")</f>
        <v/>
      </c>
      <c r="AD151">
        <f>HYPERLINK("https://klasma.github.io/Logging_2582/tillsynsmail/A 68514-2021 tillsynsbegäran mail.docx", "A 68514-2021")</f>
        <v/>
      </c>
      <c r="AE151">
        <f>HYPERLINK("https://klasma.github.io/Logging_2582/fåglar/A 68514-2021 prioriterade fågelarter.docx", "A 68514-2021")</f>
        <v/>
      </c>
    </row>
    <row r="152" ht="15" customHeight="1">
      <c r="A152" t="inlineStr">
        <is>
          <t>A 16217-2024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46253</v>
      </c>
      <c r="F152" t="inlineStr">
        <is>
          <t>NORRBOTTENS LÄN</t>
        </is>
      </c>
      <c r="G152" t="inlineStr">
        <is>
          <t>BODEN</t>
        </is>
      </c>
      <c r="I152" t="n">
        <v>7.2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Videsparv</t>
        </is>
      </c>
      <c r="W152">
        <f>HYPERLINK("https://klasma.github.io/Logging_2582/artfynd/A 16217-2024 artfynd.xlsx", "A 16217-2024")</f>
        <v/>
      </c>
      <c r="X152">
        <f>HYPERLINK("https://klasma.github.io/Logging_2582/kartor/A 16217-2024 karta.png", "A 16217-2024")</f>
        <v/>
      </c>
      <c r="Y152">
        <f>HYPERLINK("https://klasma.github.io/Logging_2582/kartor_geotiff/A 16217-2024 georefererad karta.tif", "A 16217-2024")</f>
        <v/>
      </c>
      <c r="AA152">
        <f>HYPERLINK("https://klasma.github.io/Logging_2582/klagomål/A 16217-2024 FSC-klagomål.docx", "A 16217-2024")</f>
        <v/>
      </c>
      <c r="AB152">
        <f>HYPERLINK("https://klasma.github.io/Logging_2582/klagomålsmail/A 16217-2024 FSC-klagomål mail.docx", "A 16217-2024")</f>
        <v/>
      </c>
      <c r="AC152">
        <f>HYPERLINK("https://klasma.github.io/Logging_2582/tillsyn/A 16217-2024 tillsynsbegäran.docx", "A 16217-2024")</f>
        <v/>
      </c>
      <c r="AD152">
        <f>HYPERLINK("https://klasma.github.io/Logging_2582/tillsynsmail/A 16217-2024 tillsynsbegäran mail.docx", "A 16217-2024")</f>
        <v/>
      </c>
      <c r="AE152">
        <f>HYPERLINK("https://klasma.github.io/Logging_2582/fåglar/A 16217-2024 prioriterade fågelarter.docx", "A 16217-2024")</f>
        <v/>
      </c>
    </row>
    <row r="153" ht="15" customHeight="1">
      <c r="A153" t="inlineStr">
        <is>
          <t>S 187-2023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44944</v>
      </c>
      <c r="E153" s="1" t="n">
        <v>46253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407.1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HYPERLINK("https://klasma.github.io/Logging_2582/artfynd/S 187-2023 artfynd.xlsx", "S 187-2023")</f>
        <v/>
      </c>
      <c r="X153">
        <f>HYPERLINK("https://klasma.github.io/Logging_2582/kartor/S 187-2023 karta.png", "S 187-2023")</f>
        <v/>
      </c>
      <c r="Y153">
        <f>HYPERLINK("https://klasma.github.io/Logging_2582/kartor_geotiff/S 187-2023 georefererad karta.tif", "S 187-2023")</f>
        <v/>
      </c>
      <c r="AA153">
        <f>HYPERLINK("https://klasma.github.io/Logging_2582/klagomål/S 187-2023 FSC-klagomål.docx", "S 187-2023")</f>
        <v/>
      </c>
      <c r="AB153">
        <f>HYPERLINK("https://klasma.github.io/Logging_2582/klagomålsmail/S 187-2023 FSC-klagomål mail.docx", "S 187-2023")</f>
        <v/>
      </c>
      <c r="AC153">
        <f>HYPERLINK("https://klasma.github.io/Logging_2582/tillsyn/S 187-2023 tillsynsbegäran.docx", "S 187-2023")</f>
        <v/>
      </c>
      <c r="AD153">
        <f>HYPERLINK("https://klasma.github.io/Logging_2582/tillsynsmail/S 187-2023 tillsynsbegäran mail.docx", "S 187-2023")</f>
        <v/>
      </c>
      <c r="AE153">
        <f>HYPERLINK("https://klasma.github.io/Logging_2582/fåglar/S 187-2023 prioriterade fågelarter.docx", "S 187-2023")</f>
        <v/>
      </c>
    </row>
    <row r="154" ht="15" customHeight="1">
      <c r="A154" t="inlineStr">
        <is>
          <t>S 1448-2024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45418</v>
      </c>
      <c r="E154" s="1" t="n">
        <v>46253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HYPERLINK("https://klasma.github.io/Logging_2582/artfynd/S 1448-2024 artfynd.xlsx", "S 1448-2024")</f>
        <v/>
      </c>
      <c r="X154">
        <f>HYPERLINK("https://klasma.github.io/Logging_2582/kartor/S 1448-2024 karta.png", "S 1448-2024")</f>
        <v/>
      </c>
      <c r="Y154">
        <f>HYPERLINK("https://klasma.github.io/Logging_2582/kartor_geotiff/S 1448-2024 georefererad karta.tif", "S 1448-2024")</f>
        <v/>
      </c>
      <c r="AA154">
        <f>HYPERLINK("https://klasma.github.io/Logging_2582/klagomål/S 1448-2024 FSC-klagomål.docx", "S 1448-2024")</f>
        <v/>
      </c>
      <c r="AB154">
        <f>HYPERLINK("https://klasma.github.io/Logging_2582/klagomålsmail/S 1448-2024 FSC-klagomål mail.docx", "S 1448-2024")</f>
        <v/>
      </c>
      <c r="AC154">
        <f>HYPERLINK("https://klasma.github.io/Logging_2582/tillsyn/S 1448-2024 tillsynsbegäran.docx", "S 1448-2024")</f>
        <v/>
      </c>
      <c r="AD154">
        <f>HYPERLINK("https://klasma.github.io/Logging_2582/tillsynsmail/S 1448-2024 tillsynsbegäran mail.docx", "S 1448-2024")</f>
        <v/>
      </c>
    </row>
    <row r="155" ht="15" customHeight="1">
      <c r="A155" t="inlineStr">
        <is>
          <t>S 1234-2023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45028</v>
      </c>
      <c r="E155" s="1" t="n">
        <v>46253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100.1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HYPERLINK("https://klasma.github.io/Logging_2582/artfynd/S 1234-2023 artfynd.xlsx", "S 1234-2023")</f>
        <v/>
      </c>
      <c r="X155">
        <f>HYPERLINK("https://klasma.github.io/Logging_2582/kartor/S 1234-2023 karta.png", "S 1234-2023")</f>
        <v/>
      </c>
      <c r="Y155">
        <f>HYPERLINK("https://klasma.github.io/Logging_2582/kartor_geotiff/S 1234-2023 georefererad karta.tif", "S 1234-2023")</f>
        <v/>
      </c>
      <c r="AA155">
        <f>HYPERLINK("https://klasma.github.io/Logging_2582/klagomål/S 1234-2023 FSC-klagomål.docx", "S 1234-2023")</f>
        <v/>
      </c>
      <c r="AB155">
        <f>HYPERLINK("https://klasma.github.io/Logging_2582/klagomålsmail/S 1234-2023 FSC-klagomål mail.docx", "S 1234-2023")</f>
        <v/>
      </c>
      <c r="AC155">
        <f>HYPERLINK("https://klasma.github.io/Logging_2582/tillsyn/S 1234-2023 tillsynsbegäran.docx", "S 1234-2023")</f>
        <v/>
      </c>
      <c r="AD155">
        <f>HYPERLINK("https://klasma.github.io/Logging_2582/tillsynsmail/S 1234-2023 tillsynsbegäran mail.docx", "S 1234-2023")</f>
        <v/>
      </c>
    </row>
    <row r="156" ht="15" customHeight="1">
      <c r="A156" t="inlineStr">
        <is>
          <t>S 5116-2024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45643</v>
      </c>
      <c r="E156" s="1" t="n">
        <v>46253</v>
      </c>
      <c r="F156" t="inlineStr">
        <is>
          <t>NORRBOTTENS LÄN</t>
        </is>
      </c>
      <c r="G156" t="inlineStr">
        <is>
          <t>BODEN</t>
        </is>
      </c>
      <c r="I156" t="n">
        <v>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HYPERLINK("https://klasma.github.io/Logging_2582/artfynd/S 5116-2024 artfynd.xlsx", "S 5116-2024")</f>
        <v/>
      </c>
      <c r="X156">
        <f>HYPERLINK("https://klasma.github.io/Logging_2582/kartor/S 5116-2024 karta.png", "S 5116-2024")</f>
        <v/>
      </c>
      <c r="Y156">
        <f>HYPERLINK("https://klasma.github.io/Logging_2582/kartor_geotiff/S 5116-2024 georefererad karta.tif", "S 5116-2024")</f>
        <v/>
      </c>
      <c r="AA156">
        <f>HYPERLINK("https://klasma.github.io/Logging_2582/klagomål/S 5116-2024 FSC-klagomål.docx", "S 5116-2024")</f>
        <v/>
      </c>
      <c r="AB156">
        <f>HYPERLINK("https://klasma.github.io/Logging_2582/klagomålsmail/S 5116-2024 FSC-klagomål mail.docx", "S 5116-2024")</f>
        <v/>
      </c>
      <c r="AC156">
        <f>HYPERLINK("https://klasma.github.io/Logging_2582/tillsyn/S 5116-2024 tillsynsbegäran.docx", "S 5116-2024")</f>
        <v/>
      </c>
      <c r="AD156">
        <f>HYPERLINK("https://klasma.github.io/Logging_2582/tillsynsmail/S 5116-2024 tillsynsbegäran mail.docx", "S 5116-2024")</f>
        <v/>
      </c>
    </row>
    <row r="157" ht="15" customHeight="1">
      <c r="A157" t="inlineStr">
        <is>
          <t>S 1634-2025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45799</v>
      </c>
      <c r="E157" s="1" t="n">
        <v>46253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HYPERLINK("https://klasma.github.io/Logging_2582/artfynd/S 1634-2025 artfynd.xlsx", "S 1634-2025")</f>
        <v/>
      </c>
      <c r="X157">
        <f>HYPERLINK("https://klasma.github.io/Logging_2582/kartor/S 1634-2025 karta.png", "S 1634-2025")</f>
        <v/>
      </c>
      <c r="Y157">
        <f>HYPERLINK("https://klasma.github.io/Logging_2582/kartor_geotiff/S 1634-2025 georefererad karta.tif", "S 1634-2025")</f>
        <v/>
      </c>
      <c r="Z157">
        <f>HYPERLINK("https://klasma.github.io/Logging_2582/knärot/S 1634-2025 karta knärot.png", "S 1634-2025")</f>
        <v/>
      </c>
      <c r="AA157">
        <f>HYPERLINK("https://klasma.github.io/Logging_2582/klagomål/S 1634-2025 FSC-klagomål.docx", "S 1634-2025")</f>
        <v/>
      </c>
      <c r="AB157">
        <f>HYPERLINK("https://klasma.github.io/Logging_2582/klagomålsmail/S 1634-2025 FSC-klagomål mail.docx", "S 1634-2025")</f>
        <v/>
      </c>
      <c r="AC157">
        <f>HYPERLINK("https://klasma.github.io/Logging_2582/tillsyn/S 1634-2025 tillsynsbegäran.docx", "S 1634-2025")</f>
        <v/>
      </c>
      <c r="AD157">
        <f>HYPERLINK("https://klasma.github.io/Logging_2582/tillsynsmail/S 1634-2025 tillsynsbegäran mail.docx", "S 1634-2025")</f>
        <v/>
      </c>
    </row>
    <row r="158" ht="15" customHeight="1">
      <c r="A158" t="inlineStr">
        <is>
          <t>S 2450-2025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45901</v>
      </c>
      <c r="E158" s="1" t="n">
        <v>46253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HYPERLINK("https://klasma.github.io/Logging_2582/artfynd/S 2450-2025 artfynd.xlsx", "S 2450-2025")</f>
        <v/>
      </c>
      <c r="X158">
        <f>HYPERLINK("https://klasma.github.io/Logging_2582/kartor/S 2450-2025 karta.png", "S 2450-2025")</f>
        <v/>
      </c>
      <c r="Y158">
        <f>HYPERLINK("https://klasma.github.io/Logging_2582/kartor_geotiff/S 2450-2025 georefererad karta.tif", "S 2450-2025")</f>
        <v/>
      </c>
      <c r="AA158">
        <f>HYPERLINK("https://klasma.github.io/Logging_2582/klagomål/S 2450-2025 FSC-klagomål.docx", "S 2450-2025")</f>
        <v/>
      </c>
      <c r="AB158">
        <f>HYPERLINK("https://klasma.github.io/Logging_2582/klagomålsmail/S 2450-2025 FSC-klagomål mail.docx", "S 2450-2025")</f>
        <v/>
      </c>
      <c r="AC158">
        <f>HYPERLINK("https://klasma.github.io/Logging_2582/tillsyn/S 2450-2025 tillsynsbegäran.docx", "S 2450-2025")</f>
        <v/>
      </c>
      <c r="AD158">
        <f>HYPERLINK("https://klasma.github.io/Logging_2582/tillsynsmail/S 2450-2025 tillsynsbegäran mail.docx", "S 2450-2025")</f>
        <v/>
      </c>
    </row>
    <row r="159" ht="15" customHeight="1">
      <c r="A159" t="inlineStr">
        <is>
          <t>S 2940-2025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45952</v>
      </c>
      <c r="E159" s="1" t="n">
        <v>46253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Skinnlav</t>
        </is>
      </c>
      <c r="W159">
        <f>HYPERLINK("https://klasma.github.io/Logging_2582/artfynd/S 2940-2025 artfynd.xlsx", "S 2940-2025")</f>
        <v/>
      </c>
      <c r="X159">
        <f>HYPERLINK("https://klasma.github.io/Logging_2582/kartor/S 2940-2025 karta.png", "S 2940-2025")</f>
        <v/>
      </c>
      <c r="Y159">
        <f>HYPERLINK("https://klasma.github.io/Logging_2582/kartor_geotiff/S 2940-2025 georefererad karta.tif", "S 2940-2025")</f>
        <v/>
      </c>
      <c r="AA159">
        <f>HYPERLINK("https://klasma.github.io/Logging_2582/klagomål/S 2940-2025 FSC-klagomål.docx", "S 2940-2025")</f>
        <v/>
      </c>
      <c r="AB159">
        <f>HYPERLINK("https://klasma.github.io/Logging_2582/klagomålsmail/S 2940-2025 FSC-klagomål mail.docx", "S 2940-2025")</f>
        <v/>
      </c>
      <c r="AC159">
        <f>HYPERLINK("https://klasma.github.io/Logging_2582/tillsyn/S 2940-2025 tillsynsbegäran.docx", "S 2940-2025")</f>
        <v/>
      </c>
      <c r="AD159">
        <f>HYPERLINK("https://klasma.github.io/Logging_2582/tillsynsmail/S 2940-2025 tillsynsbegäran mail.docx", "S 2940-2025")</f>
        <v/>
      </c>
    </row>
    <row r="160" ht="15" customHeight="1">
      <c r="A160" t="inlineStr">
        <is>
          <t>A 63790-2021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46253</v>
      </c>
      <c r="F160" t="inlineStr">
        <is>
          <t>NORRBOTTENS LÄN</t>
        </is>
      </c>
      <c r="G160" t="inlineStr">
        <is>
          <t>BODEN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46253</v>
      </c>
      <c r="F161" t="inlineStr">
        <is>
          <t>NORRBOTTENS LÄN</t>
        </is>
      </c>
      <c r="G161" t="inlineStr">
        <is>
          <t>BODEN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44577</v>
      </c>
      <c r="E162" s="1" t="n">
        <v>46253</v>
      </c>
      <c r="F162" t="inlineStr">
        <is>
          <t>NORRBOTTENS LÄN</t>
        </is>
      </c>
      <c r="G162" t="inlineStr">
        <is>
          <t>BODEN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46253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46253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46253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46253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46253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44815</v>
      </c>
      <c r="E168" s="1" t="n">
        <v>46253</v>
      </c>
      <c r="F168" t="inlineStr">
        <is>
          <t>NORRBOTTENS LÄN</t>
        </is>
      </c>
      <c r="G168" t="inlineStr">
        <is>
          <t>BODEN</t>
        </is>
      </c>
      <c r="H168" t="inlineStr">
        <is>
          <t>Övriga statliga verk och myndigheter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46253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44462</v>
      </c>
      <c r="E170" s="1" t="n">
        <v>46253</v>
      </c>
      <c r="F170" t="inlineStr">
        <is>
          <t>NORRBOTTENS LÄN</t>
        </is>
      </c>
      <c r="G170" t="inlineStr">
        <is>
          <t>BODEN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46253</v>
      </c>
      <c r="F171" t="inlineStr">
        <is>
          <t>NORRBOTTENS LÄN</t>
        </is>
      </c>
      <c r="G171" t="inlineStr">
        <is>
          <t>BODEN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46253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52345-2021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44464</v>
      </c>
      <c r="E173" s="1" t="n">
        <v>46253</v>
      </c>
      <c r="F173" t="inlineStr">
        <is>
          <t>NORRBOTTENS LÄN</t>
        </is>
      </c>
      <c r="G173" t="inlineStr">
        <is>
          <t>BODEN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46253</v>
      </c>
      <c r="F174" t="inlineStr">
        <is>
          <t>NORRBOTTENS LÄN</t>
        </is>
      </c>
      <c r="G174" t="inlineStr">
        <is>
          <t>BODEN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46253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46253</v>
      </c>
      <c r="F176" t="inlineStr">
        <is>
          <t>NORRBOTTENS LÄN</t>
        </is>
      </c>
      <c r="G176" t="inlineStr">
        <is>
          <t>BODEN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46253</v>
      </c>
      <c r="F177" t="inlineStr">
        <is>
          <t>NORRBOTTENS LÄN</t>
        </is>
      </c>
      <c r="G177" t="inlineStr">
        <is>
          <t>BODEN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46253</v>
      </c>
      <c r="F178" t="inlineStr">
        <is>
          <t>NORRBOTTENS LÄN</t>
        </is>
      </c>
      <c r="G178" t="inlineStr">
        <is>
          <t>BODEN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46253</v>
      </c>
      <c r="F179" t="inlineStr">
        <is>
          <t>NORRBOTTENS LÄN</t>
        </is>
      </c>
      <c r="G179" t="inlineStr">
        <is>
          <t>BODEN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46253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46253</v>
      </c>
      <c r="F181" t="inlineStr">
        <is>
          <t>NORRBOTTENS LÄN</t>
        </is>
      </c>
      <c r="G181" t="inlineStr">
        <is>
          <t>BODEN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71833-2021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44543</v>
      </c>
      <c r="E182" s="1" t="n">
        <v>46253</v>
      </c>
      <c r="F182" t="inlineStr">
        <is>
          <t>NORRBOTTENS LÄN</t>
        </is>
      </c>
      <c r="G182" t="inlineStr">
        <is>
          <t>BODEN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68914-2021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46253</v>
      </c>
      <c r="F183" t="inlineStr">
        <is>
          <t>NORRBOTTENS LÄN</t>
        </is>
      </c>
      <c r="G183" t="inlineStr">
        <is>
          <t>BODEN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13552-2022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46253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46253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46253</v>
      </c>
      <c r="F186" t="inlineStr">
        <is>
          <t>NORRBOTTENS LÄN</t>
        </is>
      </c>
      <c r="G186" t="inlineStr">
        <is>
          <t>BODEN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44566</v>
      </c>
      <c r="E187" s="1" t="n">
        <v>46253</v>
      </c>
      <c r="F187" t="inlineStr">
        <is>
          <t>NORRBOTTENS LÄN</t>
        </is>
      </c>
      <c r="G187" t="inlineStr">
        <is>
          <t>BODEN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714-2022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46253</v>
      </c>
      <c r="F188" t="inlineStr">
        <is>
          <t>NORRBOTTENS LÄN</t>
        </is>
      </c>
      <c r="G188" t="inlineStr">
        <is>
          <t>BODEN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44600</v>
      </c>
      <c r="E189" s="1" t="n">
        <v>46253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29119-2022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44749</v>
      </c>
      <c r="E190" s="1" t="n">
        <v>46253</v>
      </c>
      <c r="F190" t="inlineStr">
        <is>
          <t>NORRBOTTENS LÄN</t>
        </is>
      </c>
      <c r="G190" t="inlineStr">
        <is>
          <t>BODEN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44722</v>
      </c>
      <c r="E191" s="1" t="n">
        <v>46253</v>
      </c>
      <c r="F191" t="inlineStr">
        <is>
          <t>NORRBOTTENS LÄN</t>
        </is>
      </c>
      <c r="G191" t="inlineStr">
        <is>
          <t>BODEN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46253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46253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46253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44565</v>
      </c>
      <c r="E195" s="1" t="n">
        <v>46253</v>
      </c>
      <c r="F195" t="inlineStr">
        <is>
          <t>NORRBOTTENS LÄN</t>
        </is>
      </c>
      <c r="G195" t="inlineStr">
        <is>
          <t>BODEN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46253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46253</v>
      </c>
      <c r="F197" t="inlineStr">
        <is>
          <t>NORRBOTTENS LÄN</t>
        </is>
      </c>
      <c r="G197" t="inlineStr">
        <is>
          <t>BODEN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46253</v>
      </c>
      <c r="F198" t="inlineStr">
        <is>
          <t>NORRBOTTENS LÄN</t>
        </is>
      </c>
      <c r="G198" t="inlineStr">
        <is>
          <t>BODEN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46253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11.3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44625</v>
      </c>
      <c r="E200" s="1" t="n">
        <v>46253</v>
      </c>
      <c r="F200" t="inlineStr">
        <is>
          <t>NORRBOTTENS LÄN</t>
        </is>
      </c>
      <c r="G200" t="inlineStr">
        <is>
          <t>BODEN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46253</v>
      </c>
      <c r="F201" t="inlineStr">
        <is>
          <t>NORRBOTTENS LÄN</t>
        </is>
      </c>
      <c r="G201" t="inlineStr">
        <is>
          <t>BODEN</t>
        </is>
      </c>
      <c r="H201" t="inlineStr">
        <is>
          <t>Övriga statliga verk och myndigheter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46253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44799</v>
      </c>
      <c r="E203" s="1" t="n">
        <v>46253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46253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44743</v>
      </c>
      <c r="E205" s="1" t="n">
        <v>46253</v>
      </c>
      <c r="F205" t="inlineStr">
        <is>
          <t>NORRBOTTENS LÄN</t>
        </is>
      </c>
      <c r="G205" t="inlineStr">
        <is>
          <t>BODEN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46253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46253</v>
      </c>
      <c r="F207" t="inlineStr">
        <is>
          <t>NORRBOTTENS LÄN</t>
        </is>
      </c>
      <c r="G207" t="inlineStr">
        <is>
          <t>BODEN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45189-2021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44439</v>
      </c>
      <c r="E208" s="1" t="n">
        <v>46253</v>
      </c>
      <c r="F208" t="inlineStr">
        <is>
          <t>NORRBOTTENS LÄN</t>
        </is>
      </c>
      <c r="G208" t="inlineStr">
        <is>
          <t>BODEN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46253</v>
      </c>
      <c r="F209" t="inlineStr">
        <is>
          <t>NORRBOTTENS LÄN</t>
        </is>
      </c>
      <c r="G209" t="inlineStr">
        <is>
          <t>BODEN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46253</v>
      </c>
      <c r="F210" t="inlineStr">
        <is>
          <t>NORRBOTTENS LÄN</t>
        </is>
      </c>
      <c r="G210" t="inlineStr">
        <is>
          <t>BODEN</t>
        </is>
      </c>
      <c r="H210" t="inlineStr">
        <is>
          <t>Kyrkan</t>
        </is>
      </c>
      <c r="I210" t="n">
        <v>16.5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46253</v>
      </c>
      <c r="F211" t="inlineStr">
        <is>
          <t>NORRBOTTENS LÄN</t>
        </is>
      </c>
      <c r="G211" t="inlineStr">
        <is>
          <t>BODEN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46253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46253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46253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46253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46253</v>
      </c>
      <c r="F216" t="inlineStr">
        <is>
          <t>NORRBOTTENS LÄN</t>
        </is>
      </c>
      <c r="G216" t="inlineStr">
        <is>
          <t>BODEN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46253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46253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46253</v>
      </c>
      <c r="F219" t="inlineStr">
        <is>
          <t>NORRBOTTENS LÄN</t>
        </is>
      </c>
      <c r="G219" t="inlineStr">
        <is>
          <t>BODEN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43007-2022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46253</v>
      </c>
      <c r="F220" t="inlineStr">
        <is>
          <t>NORRBOTTENS LÄN</t>
        </is>
      </c>
      <c r="G220" t="inlineStr">
        <is>
          <t>BODEN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43969-2024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45572</v>
      </c>
      <c r="E221" s="1" t="n">
        <v>46253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26022-2022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46253</v>
      </c>
      <c r="F222" t="inlineStr">
        <is>
          <t>NORRBOTTENS LÄN</t>
        </is>
      </c>
      <c r="G222" t="inlineStr">
        <is>
          <t>BODEN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46253</v>
      </c>
      <c r="F223" t="inlineStr">
        <is>
          <t>NORRBOTTENS LÄN</t>
        </is>
      </c>
      <c r="G223" t="inlineStr">
        <is>
          <t>BODEN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46253</v>
      </c>
      <c r="F224" t="inlineStr">
        <is>
          <t>NORRBOTTENS LÄN</t>
        </is>
      </c>
      <c r="G224" t="inlineStr">
        <is>
          <t>BODEN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46253</v>
      </c>
      <c r="F225" t="inlineStr">
        <is>
          <t>NORRBOTTENS LÄN</t>
        </is>
      </c>
      <c r="G225" t="inlineStr">
        <is>
          <t>BODEN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46253</v>
      </c>
      <c r="F226" t="inlineStr">
        <is>
          <t>NORRBOTTENS LÄN</t>
        </is>
      </c>
      <c r="G226" t="inlineStr">
        <is>
          <t>BODEN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46253</v>
      </c>
      <c r="F227" t="inlineStr">
        <is>
          <t>NORRBOTTENS LÄN</t>
        </is>
      </c>
      <c r="G227" t="inlineStr">
        <is>
          <t>BODEN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46253</v>
      </c>
      <c r="F228" t="inlineStr">
        <is>
          <t>NORRBOTTENS LÄN</t>
        </is>
      </c>
      <c r="G228" t="inlineStr">
        <is>
          <t>BODEN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46253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45301</v>
      </c>
      <c r="E230" s="1" t="n">
        <v>46253</v>
      </c>
      <c r="F230" t="inlineStr">
        <is>
          <t>NORRBOTTENS LÄN</t>
        </is>
      </c>
      <c r="G230" t="inlineStr">
        <is>
          <t>BODEN</t>
        </is>
      </c>
      <c r="H230" t="inlineStr">
        <is>
          <t>Övriga statliga verk och myndigheter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44477</v>
      </c>
      <c r="E231" s="1" t="n">
        <v>46253</v>
      </c>
      <c r="F231" t="inlineStr">
        <is>
          <t>NORRBOTTENS LÄN</t>
        </is>
      </c>
      <c r="G231" t="inlineStr">
        <is>
          <t>BODEN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46253</v>
      </c>
      <c r="F232" t="inlineStr">
        <is>
          <t>NORRBOTTENS LÄN</t>
        </is>
      </c>
      <c r="G232" t="inlineStr">
        <is>
          <t>BODEN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74264-2021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44558</v>
      </c>
      <c r="E233" s="1" t="n">
        <v>46253</v>
      </c>
      <c r="F233" t="inlineStr">
        <is>
          <t>NORRBOTTENS LÄN</t>
        </is>
      </c>
      <c r="G233" t="inlineStr">
        <is>
          <t>BODEN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54590-2022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44883</v>
      </c>
      <c r="E234" s="1" t="n">
        <v>46253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46183-2021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46253</v>
      </c>
      <c r="F235" t="inlineStr">
        <is>
          <t>NORRBOTTENS LÄN</t>
        </is>
      </c>
      <c r="G235" t="inlineStr">
        <is>
          <t>BODEN</t>
        </is>
      </c>
      <c r="I235" t="n">
        <v>13.6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45419</v>
      </c>
      <c r="E236" s="1" t="n">
        <v>46253</v>
      </c>
      <c r="F236" t="inlineStr">
        <is>
          <t>NORRBOTTENS LÄN</t>
        </is>
      </c>
      <c r="G236" t="inlineStr">
        <is>
          <t>BODEN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46253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32913-2024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46253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34969-2024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45527</v>
      </c>
      <c r="E239" s="1" t="n">
        <v>46253</v>
      </c>
      <c r="F239" t="inlineStr">
        <is>
          <t>NORRBOTTENS LÄN</t>
        </is>
      </c>
      <c r="G239" t="inlineStr">
        <is>
          <t>BODEN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45429</v>
      </c>
      <c r="E240" s="1" t="n">
        <v>46253</v>
      </c>
      <c r="F240" t="inlineStr">
        <is>
          <t>NORRBOTTENS LÄN</t>
        </is>
      </c>
      <c r="G240" t="inlineStr">
        <is>
          <t>BODEN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45589</v>
      </c>
      <c r="E241" s="1" t="n">
        <v>46253</v>
      </c>
      <c r="F241" t="inlineStr">
        <is>
          <t>NORRBOTTENS LÄN</t>
        </is>
      </c>
      <c r="G241" t="inlineStr">
        <is>
          <t>BODEN</t>
        </is>
      </c>
      <c r="H241" t="inlineStr">
        <is>
          <t>Naturvårdsverket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44908</v>
      </c>
      <c r="E242" s="1" t="n">
        <v>46253</v>
      </c>
      <c r="F242" t="inlineStr">
        <is>
          <t>NORRBOTTENS LÄN</t>
        </is>
      </c>
      <c r="G242" t="inlineStr">
        <is>
          <t>BODEN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46253</v>
      </c>
      <c r="F243" t="inlineStr">
        <is>
          <t>NORRBOTTENS LÄN</t>
        </is>
      </c>
      <c r="G243" t="inlineStr">
        <is>
          <t>BODEN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46253</v>
      </c>
      <c r="F244" t="inlineStr">
        <is>
          <t>NORRBOTTENS LÄN</t>
        </is>
      </c>
      <c r="G244" t="inlineStr">
        <is>
          <t>BODEN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11651-2023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44994</v>
      </c>
      <c r="E245" s="1" t="n">
        <v>46253</v>
      </c>
      <c r="F245" t="inlineStr">
        <is>
          <t>NORRBOTTENS LÄN</t>
        </is>
      </c>
      <c r="G245" t="inlineStr">
        <is>
          <t>BODEN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48415-2024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46253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46253</v>
      </c>
      <c r="F247" t="inlineStr">
        <is>
          <t>NORRBOTTENS LÄN</t>
        </is>
      </c>
      <c r="G247" t="inlineStr">
        <is>
          <t>BODEN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46253</v>
      </c>
      <c r="F248" t="inlineStr">
        <is>
          <t>NORRBOTTENS LÄN</t>
        </is>
      </c>
      <c r="G248" t="inlineStr">
        <is>
          <t>BODEN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44889</v>
      </c>
      <c r="E249" s="1" t="n">
        <v>46253</v>
      </c>
      <c r="F249" t="inlineStr">
        <is>
          <t>NORRBOTTENS LÄN</t>
        </is>
      </c>
      <c r="G249" t="inlineStr">
        <is>
          <t>BODEN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58373-2022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46253</v>
      </c>
      <c r="F250" t="inlineStr">
        <is>
          <t>NORRBOTTENS LÄN</t>
        </is>
      </c>
      <c r="G250" t="inlineStr">
        <is>
          <t>BODEN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46253</v>
      </c>
      <c r="F251" t="inlineStr">
        <is>
          <t>NORRBOTTENS LÄN</t>
        </is>
      </c>
      <c r="G251" t="inlineStr">
        <is>
          <t>BODEN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46253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44903</v>
      </c>
      <c r="E253" s="1" t="n">
        <v>46253</v>
      </c>
      <c r="F253" t="inlineStr">
        <is>
          <t>NORRBOTTENS LÄN</t>
        </is>
      </c>
      <c r="G253" t="inlineStr">
        <is>
          <t>BODEN</t>
        </is>
      </c>
      <c r="I253" t="n">
        <v>16.1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46253</v>
      </c>
      <c r="F254" t="inlineStr">
        <is>
          <t>NORRBOTTENS LÄN</t>
        </is>
      </c>
      <c r="G254" t="inlineStr">
        <is>
          <t>BODEN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46253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46253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45546</v>
      </c>
      <c r="E257" s="1" t="n">
        <v>46253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45464</v>
      </c>
      <c r="E258" s="1" t="n">
        <v>46253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46253</v>
      </c>
      <c r="F259" t="inlineStr">
        <is>
          <t>NORRBOTTENS LÄN</t>
        </is>
      </c>
      <c r="G259" t="inlineStr">
        <is>
          <t>BODEN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46253</v>
      </c>
      <c r="F260" t="inlineStr">
        <is>
          <t>NORRBOTTENS LÄN</t>
        </is>
      </c>
      <c r="G260" t="inlineStr">
        <is>
          <t>BODEN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45691</v>
      </c>
      <c r="E261" s="1" t="n">
        <v>46253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46253</v>
      </c>
      <c r="F262" t="inlineStr">
        <is>
          <t>NORRBOTTENS LÄN</t>
        </is>
      </c>
      <c r="G262" t="inlineStr">
        <is>
          <t>BODEN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46253</v>
      </c>
      <c r="F263" t="inlineStr">
        <is>
          <t>NORRBOTTENS LÄN</t>
        </is>
      </c>
      <c r="G263" t="inlineStr">
        <is>
          <t>BODEN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46253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45813</v>
      </c>
      <c r="E265" s="1" t="n">
        <v>46253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45813</v>
      </c>
      <c r="E266" s="1" t="n">
        <v>46253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46253</v>
      </c>
      <c r="F267" t="inlineStr">
        <is>
          <t>NORRBOTTENS LÄN</t>
        </is>
      </c>
      <c r="G267" t="inlineStr">
        <is>
          <t>BODEN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45766</v>
      </c>
      <c r="E268" s="1" t="n">
        <v>46253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46253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46253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45316</v>
      </c>
      <c r="E271" s="1" t="n">
        <v>46253</v>
      </c>
      <c r="F271" t="inlineStr">
        <is>
          <t>NORRBOTTENS LÄN</t>
        </is>
      </c>
      <c r="G271" t="inlineStr">
        <is>
          <t>BODEN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46253</v>
      </c>
      <c r="F272" t="inlineStr">
        <is>
          <t>NORRBOTTENS LÄN</t>
        </is>
      </c>
      <c r="G272" t="inlineStr">
        <is>
          <t>BODEN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46253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45481</v>
      </c>
      <c r="E274" s="1" t="n">
        <v>46253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45750</v>
      </c>
      <c r="E275" s="1" t="n">
        <v>46253</v>
      </c>
      <c r="F275" t="inlineStr">
        <is>
          <t>NORRBOTTENS LÄN</t>
        </is>
      </c>
      <c r="G275" t="inlineStr">
        <is>
          <t>BODEN</t>
        </is>
      </c>
      <c r="H275" t="inlineStr">
        <is>
          <t>Övriga Aktiebolag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45132</v>
      </c>
      <c r="E276" s="1" t="n">
        <v>46253</v>
      </c>
      <c r="F276" t="inlineStr">
        <is>
          <t>NORRBOTTENS LÄN</t>
        </is>
      </c>
      <c r="G276" t="inlineStr">
        <is>
          <t>BODEN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46253</v>
      </c>
      <c r="F277" t="inlineStr">
        <is>
          <t>NORRBOTTENS LÄN</t>
        </is>
      </c>
      <c r="G277" t="inlineStr">
        <is>
          <t>BODEN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28270-2025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45818</v>
      </c>
      <c r="E278" s="1" t="n">
        <v>46253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45013</v>
      </c>
      <c r="E279" s="1" t="n">
        <v>46253</v>
      </c>
      <c r="F279" t="inlineStr">
        <is>
          <t>NORRBOTTENS LÄN</t>
        </is>
      </c>
      <c r="G279" t="inlineStr">
        <is>
          <t>BODEN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46253</v>
      </c>
      <c r="F280" t="inlineStr">
        <is>
          <t>NORRBOTTENS LÄN</t>
        </is>
      </c>
      <c r="G280" t="inlineStr">
        <is>
          <t>BODEN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46253</v>
      </c>
      <c r="F281" t="inlineStr">
        <is>
          <t>NORRBOTTENS LÄN</t>
        </is>
      </c>
      <c r="G281" t="inlineStr">
        <is>
          <t>BODEN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45708</v>
      </c>
      <c r="E282" s="1" t="n">
        <v>46253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Aktiebolag</t>
        </is>
      </c>
      <c r="I282" t="n">
        <v>15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45653</v>
      </c>
      <c r="E283" s="1" t="n">
        <v>46253</v>
      </c>
      <c r="F283" t="inlineStr">
        <is>
          <t>NORRBOTTENS LÄN</t>
        </is>
      </c>
      <c r="G283" t="inlineStr">
        <is>
          <t>BODEN</t>
        </is>
      </c>
      <c r="I283" t="n">
        <v>47.3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46253</v>
      </c>
      <c r="F284" t="inlineStr">
        <is>
          <t>NORRBOTTENS LÄN</t>
        </is>
      </c>
      <c r="G284" t="inlineStr">
        <is>
          <t>BODEN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45826</v>
      </c>
      <c r="E285" s="1" t="n">
        <v>46253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33915-2024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45523</v>
      </c>
      <c r="E286" s="1" t="n">
        <v>46253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46541-2021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44445</v>
      </c>
      <c r="E287" s="1" t="n">
        <v>46253</v>
      </c>
      <c r="F287" t="inlineStr">
        <is>
          <t>NORRBOTTENS LÄN</t>
        </is>
      </c>
      <c r="G287" t="inlineStr">
        <is>
          <t>BODEN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46253</v>
      </c>
      <c r="F288" t="inlineStr">
        <is>
          <t>NORRBOTTENS LÄN</t>
        </is>
      </c>
      <c r="G288" t="inlineStr">
        <is>
          <t>BODEN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46253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46253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46253</v>
      </c>
      <c r="F291" t="inlineStr">
        <is>
          <t>NORRBOTTENS LÄN</t>
        </is>
      </c>
      <c r="G291" t="inlineStr">
        <is>
          <t>BODEN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46253</v>
      </c>
      <c r="F292" t="inlineStr">
        <is>
          <t>NORRBOTTENS LÄN</t>
        </is>
      </c>
      <c r="G292" t="inlineStr">
        <is>
          <t>BODEN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45649</v>
      </c>
      <c r="E293" s="1" t="n">
        <v>46253</v>
      </c>
      <c r="F293" t="inlineStr">
        <is>
          <t>NORRBOTTENS LÄN</t>
        </is>
      </c>
      <c r="G293" t="inlineStr">
        <is>
          <t>BODEN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45649</v>
      </c>
      <c r="E294" s="1" t="n">
        <v>46253</v>
      </c>
      <c r="F294" t="inlineStr">
        <is>
          <t>NORRBOTTENS LÄN</t>
        </is>
      </c>
      <c r="G294" t="inlineStr">
        <is>
          <t>BODEN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45649</v>
      </c>
      <c r="E295" s="1" t="n">
        <v>46253</v>
      </c>
      <c r="F295" t="inlineStr">
        <is>
          <t>NORRBOTTENS LÄN</t>
        </is>
      </c>
      <c r="G295" t="inlineStr">
        <is>
          <t>BODEN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45643</v>
      </c>
      <c r="E296" s="1" t="n">
        <v>46253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46253</v>
      </c>
      <c r="F297" t="inlineStr">
        <is>
          <t>NORRBOTTENS LÄN</t>
        </is>
      </c>
      <c r="G297" t="inlineStr">
        <is>
          <t>BODEN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46253</v>
      </c>
      <c r="F298" t="inlineStr">
        <is>
          <t>NORRBOTTENS LÄN</t>
        </is>
      </c>
      <c r="G298" t="inlineStr">
        <is>
          <t>BODEN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44726</v>
      </c>
      <c r="E299" s="1" t="n">
        <v>46253</v>
      </c>
      <c r="F299" t="inlineStr">
        <is>
          <t>NORRBOTTENS LÄN</t>
        </is>
      </c>
      <c r="G299" t="inlineStr">
        <is>
          <t>BODEN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46253</v>
      </c>
      <c r="F300" t="inlineStr">
        <is>
          <t>NORRBOTTENS LÄN</t>
        </is>
      </c>
      <c r="G300" t="inlineStr">
        <is>
          <t>BODEN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46253</v>
      </c>
      <c r="F301" t="inlineStr">
        <is>
          <t>NORRBOTTENS LÄN</t>
        </is>
      </c>
      <c r="G301" t="inlineStr">
        <is>
          <t>BODEN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46253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46253</v>
      </c>
      <c r="F303" t="inlineStr">
        <is>
          <t>NORRBOTTENS LÄN</t>
        </is>
      </c>
      <c r="G303" t="inlineStr">
        <is>
          <t>BODEN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46253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44642</v>
      </c>
      <c r="E305" s="1" t="n">
        <v>46253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statliga verk och myndigheter</t>
        </is>
      </c>
      <c r="I305" t="n">
        <v>15.8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45764</v>
      </c>
      <c r="E306" s="1" t="n">
        <v>46253</v>
      </c>
      <c r="F306" t="inlineStr">
        <is>
          <t>NORRBOTTENS LÄN</t>
        </is>
      </c>
      <c r="G306" t="inlineStr">
        <is>
          <t>BODEN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45548</v>
      </c>
      <c r="E307" s="1" t="n">
        <v>46253</v>
      </c>
      <c r="F307" t="inlineStr">
        <is>
          <t>NORRBOTTENS LÄN</t>
        </is>
      </c>
      <c r="G307" t="inlineStr">
        <is>
          <t>BODEN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46057</v>
      </c>
      <c r="E308" s="1" t="n">
        <v>46253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46253</v>
      </c>
      <c r="F309" t="inlineStr">
        <is>
          <t>NORRBOTTENS LÄN</t>
        </is>
      </c>
      <c r="G309" t="inlineStr">
        <is>
          <t>BODEN</t>
        </is>
      </c>
      <c r="I309" t="n">
        <v>13.9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46253</v>
      </c>
      <c r="F310" t="inlineStr">
        <is>
          <t>NORRBOTTENS LÄN</t>
        </is>
      </c>
      <c r="G310" t="inlineStr">
        <is>
          <t>BODEN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46253</v>
      </c>
      <c r="F311" t="inlineStr">
        <is>
          <t>NORRBOTTENS LÄN</t>
        </is>
      </c>
      <c r="G311" t="inlineStr">
        <is>
          <t>BODEN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46253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46253</v>
      </c>
      <c r="F313" t="inlineStr">
        <is>
          <t>NORRBOTTENS LÄN</t>
        </is>
      </c>
      <c r="G313" t="inlineStr">
        <is>
          <t>BODEN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46253</v>
      </c>
      <c r="F314" t="inlineStr">
        <is>
          <t>NORRBOTTENS LÄN</t>
        </is>
      </c>
      <c r="G314" t="inlineStr">
        <is>
          <t>BODEN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46253</v>
      </c>
      <c r="F315" t="inlineStr">
        <is>
          <t>NORRBOTTENS LÄN</t>
        </is>
      </c>
      <c r="G315" t="inlineStr">
        <is>
          <t>BODEN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46253</v>
      </c>
      <c r="F316" t="inlineStr">
        <is>
          <t>NORRBOTTENS LÄN</t>
        </is>
      </c>
      <c r="G316" t="inlineStr">
        <is>
          <t>BODEN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55628-2023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46253</v>
      </c>
      <c r="F317" t="inlineStr">
        <is>
          <t>NORRBOTTENS LÄN</t>
        </is>
      </c>
      <c r="G317" t="inlineStr">
        <is>
          <t>BODEN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46253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46253</v>
      </c>
      <c r="F319" t="inlineStr">
        <is>
          <t>NORRBOTTENS LÄN</t>
        </is>
      </c>
      <c r="G319" t="inlineStr">
        <is>
          <t>BODEN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46253</v>
      </c>
      <c r="F320" t="inlineStr">
        <is>
          <t>NORRBOTTENS LÄN</t>
        </is>
      </c>
      <c r="G320" t="inlineStr">
        <is>
          <t>BODEN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46253</v>
      </c>
      <c r="F321" t="inlineStr">
        <is>
          <t>NORRBOTTENS LÄN</t>
        </is>
      </c>
      <c r="G321" t="inlineStr">
        <is>
          <t>BODEN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46253</v>
      </c>
      <c r="F322" t="inlineStr">
        <is>
          <t>NORRBOTTENS LÄN</t>
        </is>
      </c>
      <c r="G322" t="inlineStr">
        <is>
          <t>BODEN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46253</v>
      </c>
      <c r="F323" t="inlineStr">
        <is>
          <t>NORRBOTTENS LÄN</t>
        </is>
      </c>
      <c r="G323" t="inlineStr">
        <is>
          <t>BODEN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46253</v>
      </c>
      <c r="F324" t="inlineStr">
        <is>
          <t>NORRBOTTENS LÄN</t>
        </is>
      </c>
      <c r="G324" t="inlineStr">
        <is>
          <t>BODEN</t>
        </is>
      </c>
      <c r="H324" t="inlineStr">
        <is>
          <t>Övriga Aktiebolag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46253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9.699999999999999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46253</v>
      </c>
      <c r="F326" t="inlineStr">
        <is>
          <t>NORRBOTTENS LÄN</t>
        </is>
      </c>
      <c r="G326" t="inlineStr">
        <is>
          <t>BODEN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45764</v>
      </c>
      <c r="E327" s="1" t="n">
        <v>46253</v>
      </c>
      <c r="F327" t="inlineStr">
        <is>
          <t>NORRBOTTENS LÄN</t>
        </is>
      </c>
      <c r="G327" t="inlineStr">
        <is>
          <t>BODEN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41691-2025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45902</v>
      </c>
      <c r="E328" s="1" t="n">
        <v>46253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46253</v>
      </c>
      <c r="F329" t="inlineStr">
        <is>
          <t>NORRBOTTENS LÄN</t>
        </is>
      </c>
      <c r="G329" t="inlineStr">
        <is>
          <t>BODEN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46253</v>
      </c>
      <c r="F330" t="inlineStr">
        <is>
          <t>NORRBOTTENS LÄN</t>
        </is>
      </c>
      <c r="G330" t="inlineStr">
        <is>
          <t>BODEN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45901</v>
      </c>
      <c r="E331" s="1" t="n">
        <v>46253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44657</v>
      </c>
      <c r="E332" s="1" t="n">
        <v>46253</v>
      </c>
      <c r="F332" t="inlineStr">
        <is>
          <t>NORRBOTTENS LÄN</t>
        </is>
      </c>
      <c r="G332" t="inlineStr">
        <is>
          <t>BODEN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15000-2022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46253</v>
      </c>
      <c r="F333" t="inlineStr">
        <is>
          <t>NORRBOTTENS LÄN</t>
        </is>
      </c>
      <c r="G333" t="inlineStr">
        <is>
          <t>BODEN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11647-2023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44994</v>
      </c>
      <c r="E334" s="1" t="n">
        <v>46253</v>
      </c>
      <c r="F334" t="inlineStr">
        <is>
          <t>NORRBOTTENS LÄN</t>
        </is>
      </c>
      <c r="G334" t="inlineStr">
        <is>
          <t>BODEN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46253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44673</v>
      </c>
      <c r="E336" s="1" t="n">
        <v>46253</v>
      </c>
      <c r="F336" t="inlineStr">
        <is>
          <t>NORRBOTTENS LÄN</t>
        </is>
      </c>
      <c r="G336" t="inlineStr">
        <is>
          <t>BODEN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45562</v>
      </c>
      <c r="E337" s="1" t="n">
        <v>46253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46253</v>
      </c>
      <c r="F338" t="inlineStr">
        <is>
          <t>NORRBOTTENS LÄN</t>
        </is>
      </c>
      <c r="G338" t="inlineStr">
        <is>
          <t>BODEN</t>
        </is>
      </c>
      <c r="H338" t="inlineStr">
        <is>
          <t>Naturvårdsverket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46253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46253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42656-2025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45907</v>
      </c>
      <c r="E341" s="1" t="n">
        <v>46253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9.6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46253</v>
      </c>
      <c r="F342" t="inlineStr">
        <is>
          <t>NORRBOTTENS LÄN</t>
        </is>
      </c>
      <c r="G342" t="inlineStr">
        <is>
          <t>BODEN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46253</v>
      </c>
      <c r="F343" t="inlineStr">
        <is>
          <t>NORRBOTTENS LÄN</t>
        </is>
      </c>
      <c r="G343" t="inlineStr">
        <is>
          <t>BODEN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46253</v>
      </c>
      <c r="F344" t="inlineStr">
        <is>
          <t>NORRBOTTENS LÄN</t>
        </is>
      </c>
      <c r="G344" t="inlineStr">
        <is>
          <t>BODEN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45910</v>
      </c>
      <c r="E345" s="1" t="n">
        <v>46253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45910</v>
      </c>
      <c r="E346" s="1" t="n">
        <v>46253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46253</v>
      </c>
      <c r="F347" t="inlineStr">
        <is>
          <t>NORRBOTTENS LÄN</t>
        </is>
      </c>
      <c r="G347" t="inlineStr">
        <is>
          <t>BODEN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46253</v>
      </c>
      <c r="F348" t="inlineStr">
        <is>
          <t>NORRBOTTENS LÄN</t>
        </is>
      </c>
      <c r="G348" t="inlineStr">
        <is>
          <t>BODEN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46253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45912</v>
      </c>
      <c r="E350" s="1" t="n">
        <v>46253</v>
      </c>
      <c r="F350" t="inlineStr">
        <is>
          <t>NORRBOTTENS LÄN</t>
        </is>
      </c>
      <c r="G350" t="inlineStr">
        <is>
          <t>BODEN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46253</v>
      </c>
      <c r="F351" t="inlineStr">
        <is>
          <t>NORRBOTTENS LÄN</t>
        </is>
      </c>
      <c r="G351" t="inlineStr">
        <is>
          <t>BODEN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46253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46253</v>
      </c>
      <c r="F353" t="inlineStr">
        <is>
          <t>NORRBOTTENS LÄN</t>
        </is>
      </c>
      <c r="G353" t="inlineStr">
        <is>
          <t>BODEN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46253</v>
      </c>
      <c r="F354" t="inlineStr">
        <is>
          <t>NORRBOTTENS LÄN</t>
        </is>
      </c>
      <c r="G354" t="inlineStr">
        <is>
          <t>BODEN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46253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46084</v>
      </c>
      <c r="E356" s="1" t="n">
        <v>46253</v>
      </c>
      <c r="F356" t="inlineStr">
        <is>
          <t>NORRBOTTENS LÄN</t>
        </is>
      </c>
      <c r="G356" t="inlineStr">
        <is>
          <t>BODEN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46253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33130-2025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45840</v>
      </c>
      <c r="E358" s="1" t="n">
        <v>46253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46253</v>
      </c>
      <c r="F359" t="inlineStr">
        <is>
          <t>NORRBOTTENS LÄN</t>
        </is>
      </c>
      <c r="G359" t="inlineStr">
        <is>
          <t>BODEN</t>
        </is>
      </c>
      <c r="I359" t="n">
        <v>9.199999999999999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56457-2024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45625</v>
      </c>
      <c r="E360" s="1" t="n">
        <v>46253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46086</v>
      </c>
      <c r="E361" s="1" t="n">
        <v>46253</v>
      </c>
      <c r="F361" t="inlineStr">
        <is>
          <t>NORRBOTTENS LÄN</t>
        </is>
      </c>
      <c r="G361" t="inlineStr">
        <is>
          <t>BODEN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44903</v>
      </c>
      <c r="E362" s="1" t="n">
        <v>46253</v>
      </c>
      <c r="F362" t="inlineStr">
        <is>
          <t>NORRBOTTENS LÄN</t>
        </is>
      </c>
      <c r="G362" t="inlineStr">
        <is>
          <t>BODEN</t>
        </is>
      </c>
      <c r="I362" t="n">
        <v>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46087</v>
      </c>
      <c r="E363" s="1" t="n">
        <v>46253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46253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46253</v>
      </c>
      <c r="F365" t="inlineStr">
        <is>
          <t>NORRBOTTENS LÄN</t>
        </is>
      </c>
      <c r="G365" t="inlineStr">
        <is>
          <t>BODEN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46253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45212</v>
      </c>
      <c r="E367" s="1" t="n">
        <v>46253</v>
      </c>
      <c r="F367" t="inlineStr">
        <is>
          <t>NORRBOTTENS LÄN</t>
        </is>
      </c>
      <c r="G367" t="inlineStr">
        <is>
          <t>BODEN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46253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46253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46253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46253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45616-2025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46253</v>
      </c>
      <c r="F372" t="inlineStr">
        <is>
          <t>NORRBOTTENS LÄN</t>
        </is>
      </c>
      <c r="G372" t="inlineStr">
        <is>
          <t>BODEN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46253</v>
      </c>
      <c r="F373" t="inlineStr">
        <is>
          <t>NORRBOTTENS LÄN</t>
        </is>
      </c>
      <c r="G373" t="inlineStr">
        <is>
          <t>BODEN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45617-2025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46253</v>
      </c>
      <c r="F374" t="inlineStr">
        <is>
          <t>NORRBOTTENS LÄN</t>
        </is>
      </c>
      <c r="G374" t="inlineStr">
        <is>
          <t>BODEN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45544-2025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46253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46253</v>
      </c>
      <c r="F376" t="inlineStr">
        <is>
          <t>NORRBOTTENS LÄN</t>
        </is>
      </c>
      <c r="G376" t="inlineStr">
        <is>
          <t>BODEN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46253</v>
      </c>
      <c r="F377" t="inlineStr">
        <is>
          <t>NORRBOTTENS LÄN</t>
        </is>
      </c>
      <c r="G377" t="inlineStr">
        <is>
          <t>BODEN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45969-2025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45924</v>
      </c>
      <c r="E378" s="1" t="n">
        <v>46253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45195</v>
      </c>
      <c r="E379" s="1" t="n">
        <v>46253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46253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46700-2025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45926</v>
      </c>
      <c r="E381" s="1" t="n">
        <v>46253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46253</v>
      </c>
      <c r="F382" t="inlineStr">
        <is>
          <t>NORRBOTTENS LÄN</t>
        </is>
      </c>
      <c r="G382" t="inlineStr">
        <is>
          <t>BODEN</t>
        </is>
      </c>
      <c r="I382" t="n">
        <v>6.4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46097</v>
      </c>
      <c r="E383" s="1" t="n">
        <v>46253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46253</v>
      </c>
      <c r="F384" t="inlineStr">
        <is>
          <t>NORRBOTTENS LÄN</t>
        </is>
      </c>
      <c r="G384" t="inlineStr">
        <is>
          <t>BODEN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14245-2026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46099</v>
      </c>
      <c r="E385" s="1" t="n">
        <v>46253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46253</v>
      </c>
      <c r="F386" t="inlineStr">
        <is>
          <t>NORRBOTTENS LÄN</t>
        </is>
      </c>
      <c r="G386" t="inlineStr">
        <is>
          <t>BODEN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46253</v>
      </c>
      <c r="F387" t="inlineStr">
        <is>
          <t>NORRBOTTENS LÄN</t>
        </is>
      </c>
      <c r="G387" t="inlineStr">
        <is>
          <t>BODEN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35040-2022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44796</v>
      </c>
      <c r="E388" s="1" t="n">
        <v>46253</v>
      </c>
      <c r="F388" t="inlineStr">
        <is>
          <t>NORRBOTTENS LÄN</t>
        </is>
      </c>
      <c r="G388" t="inlineStr">
        <is>
          <t>BODEN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46253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statliga verk och myndigheter</t>
        </is>
      </c>
      <c r="I389" t="n">
        <v>11.5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46253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46253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33981-2025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45843</v>
      </c>
      <c r="E392" s="1" t="n">
        <v>46253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45085</v>
      </c>
      <c r="E393" s="1" t="n">
        <v>46253</v>
      </c>
      <c r="F393" t="inlineStr">
        <is>
          <t>NORRBOTTENS LÄN</t>
        </is>
      </c>
      <c r="G393" t="inlineStr">
        <is>
          <t>BODEN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46253</v>
      </c>
      <c r="F394" t="inlineStr">
        <is>
          <t>NORRBOTTENS LÄN</t>
        </is>
      </c>
      <c r="G394" t="inlineStr">
        <is>
          <t>BODEN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45153</v>
      </c>
      <c r="E395" s="1" t="n">
        <v>46253</v>
      </c>
      <c r="F395" t="inlineStr">
        <is>
          <t>NORRBOTTENS LÄN</t>
        </is>
      </c>
      <c r="G395" t="inlineStr">
        <is>
          <t>BODEN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46253</v>
      </c>
      <c r="F396" t="inlineStr">
        <is>
          <t>NORRBOTTENS LÄN</t>
        </is>
      </c>
      <c r="G396" t="inlineStr">
        <is>
          <t>BODEN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46253</v>
      </c>
      <c r="F397" t="inlineStr">
        <is>
          <t>NORRBOTTENS LÄN</t>
        </is>
      </c>
      <c r="G397" t="inlineStr">
        <is>
          <t>BODEN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61750-2024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45649</v>
      </c>
      <c r="E398" s="1" t="n">
        <v>46253</v>
      </c>
      <c r="F398" t="inlineStr">
        <is>
          <t>NORRBOTTENS LÄN</t>
        </is>
      </c>
      <c r="G398" t="inlineStr">
        <is>
          <t>BODEN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45931</v>
      </c>
      <c r="E399" s="1" t="n">
        <v>46253</v>
      </c>
      <c r="F399" t="inlineStr">
        <is>
          <t>NORRBOTTENS LÄN</t>
        </is>
      </c>
      <c r="G399" t="inlineStr">
        <is>
          <t>BODEN</t>
        </is>
      </c>
      <c r="H399" t="inlineStr">
        <is>
          <t>Övriga Aktiebolag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45149</v>
      </c>
      <c r="E400" s="1" t="n">
        <v>46253</v>
      </c>
      <c r="F400" t="inlineStr">
        <is>
          <t>NORRBOTTENS LÄN</t>
        </is>
      </c>
      <c r="G400" t="inlineStr">
        <is>
          <t>BODEN</t>
        </is>
      </c>
      <c r="I400" t="n">
        <v>16.1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46253</v>
      </c>
      <c r="F401" t="inlineStr">
        <is>
          <t>NORRBOTTENS LÄN</t>
        </is>
      </c>
      <c r="G401" t="inlineStr">
        <is>
          <t>BODEN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46253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45906</v>
      </c>
      <c r="E403" s="1" t="n">
        <v>46253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46253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48091-2025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45933</v>
      </c>
      <c r="E405" s="1" t="n">
        <v>46253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44856</v>
      </c>
      <c r="E406" s="1" t="n">
        <v>46253</v>
      </c>
      <c r="F406" t="inlineStr">
        <is>
          <t>NORRBOTTENS LÄN</t>
        </is>
      </c>
      <c r="G406" t="inlineStr">
        <is>
          <t>BODEN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45603</v>
      </c>
      <c r="E407" s="1" t="n">
        <v>46253</v>
      </c>
      <c r="F407" t="inlineStr">
        <is>
          <t>NORRBOTTENS LÄN</t>
        </is>
      </c>
      <c r="G407" t="inlineStr">
        <is>
          <t>BODEN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45937</v>
      </c>
      <c r="E408" s="1" t="n">
        <v>46253</v>
      </c>
      <c r="F408" t="inlineStr">
        <is>
          <t>NORRBOTTENS LÄN</t>
        </is>
      </c>
      <c r="G408" t="inlineStr">
        <is>
          <t>BODEN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46253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28745-2023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46253</v>
      </c>
      <c r="F410" t="inlineStr">
        <is>
          <t>NORRBOTTENS LÄN</t>
        </is>
      </c>
      <c r="G410" t="inlineStr">
        <is>
          <t>BODEN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46253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44823</v>
      </c>
      <c r="E412" s="1" t="n">
        <v>46253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46253</v>
      </c>
      <c r="F413" t="inlineStr">
        <is>
          <t>NORRBOTTENS LÄN</t>
        </is>
      </c>
      <c r="G413" t="inlineStr">
        <is>
          <t>BODEN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718-2022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44568</v>
      </c>
      <c r="E414" s="1" t="n">
        <v>46253</v>
      </c>
      <c r="F414" t="inlineStr">
        <is>
          <t>NORRBOTTENS LÄN</t>
        </is>
      </c>
      <c r="G414" t="inlineStr">
        <is>
          <t>BODEN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45939</v>
      </c>
      <c r="E415" s="1" t="n">
        <v>46253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46253</v>
      </c>
      <c r="F416" t="inlineStr">
        <is>
          <t>NORRBOTTENS LÄN</t>
        </is>
      </c>
      <c r="G416" t="inlineStr">
        <is>
          <t>BODEN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46253</v>
      </c>
      <c r="F417" t="inlineStr">
        <is>
          <t>NORRBOTTENS LÄN</t>
        </is>
      </c>
      <c r="G417" t="inlineStr">
        <is>
          <t>BODEN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45856</v>
      </c>
      <c r="E418" s="1" t="n">
        <v>46253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45667</v>
      </c>
      <c r="E419" s="1" t="n">
        <v>46253</v>
      </c>
      <c r="F419" t="inlineStr">
        <is>
          <t>NORRBOTTENS LÄN</t>
        </is>
      </c>
      <c r="G419" t="inlineStr">
        <is>
          <t>BODEN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13714-2022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46253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46253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45944</v>
      </c>
      <c r="E422" s="1" t="n">
        <v>46253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45499</v>
      </c>
      <c r="E423" s="1" t="n">
        <v>46253</v>
      </c>
      <c r="F423" t="inlineStr">
        <is>
          <t>NORRBOTTENS LÄN</t>
        </is>
      </c>
      <c r="G423" t="inlineStr">
        <is>
          <t>BODEN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45943</v>
      </c>
      <c r="E424" s="1" t="n">
        <v>46253</v>
      </c>
      <c r="F424" t="inlineStr">
        <is>
          <t>NORRBOTTENS LÄN</t>
        </is>
      </c>
      <c r="G424" t="inlineStr">
        <is>
          <t>BODEN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46253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45945</v>
      </c>
      <c r="E426" s="1" t="n">
        <v>46253</v>
      </c>
      <c r="F426" t="inlineStr">
        <is>
          <t>NORRBOTTENS LÄN</t>
        </is>
      </c>
      <c r="G426" t="inlineStr">
        <is>
          <t>BODEN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45194</v>
      </c>
      <c r="E427" s="1" t="n">
        <v>46253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45649</v>
      </c>
      <c r="E428" s="1" t="n">
        <v>46253</v>
      </c>
      <c r="F428" t="inlineStr">
        <is>
          <t>NORRBOTTENS LÄN</t>
        </is>
      </c>
      <c r="G428" t="inlineStr">
        <is>
          <t>BODEN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45709</v>
      </c>
      <c r="E429" s="1" t="n">
        <v>46253</v>
      </c>
      <c r="F429" t="inlineStr">
        <is>
          <t>NORRBOTTENS LÄN</t>
        </is>
      </c>
      <c r="G429" t="inlineStr">
        <is>
          <t>BODEN</t>
        </is>
      </c>
      <c r="H429" t="inlineStr">
        <is>
          <t>Övriga Aktiebolag</t>
        </is>
      </c>
      <c r="I429" t="n">
        <v>14.3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45764</v>
      </c>
      <c r="E430" s="1" t="n">
        <v>46253</v>
      </c>
      <c r="F430" t="inlineStr">
        <is>
          <t>NORRBOTTENS LÄN</t>
        </is>
      </c>
      <c r="G430" t="inlineStr">
        <is>
          <t>BODEN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46253</v>
      </c>
      <c r="F431" t="inlineStr">
        <is>
          <t>NORRBOTTENS LÄN</t>
        </is>
      </c>
      <c r="G431" t="inlineStr">
        <is>
          <t>BODEN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57575-2025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46253</v>
      </c>
      <c r="F432" t="inlineStr">
        <is>
          <t>NORRBOTTENS LÄN</t>
        </is>
      </c>
      <c r="G432" t="inlineStr">
        <is>
          <t>BODEN</t>
        </is>
      </c>
      <c r="I432" t="n">
        <v>19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50449-2025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45945</v>
      </c>
      <c r="E433" s="1" t="n">
        <v>46253</v>
      </c>
      <c r="F433" t="inlineStr">
        <is>
          <t>NORRBOTTENS LÄN</t>
        </is>
      </c>
      <c r="G433" t="inlineStr">
        <is>
          <t>BODEN</t>
        </is>
      </c>
      <c r="H433" t="inlineStr">
        <is>
          <t>Sveaskog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45773</v>
      </c>
      <c r="E434" s="1" t="n">
        <v>46253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46253</v>
      </c>
      <c r="F435" t="inlineStr">
        <is>
          <t>NORRBOTTENS LÄN</t>
        </is>
      </c>
      <c r="G435" t="inlineStr">
        <is>
          <t>BODEN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46253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45674</v>
      </c>
      <c r="E437" s="1" t="n">
        <v>46253</v>
      </c>
      <c r="F437" t="inlineStr">
        <is>
          <t>NORRBOTTENS LÄN</t>
        </is>
      </c>
      <c r="G437" t="inlineStr">
        <is>
          <t>BODEN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17909-2026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46253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44490</v>
      </c>
      <c r="E439" s="1" t="n">
        <v>46253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45596</v>
      </c>
      <c r="E440" s="1" t="n">
        <v>46253</v>
      </c>
      <c r="F440" t="inlineStr">
        <is>
          <t>NORRBOTTENS LÄN</t>
        </is>
      </c>
      <c r="G440" t="inlineStr">
        <is>
          <t>BODEN</t>
        </is>
      </c>
      <c r="I440" t="n">
        <v>22.7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46253</v>
      </c>
      <c r="F441" t="inlineStr">
        <is>
          <t>NORRBOTTENS LÄN</t>
        </is>
      </c>
      <c r="G441" t="inlineStr">
        <is>
          <t>BODEN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46512-2021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44445</v>
      </c>
      <c r="E442" s="1" t="n">
        <v>46253</v>
      </c>
      <c r="F442" t="inlineStr">
        <is>
          <t>NORRBOTTENS LÄN</t>
        </is>
      </c>
      <c r="G442" t="inlineStr">
        <is>
          <t>BODEN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45672</v>
      </c>
      <c r="E443" s="1" t="n">
        <v>46253</v>
      </c>
      <c r="F443" t="inlineStr">
        <is>
          <t>NORRBOTTENS LÄN</t>
        </is>
      </c>
      <c r="G443" t="inlineStr">
        <is>
          <t>BODEN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45796</v>
      </c>
      <c r="E444" s="1" t="n">
        <v>46253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46253</v>
      </c>
      <c r="F445" t="inlineStr">
        <is>
          <t>NORRBOTTENS LÄN</t>
        </is>
      </c>
      <c r="G445" t="inlineStr">
        <is>
          <t>BODEN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55080-2021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44474</v>
      </c>
      <c r="E446" s="1" t="n">
        <v>46253</v>
      </c>
      <c r="F446" t="inlineStr">
        <is>
          <t>NORRBOTTENS LÄN</t>
        </is>
      </c>
      <c r="G446" t="inlineStr">
        <is>
          <t>BODEN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52284-2025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45953</v>
      </c>
      <c r="E447" s="1" t="n">
        <v>46253</v>
      </c>
      <c r="F447" t="inlineStr">
        <is>
          <t>NORRBOTTENS LÄN</t>
        </is>
      </c>
      <c r="G447" t="inlineStr">
        <is>
          <t>BODEN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45953</v>
      </c>
      <c r="E448" s="1" t="n">
        <v>46253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45953</v>
      </c>
      <c r="E449" s="1" t="n">
        <v>46253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51525-2025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45950</v>
      </c>
      <c r="E450" s="1" t="n">
        <v>46253</v>
      </c>
      <c r="F450" t="inlineStr">
        <is>
          <t>NORRBOTTENS LÄN</t>
        </is>
      </c>
      <c r="G450" t="inlineStr">
        <is>
          <t>BODEN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45863</v>
      </c>
      <c r="E451" s="1" t="n">
        <v>46253</v>
      </c>
      <c r="F451" t="inlineStr">
        <is>
          <t>NORRBOTTENS LÄN</t>
        </is>
      </c>
      <c r="G451" t="inlineStr">
        <is>
          <t>BODEN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18221-2026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46253</v>
      </c>
      <c r="F452" t="inlineStr">
        <is>
          <t>NORRBOTTENS LÄN</t>
        </is>
      </c>
      <c r="G452" t="inlineStr">
        <is>
          <t>BODEN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46253</v>
      </c>
      <c r="F453" t="inlineStr">
        <is>
          <t>NORRBOTTENS LÄN</t>
        </is>
      </c>
      <c r="G453" t="inlineStr">
        <is>
          <t>BODEN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46253</v>
      </c>
      <c r="F454" t="inlineStr">
        <is>
          <t>NORRBOTTENS LÄN</t>
        </is>
      </c>
      <c r="G454" t="inlineStr">
        <is>
          <t>BODEN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45957</v>
      </c>
      <c r="E455" s="1" t="n">
        <v>46253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45748</v>
      </c>
      <c r="E456" s="1" t="n">
        <v>46253</v>
      </c>
      <c r="F456" t="inlineStr">
        <is>
          <t>NORRBOTTENS LÄN</t>
        </is>
      </c>
      <c r="G456" t="inlineStr">
        <is>
          <t>BODEN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67438-2021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44524</v>
      </c>
      <c r="E457" s="1" t="n">
        <v>46253</v>
      </c>
      <c r="F457" t="inlineStr">
        <is>
          <t>NORRBOTTENS LÄN</t>
        </is>
      </c>
      <c r="G457" t="inlineStr">
        <is>
          <t>BODEN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18173-2025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45761</v>
      </c>
      <c r="E458" s="1" t="n">
        <v>46253</v>
      </c>
      <c r="F458" t="inlineStr">
        <is>
          <t>NORRBOTTENS LÄN</t>
        </is>
      </c>
      <c r="G458" t="inlineStr">
        <is>
          <t>BODEN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54104-2022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44881</v>
      </c>
      <c r="E459" s="1" t="n">
        <v>46253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52645-2025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45955</v>
      </c>
      <c r="E460" s="1" t="n">
        <v>46253</v>
      </c>
      <c r="F460" t="inlineStr">
        <is>
          <t>NORRBOTTENS LÄN</t>
        </is>
      </c>
      <c r="G460" t="inlineStr">
        <is>
          <t>BODEN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52646-2025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45955</v>
      </c>
      <c r="E461" s="1" t="n">
        <v>46253</v>
      </c>
      <c r="F461" t="inlineStr">
        <is>
          <t>NORRBOTTENS LÄN</t>
        </is>
      </c>
      <c r="G461" t="inlineStr">
        <is>
          <t>BODEN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46253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19200-2026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46253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19050-2026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46253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45248</v>
      </c>
      <c r="E465" s="1" t="n">
        <v>46253</v>
      </c>
      <c r="F465" t="inlineStr">
        <is>
          <t>NORRBOTTENS LÄN</t>
        </is>
      </c>
      <c r="G465" t="inlineStr">
        <is>
          <t>BODEN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53623-2025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45960</v>
      </c>
      <c r="E466" s="1" t="n">
        <v>46253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11.7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53893-2025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46253</v>
      </c>
      <c r="F467" t="inlineStr">
        <is>
          <t>NORRBOTTENS LÄN</t>
        </is>
      </c>
      <c r="G467" t="inlineStr">
        <is>
          <t>BODEN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45964</v>
      </c>
      <c r="E468" s="1" t="n">
        <v>46253</v>
      </c>
      <c r="F468" t="inlineStr">
        <is>
          <t>NORRBOTTENS LÄN</t>
        </is>
      </c>
      <c r="G468" t="inlineStr">
        <is>
          <t>BODEN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49127-2023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45210</v>
      </c>
      <c r="E469" s="1" t="n">
        <v>46253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44887</v>
      </c>
      <c r="E470" s="1" t="n">
        <v>46253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467-2022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44565</v>
      </c>
      <c r="E471" s="1" t="n">
        <v>46253</v>
      </c>
      <c r="F471" t="inlineStr">
        <is>
          <t>NORRBOTTENS LÄN</t>
        </is>
      </c>
      <c r="G471" t="inlineStr">
        <is>
          <t>BODEN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32582-2025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45838</v>
      </c>
      <c r="E472" s="1" t="n">
        <v>46253</v>
      </c>
      <c r="F472" t="inlineStr">
        <is>
          <t>NORRBOTTENS LÄN</t>
        </is>
      </c>
      <c r="G472" t="inlineStr">
        <is>
          <t>BODEN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45233</v>
      </c>
      <c r="E473" s="1" t="n">
        <v>46253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54417-2025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45965</v>
      </c>
      <c r="E474" s="1" t="n">
        <v>46253</v>
      </c>
      <c r="F474" t="inlineStr">
        <is>
          <t>NORRBOTTENS LÄN</t>
        </is>
      </c>
      <c r="G474" t="inlineStr">
        <is>
          <t>BODEN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54845-2025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45966</v>
      </c>
      <c r="E475" s="1" t="n">
        <v>46253</v>
      </c>
      <c r="F475" t="inlineStr">
        <is>
          <t>NORRBOTTENS LÄN</t>
        </is>
      </c>
      <c r="G475" t="inlineStr">
        <is>
          <t>BODEN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22460-2023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45070</v>
      </c>
      <c r="E476" s="1" t="n">
        <v>46253</v>
      </c>
      <c r="F476" t="inlineStr">
        <is>
          <t>NORRBOTTENS LÄN</t>
        </is>
      </c>
      <c r="G476" t="inlineStr">
        <is>
          <t>BODEN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45456</v>
      </c>
      <c r="E477" s="1" t="n">
        <v>46253</v>
      </c>
      <c r="F477" t="inlineStr">
        <is>
          <t>NORRBOTTENS LÄN</t>
        </is>
      </c>
      <c r="G477" t="inlineStr">
        <is>
          <t>BODEN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25920-2023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46253</v>
      </c>
      <c r="F478" t="inlineStr">
        <is>
          <t>NORRBOTTENS LÄN</t>
        </is>
      </c>
      <c r="G478" t="inlineStr">
        <is>
          <t>BODEN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45965</v>
      </c>
      <c r="E479" s="1" t="n">
        <v>46253</v>
      </c>
      <c r="F479" t="inlineStr">
        <is>
          <t>NORRBOTTENS LÄN</t>
        </is>
      </c>
      <c r="G479" t="inlineStr">
        <is>
          <t>BODEN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54834-2025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46253</v>
      </c>
      <c r="F480" t="inlineStr">
        <is>
          <t>NORRBOTTENS LÄN</t>
        </is>
      </c>
      <c r="G480" t="inlineStr">
        <is>
          <t>BODEN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45115-2021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44438</v>
      </c>
      <c r="E481" s="1" t="n">
        <v>46253</v>
      </c>
      <c r="F481" t="inlineStr">
        <is>
          <t>NORRBOTTENS LÄN</t>
        </is>
      </c>
      <c r="G481" t="inlineStr">
        <is>
          <t>BODEN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45677-2021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44441</v>
      </c>
      <c r="E482" s="1" t="n">
        <v>46253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46253</v>
      </c>
      <c r="F483" t="inlineStr">
        <is>
          <t>NORRBOTTENS LÄN</t>
        </is>
      </c>
      <c r="G483" t="inlineStr">
        <is>
          <t>BODEN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54523-2025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46253</v>
      </c>
      <c r="F484" t="inlineStr">
        <is>
          <t>NORRBOTTENS LÄN</t>
        </is>
      </c>
      <c r="G484" t="inlineStr">
        <is>
          <t>BODEN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68591-2021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44529</v>
      </c>
      <c r="E485" s="1" t="n">
        <v>46253</v>
      </c>
      <c r="F485" t="inlineStr">
        <is>
          <t>NORRBOTTENS LÄN</t>
        </is>
      </c>
      <c r="G485" t="inlineStr">
        <is>
          <t>BODEN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54416-2025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46253</v>
      </c>
      <c r="F486" t="inlineStr">
        <is>
          <t>NORRBOTTENS LÄN</t>
        </is>
      </c>
      <c r="G486" t="inlineStr">
        <is>
          <t>BODEN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46253</v>
      </c>
      <c r="F487" t="inlineStr">
        <is>
          <t>NORRBOTTENS LÄN</t>
        </is>
      </c>
      <c r="G487" t="inlineStr">
        <is>
          <t>BODEN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52075-2021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44463</v>
      </c>
      <c r="E488" s="1" t="n">
        <v>46253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46007</v>
      </c>
      <c r="E489" s="1" t="n">
        <v>46253</v>
      </c>
      <c r="F489" t="inlineStr">
        <is>
          <t>NORRBOTTENS LÄN</t>
        </is>
      </c>
      <c r="G489" t="inlineStr">
        <is>
          <t>BODEN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46253</v>
      </c>
      <c r="F490" t="inlineStr">
        <is>
          <t>NORRBOTTENS LÄN</t>
        </is>
      </c>
      <c r="G490" t="inlineStr">
        <is>
          <t>BODEN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46253</v>
      </c>
      <c r="F491" t="inlineStr">
        <is>
          <t>NORRBOTTENS LÄN</t>
        </is>
      </c>
      <c r="G491" t="inlineStr">
        <is>
          <t>BODEN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45079</v>
      </c>
      <c r="E492" s="1" t="n">
        <v>46253</v>
      </c>
      <c r="F492" t="inlineStr">
        <is>
          <t>NORRBOTTENS LÄN</t>
        </is>
      </c>
      <c r="G492" t="inlineStr">
        <is>
          <t>BODEN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28444-2023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45102</v>
      </c>
      <c r="E493" s="1" t="n">
        <v>46253</v>
      </c>
      <c r="F493" t="inlineStr">
        <is>
          <t>NORRBOTTENS LÄN</t>
        </is>
      </c>
      <c r="G493" t="inlineStr">
        <is>
          <t>BODEN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48592-2024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45593</v>
      </c>
      <c r="E494" s="1" t="n">
        <v>46253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57600-2021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44484</v>
      </c>
      <c r="E495" s="1" t="n">
        <v>46253</v>
      </c>
      <c r="F495" t="inlineStr">
        <is>
          <t>NORRBOTTENS LÄN</t>
        </is>
      </c>
      <c r="G495" t="inlineStr">
        <is>
          <t>BODEN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45972</v>
      </c>
      <c r="E496" s="1" t="n">
        <v>46253</v>
      </c>
      <c r="F496" t="inlineStr">
        <is>
          <t>NORRBOTTENS LÄN</t>
        </is>
      </c>
      <c r="G496" t="inlineStr">
        <is>
          <t>BODEN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45975</v>
      </c>
      <c r="E497" s="1" t="n">
        <v>46253</v>
      </c>
      <c r="F497" t="inlineStr">
        <is>
          <t>NORRBOTTENS LÄN</t>
        </is>
      </c>
      <c r="G497" t="inlineStr">
        <is>
          <t>BODEN</t>
        </is>
      </c>
      <c r="H497" t="inlineStr">
        <is>
          <t>Naturvårdsverket</t>
        </is>
      </c>
      <c r="I497" t="n">
        <v>9.800000000000001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45369</v>
      </c>
      <c r="E498" s="1" t="n">
        <v>46253</v>
      </c>
      <c r="F498" t="inlineStr">
        <is>
          <t>NORRBOTTENS LÄN</t>
        </is>
      </c>
      <c r="G498" t="inlineStr">
        <is>
          <t>BODEN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46253</v>
      </c>
      <c r="F499" t="inlineStr">
        <is>
          <t>NORRBOTTENS LÄN</t>
        </is>
      </c>
      <c r="G499" t="inlineStr">
        <is>
          <t>BODEN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46253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45935</v>
      </c>
      <c r="E501" s="1" t="n">
        <v>46253</v>
      </c>
      <c r="F501" t="inlineStr">
        <is>
          <t>NORRBOTTENS LÄN</t>
        </is>
      </c>
      <c r="G501" t="inlineStr">
        <is>
          <t>BODEN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56947-2025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46253</v>
      </c>
      <c r="F502" t="inlineStr">
        <is>
          <t>NORRBOTTENS LÄN</t>
        </is>
      </c>
      <c r="G502" t="inlineStr">
        <is>
          <t>BODEN</t>
        </is>
      </c>
      <c r="H502" t="inlineStr">
        <is>
          <t>Naturvårdsverket</t>
        </is>
      </c>
      <c r="I502" t="n">
        <v>10.4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45975</v>
      </c>
      <c r="E503" s="1" t="n">
        <v>46253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45975</v>
      </c>
      <c r="E504" s="1" t="n">
        <v>46253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56867-2025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46253</v>
      </c>
      <c r="F505" t="inlineStr">
        <is>
          <t>NORRBOTTENS LÄN</t>
        </is>
      </c>
      <c r="G505" t="inlineStr">
        <is>
          <t>BODEN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46253</v>
      </c>
      <c r="F506" t="inlineStr">
        <is>
          <t>NORRBOTTENS LÄN</t>
        </is>
      </c>
      <c r="G506" t="inlineStr">
        <is>
          <t>BODEN</t>
        </is>
      </c>
      <c r="H506" t="inlineStr">
        <is>
          <t>Sveaskog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36310-2025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45868</v>
      </c>
      <c r="E507" s="1" t="n">
        <v>46253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16222-2024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45406</v>
      </c>
      <c r="E508" s="1" t="n">
        <v>46253</v>
      </c>
      <c r="F508" t="inlineStr">
        <is>
          <t>NORRBOTTENS LÄN</t>
        </is>
      </c>
      <c r="G508" t="inlineStr">
        <is>
          <t>BODEN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46136</v>
      </c>
      <c r="E509" s="1" t="n">
        <v>46253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58877-2021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44489</v>
      </c>
      <c r="E510" s="1" t="n">
        <v>46253</v>
      </c>
      <c r="F510" t="inlineStr">
        <is>
          <t>NORRBOTTENS LÄN</t>
        </is>
      </c>
      <c r="G510" t="inlineStr">
        <is>
          <t>BODEN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46253</v>
      </c>
      <c r="F511" t="inlineStr">
        <is>
          <t>NORRBOTTENS LÄN</t>
        </is>
      </c>
      <c r="G511" t="inlineStr">
        <is>
          <t>BODEN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45832</v>
      </c>
      <c r="E512" s="1" t="n">
        <v>46253</v>
      </c>
      <c r="F512" t="inlineStr">
        <is>
          <t>NORRBOTTENS LÄN</t>
        </is>
      </c>
      <c r="G512" t="inlineStr">
        <is>
          <t>BODEN</t>
        </is>
      </c>
      <c r="I512" t="n">
        <v>8.9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37404-2025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45877</v>
      </c>
      <c r="E513" s="1" t="n">
        <v>46253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57777-2025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45981</v>
      </c>
      <c r="E514" s="1" t="n">
        <v>46253</v>
      </c>
      <c r="F514" t="inlineStr">
        <is>
          <t>NORRBOTTENS LÄN</t>
        </is>
      </c>
      <c r="G514" t="inlineStr">
        <is>
          <t>BODEN</t>
        </is>
      </c>
      <c r="H514" t="inlineStr">
        <is>
          <t>Sveaskog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57778-2025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46253</v>
      </c>
      <c r="F515" t="inlineStr">
        <is>
          <t>NORRBOTTENS LÄN</t>
        </is>
      </c>
      <c r="G515" t="inlineStr">
        <is>
          <t>BODEN</t>
        </is>
      </c>
      <c r="H515" t="inlineStr">
        <is>
          <t>Sveaskog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61988-2025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46253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58490-2025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45985</v>
      </c>
      <c r="E517" s="1" t="n">
        <v>46253</v>
      </c>
      <c r="F517" t="inlineStr">
        <is>
          <t>NORRBOTTENS LÄN</t>
        </is>
      </c>
      <c r="G517" t="inlineStr">
        <is>
          <t>BODEN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37653-2025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46253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37854-2025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45881</v>
      </c>
      <c r="E519" s="1" t="n">
        <v>46253</v>
      </c>
      <c r="F519" t="inlineStr">
        <is>
          <t>NORRBOTTENS LÄN</t>
        </is>
      </c>
      <c r="G519" t="inlineStr">
        <is>
          <t>BODEN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61103-2022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44908</v>
      </c>
      <c r="E520" s="1" t="n">
        <v>46253</v>
      </c>
      <c r="F520" t="inlineStr">
        <is>
          <t>NORRBOTTENS LÄN</t>
        </is>
      </c>
      <c r="G520" t="inlineStr">
        <is>
          <t>BODEN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46253</v>
      </c>
      <c r="F521" t="inlineStr">
        <is>
          <t>NORRBOTTENS LÄN</t>
        </is>
      </c>
      <c r="G521" t="inlineStr">
        <is>
          <t>BODEN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46253</v>
      </c>
      <c r="F522" t="inlineStr">
        <is>
          <t>NORRBOTTENS LÄN</t>
        </is>
      </c>
      <c r="G522" t="inlineStr">
        <is>
          <t>BODEN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58294-2025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46253</v>
      </c>
      <c r="F523" t="inlineStr">
        <is>
          <t>NORRBOTTENS LÄN</t>
        </is>
      </c>
      <c r="G523" t="inlineStr">
        <is>
          <t>BODEN</t>
        </is>
      </c>
      <c r="H523" t="inlineStr">
        <is>
          <t>Sveaskog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46253</v>
      </c>
      <c r="F524" t="inlineStr">
        <is>
          <t>NORRBOTTENS LÄN</t>
        </is>
      </c>
      <c r="G524" t="inlineStr">
        <is>
          <t>BODEN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46253</v>
      </c>
      <c r="F525" t="inlineStr">
        <is>
          <t>NORRBOTTENS LÄN</t>
        </is>
      </c>
      <c r="G525" t="inlineStr">
        <is>
          <t>BODEN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58203-2025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45984</v>
      </c>
      <c r="E526" s="1" t="n">
        <v>46253</v>
      </c>
      <c r="F526" t="inlineStr">
        <is>
          <t>NORRBOTTENS LÄN</t>
        </is>
      </c>
      <c r="G526" t="inlineStr">
        <is>
          <t>BODEN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46253</v>
      </c>
      <c r="F527" t="inlineStr">
        <is>
          <t>NORRBOTTENS LÄN</t>
        </is>
      </c>
      <c r="G527" t="inlineStr">
        <is>
          <t>BODEN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46253</v>
      </c>
      <c r="F528" t="inlineStr">
        <is>
          <t>NORRBOTTENS LÄN</t>
        </is>
      </c>
      <c r="G528" t="inlineStr">
        <is>
          <t>BODEN</t>
        </is>
      </c>
      <c r="I528" t="n">
        <v>13.6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59032-2025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45988</v>
      </c>
      <c r="E529" s="1" t="n">
        <v>46253</v>
      </c>
      <c r="F529" t="inlineStr">
        <is>
          <t>NORRBOTTENS LÄN</t>
        </is>
      </c>
      <c r="G529" t="inlineStr">
        <is>
          <t>BODEN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59263-2025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45988</v>
      </c>
      <c r="E530" s="1" t="n">
        <v>46253</v>
      </c>
      <c r="F530" t="inlineStr">
        <is>
          <t>NORRBOTTENS LÄN</t>
        </is>
      </c>
      <c r="G530" t="inlineStr">
        <is>
          <t>BODEN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45860</v>
      </c>
      <c r="E531" s="1" t="n">
        <v>46253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9319-2024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45358</v>
      </c>
      <c r="E532" s="1" t="n">
        <v>46253</v>
      </c>
      <c r="F532" t="inlineStr">
        <is>
          <t>NORRBOTTENS LÄN</t>
        </is>
      </c>
      <c r="G532" t="inlineStr">
        <is>
          <t>BODEN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46253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45988</v>
      </c>
      <c r="E534" s="1" t="n">
        <v>46253</v>
      </c>
      <c r="F534" t="inlineStr">
        <is>
          <t>NORRBOTTENS LÄN</t>
        </is>
      </c>
      <c r="G534" t="inlineStr">
        <is>
          <t>BODEN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45999</v>
      </c>
      <c r="E535" s="1" t="n">
        <v>46253</v>
      </c>
      <c r="F535" t="inlineStr">
        <is>
          <t>NORRBOTTENS LÄN</t>
        </is>
      </c>
      <c r="G535" t="inlineStr">
        <is>
          <t>BODEN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38584-2025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45884</v>
      </c>
      <c r="E536" s="1" t="n">
        <v>46253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22447-2024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45446</v>
      </c>
      <c r="E537" s="1" t="n">
        <v>46253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46029</v>
      </c>
      <c r="E538" s="1" t="n">
        <v>46253</v>
      </c>
      <c r="F538" t="inlineStr">
        <is>
          <t>NORRBOTTENS LÄN</t>
        </is>
      </c>
      <c r="G538" t="inlineStr">
        <is>
          <t>BODEN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45645</v>
      </c>
      <c r="E539" s="1" t="n">
        <v>46253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46253</v>
      </c>
      <c r="F540" t="inlineStr">
        <is>
          <t>NORRBOTTENS LÄN</t>
        </is>
      </c>
      <c r="G540" t="inlineStr">
        <is>
          <t>BODEN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60238-2025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45994</v>
      </c>
      <c r="E541" s="1" t="n">
        <v>46253</v>
      </c>
      <c r="F541" t="inlineStr">
        <is>
          <t>NORRBOTTENS LÄN</t>
        </is>
      </c>
      <c r="G541" t="inlineStr">
        <is>
          <t>BODEN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46253</v>
      </c>
      <c r="F542" t="inlineStr">
        <is>
          <t>NORRBOTTENS LÄN</t>
        </is>
      </c>
      <c r="G542" t="inlineStr">
        <is>
          <t>BODEN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46253</v>
      </c>
      <c r="F543" t="inlineStr">
        <is>
          <t>NORRBOTTENS LÄN</t>
        </is>
      </c>
      <c r="G543" t="inlineStr">
        <is>
          <t>BODEN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60225-2025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46253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46253</v>
      </c>
      <c r="F545" t="inlineStr">
        <is>
          <t>NORRBOTTENS LÄN</t>
        </is>
      </c>
      <c r="G545" t="inlineStr">
        <is>
          <t>BODEN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46253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30299-2023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46253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45995</v>
      </c>
      <c r="E548" s="1" t="n">
        <v>46253</v>
      </c>
      <c r="F548" t="inlineStr">
        <is>
          <t>NORRBOTTENS LÄN</t>
        </is>
      </c>
      <c r="G548" t="inlineStr">
        <is>
          <t>BODEN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46003</v>
      </c>
      <c r="E549" s="1" t="n">
        <v>46253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60395-2025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45995</v>
      </c>
      <c r="E550" s="1" t="n">
        <v>46253</v>
      </c>
      <c r="F550" t="inlineStr">
        <is>
          <t>NORRBOTTENS LÄN</t>
        </is>
      </c>
      <c r="G550" t="inlineStr">
        <is>
          <t>BODEN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45995</v>
      </c>
      <c r="E551" s="1" t="n">
        <v>46253</v>
      </c>
      <c r="F551" t="inlineStr">
        <is>
          <t>NORRBOTTENS LÄN</t>
        </is>
      </c>
      <c r="G551" t="inlineStr">
        <is>
          <t>BODEN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45995</v>
      </c>
      <c r="E552" s="1" t="n">
        <v>46253</v>
      </c>
      <c r="F552" t="inlineStr">
        <is>
          <t>NORRBOTTENS LÄN</t>
        </is>
      </c>
      <c r="G552" t="inlineStr">
        <is>
          <t>BODEN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46076</v>
      </c>
      <c r="E553" s="1" t="n">
        <v>46253</v>
      </c>
      <c r="F553" t="inlineStr">
        <is>
          <t>NORRBOTTENS LÄN</t>
        </is>
      </c>
      <c r="G553" t="inlineStr">
        <is>
          <t>BODEN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60613-2025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45996</v>
      </c>
      <c r="E554" s="1" t="n">
        <v>46253</v>
      </c>
      <c r="F554" t="inlineStr">
        <is>
          <t>NORRBOTTENS LÄN</t>
        </is>
      </c>
      <c r="G554" t="inlineStr">
        <is>
          <t>BODEN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45995</v>
      </c>
      <c r="E555" s="1" t="n">
        <v>46253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42652-2025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45906</v>
      </c>
      <c r="E556" s="1" t="n">
        <v>46253</v>
      </c>
      <c r="F556" t="inlineStr">
        <is>
          <t>NORRBOTTENS LÄN</t>
        </is>
      </c>
      <c r="G556" t="inlineStr">
        <is>
          <t>BODEN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45999</v>
      </c>
      <c r="E557" s="1" t="n">
        <v>46253</v>
      </c>
      <c r="F557" t="inlineStr">
        <is>
          <t>NORRBOTTENS LÄN</t>
        </is>
      </c>
      <c r="G557" t="inlineStr">
        <is>
          <t>BODEN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46253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61227-2025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46253</v>
      </c>
      <c r="F559" t="inlineStr">
        <is>
          <t>NORRBOTTENS LÄN</t>
        </is>
      </c>
      <c r="G559" t="inlineStr">
        <is>
          <t>BODEN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61384-2025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46001</v>
      </c>
      <c r="E560" s="1" t="n">
        <v>46253</v>
      </c>
      <c r="F560" t="inlineStr">
        <is>
          <t>NORRBOTTENS LÄN</t>
        </is>
      </c>
      <c r="G560" t="inlineStr">
        <is>
          <t>BODEN</t>
        </is>
      </c>
      <c r="I560" t="n">
        <v>17.1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46001</v>
      </c>
      <c r="E561" s="1" t="n">
        <v>46253</v>
      </c>
      <c r="F561" t="inlineStr">
        <is>
          <t>NORRBOTTENS LÄN</t>
        </is>
      </c>
      <c r="G561" t="inlineStr">
        <is>
          <t>BODEN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37866-2024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46253</v>
      </c>
      <c r="F562" t="inlineStr">
        <is>
          <t>NORRBOTTENS LÄN</t>
        </is>
      </c>
      <c r="G562" t="inlineStr">
        <is>
          <t>BODEN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44553-2024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45574</v>
      </c>
      <c r="E563" s="1" t="n">
        <v>46253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44567-2024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45574</v>
      </c>
      <c r="E564" s="1" t="n">
        <v>46253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61559-2025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46001</v>
      </c>
      <c r="E565" s="1" t="n">
        <v>46253</v>
      </c>
      <c r="F565" t="inlineStr">
        <is>
          <t>NORRBOTTENS LÄN</t>
        </is>
      </c>
      <c r="G565" t="inlineStr">
        <is>
          <t>BODEN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46003</v>
      </c>
      <c r="E566" s="1" t="n">
        <v>46253</v>
      </c>
      <c r="F566" t="inlineStr">
        <is>
          <t>NORRBOTTENS LÄN</t>
        </is>
      </c>
      <c r="G566" t="inlineStr">
        <is>
          <t>BODEN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64649-2023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45281</v>
      </c>
      <c r="E567" s="1" t="n">
        <v>46253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68611-2021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44529</v>
      </c>
      <c r="E568" s="1" t="n">
        <v>46253</v>
      </c>
      <c r="F568" t="inlineStr">
        <is>
          <t>NORRBOTTENS LÄN</t>
        </is>
      </c>
      <c r="G568" t="inlineStr">
        <is>
          <t>BODEN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61949-2025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46003</v>
      </c>
      <c r="E569" s="1" t="n">
        <v>46253</v>
      </c>
      <c r="F569" t="inlineStr">
        <is>
          <t>NORRBOTTENS LÄN</t>
        </is>
      </c>
      <c r="G569" t="inlineStr">
        <is>
          <t>BODEN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46253</v>
      </c>
      <c r="F570" t="inlineStr">
        <is>
          <t>NORRBOTTENS LÄN</t>
        </is>
      </c>
      <c r="G570" t="inlineStr">
        <is>
          <t>BODEN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46253</v>
      </c>
      <c r="F571" t="inlineStr">
        <is>
          <t>NORRBOTTENS LÄN</t>
        </is>
      </c>
      <c r="G571" t="inlineStr">
        <is>
          <t>BODEN</t>
        </is>
      </c>
      <c r="I571" t="n">
        <v>10.1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46253</v>
      </c>
      <c r="F572" t="inlineStr">
        <is>
          <t>NORRBOTTENS LÄN</t>
        </is>
      </c>
      <c r="G572" t="inlineStr">
        <is>
          <t>BODEN</t>
        </is>
      </c>
      <c r="I572" t="n">
        <v>18.6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40115-2025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45893</v>
      </c>
      <c r="E573" s="1" t="n">
        <v>46253</v>
      </c>
      <c r="F573" t="inlineStr">
        <is>
          <t>NORRBOTTENS LÄN</t>
        </is>
      </c>
      <c r="G573" t="inlineStr">
        <is>
          <t>BODEN</t>
        </is>
      </c>
      <c r="H573" t="inlineStr">
        <is>
          <t>Övriga statliga verk och myndigheter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63329-2025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46253</v>
      </c>
      <c r="F574" t="inlineStr">
        <is>
          <t>NORRBOTTENS LÄN</t>
        </is>
      </c>
      <c r="G574" t="inlineStr">
        <is>
          <t>BODEN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46253</v>
      </c>
      <c r="F575" t="inlineStr">
        <is>
          <t>NORRBOTTENS LÄN</t>
        </is>
      </c>
      <c r="G575" t="inlineStr">
        <is>
          <t>BODEN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45156</v>
      </c>
      <c r="E576" s="1" t="n">
        <v>46253</v>
      </c>
      <c r="F576" t="inlineStr">
        <is>
          <t>NORRBOTTENS LÄN</t>
        </is>
      </c>
      <c r="G576" t="inlineStr">
        <is>
          <t>BODEN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45994</v>
      </c>
      <c r="E577" s="1" t="n">
        <v>46253</v>
      </c>
      <c r="F577" t="inlineStr">
        <is>
          <t>NORRBOTTENS LÄN</t>
        </is>
      </c>
      <c r="G577" t="inlineStr">
        <is>
          <t>BODEN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62992-2025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46253</v>
      </c>
      <c r="F578" t="inlineStr">
        <is>
          <t>NORRBOTTENS LÄN</t>
        </is>
      </c>
      <c r="G578" t="inlineStr">
        <is>
          <t>BODEN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45841</v>
      </c>
      <c r="E579" s="1" t="n">
        <v>46253</v>
      </c>
      <c r="F579" t="inlineStr">
        <is>
          <t>NORRBOTTENS LÄN</t>
        </is>
      </c>
      <c r="G579" t="inlineStr">
        <is>
          <t>BODEN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9596-2023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44983</v>
      </c>
      <c r="E580" s="1" t="n">
        <v>46253</v>
      </c>
      <c r="F580" t="inlineStr">
        <is>
          <t>NORRBOTTENS LÄN</t>
        </is>
      </c>
      <c r="G580" t="inlineStr">
        <is>
          <t>BODEN</t>
        </is>
      </c>
      <c r="I580" t="n">
        <v>37.1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54718-2024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46253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46253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63398-2025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46012</v>
      </c>
      <c r="E583" s="1" t="n">
        <v>46253</v>
      </c>
      <c r="F583" t="inlineStr">
        <is>
          <t>NORRBOTTENS LÄN</t>
        </is>
      </c>
      <c r="G583" t="inlineStr">
        <is>
          <t>BODEN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63399-2025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46012</v>
      </c>
      <c r="E584" s="1" t="n">
        <v>46253</v>
      </c>
      <c r="F584" t="inlineStr">
        <is>
          <t>NORRBOTTENS LÄN</t>
        </is>
      </c>
      <c r="G584" t="inlineStr">
        <is>
          <t>BODEN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63400-2025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46012</v>
      </c>
      <c r="E585" s="1" t="n">
        <v>46253</v>
      </c>
      <c r="F585" t="inlineStr">
        <is>
          <t>NORRBOTTENS LÄN</t>
        </is>
      </c>
      <c r="G585" t="inlineStr">
        <is>
          <t>BODEN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45902</v>
      </c>
      <c r="E586" s="1" t="n">
        <v>46253</v>
      </c>
      <c r="F586" t="inlineStr">
        <is>
          <t>NORRBOTTENS LÄN</t>
        </is>
      </c>
      <c r="G586" t="inlineStr">
        <is>
          <t>BODEN</t>
        </is>
      </c>
      <c r="H586" t="inlineStr">
        <is>
          <t>Övriga statliga verk och myndigheter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46253</v>
      </c>
      <c r="F587" t="inlineStr">
        <is>
          <t>NORRBOTTENS LÄN</t>
        </is>
      </c>
      <c r="G587" t="inlineStr">
        <is>
          <t>BODEN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45604</v>
      </c>
      <c r="E588" s="1" t="n">
        <v>46253</v>
      </c>
      <c r="F588" t="inlineStr">
        <is>
          <t>NORRBOTTENS LÄN</t>
        </is>
      </c>
      <c r="G588" t="inlineStr">
        <is>
          <t>BODEN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46150</v>
      </c>
      <c r="E589" s="1" t="n">
        <v>46253</v>
      </c>
      <c r="F589" t="inlineStr">
        <is>
          <t>NORRBOTTENS LÄN</t>
        </is>
      </c>
      <c r="G589" t="inlineStr">
        <is>
          <t>BODEN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46253</v>
      </c>
      <c r="F590" t="inlineStr">
        <is>
          <t>NORRBOTTENS LÄN</t>
        </is>
      </c>
      <c r="G590" t="inlineStr">
        <is>
          <t>BODEN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46253</v>
      </c>
      <c r="F591" t="inlineStr">
        <is>
          <t>NORRBOTTENS LÄN</t>
        </is>
      </c>
      <c r="G591" t="inlineStr">
        <is>
          <t>BODEN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46253</v>
      </c>
      <c r="F592" t="inlineStr">
        <is>
          <t>NORRBOTTENS LÄN</t>
        </is>
      </c>
      <c r="G592" t="inlineStr">
        <is>
          <t>BODEN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46253</v>
      </c>
      <c r="F593" t="inlineStr">
        <is>
          <t>NORRBOTTENS LÄN</t>
        </is>
      </c>
      <c r="G593" t="inlineStr">
        <is>
          <t>BODEN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63891-2025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46020</v>
      </c>
      <c r="E594" s="1" t="n">
        <v>46253</v>
      </c>
      <c r="F594" t="inlineStr">
        <is>
          <t>NORRBOTTENS LÄN</t>
        </is>
      </c>
      <c r="G594" t="inlineStr">
        <is>
          <t>BODEN</t>
        </is>
      </c>
      <c r="I594" t="n">
        <v>12.5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46253</v>
      </c>
      <c r="F595" t="inlineStr">
        <is>
          <t>NORRBOTTENS LÄN</t>
        </is>
      </c>
      <c r="G595" t="inlineStr">
        <is>
          <t>BODEN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20041-2025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45772</v>
      </c>
      <c r="E596" s="1" t="n">
        <v>46253</v>
      </c>
      <c r="F596" t="inlineStr">
        <is>
          <t>NORRBOTTENS LÄN</t>
        </is>
      </c>
      <c r="G596" t="inlineStr">
        <is>
          <t>BODEN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46253</v>
      </c>
      <c r="F597" t="inlineStr">
        <is>
          <t>NORRBOTTENS LÄN</t>
        </is>
      </c>
      <c r="G597" t="inlineStr">
        <is>
          <t>BODEN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8701-2026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46253</v>
      </c>
      <c r="F598" t="inlineStr">
        <is>
          <t>NORRBOTTENS LÄN</t>
        </is>
      </c>
      <c r="G598" t="inlineStr">
        <is>
          <t>BODEN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22239-2026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46253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67068-2021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44522</v>
      </c>
      <c r="E600" s="1" t="n">
        <v>46253</v>
      </c>
      <c r="F600" t="inlineStr">
        <is>
          <t>NORRBOTTENS LÄN</t>
        </is>
      </c>
      <c r="G600" t="inlineStr">
        <is>
          <t>BODEN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46253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31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46030</v>
      </c>
      <c r="E602" s="1" t="n">
        <v>46253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10.3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45408</v>
      </c>
      <c r="E603" s="1" t="n">
        <v>46253</v>
      </c>
      <c r="F603" t="inlineStr">
        <is>
          <t>NORRBOTTENS LÄN</t>
        </is>
      </c>
      <c r="G603" t="inlineStr">
        <is>
          <t>BODEN</t>
        </is>
      </c>
      <c r="I603" t="n">
        <v>14.9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46253</v>
      </c>
      <c r="F604" t="inlineStr">
        <is>
          <t>NORRBOTTENS LÄN</t>
        </is>
      </c>
      <c r="G604" t="inlineStr">
        <is>
          <t>BODEN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48472-2024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45591</v>
      </c>
      <c r="E605" s="1" t="n">
        <v>46253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7.7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46030</v>
      </c>
      <c r="E606" s="1" t="n">
        <v>46253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8120-2022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44609</v>
      </c>
      <c r="E607" s="1" t="n">
        <v>46253</v>
      </c>
      <c r="F607" t="inlineStr">
        <is>
          <t>NORRBOTTENS LÄN</t>
        </is>
      </c>
      <c r="G607" t="inlineStr">
        <is>
          <t>BODEN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19068-2024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45427</v>
      </c>
      <c r="E608" s="1" t="n">
        <v>46253</v>
      </c>
      <c r="F608" t="inlineStr">
        <is>
          <t>NORRBOTTENS LÄN</t>
        </is>
      </c>
      <c r="G608" t="inlineStr">
        <is>
          <t>BODEN</t>
        </is>
      </c>
      <c r="I608" t="n">
        <v>22.1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22373-2026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46253</v>
      </c>
      <c r="F609" t="inlineStr">
        <is>
          <t>NORRBOTTENS LÄN</t>
        </is>
      </c>
      <c r="G609" t="inlineStr">
        <is>
          <t>BODEN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63841-2025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46020</v>
      </c>
      <c r="E610" s="1" t="n">
        <v>46253</v>
      </c>
      <c r="F610" t="inlineStr">
        <is>
          <t>NORRBOTTENS LÄN</t>
        </is>
      </c>
      <c r="G610" t="inlineStr">
        <is>
          <t>BODEN</t>
        </is>
      </c>
      <c r="I610" t="n">
        <v>10.9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45639</v>
      </c>
      <c r="E611" s="1" t="n">
        <v>46253</v>
      </c>
      <c r="F611" t="inlineStr">
        <is>
          <t>NORRBOTTENS LÄN</t>
        </is>
      </c>
      <c r="G611" t="inlineStr">
        <is>
          <t>BODEN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38371-2023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45161</v>
      </c>
      <c r="E612" s="1" t="n">
        <v>46253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46253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46253</v>
      </c>
      <c r="F614" t="inlineStr">
        <is>
          <t>NORRBOTTENS LÄN</t>
        </is>
      </c>
      <c r="G614" t="inlineStr">
        <is>
          <t>BODEN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61587-2024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46253</v>
      </c>
      <c r="F615" t="inlineStr">
        <is>
          <t>NORRBOTTENS LÄN</t>
        </is>
      </c>
      <c r="G615" t="inlineStr">
        <is>
          <t>BODEN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46253</v>
      </c>
      <c r="F616" t="inlineStr">
        <is>
          <t>NORRBOTTENS LÄN</t>
        </is>
      </c>
      <c r="G616" t="inlineStr">
        <is>
          <t>BODEN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46253</v>
      </c>
      <c r="F617" t="inlineStr">
        <is>
          <t>NORRBOTTENS LÄN</t>
        </is>
      </c>
      <c r="G617" t="inlineStr">
        <is>
          <t>BODEN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21329-2024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45440</v>
      </c>
      <c r="E618" s="1" t="n">
        <v>46253</v>
      </c>
      <c r="F618" t="inlineStr">
        <is>
          <t>NORRBOTTENS LÄN</t>
        </is>
      </c>
      <c r="G618" t="inlineStr">
        <is>
          <t>BODEN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2771-2026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46036</v>
      </c>
      <c r="E619" s="1" t="n">
        <v>46253</v>
      </c>
      <c r="F619" t="inlineStr">
        <is>
          <t>NORRBOTTENS LÄN</t>
        </is>
      </c>
      <c r="G619" t="inlineStr">
        <is>
          <t>BODEN</t>
        </is>
      </c>
      <c r="H619" t="inlineStr">
        <is>
          <t>Kommuner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34760-2022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44795</v>
      </c>
      <c r="E620" s="1" t="n">
        <v>46253</v>
      </c>
      <c r="F620" t="inlineStr">
        <is>
          <t>NORRBOTTENS LÄN</t>
        </is>
      </c>
      <c r="G620" t="inlineStr">
        <is>
          <t>BODEN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50327-2023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45216</v>
      </c>
      <c r="E621" s="1" t="n">
        <v>46253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49730-2024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45596</v>
      </c>
      <c r="E622" s="1" t="n">
        <v>46253</v>
      </c>
      <c r="F622" t="inlineStr">
        <is>
          <t>NORRBOTTENS LÄN</t>
        </is>
      </c>
      <c r="G622" t="inlineStr">
        <is>
          <t>BODEN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50103-2024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45600</v>
      </c>
      <c r="E623" s="1" t="n">
        <v>46253</v>
      </c>
      <c r="F623" t="inlineStr">
        <is>
          <t>NORRBOTTENS LÄN</t>
        </is>
      </c>
      <c r="G623" t="inlineStr">
        <is>
          <t>BODEN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50107-2024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45600</v>
      </c>
      <c r="E624" s="1" t="n">
        <v>46253</v>
      </c>
      <c r="F624" t="inlineStr">
        <is>
          <t>NORRBOTTENS LÄN</t>
        </is>
      </c>
      <c r="G624" t="inlineStr">
        <is>
          <t>BODEN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706-2022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44566</v>
      </c>
      <c r="E625" s="1" t="n">
        <v>46253</v>
      </c>
      <c r="F625" t="inlineStr">
        <is>
          <t>NORRBOTTENS LÄN</t>
        </is>
      </c>
      <c r="G625" t="inlineStr">
        <is>
          <t>BODEN</t>
        </is>
      </c>
      <c r="I625" t="n">
        <v>12.4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45818</v>
      </c>
      <c r="E626" s="1" t="n">
        <v>46253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37212-2025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45875</v>
      </c>
      <c r="E627" s="1" t="n">
        <v>46253</v>
      </c>
      <c r="F627" t="inlineStr">
        <is>
          <t>NORRBOTTENS LÄN</t>
        </is>
      </c>
      <c r="G627" t="inlineStr">
        <is>
          <t>BODEN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46253</v>
      </c>
      <c r="F628" t="inlineStr">
        <is>
          <t>NORRBOTTENS LÄN</t>
        </is>
      </c>
      <c r="G628" t="inlineStr">
        <is>
          <t>BODEN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45691</v>
      </c>
      <c r="E629" s="1" t="n">
        <v>46253</v>
      </c>
      <c r="F629" t="inlineStr">
        <is>
          <t>NORRBOTTENS LÄN</t>
        </is>
      </c>
      <c r="G629" t="inlineStr">
        <is>
          <t>BODEN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46253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46253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28758-2024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45478</v>
      </c>
      <c r="E632" s="1" t="n">
        <v>46253</v>
      </c>
      <c r="F632" t="inlineStr">
        <is>
          <t>NORRBOTTENS LÄN</t>
        </is>
      </c>
      <c r="G632" t="inlineStr">
        <is>
          <t>BODEN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46164</v>
      </c>
      <c r="E633" s="1" t="n">
        <v>46253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46164</v>
      </c>
      <c r="E634" s="1" t="n">
        <v>46253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45674</v>
      </c>
      <c r="E635" s="1" t="n">
        <v>46253</v>
      </c>
      <c r="F635" t="inlineStr">
        <is>
          <t>NORRBOTTENS LÄN</t>
        </is>
      </c>
      <c r="G635" t="inlineStr">
        <is>
          <t>BODEN</t>
        </is>
      </c>
      <c r="I635" t="n">
        <v>7.2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24234-2026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46253</v>
      </c>
      <c r="F636" t="inlineStr">
        <is>
          <t>NORRBOTTENS LÄN</t>
        </is>
      </c>
      <c r="G636" t="inlineStr">
        <is>
          <t>BODEN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45411</v>
      </c>
      <c r="E637" s="1" t="n">
        <v>46253</v>
      </c>
      <c r="F637" t="inlineStr">
        <is>
          <t>NORRBOTTENS LÄN</t>
        </is>
      </c>
      <c r="G637" t="inlineStr">
        <is>
          <t>BODEN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2426-2024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45310</v>
      </c>
      <c r="E638" s="1" t="n">
        <v>46253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46253</v>
      </c>
      <c r="F639" t="inlineStr">
        <is>
          <t>NORRBOTTENS LÄN</t>
        </is>
      </c>
      <c r="G639" t="inlineStr">
        <is>
          <t>BODEN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46253</v>
      </c>
      <c r="F640" t="inlineStr">
        <is>
          <t>NORRBOTTENS LÄN</t>
        </is>
      </c>
      <c r="G640" t="inlineStr">
        <is>
          <t>BODEN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40157-2025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45894</v>
      </c>
      <c r="E641" s="1" t="n">
        <v>46253</v>
      </c>
      <c r="F641" t="inlineStr">
        <is>
          <t>NORRBOTTENS LÄN</t>
        </is>
      </c>
      <c r="G641" t="inlineStr">
        <is>
          <t>BODEN</t>
        </is>
      </c>
      <c r="H641" t="inlineStr">
        <is>
          <t>Övriga statliga verk och myndigheter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46253</v>
      </c>
      <c r="F642" t="inlineStr">
        <is>
          <t>NORRBOTTENS LÄN</t>
        </is>
      </c>
      <c r="G642" t="inlineStr">
        <is>
          <t>BODEN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46253</v>
      </c>
      <c r="F643" t="inlineStr">
        <is>
          <t>NORRBOTTENS LÄN</t>
        </is>
      </c>
      <c r="G643" t="inlineStr">
        <is>
          <t>BODEN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46253</v>
      </c>
      <c r="F644" t="inlineStr">
        <is>
          <t>NORRBOTTENS LÄN</t>
        </is>
      </c>
      <c r="G644" t="inlineStr">
        <is>
          <t>BODEN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46253</v>
      </c>
      <c r="F645" t="inlineStr">
        <is>
          <t>NORRBOTTENS LÄN</t>
        </is>
      </c>
      <c r="G645" t="inlineStr">
        <is>
          <t>BODEN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46253</v>
      </c>
      <c r="F646" t="inlineStr">
        <is>
          <t>NORRBOTTENS LÄN</t>
        </is>
      </c>
      <c r="G646" t="inlineStr">
        <is>
          <t>BODEN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46253</v>
      </c>
      <c r="F647" t="inlineStr">
        <is>
          <t>NORRBOTTENS LÄN</t>
        </is>
      </c>
      <c r="G647" t="inlineStr">
        <is>
          <t>BODEN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11092-2022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44628</v>
      </c>
      <c r="E648" s="1" t="n">
        <v>46253</v>
      </c>
      <c r="F648" t="inlineStr">
        <is>
          <t>NORRBOTTENS LÄN</t>
        </is>
      </c>
      <c r="G648" t="inlineStr">
        <is>
          <t>BODEN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41957-2024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46253</v>
      </c>
      <c r="F649" t="inlineStr">
        <is>
          <t>NORRBOTTENS LÄN</t>
        </is>
      </c>
      <c r="G649" t="inlineStr">
        <is>
          <t>BODEN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32347-2024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45512</v>
      </c>
      <c r="E650" s="1" t="n">
        <v>46253</v>
      </c>
      <c r="F650" t="inlineStr">
        <is>
          <t>NORRBOTTENS LÄN</t>
        </is>
      </c>
      <c r="G650" t="inlineStr">
        <is>
          <t>BODEN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48950-2022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44859</v>
      </c>
      <c r="E651" s="1" t="n">
        <v>46253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46253</v>
      </c>
      <c r="F652" t="inlineStr">
        <is>
          <t>NORRBOTTENS LÄN</t>
        </is>
      </c>
      <c r="G652" t="inlineStr">
        <is>
          <t>BODEN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49859-2023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45212</v>
      </c>
      <c r="E653" s="1" t="n">
        <v>46253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45687</v>
      </c>
      <c r="E654" s="1" t="n">
        <v>46253</v>
      </c>
      <c r="F654" t="inlineStr">
        <is>
          <t>NORRBOTTENS LÄN</t>
        </is>
      </c>
      <c r="G654" t="inlineStr">
        <is>
          <t>BODEN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41487-2024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45560</v>
      </c>
      <c r="E655" s="1" t="n">
        <v>46253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19590-2025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45770</v>
      </c>
      <c r="E656" s="1" t="n">
        <v>46253</v>
      </c>
      <c r="F656" t="inlineStr">
        <is>
          <t>NORRBOTTENS LÄN</t>
        </is>
      </c>
      <c r="G656" t="inlineStr">
        <is>
          <t>BODEN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24805-2026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46172</v>
      </c>
      <c r="E657" s="1" t="n">
        <v>46253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25042-2026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46174</v>
      </c>
      <c r="E658" s="1" t="n">
        <v>46253</v>
      </c>
      <c r="F658" t="inlineStr">
        <is>
          <t>NORRBOTTENS LÄN</t>
        </is>
      </c>
      <c r="G658" t="inlineStr">
        <is>
          <t>BODEN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25240-2026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46253</v>
      </c>
      <c r="F659" t="inlineStr">
        <is>
          <t>NORRBOTTENS LÄN</t>
        </is>
      </c>
      <c r="G659" t="inlineStr">
        <is>
          <t>BODEN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31217-2026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46217</v>
      </c>
      <c r="E660" s="1" t="n">
        <v>46253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31211-2026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46217</v>
      </c>
      <c r="E661" s="1" t="n">
        <v>46253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46217</v>
      </c>
      <c r="E662" s="1" t="n">
        <v>46253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31456-2024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45505</v>
      </c>
      <c r="E663" s="1" t="n">
        <v>46253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25571-2026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46177</v>
      </c>
      <c r="E664" s="1" t="n">
        <v>46253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25536-2026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46177</v>
      </c>
      <c r="E665" s="1" t="n">
        <v>46253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24744-2024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45460</v>
      </c>
      <c r="E666" s="1" t="n">
        <v>46253</v>
      </c>
      <c r="F666" t="inlineStr">
        <is>
          <t>NORRBOTTENS LÄN</t>
        </is>
      </c>
      <c r="G666" t="inlineStr">
        <is>
          <t>BODEN</t>
        </is>
      </c>
      <c r="H666" t="inlineStr">
        <is>
          <t>Övriga Aktiebolag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8869-2024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45356</v>
      </c>
      <c r="E667" s="1" t="n">
        <v>46253</v>
      </c>
      <c r="F667" t="inlineStr">
        <is>
          <t>NORRBOTTENS LÄN</t>
        </is>
      </c>
      <c r="G667" t="inlineStr">
        <is>
          <t>BODEN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46253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26122-2026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46253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26056-2026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46253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55317-2023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45237</v>
      </c>
      <c r="E671" s="1" t="n">
        <v>46253</v>
      </c>
      <c r="F671" t="inlineStr">
        <is>
          <t>NORRBOTTENS LÄN</t>
        </is>
      </c>
      <c r="G671" t="inlineStr">
        <is>
          <t>BODEN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49162-2023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45210</v>
      </c>
      <c r="E672" s="1" t="n">
        <v>46253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45448-2023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45194</v>
      </c>
      <c r="E673" s="1" t="n">
        <v>46253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46253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46253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46253</v>
      </c>
      <c r="F676" t="inlineStr">
        <is>
          <t>NORRBOTTENS LÄN</t>
        </is>
      </c>
      <c r="G676" t="inlineStr">
        <is>
          <t>BODEN</t>
        </is>
      </c>
      <c r="I676" t="n">
        <v>18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46253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46253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46253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38874-2023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45161</v>
      </c>
      <c r="E680" s="1" t="n">
        <v>46253</v>
      </c>
      <c r="F680" t="inlineStr">
        <is>
          <t>NORRBOTTENS LÄN</t>
        </is>
      </c>
      <c r="G680" t="inlineStr">
        <is>
          <t>BODEN</t>
        </is>
      </c>
      <c r="I680" t="n">
        <v>15.5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46253</v>
      </c>
      <c r="F681" t="inlineStr">
        <is>
          <t>NORRBOTTENS LÄN</t>
        </is>
      </c>
      <c r="G681" t="inlineStr">
        <is>
          <t>BODEN</t>
        </is>
      </c>
      <c r="I681" t="n">
        <v>7.7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32754-2022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44783</v>
      </c>
      <c r="E682" s="1" t="n">
        <v>46253</v>
      </c>
      <c r="F682" t="inlineStr">
        <is>
          <t>NORRBOTTENS LÄN</t>
        </is>
      </c>
      <c r="G682" t="inlineStr">
        <is>
          <t>BODEN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47097-2023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46253</v>
      </c>
      <c r="F683" t="inlineStr">
        <is>
          <t>NORRBOTTENS LÄN</t>
        </is>
      </c>
      <c r="G683" t="inlineStr">
        <is>
          <t>BODEN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26996-2026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46253</v>
      </c>
      <c r="F684" t="inlineStr">
        <is>
          <t>NORRBOTTENS LÄN</t>
        </is>
      </c>
      <c r="G684" t="inlineStr">
        <is>
          <t>BODEN</t>
        </is>
      </c>
      <c r="I684" t="n">
        <v>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26776-2026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46184</v>
      </c>
      <c r="E685" s="1" t="n">
        <v>46253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  <c r="Z685">
        <f>HYPERLINK("https://klasma.github.io/Logging_2582/knärot/A 26776-2026 karta knärot.png", "A 26776-2026")</f>
        <v/>
      </c>
      <c r="AA685">
        <f>HYPERLINK("https://klasma.github.io/Logging_2582/klagomål/A 26776-2026 FSC-klagomål.docx", "A 26776-2026")</f>
        <v/>
      </c>
      <c r="AB685">
        <f>HYPERLINK("https://klasma.github.io/Logging_2582/klagomålsmail/A 26776-2026 FSC-klagomål mail.docx", "A 26776-2026")</f>
        <v/>
      </c>
      <c r="AC685">
        <f>HYPERLINK("https://klasma.github.io/Logging_2582/tillsyn/A 26776-2026 tillsynsbegäran.docx", "A 26776-2026")</f>
        <v/>
      </c>
      <c r="AD685">
        <f>HYPERLINK("https://klasma.github.io/Logging_2582/tillsynsmail/A 26776-2026 tillsynsbegäran mail.docx", "A 26776-2026")</f>
        <v/>
      </c>
    </row>
    <row r="686" ht="15" customHeight="1">
      <c r="A686" t="inlineStr">
        <is>
          <t>A 26714-2026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46253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46253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46253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42.2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11865-2025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45728</v>
      </c>
      <c r="E689" s="1" t="n">
        <v>46253</v>
      </c>
      <c r="F689" t="inlineStr">
        <is>
          <t>NORRBOTTENS LÄN</t>
        </is>
      </c>
      <c r="G689" t="inlineStr">
        <is>
          <t>BODEN</t>
        </is>
      </c>
      <c r="H689" t="inlineStr">
        <is>
          <t>Övriga Aktiebolag</t>
        </is>
      </c>
      <c r="I689" t="n">
        <v>10.6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57579-2023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46253</v>
      </c>
      <c r="F690" t="inlineStr">
        <is>
          <t>NORRBOTTENS LÄN</t>
        </is>
      </c>
      <c r="G690" t="inlineStr">
        <is>
          <t>BODEN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18428-2025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45762</v>
      </c>
      <c r="E691" s="1" t="n">
        <v>46253</v>
      </c>
      <c r="F691" t="inlineStr">
        <is>
          <t>NORRBOTTENS LÄN</t>
        </is>
      </c>
      <c r="G691" t="inlineStr">
        <is>
          <t>BODEN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39463-2023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46253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45718</v>
      </c>
      <c r="E693" s="1" t="n">
        <v>46253</v>
      </c>
      <c r="F693" t="inlineStr">
        <is>
          <t>NORRBOTTENS LÄN</t>
        </is>
      </c>
      <c r="G693" t="inlineStr">
        <is>
          <t>BODEN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45247</v>
      </c>
      <c r="E694" s="1" t="n">
        <v>46253</v>
      </c>
      <c r="F694" t="inlineStr">
        <is>
          <t>NORRBOTTENS LÄN</t>
        </is>
      </c>
      <c r="G694" t="inlineStr">
        <is>
          <t>BODEN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45314</v>
      </c>
      <c r="E695" s="1" t="n">
        <v>46253</v>
      </c>
      <c r="F695" t="inlineStr">
        <is>
          <t>NORRBOTTENS LÄN</t>
        </is>
      </c>
      <c r="G695" t="inlineStr">
        <is>
          <t>BODEN</t>
        </is>
      </c>
      <c r="I695" t="n">
        <v>17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59688-2023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45256</v>
      </c>
      <c r="E696" s="1" t="n">
        <v>46253</v>
      </c>
      <c r="F696" t="inlineStr">
        <is>
          <t>NORRBOTTENS LÄN</t>
        </is>
      </c>
      <c r="G696" t="inlineStr">
        <is>
          <t>BODEN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57604-2021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44484</v>
      </c>
      <c r="E697" s="1" t="n">
        <v>46253</v>
      </c>
      <c r="F697" t="inlineStr">
        <is>
          <t>NORRBOTTENS LÄN</t>
        </is>
      </c>
      <c r="G697" t="inlineStr">
        <is>
          <t>BODEN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46190</v>
      </c>
      <c r="E698" s="1" t="n">
        <v>46253</v>
      </c>
      <c r="F698" t="inlineStr">
        <is>
          <t>NORRBOTTENS LÄN</t>
        </is>
      </c>
      <c r="G698" t="inlineStr">
        <is>
          <t>BODEN</t>
        </is>
      </c>
      <c r="I698" t="n">
        <v>22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46234</v>
      </c>
      <c r="E699" s="1" t="n">
        <v>46253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46253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46234</v>
      </c>
      <c r="E701" s="1" t="n">
        <v>46253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45680</v>
      </c>
      <c r="E702" s="1" t="n">
        <v>46253</v>
      </c>
      <c r="F702" t="inlineStr">
        <is>
          <t>NORRBOTTENS LÄN</t>
        </is>
      </c>
      <c r="G702" t="inlineStr">
        <is>
          <t>BODEN</t>
        </is>
      </c>
      <c r="H702" t="inlineStr">
        <is>
          <t>Naturvårdsverket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46253</v>
      </c>
      <c r="F703" t="inlineStr">
        <is>
          <t>NORRBOTTENS LÄN</t>
        </is>
      </c>
      <c r="G703" t="inlineStr">
        <is>
          <t>BODEN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59890-2023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45254</v>
      </c>
      <c r="E704" s="1" t="n">
        <v>46253</v>
      </c>
      <c r="F704" t="inlineStr">
        <is>
          <t>NORRBOTTENS LÄN</t>
        </is>
      </c>
      <c r="G704" t="inlineStr">
        <is>
          <t>BODEN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32426-2026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46238</v>
      </c>
      <c r="E705" s="1" t="n">
        <v>46253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32427-2026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46253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59983-2023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45257</v>
      </c>
      <c r="E707" s="1" t="n">
        <v>46253</v>
      </c>
      <c r="F707" t="inlineStr">
        <is>
          <t>NORRBOTTENS LÄN</t>
        </is>
      </c>
      <c r="G707" t="inlineStr">
        <is>
          <t>BODEN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44648</v>
      </c>
      <c r="E708" s="1" t="n">
        <v>46253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46253</v>
      </c>
      <c r="F709" t="inlineStr">
        <is>
          <t>NORRBOTTENS LÄN</t>
        </is>
      </c>
      <c r="G709" t="inlineStr">
        <is>
          <t>BODEN</t>
        </is>
      </c>
      <c r="H709" t="inlineStr">
        <is>
          <t>Naturvårdsverket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61488-2023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45264</v>
      </c>
      <c r="E710" s="1" t="n">
        <v>46253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8873-2024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45356</v>
      </c>
      <c r="E711" s="1" t="n">
        <v>46253</v>
      </c>
      <c r="F711" t="inlineStr">
        <is>
          <t>NORRBOTTENS LÄN</t>
        </is>
      </c>
      <c r="G711" t="inlineStr">
        <is>
          <t>BODEN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46253</v>
      </c>
      <c r="F712" t="inlineStr">
        <is>
          <t>NORRBOTTENS LÄN</t>
        </is>
      </c>
      <c r="G712" t="inlineStr">
        <is>
          <t>BODEN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46253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46197</v>
      </c>
      <c r="E714" s="1" t="n">
        <v>46253</v>
      </c>
      <c r="F714" t="inlineStr">
        <is>
          <t>NORRBOTTENS LÄN</t>
        </is>
      </c>
      <c r="G714" t="inlineStr">
        <is>
          <t>BODEN</t>
        </is>
      </c>
      <c r="I714" t="n">
        <v>10.8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32678-2026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46240</v>
      </c>
      <c r="E715" s="1" t="n">
        <v>46253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32562-2026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46239</v>
      </c>
      <c r="E716" s="1" t="n">
        <v>46253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26.6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46253</v>
      </c>
      <c r="F717" t="inlineStr">
        <is>
          <t>NORRBOTTENS LÄN</t>
        </is>
      </c>
      <c r="G717" t="inlineStr">
        <is>
          <t>BODEN</t>
        </is>
      </c>
      <c r="I717" t="n">
        <v>8.9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32590-2026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46240</v>
      </c>
      <c r="E718" s="1" t="n">
        <v>46253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54935-2021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44474</v>
      </c>
      <c r="E719" s="1" t="n">
        <v>46253</v>
      </c>
      <c r="F719" t="inlineStr">
        <is>
          <t>NORRBOTTENS LÄN</t>
        </is>
      </c>
      <c r="G719" t="inlineStr">
        <is>
          <t>BODEN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45694</v>
      </c>
      <c r="E720" s="1" t="n">
        <v>46253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29467-2026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46253</v>
      </c>
      <c r="F721" t="inlineStr">
        <is>
          <t>NORRBOTTENS LÄN</t>
        </is>
      </c>
      <c r="G721" t="inlineStr">
        <is>
          <t>BODEN</t>
        </is>
      </c>
      <c r="I721" t="n">
        <v>14.5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28241-2026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46253</v>
      </c>
      <c r="F722" t="inlineStr">
        <is>
          <t>NORRBOTTENS LÄN</t>
        </is>
      </c>
      <c r="G722" t="inlineStr">
        <is>
          <t>BODEN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46253</v>
      </c>
      <c r="F723" t="inlineStr">
        <is>
          <t>NORRBOTTENS LÄN</t>
        </is>
      </c>
      <c r="G723" t="inlineStr">
        <is>
          <t>BODEN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60337-2024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45643</v>
      </c>
      <c r="E724" s="1" t="n">
        <v>46253</v>
      </c>
      <c r="F724" t="inlineStr">
        <is>
          <t>NORRBOTTENS LÄN</t>
        </is>
      </c>
      <c r="G724" t="inlineStr">
        <is>
          <t>BODEN</t>
        </is>
      </c>
      <c r="I724" t="n">
        <v>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61241-2023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45260</v>
      </c>
      <c r="E725" s="1" t="n">
        <v>46253</v>
      </c>
      <c r="F725" t="inlineStr">
        <is>
          <t>NORRBOTTENS LÄN</t>
        </is>
      </c>
      <c r="G725" t="inlineStr">
        <is>
          <t>BODEN</t>
        </is>
      </c>
      <c r="I725" t="n">
        <v>33.9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46253</v>
      </c>
      <c r="F726" t="inlineStr">
        <is>
          <t>NORRBOTTENS LÄN</t>
        </is>
      </c>
      <c r="G726" t="inlineStr">
        <is>
          <t>BODEN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32674-2026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46240</v>
      </c>
      <c r="E727" s="1" t="n">
        <v>46253</v>
      </c>
      <c r="F727" t="inlineStr">
        <is>
          <t>NORRBOTTENS LÄN</t>
        </is>
      </c>
      <c r="G727" t="inlineStr">
        <is>
          <t>BODEN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15881-2023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45022</v>
      </c>
      <c r="E728" s="1" t="n">
        <v>46253</v>
      </c>
      <c r="F728" t="inlineStr">
        <is>
          <t>NORRBOTTENS LÄN</t>
        </is>
      </c>
      <c r="G728" t="inlineStr">
        <is>
          <t>BODEN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28490-2026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46197</v>
      </c>
      <c r="E729" s="1" t="n">
        <v>46253</v>
      </c>
      <c r="F729" t="inlineStr">
        <is>
          <t>NORRBOTTENS LÄN</t>
        </is>
      </c>
      <c r="G729" t="inlineStr">
        <is>
          <t>BODEN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44573</v>
      </c>
      <c r="E730" s="1" t="n">
        <v>46253</v>
      </c>
      <c r="F730" t="inlineStr">
        <is>
          <t>NORRBOTTENS LÄN</t>
        </is>
      </c>
      <c r="G730" t="inlineStr">
        <is>
          <t>BODEN</t>
        </is>
      </c>
      <c r="H730" t="inlineStr">
        <is>
          <t>Övriga statliga verk och myndigheter</t>
        </is>
      </c>
      <c r="I730" t="n">
        <v>9.9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7442-2024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45345</v>
      </c>
      <c r="E731" s="1" t="n">
        <v>46253</v>
      </c>
      <c r="F731" t="inlineStr">
        <is>
          <t>NORRBOTTENS LÄN</t>
        </is>
      </c>
      <c r="G731" t="inlineStr">
        <is>
          <t>BODEN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45483</v>
      </c>
      <c r="E732" s="1" t="n">
        <v>46253</v>
      </c>
      <c r="F732" t="inlineStr">
        <is>
          <t>NORRBOTTENS LÄN</t>
        </is>
      </c>
      <c r="G732" t="inlineStr">
        <is>
          <t>BODEN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64975-2023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45285</v>
      </c>
      <c r="E733" s="1" t="n">
        <v>46253</v>
      </c>
      <c r="F733" t="inlineStr">
        <is>
          <t>NORRBOTTENS LÄN</t>
        </is>
      </c>
      <c r="G733" t="inlineStr">
        <is>
          <t>BODEN</t>
        </is>
      </c>
      <c r="I733" t="n">
        <v>9.4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35115-2024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45529</v>
      </c>
      <c r="E734" s="1" t="n">
        <v>46253</v>
      </c>
      <c r="F734" t="inlineStr">
        <is>
          <t>NORRBOTTENS LÄN</t>
        </is>
      </c>
      <c r="G734" t="inlineStr">
        <is>
          <t>BODEN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25627-2022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44732</v>
      </c>
      <c r="E735" s="1" t="n">
        <v>46253</v>
      </c>
      <c r="F735" t="inlineStr">
        <is>
          <t>NORRBOTTENS LÄN</t>
        </is>
      </c>
      <c r="G735" t="inlineStr">
        <is>
          <t>BODEN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4055-2024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45323</v>
      </c>
      <c r="E736" s="1" t="n">
        <v>46253</v>
      </c>
      <c r="F736" t="inlineStr">
        <is>
          <t>NORRBOTTENS LÄN</t>
        </is>
      </c>
      <c r="G736" t="inlineStr">
        <is>
          <t>BODEN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7159-2023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44970</v>
      </c>
      <c r="E737" s="1" t="n">
        <v>46253</v>
      </c>
      <c r="F737" t="inlineStr">
        <is>
          <t>NORRBOTTENS LÄN</t>
        </is>
      </c>
      <c r="G737" t="inlineStr">
        <is>
          <t>BODEN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29393-2026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46203</v>
      </c>
      <c r="E738" s="1" t="n">
        <v>46253</v>
      </c>
      <c r="F738" t="inlineStr">
        <is>
          <t>NORRBOTTENS LÄN</t>
        </is>
      </c>
      <c r="G738" t="inlineStr">
        <is>
          <t>BODEN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49124-2023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45210</v>
      </c>
      <c r="E739" s="1" t="n">
        <v>46253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5452-2025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45692</v>
      </c>
      <c r="E740" s="1" t="n">
        <v>46253</v>
      </c>
      <c r="F740" t="inlineStr">
        <is>
          <t>NORRBOTTENS LÄN</t>
        </is>
      </c>
      <c r="G740" t="inlineStr">
        <is>
          <t>BODEN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46253</v>
      </c>
      <c r="F741" t="inlineStr">
        <is>
          <t>NORRBOTTENS LÄN</t>
        </is>
      </c>
      <c r="G741" t="inlineStr">
        <is>
          <t>BODEN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46202</v>
      </c>
      <c r="E742" s="1" t="n">
        <v>46253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46202</v>
      </c>
      <c r="E743" s="1" t="n">
        <v>46253</v>
      </c>
      <c r="F743" t="inlineStr">
        <is>
          <t>NORRBOTTENS LÄN</t>
        </is>
      </c>
      <c r="G743" t="inlineStr">
        <is>
          <t>BODEN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31754-2024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45509</v>
      </c>
      <c r="E744" s="1" t="n">
        <v>46253</v>
      </c>
      <c r="F744" t="inlineStr">
        <is>
          <t>NORRBOTTENS LÄN</t>
        </is>
      </c>
      <c r="G744" t="inlineStr">
        <is>
          <t>BODEN</t>
        </is>
      </c>
      <c r="I744" t="n">
        <v>11.1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46253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29152-2026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46202</v>
      </c>
      <c r="E746" s="1" t="n">
        <v>46253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36438-2024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45537</v>
      </c>
      <c r="E747" s="1" t="n">
        <v>46253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6242-2023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44964</v>
      </c>
      <c r="E748" s="1" t="n">
        <v>46253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29394-2026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46203</v>
      </c>
      <c r="E749" s="1" t="n">
        <v>46253</v>
      </c>
      <c r="F749" t="inlineStr">
        <is>
          <t>NORRBOTTENS LÄN</t>
        </is>
      </c>
      <c r="G749" t="inlineStr">
        <is>
          <t>BODEN</t>
        </is>
      </c>
      <c r="I749" t="n">
        <v>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46204</v>
      </c>
      <c r="E750" s="1" t="n">
        <v>46253</v>
      </c>
      <c r="F750" t="inlineStr">
        <is>
          <t>NORRBOTTENS LÄN</t>
        </is>
      </c>
      <c r="G750" t="inlineStr">
        <is>
          <t>BODEN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37114-2024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45539</v>
      </c>
      <c r="E751" s="1" t="n">
        <v>46253</v>
      </c>
      <c r="F751" t="inlineStr">
        <is>
          <t>NORRBOTTENS LÄN</t>
        </is>
      </c>
      <c r="G751" t="inlineStr">
        <is>
          <t>BODEN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33326-2026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46253</v>
      </c>
      <c r="F752" t="inlineStr">
        <is>
          <t>NORRBOTTENS LÄN</t>
        </is>
      </c>
      <c r="G752" t="inlineStr">
        <is>
          <t>BODEN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30745-2026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46211</v>
      </c>
      <c r="E753" s="1" t="n">
        <v>46253</v>
      </c>
      <c r="F753" t="inlineStr">
        <is>
          <t>NORRBOTTENS LÄN</t>
        </is>
      </c>
      <c r="G753" t="inlineStr">
        <is>
          <t>BODEN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29568-2026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46253</v>
      </c>
      <c r="F754" t="inlineStr">
        <is>
          <t>NORRBOTTENS LÄN</t>
        </is>
      </c>
      <c r="G754" t="inlineStr">
        <is>
          <t>BODEN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46248</v>
      </c>
      <c r="E755" s="1" t="n">
        <v>46253</v>
      </c>
      <c r="F755" t="inlineStr">
        <is>
          <t>NORRBOTTENS LÄN</t>
        </is>
      </c>
      <c r="G755" t="inlineStr">
        <is>
          <t>BODEN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29759-2026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46253</v>
      </c>
      <c r="F756" t="inlineStr">
        <is>
          <t>NORRBOTTENS LÄN</t>
        </is>
      </c>
      <c r="G756" t="inlineStr">
        <is>
          <t>BODEN</t>
        </is>
      </c>
      <c r="I756" t="n">
        <v>38.7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46253</v>
      </c>
      <c r="F757" t="inlineStr">
        <is>
          <t>NORRBOTTENS LÄN</t>
        </is>
      </c>
      <c r="G757" t="inlineStr">
        <is>
          <t>BODEN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45429</v>
      </c>
      <c r="E758" s="1" t="n">
        <v>46253</v>
      </c>
      <c r="F758" t="inlineStr">
        <is>
          <t>NORRBOTTENS LÄN</t>
        </is>
      </c>
      <c r="G758" t="inlineStr">
        <is>
          <t>BODEN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46209</v>
      </c>
      <c r="E759" s="1" t="n">
        <v>46253</v>
      </c>
      <c r="F759" t="inlineStr">
        <is>
          <t>NORRBOTTENS LÄN</t>
        </is>
      </c>
      <c r="G759" t="inlineStr">
        <is>
          <t>BODEN</t>
        </is>
      </c>
      <c r="H759" t="inlineStr">
        <is>
          <t>Kommuner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28432-2022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44747</v>
      </c>
      <c r="E760" s="1" t="n">
        <v>46253</v>
      </c>
      <c r="F760" t="inlineStr">
        <is>
          <t>NORRBOTTENS LÄN</t>
        </is>
      </c>
      <c r="G760" t="inlineStr">
        <is>
          <t>BODEN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21421-2022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44706</v>
      </c>
      <c r="E761" s="1" t="n">
        <v>46253</v>
      </c>
      <c r="F761" t="inlineStr">
        <is>
          <t>NORRBOTTENS LÄN</t>
        </is>
      </c>
      <c r="G761" t="inlineStr">
        <is>
          <t>BODEN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34022-2026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46252</v>
      </c>
      <c r="E762" s="1" t="n">
        <v>46253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19.5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30023-2026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46253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15.2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53840-2022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44880</v>
      </c>
      <c r="E764" s="1" t="n">
        <v>46253</v>
      </c>
      <c r="F764" t="inlineStr">
        <is>
          <t>NORRBOTTENS LÄN</t>
        </is>
      </c>
      <c r="G764" t="inlineStr">
        <is>
          <t>BODEN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9969-2023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44979</v>
      </c>
      <c r="E765" s="1" t="n">
        <v>46253</v>
      </c>
      <c r="F765" t="inlineStr">
        <is>
          <t>NORRBOTTENS LÄN</t>
        </is>
      </c>
      <c r="G765" t="inlineStr">
        <is>
          <t>BODEN</t>
        </is>
      </c>
      <c r="H765" t="inlineStr">
        <is>
          <t>Övriga statliga verk och myndigheter</t>
        </is>
      </c>
      <c r="I765" t="n">
        <v>18.8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877-2023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44931</v>
      </c>
      <c r="E766" s="1" t="n">
        <v>46253</v>
      </c>
      <c r="F766" t="inlineStr">
        <is>
          <t>NORRBOTTENS LÄN</t>
        </is>
      </c>
      <c r="G766" t="inlineStr">
        <is>
          <t>BODEN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33756-2026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46253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33790-2026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46251</v>
      </c>
      <c r="E768" s="1" t="n">
        <v>46253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33864-2026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46253</v>
      </c>
      <c r="F769" t="inlineStr">
        <is>
          <t>NORRBOTTENS LÄN</t>
        </is>
      </c>
      <c r="G769" t="inlineStr">
        <is>
          <t>BODEN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43648-2023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45187</v>
      </c>
      <c r="E770" s="1" t="n">
        <v>46253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7.1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30025-2026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46206</v>
      </c>
      <c r="E771" s="1" t="n">
        <v>46253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30077-2026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46206</v>
      </c>
      <c r="E772" s="1" t="n">
        <v>46253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30332-2026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46208</v>
      </c>
      <c r="E773" s="1" t="n">
        <v>46253</v>
      </c>
      <c r="F773" t="inlineStr">
        <is>
          <t>NORRBOTTENS LÄN</t>
        </is>
      </c>
      <c r="G773" t="inlineStr">
        <is>
          <t>BODEN</t>
        </is>
      </c>
      <c r="I773" t="n">
        <v>9.800000000000001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30426-2026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46253</v>
      </c>
      <c r="F774" t="inlineStr">
        <is>
          <t>NORRBOTTENS LÄN</t>
        </is>
      </c>
      <c r="G774" t="inlineStr">
        <is>
          <t>BODEN</t>
        </is>
      </c>
      <c r="H774" t="inlineStr">
        <is>
          <t>Kommuner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46253</v>
      </c>
      <c r="F775" t="inlineStr">
        <is>
          <t>NORRBOTTENS LÄN</t>
        </is>
      </c>
      <c r="G775" t="inlineStr">
        <is>
          <t>BODEN</t>
        </is>
      </c>
      <c r="H775" t="inlineStr">
        <is>
          <t>Kommuner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48471-2024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45591</v>
      </c>
      <c r="E776" s="1" t="n">
        <v>46253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14757-2023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45014</v>
      </c>
      <c r="E777" s="1" t="n">
        <v>46253</v>
      </c>
      <c r="F777" t="inlineStr">
        <is>
          <t>NORRBOTTENS LÄN</t>
        </is>
      </c>
      <c r="G777" t="inlineStr">
        <is>
          <t>BODEN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37984-2024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45544</v>
      </c>
      <c r="E778" s="1" t="n">
        <v>46253</v>
      </c>
      <c r="F778" t="inlineStr">
        <is>
          <t>NORRBOTTENS LÄN</t>
        </is>
      </c>
      <c r="G778" t="inlineStr">
        <is>
          <t>BODEN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12801-2023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45001</v>
      </c>
      <c r="E779" s="1" t="n">
        <v>46253</v>
      </c>
      <c r="F779" t="inlineStr">
        <is>
          <t>NORRBOTTENS LÄN</t>
        </is>
      </c>
      <c r="G779" t="inlineStr">
        <is>
          <t>BODEN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44964</v>
      </c>
      <c r="E780" s="1" t="n">
        <v>46253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29309-2023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45105</v>
      </c>
      <c r="E781" s="1" t="n">
        <v>46253</v>
      </c>
      <c r="F781" t="inlineStr">
        <is>
          <t>NORRBOTTENS LÄN</t>
        </is>
      </c>
      <c r="G781" t="inlineStr">
        <is>
          <t>BODEN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3462-2022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44585</v>
      </c>
      <c r="E782" s="1" t="n">
        <v>46253</v>
      </c>
      <c r="F782" t="inlineStr">
        <is>
          <t>NORRBOTTENS LÄN</t>
        </is>
      </c>
      <c r="G782" t="inlineStr">
        <is>
          <t>BODEN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46564-2022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44847</v>
      </c>
      <c r="E783" s="1" t="n">
        <v>46253</v>
      </c>
      <c r="F783" t="inlineStr">
        <is>
          <t>NORRBOTTENS LÄN</t>
        </is>
      </c>
      <c r="G783" t="inlineStr">
        <is>
          <t>BODEN</t>
        </is>
      </c>
      <c r="I783" t="n">
        <v>28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3146-2024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45316</v>
      </c>
      <c r="E784" s="1" t="n">
        <v>46253</v>
      </c>
      <c r="F784" t="inlineStr">
        <is>
          <t>NORRBOTTENS LÄN</t>
        </is>
      </c>
      <c r="G784" t="inlineStr">
        <is>
          <t>BODEN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73910-2021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44552</v>
      </c>
      <c r="E785" s="1" t="n">
        <v>46253</v>
      </c>
      <c r="F785" t="inlineStr">
        <is>
          <t>NORRBOTTENS LÄN</t>
        </is>
      </c>
      <c r="G785" t="inlineStr">
        <is>
          <t>BODEN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8776-2022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44614</v>
      </c>
      <c r="E786" s="1" t="n">
        <v>46253</v>
      </c>
      <c r="F786" t="inlineStr">
        <is>
          <t>NORRBOTTENS LÄN</t>
        </is>
      </c>
      <c r="G786" t="inlineStr">
        <is>
          <t>BODEN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26806-2024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45470</v>
      </c>
      <c r="E787" s="1" t="n">
        <v>46253</v>
      </c>
      <c r="F787" t="inlineStr">
        <is>
          <t>NORRBOTTENS LÄN</t>
        </is>
      </c>
      <c r="G787" t="inlineStr">
        <is>
          <t>BODEN</t>
        </is>
      </c>
      <c r="H787" t="inlineStr">
        <is>
          <t>Övriga Aktiebolag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47423-2024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45587</v>
      </c>
      <c r="E788" s="1" t="n">
        <v>46253</v>
      </c>
      <c r="F788" t="inlineStr">
        <is>
          <t>NORRBOTTENS LÄN</t>
        </is>
      </c>
      <c r="G788" t="inlineStr">
        <is>
          <t>BODEN</t>
        </is>
      </c>
      <c r="I788" t="n">
        <v>17.2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708-2022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44566</v>
      </c>
      <c r="E789" s="1" t="n">
        <v>46253</v>
      </c>
      <c r="F789" t="inlineStr">
        <is>
          <t>NORRBOTTENS LÄN</t>
        </is>
      </c>
      <c r="G789" t="inlineStr">
        <is>
          <t>BODEN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45685</v>
      </c>
      <c r="E790" s="1" t="n">
        <v>46253</v>
      </c>
      <c r="F790" t="inlineStr">
        <is>
          <t>NORRBOTTENS LÄN</t>
        </is>
      </c>
      <c r="G790" t="inlineStr">
        <is>
          <t>BODEN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37791-2024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45543</v>
      </c>
      <c r="E791" s="1" t="n">
        <v>46253</v>
      </c>
      <c r="F791" t="inlineStr">
        <is>
          <t>NORRBOTTENS LÄN</t>
        </is>
      </c>
      <c r="G791" t="inlineStr">
        <is>
          <t>BODEN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57563-2023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45246</v>
      </c>
      <c r="E792" s="1" t="n">
        <v>46253</v>
      </c>
      <c r="F792" t="inlineStr">
        <is>
          <t>NORRBOTTENS LÄN</t>
        </is>
      </c>
      <c r="G792" t="inlineStr">
        <is>
          <t>BODEN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45035-2022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44841</v>
      </c>
      <c r="E793" s="1" t="n">
        <v>46253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18436-2025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45762</v>
      </c>
      <c r="E794" s="1" t="n">
        <v>46253</v>
      </c>
      <c r="F794" t="inlineStr">
        <is>
          <t>NORRBOTTENS LÄN</t>
        </is>
      </c>
      <c r="G794" t="inlineStr">
        <is>
          <t>BODEN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45476</v>
      </c>
      <c r="E795" s="1" t="n">
        <v>46253</v>
      </c>
      <c r="F795" t="inlineStr">
        <is>
          <t>NORRBOTTENS LÄN</t>
        </is>
      </c>
      <c r="G795" t="inlineStr">
        <is>
          <t>BODEN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46253</v>
      </c>
      <c r="F796" t="inlineStr">
        <is>
          <t>NORRBOTTENS LÄN</t>
        </is>
      </c>
      <c r="G796" t="inlineStr">
        <is>
          <t>BODEN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45099</v>
      </c>
      <c r="E797" s="1" t="n">
        <v>46253</v>
      </c>
      <c r="F797" t="inlineStr">
        <is>
          <t>NORRBOTTENS LÄN</t>
        </is>
      </c>
      <c r="G797" t="inlineStr">
        <is>
          <t>BODEN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46253</v>
      </c>
      <c r="F798" t="inlineStr">
        <is>
          <t>NORRBOTTENS LÄN</t>
        </is>
      </c>
      <c r="G798" t="inlineStr">
        <is>
          <t>BODEN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19757-2025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46253</v>
      </c>
      <c r="F799" t="inlineStr">
        <is>
          <t>NORRBOTTENS LÄN</t>
        </is>
      </c>
      <c r="G799" t="inlineStr">
        <is>
          <t>BODEN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23706-2024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45454</v>
      </c>
      <c r="E800" s="1" t="n">
        <v>46253</v>
      </c>
      <c r="F800" t="inlineStr">
        <is>
          <t>NORRBOTTENS LÄN</t>
        </is>
      </c>
      <c r="G800" t="inlineStr">
        <is>
          <t>BODEN</t>
        </is>
      </c>
      <c r="I800" t="n">
        <v>10.9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19582-2025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45770</v>
      </c>
      <c r="E801" s="1" t="n">
        <v>46253</v>
      </c>
      <c r="F801" t="inlineStr">
        <is>
          <t>NORRBOTTENS LÄN</t>
        </is>
      </c>
      <c r="G801" t="inlineStr">
        <is>
          <t>BODEN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45677</v>
      </c>
      <c r="E802" s="1" t="n">
        <v>46253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18569-2024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45425</v>
      </c>
      <c r="E803" s="1" t="n">
        <v>46253</v>
      </c>
      <c r="F803" t="inlineStr">
        <is>
          <t>NORRBOTTENS LÄN</t>
        </is>
      </c>
      <c r="G803" t="inlineStr">
        <is>
          <t>BODEN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19968-2025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45771</v>
      </c>
      <c r="E804" s="1" t="n">
        <v>46253</v>
      </c>
      <c r="F804" t="inlineStr">
        <is>
          <t>NORRBOTTENS LÄN</t>
        </is>
      </c>
      <c r="G804" t="inlineStr">
        <is>
          <t>BODEN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33034-2023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45125</v>
      </c>
      <c r="E805" s="1" t="n">
        <v>46253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62140-2024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45646</v>
      </c>
      <c r="E806" s="1" t="n">
        <v>46253</v>
      </c>
      <c r="F806" t="inlineStr">
        <is>
          <t>NORRBOTTENS LÄN</t>
        </is>
      </c>
      <c r="G806" t="inlineStr">
        <is>
          <t>BODEN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19082-2025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45766</v>
      </c>
      <c r="E807" s="1" t="n">
        <v>46253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58504-2024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45635</v>
      </c>
      <c r="E808" s="1" t="n">
        <v>46253</v>
      </c>
      <c r="F808" t="inlineStr">
        <is>
          <t>NORRBOTTENS LÄN</t>
        </is>
      </c>
      <c r="G808" t="inlineStr">
        <is>
          <t>BODEN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28357-2023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45099</v>
      </c>
      <c r="E809" s="1" t="n">
        <v>46253</v>
      </c>
      <c r="F809" t="inlineStr">
        <is>
          <t>NORRBOTTENS LÄN</t>
        </is>
      </c>
      <c r="G809" t="inlineStr">
        <is>
          <t>BODEN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15017-2022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44657</v>
      </c>
      <c r="E810" s="1" t="n">
        <v>46253</v>
      </c>
      <c r="F810" t="inlineStr">
        <is>
          <t>NORRBOTTENS LÄN</t>
        </is>
      </c>
      <c r="G810" t="inlineStr">
        <is>
          <t>BODEN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61487-2023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46253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8028-2024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45350</v>
      </c>
      <c r="E812" s="1" t="n">
        <v>46253</v>
      </c>
      <c r="F812" t="inlineStr">
        <is>
          <t>NORRBOTTENS LÄN</t>
        </is>
      </c>
      <c r="G812" t="inlineStr">
        <is>
          <t>BODEN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12562-2024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45379</v>
      </c>
      <c r="E813" s="1" t="n">
        <v>46253</v>
      </c>
      <c r="F813" t="inlineStr">
        <is>
          <t>NORRBOTTENS LÄN</t>
        </is>
      </c>
      <c r="G813" t="inlineStr">
        <is>
          <t>BODEN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57873-2021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44484</v>
      </c>
      <c r="E814" s="1" t="n">
        <v>46253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57895-2021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44486</v>
      </c>
      <c r="E815" s="1" t="n">
        <v>46253</v>
      </c>
      <c r="F815" t="inlineStr">
        <is>
          <t>NORRBOTTENS LÄN</t>
        </is>
      </c>
      <c r="G815" t="inlineStr">
        <is>
          <t>BODEN</t>
        </is>
      </c>
      <c r="I815" t="n">
        <v>9.199999999999999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48129-2023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45205</v>
      </c>
      <c r="E816" s="1" t="n">
        <v>46253</v>
      </c>
      <c r="F816" t="inlineStr">
        <is>
          <t>NORRBOTTENS LÄN</t>
        </is>
      </c>
      <c r="G816" t="inlineStr">
        <is>
          <t>BODEN</t>
        </is>
      </c>
      <c r="I816" t="n">
        <v>7.1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17417-2023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45035</v>
      </c>
      <c r="E817" s="1" t="n">
        <v>46253</v>
      </c>
      <c r="F817" t="inlineStr">
        <is>
          <t>NORRBOTTENS LÄN</t>
        </is>
      </c>
      <c r="G817" t="inlineStr">
        <is>
          <t>BODEN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6638-2024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45341</v>
      </c>
      <c r="E818" s="1" t="n">
        <v>46253</v>
      </c>
      <c r="F818" t="inlineStr">
        <is>
          <t>NORRBOTTENS LÄN</t>
        </is>
      </c>
      <c r="G818" t="inlineStr">
        <is>
          <t>BODEN</t>
        </is>
      </c>
      <c r="H818" t="inlineStr">
        <is>
          <t>Övriga statliga verk och myndigheter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61932-2024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45653</v>
      </c>
      <c r="E819" s="1" t="n">
        <v>46253</v>
      </c>
      <c r="F819" t="inlineStr">
        <is>
          <t>NORRBOTTENS LÄN</t>
        </is>
      </c>
      <c r="G819" t="inlineStr">
        <is>
          <t>BODEN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41212-2023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45174</v>
      </c>
      <c r="E820" s="1" t="n">
        <v>46253</v>
      </c>
      <c r="F820" t="inlineStr">
        <is>
          <t>NORRBOTTENS LÄN</t>
        </is>
      </c>
      <c r="G820" t="inlineStr">
        <is>
          <t>BODEN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42995-2022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44833</v>
      </c>
      <c r="E821" s="1" t="n">
        <v>46253</v>
      </c>
      <c r="F821" t="inlineStr">
        <is>
          <t>NORRBOTTENS LÄN</t>
        </is>
      </c>
      <c r="G821" t="inlineStr">
        <is>
          <t>BODEN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59893-2023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45254</v>
      </c>
      <c r="E822" s="1" t="n">
        <v>46253</v>
      </c>
      <c r="F822" t="inlineStr">
        <is>
          <t>NORRBOTTENS LÄN</t>
        </is>
      </c>
      <c r="G822" t="inlineStr">
        <is>
          <t>BODEN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1017-2023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44935</v>
      </c>
      <c r="E823" s="1" t="n">
        <v>46253</v>
      </c>
      <c r="F823" t="inlineStr">
        <is>
          <t>NORRBOTTENS LÄN</t>
        </is>
      </c>
      <c r="G823" t="inlineStr">
        <is>
          <t>BODEN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56837-2023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46253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statliga verk och myndigheter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61969-2024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45653</v>
      </c>
      <c r="E825" s="1" t="n">
        <v>46253</v>
      </c>
      <c r="F825" t="inlineStr">
        <is>
          <t>NORRBOTTENS LÄN</t>
        </is>
      </c>
      <c r="G825" t="inlineStr">
        <is>
          <t>BODEN</t>
        </is>
      </c>
      <c r="I825" t="n">
        <v>9.699999999999999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1961-2025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45672</v>
      </c>
      <c r="E826" s="1" t="n">
        <v>46253</v>
      </c>
      <c r="F826" t="inlineStr">
        <is>
          <t>NORRBOTTENS LÄN</t>
        </is>
      </c>
      <c r="G826" t="inlineStr">
        <is>
          <t>BODEN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19624-2025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46253</v>
      </c>
      <c r="F827" t="inlineStr">
        <is>
          <t>NORRBOTTENS LÄN</t>
        </is>
      </c>
      <c r="G827" t="inlineStr">
        <is>
          <t>BODEN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28079-2024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45476</v>
      </c>
      <c r="E828" s="1" t="n">
        <v>46253</v>
      </c>
      <c r="F828" t="inlineStr">
        <is>
          <t>NORRBOTTENS LÄN</t>
        </is>
      </c>
      <c r="G828" t="inlineStr">
        <is>
          <t>BODEN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19048-2025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45764</v>
      </c>
      <c r="E829" s="1" t="n">
        <v>46253</v>
      </c>
      <c r="F829" t="inlineStr">
        <is>
          <t>NORRBOTTENS LÄN</t>
        </is>
      </c>
      <c r="G829" t="inlineStr">
        <is>
          <t>BODEN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19050-2025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45764</v>
      </c>
      <c r="E830" s="1" t="n">
        <v>46253</v>
      </c>
      <c r="F830" t="inlineStr">
        <is>
          <t>NORRBOTTENS LÄN</t>
        </is>
      </c>
      <c r="G830" t="inlineStr">
        <is>
          <t>BODEN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54236-2022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44881</v>
      </c>
      <c r="E831" s="1" t="n">
        <v>46253</v>
      </c>
      <c r="F831" t="inlineStr">
        <is>
          <t>NORRBOTTENS LÄN</t>
        </is>
      </c>
      <c r="G831" t="inlineStr">
        <is>
          <t>BODEN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14801-2024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45397</v>
      </c>
      <c r="E832" s="1" t="n">
        <v>46253</v>
      </c>
      <c r="F832" t="inlineStr">
        <is>
          <t>NORRBOTTENS LÄN</t>
        </is>
      </c>
      <c r="G832" t="inlineStr">
        <is>
          <t>BODEN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14802-2024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45397</v>
      </c>
      <c r="E833" s="1" t="n">
        <v>46253</v>
      </c>
      <c r="F833" t="inlineStr">
        <is>
          <t>NORRBOTTENS LÄN</t>
        </is>
      </c>
      <c r="G833" t="inlineStr">
        <is>
          <t>BODEN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13925-2024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45391</v>
      </c>
      <c r="E834" s="1" t="n">
        <v>46253</v>
      </c>
      <c r="F834" t="inlineStr">
        <is>
          <t>NORRBOTTENS LÄN</t>
        </is>
      </c>
      <c r="G834" t="inlineStr">
        <is>
          <t>BODEN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21128-2025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45778</v>
      </c>
      <c r="E835" s="1" t="n">
        <v>46253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21349-2025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45782</v>
      </c>
      <c r="E836" s="1" t="n">
        <v>46253</v>
      </c>
      <c r="F836" t="inlineStr">
        <is>
          <t>NORRBOTTENS LÄN</t>
        </is>
      </c>
      <c r="G836" t="inlineStr">
        <is>
          <t>BODEN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22372-2025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45786</v>
      </c>
      <c r="E837" s="1" t="n">
        <v>46253</v>
      </c>
      <c r="F837" t="inlineStr">
        <is>
          <t>NORRBOTTENS LÄN</t>
        </is>
      </c>
      <c r="G837" t="inlineStr">
        <is>
          <t>BODEN</t>
        </is>
      </c>
      <c r="H837" t="inlineStr">
        <is>
          <t>Kommuner</t>
        </is>
      </c>
      <c r="I837" t="n">
        <v>16.3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36115-2023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45149</v>
      </c>
      <c r="E838" s="1" t="n">
        <v>46253</v>
      </c>
      <c r="F838" t="inlineStr">
        <is>
          <t>NORRBOTTENS LÄN</t>
        </is>
      </c>
      <c r="G838" t="inlineStr">
        <is>
          <t>BODEN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12558-2024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45379</v>
      </c>
      <c r="E839" s="1" t="n">
        <v>46253</v>
      </c>
      <c r="F839" t="inlineStr">
        <is>
          <t>NORRBOTTENS LÄN</t>
        </is>
      </c>
      <c r="G839" t="inlineStr">
        <is>
          <t>BODEN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23321-2025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45791</v>
      </c>
      <c r="E840" s="1" t="n">
        <v>46253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10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23724-2025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46253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48420-2024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45590</v>
      </c>
      <c r="E842" s="1" t="n">
        <v>46253</v>
      </c>
      <c r="F842" t="inlineStr">
        <is>
          <t>NORRBOTTENS LÄN</t>
        </is>
      </c>
      <c r="G842" t="inlineStr">
        <is>
          <t>BODEN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48427-2024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46253</v>
      </c>
      <c r="F843" t="inlineStr">
        <is>
          <t>NORRBOTTENS LÄN</t>
        </is>
      </c>
      <c r="G843" t="inlineStr">
        <is>
          <t>BODEN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45793</v>
      </c>
      <c r="E844" s="1" t="n">
        <v>46253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23761-2025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45793</v>
      </c>
      <c r="E845" s="1" t="n">
        <v>46253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24699-2025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45798</v>
      </c>
      <c r="E846" s="1" t="n">
        <v>46253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24538-2025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45798</v>
      </c>
      <c r="E847" s="1" t="n">
        <v>46253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15.8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24358-2025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45797</v>
      </c>
      <c r="E848" s="1" t="n">
        <v>46253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24545-2025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46253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49806-2022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44862</v>
      </c>
      <c r="E850" s="1" t="n">
        <v>46253</v>
      </c>
      <c r="F850" t="inlineStr">
        <is>
          <t>NORRBOTTENS LÄN</t>
        </is>
      </c>
      <c r="G850" t="inlineStr">
        <is>
          <t>BODEN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24733-2025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45799</v>
      </c>
      <c r="E851" s="1" t="n">
        <v>46253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25983-2025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45803</v>
      </c>
      <c r="E852" s="1" t="n">
        <v>46253</v>
      </c>
      <c r="F852" t="inlineStr">
        <is>
          <t>NORRBOTTENS LÄN</t>
        </is>
      </c>
      <c r="G852" t="inlineStr">
        <is>
          <t>BODEN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885-2024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46253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45013</v>
      </c>
      <c r="E854" s="1" t="n">
        <v>46253</v>
      </c>
      <c r="F854" t="inlineStr">
        <is>
          <t>NORRBOTTENS LÄN</t>
        </is>
      </c>
      <c r="G854" t="inlineStr">
        <is>
          <t>BODEN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883-2024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45376</v>
      </c>
      <c r="E855" s="1" t="n">
        <v>46253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52-2025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45667</v>
      </c>
      <c r="E856" s="1" t="n">
        <v>46253</v>
      </c>
      <c r="F856" t="inlineStr">
        <is>
          <t>NORRBOTTENS LÄN</t>
        </is>
      </c>
      <c r="G856" t="inlineStr">
        <is>
          <t>BODEN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190-2023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44945</v>
      </c>
      <c r="E857" s="1" t="n">
        <v>46253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977-2025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46253</v>
      </c>
      <c r="F858" t="inlineStr">
        <is>
          <t>NORRBOTTENS LÄN</t>
        </is>
      </c>
      <c r="G858" t="inlineStr">
        <is>
          <t>BODEN</t>
        </is>
      </c>
      <c r="I858" t="n">
        <v>11.1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978-2025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46253</v>
      </c>
      <c r="F859" t="inlineStr">
        <is>
          <t>NORRBOTTENS LÄN</t>
        </is>
      </c>
      <c r="G859" t="inlineStr">
        <is>
          <t>BODEN</t>
        </is>
      </c>
      <c r="I859" t="n">
        <v>19.5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1498-2025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45789</v>
      </c>
      <c r="E860" s="1" t="n">
        <v>46253</v>
      </c>
      <c r="F860" t="inlineStr">
        <is>
          <t>NORRBOTTENS LÄN</t>
        </is>
      </c>
      <c r="G860" t="inlineStr">
        <is>
          <t>BODEN</t>
        </is>
      </c>
      <c r="H860" t="inlineStr">
        <is>
          <t>Övriga Aktiebolag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1572-2025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45792</v>
      </c>
      <c r="E861" s="1" t="n">
        <v>46253</v>
      </c>
      <c r="F861" t="inlineStr">
        <is>
          <t>NORRBOTTENS LÄN</t>
        </is>
      </c>
      <c r="G861" t="inlineStr">
        <is>
          <t>BODEN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1631-2025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46253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1633-2025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46253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1632-2025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46253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1734-2025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45810</v>
      </c>
      <c r="E865" s="1" t="n">
        <v>46253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1811-2025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45818</v>
      </c>
      <c r="E866" s="1" t="n">
        <v>46253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2072-2025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45840</v>
      </c>
      <c r="E867" s="1" t="n">
        <v>46253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3580-2025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46018</v>
      </c>
      <c r="E868" s="1" t="n">
        <v>46253</v>
      </c>
      <c r="F868" t="inlineStr">
        <is>
          <t>NORRBOTTENS LÄN</t>
        </is>
      </c>
      <c r="G868" t="inlineStr">
        <is>
          <t>BODEN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46253</v>
      </c>
      <c r="F869" t="inlineStr">
        <is>
          <t>NORRBOTTENS LÄN</t>
        </is>
      </c>
      <c r="G869" t="inlineStr">
        <is>
          <t>BODEN</t>
        </is>
      </c>
      <c r="I869" t="n">
        <v>57.4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1261-2026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46253</v>
      </c>
      <c r="F870" t="inlineStr">
        <is>
          <t>NORRBOTTENS LÄN</t>
        </is>
      </c>
      <c r="G870" t="inlineStr">
        <is>
          <t>BODEN</t>
        </is>
      </c>
      <c r="I870" t="n">
        <v>16.9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1262-2026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46253</v>
      </c>
      <c r="F871" t="inlineStr">
        <is>
          <t>NORRBOTTENS LÄN</t>
        </is>
      </c>
      <c r="G871" t="inlineStr">
        <is>
          <t>BODEN</t>
        </is>
      </c>
      <c r="H871" t="inlineStr">
        <is>
          <t>Kommuner</t>
        </is>
      </c>
      <c r="I871" t="n">
        <v>16.2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1356-2026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46253</v>
      </c>
      <c r="F872" t="inlineStr">
        <is>
          <t>NORRBOTTENS LÄN</t>
        </is>
      </c>
      <c r="G872" t="inlineStr">
        <is>
          <t>BODEN</t>
        </is>
      </c>
      <c r="I872" t="n">
        <v>124.7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1357-2026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46253</v>
      </c>
      <c r="F873" t="inlineStr">
        <is>
          <t>NORRBOTTENS LÄN</t>
        </is>
      </c>
      <c r="G873" t="inlineStr">
        <is>
          <t>BODEN</t>
        </is>
      </c>
      <c r="I873" t="n">
        <v>38.2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>
      <c r="A874" t="inlineStr">
        <is>
          <t>S 1297-2026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46148</v>
      </c>
      <c r="E874" s="1" t="n">
        <v>46253</v>
      </c>
      <c r="F874" t="inlineStr">
        <is>
          <t>NORRBOTTENS LÄN</t>
        </is>
      </c>
      <c r="G874" t="inlineStr">
        <is>
          <t>BODEN</t>
        </is>
      </c>
      <c r="I874" t="n">
        <v>20.5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2026-08-19T01:50:35Z</dcterms:created>
  <dcterms:modified xmlns:dcterms="http://purl.org/dc/terms/" xmlns:xsi="http://www.w3.org/2001/XMLSchema-instance" xsi:type="dcterms:W3CDTF">2026-08-19T01:50:36Z</dcterms:modified>
</cp:coreProperties>
</file>