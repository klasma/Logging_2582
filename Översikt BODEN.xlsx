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46322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46322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46322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46322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46322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46322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46322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36610-2023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45152</v>
      </c>
      <c r="E9" s="1" t="n">
        <v>46322</v>
      </c>
      <c r="F9" t="inlineStr">
        <is>
          <t>NORRBOTTENS LÄN</t>
        </is>
      </c>
      <c r="G9" t="inlineStr">
        <is>
          <t>BODEN</t>
        </is>
      </c>
      <c r="I9" t="n">
        <v>5.9</v>
      </c>
      <c r="J9" t="n">
        <v>3</v>
      </c>
      <c r="K9" t="n">
        <v>0</v>
      </c>
      <c r="L9" t="n">
        <v>8</v>
      </c>
      <c r="M9" t="n">
        <v>3</v>
      </c>
      <c r="N9" t="n">
        <v>0</v>
      </c>
      <c r="O9" t="n">
        <v>0</v>
      </c>
      <c r="P9" t="n">
        <v>0</v>
      </c>
      <c r="Q9" t="n">
        <v>11</v>
      </c>
      <c r="R9" t="n">
        <v>3</v>
      </c>
      <c r="S9" t="n">
        <v>13</v>
      </c>
      <c r="T9" t="n">
        <v>14</v>
      </c>
      <c r="U9" t="n">
        <v>14</v>
      </c>
      <c r="V9" s="2" t="inlineStr">
        <is>
          <t>Garnlav
Gräddporing
Knärot
Blanksvart spiklav
Blågrå svartspik
Dropptaggsvamp
Dvärgbägarlav
Kortskaftad ärgspik
Nordtagging
Ullticka
Vedflamlav
Järpe
Fläcknycklar</t>
        </is>
      </c>
      <c r="W9">
        <f>HYPERLINK("https://klasma.github.io/Logging_2582/artfynd/A 36610-2023 artfynd.xlsx", "A 36610-2023")</f>
        <v/>
      </c>
      <c r="X9">
        <f>HYPERLINK("https://klasma.github.io/Logging_2582/kartor/A 36610-2023 karta.png", "A 36610-2023")</f>
        <v/>
      </c>
      <c r="Y9">
        <f>HYPERLINK("https://klasma.github.io/Logging_2582/kartor_geotiff/A 36610-2023 georefererad karta.tif", "A 36610-2023")</f>
        <v/>
      </c>
      <c r="Z9">
        <f>HYPERLINK("https://klasma.github.io/Logging_2582/knärot/A 36610-2023 karta knärot.png", "A 36610-2023")</f>
        <v/>
      </c>
      <c r="AA9">
        <f>HYPERLINK("https://klasma.github.io/Logging_2582/klagomål/A 36610-2023 FSC-klagomål.docx", "A 36610-2023")</f>
        <v/>
      </c>
      <c r="AB9">
        <f>HYPERLINK("https://klasma.github.io/Logging_2582/klagomålsmail/A 36610-2023 FSC-klagomål mail.docx", "A 36610-2023")</f>
        <v/>
      </c>
      <c r="AC9">
        <f>HYPERLINK("https://klasma.github.io/Logging_2582/tillsyn/A 36610-2023 tillsynsbegäran.docx", "A 36610-2023")</f>
        <v/>
      </c>
      <c r="AD9">
        <f>HYPERLINK("https://klasma.github.io/Logging_2582/tillsynsmail/A 36610-2023 tillsynsbegäran mail.docx", "A 36610-2023")</f>
        <v/>
      </c>
      <c r="AE9">
        <f>HYPERLINK("https://klasma.github.io/Logging_2582/fåglar/A 36610-2023 prioriterade fågelarter.docx", "A 36610-2023")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46322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6</v>
      </c>
      <c r="K10" t="n">
        <v>1</v>
      </c>
      <c r="L10" t="n">
        <v>8</v>
      </c>
      <c r="M10" t="n">
        <v>2</v>
      </c>
      <c r="N10" t="n">
        <v>0</v>
      </c>
      <c r="O10" t="n">
        <v>0</v>
      </c>
      <c r="P10" t="n">
        <v>0</v>
      </c>
      <c r="Q10" t="n">
        <v>10</v>
      </c>
      <c r="R10" t="n">
        <v>2</v>
      </c>
      <c r="S10" t="n">
        <v>13</v>
      </c>
      <c r="T10" t="n">
        <v>61</v>
      </c>
      <c r="U10" t="n">
        <v>4</v>
      </c>
      <c r="V10" s="2" t="inlineStr">
        <is>
          <t>Garnlav
Knärot
Blå taggsvamp
Dropptaggsvamp
Orange taggsvamp
Skarp dropptaggsvamp
Tallriska
Tallticka
Talltita
Tretåig hackspett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46322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46322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29150-2023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45105</v>
      </c>
      <c r="E13" s="1" t="n">
        <v>46322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2.9</v>
      </c>
      <c r="J13" t="n">
        <v>3</v>
      </c>
      <c r="K13" t="n">
        <v>0</v>
      </c>
      <c r="L13" t="n">
        <v>4</v>
      </c>
      <c r="M13" t="n">
        <v>3</v>
      </c>
      <c r="N13" t="n">
        <v>0</v>
      </c>
      <c r="O13" t="n">
        <v>0</v>
      </c>
      <c r="P13" t="n">
        <v>0</v>
      </c>
      <c r="Q13" t="n">
        <v>7</v>
      </c>
      <c r="R13" t="n">
        <v>3</v>
      </c>
      <c r="S13" t="n">
        <v>11</v>
      </c>
      <c r="T13" t="n">
        <v>18</v>
      </c>
      <c r="U13" t="n">
        <v>16</v>
      </c>
      <c r="V13" s="2" t="inlineStr">
        <is>
          <t>Knärot
Urskogsänger
Vit aspticka
Björkplattnos
Månlåsbräken
Talltita
Ullticka
Brudborste
Ekbräken
Linnea
Revlummer</t>
        </is>
      </c>
      <c r="W13">
        <f>HYPERLINK("https://klasma.github.io/Logging_2582/artfynd/A 29150-2023 artfynd.xlsx", "A 29150-2023")</f>
        <v/>
      </c>
      <c r="X13">
        <f>HYPERLINK("https://klasma.github.io/Logging_2582/kartor/A 29150-2023 karta.png", "A 29150-2023")</f>
        <v/>
      </c>
      <c r="Y13">
        <f>HYPERLINK("https://klasma.github.io/Logging_2582/kartor_geotiff/A 29150-2023 georefererad karta.tif", "A 29150-2023")</f>
        <v/>
      </c>
      <c r="Z13">
        <f>HYPERLINK("https://klasma.github.io/Logging_2582/knärot/A 29150-2023 karta knärot.png", "A 29150-2023")</f>
        <v/>
      </c>
      <c r="AA13">
        <f>HYPERLINK("https://klasma.github.io/Logging_2582/klagomål/A 29150-2023 FSC-klagomål.docx", "A 29150-2023")</f>
        <v/>
      </c>
      <c r="AB13">
        <f>HYPERLINK("https://klasma.github.io/Logging_2582/klagomålsmail/A 29150-2023 FSC-klagomål mail.docx", "A 29150-2023")</f>
        <v/>
      </c>
      <c r="AC13">
        <f>HYPERLINK("https://klasma.github.io/Logging_2582/tillsyn/A 29150-2023 tillsynsbegäran.docx", "A 29150-2023")</f>
        <v/>
      </c>
      <c r="AD13">
        <f>HYPERLINK("https://klasma.github.io/Logging_2582/tillsynsmail/A 29150-2023 tillsynsbegäran mail.docx", "A 29150-2023")</f>
        <v/>
      </c>
      <c r="AE13">
        <f>HYPERLINK("https://klasma.github.io/Logging_2582/fåglar/A 29150-2023 prioriterade fågelarter.docx", "A 29150-2023")</f>
        <v/>
      </c>
    </row>
    <row r="14" ht="15" customHeight="1">
      <c r="A14" t="inlineStr">
        <is>
          <t>A 43711-2025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46322</v>
      </c>
      <c r="F14" t="inlineStr">
        <is>
          <t>NORRBOTTENS LÄN</t>
        </is>
      </c>
      <c r="G14" t="inlineStr">
        <is>
          <t>BODEN</t>
        </is>
      </c>
      <c r="I14" t="n">
        <v>10.1</v>
      </c>
      <c r="J14" t="n">
        <v>4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10</v>
      </c>
      <c r="T14" t="n">
        <v>19</v>
      </c>
      <c r="U14" t="n">
        <v>19</v>
      </c>
      <c r="V14" s="2" t="inlineStr">
        <is>
          <t>Knärot
Skuggnål
Blanksvart spiklav
Lunglav
Talltagel
Talltita
Tretåig hackspett
Bollvitmossa
Skinnlav
Tjäder</t>
        </is>
      </c>
      <c r="W14">
        <f>HYPERLINK("https://klasma.github.io/Logging_2582/artfynd/A 43711-2025 artfynd.xlsx", "A 43711-2025")</f>
        <v/>
      </c>
      <c r="X14">
        <f>HYPERLINK("https://klasma.github.io/Logging_2582/kartor/A 43711-2025 karta.png", "A 43711-2025")</f>
        <v/>
      </c>
      <c r="Y14">
        <f>HYPERLINK("https://klasma.github.io/Logging_2582/kartor_geotiff/A 43711-2025 georefererad karta.tif", "A 43711-2025")</f>
        <v/>
      </c>
      <c r="Z14">
        <f>HYPERLINK("https://klasma.github.io/Logging_2582/knärot/A 43711-2025 karta knärot.png", "A 43711-2025")</f>
        <v/>
      </c>
      <c r="AA14">
        <f>HYPERLINK("https://klasma.github.io/Logging_2582/klagomål/A 43711-2025 FSC-klagomål.docx", "A 43711-2025")</f>
        <v/>
      </c>
      <c r="AB14">
        <f>HYPERLINK("https://klasma.github.io/Logging_2582/klagomålsmail/A 43711-2025 FSC-klagomål mail.docx", "A 43711-2025")</f>
        <v/>
      </c>
      <c r="AC14">
        <f>HYPERLINK("https://klasma.github.io/Logging_2582/tillsyn/A 43711-2025 tillsynsbegäran.docx", "A 43711-2025")</f>
        <v/>
      </c>
      <c r="AD14">
        <f>HYPERLINK("https://klasma.github.io/Logging_2582/tillsynsmail/A 43711-2025 tillsynsbegäran mail.docx", "A 43711-2025")</f>
        <v/>
      </c>
      <c r="AE14">
        <f>HYPERLINK("https://klasma.github.io/Logging_2582/fåglar/A 43711-2025 prioriterade fågelarter.docx", "A 43711-2025")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46322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A 49809-2023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45212</v>
      </c>
      <c r="E16" s="1" t="n">
        <v>46322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5.7</v>
      </c>
      <c r="J16" t="n">
        <v>3</v>
      </c>
      <c r="K16" t="n">
        <v>1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10</v>
      </c>
      <c r="T16" t="n">
        <v>16</v>
      </c>
      <c r="U16" t="n">
        <v>1</v>
      </c>
      <c r="V16" s="2" t="inlineStr">
        <is>
          <t>Doftticka
Goliatmusseron
Knärot
Blå taggsvamp
Lunglav
Orange taggsvamp
Skarp dropptaggsvamp
Svartvit taggsvamp
Talltaggsvamp
Spindelblomster</t>
        </is>
      </c>
      <c r="W16">
        <f>HYPERLINK("https://klasma.github.io/Logging_2582/artfynd/A 49809-2023 artfynd.xlsx", "A 49809-2023")</f>
        <v/>
      </c>
      <c r="X16">
        <f>HYPERLINK("https://klasma.github.io/Logging_2582/kartor/A 49809-2023 karta.png", "A 49809-2023")</f>
        <v/>
      </c>
      <c r="Y16">
        <f>HYPERLINK("https://klasma.github.io/Logging_2582/kartor_geotiff/A 49809-2023 georefererad karta.tif", "A 49809-2023")</f>
        <v/>
      </c>
      <c r="Z16">
        <f>HYPERLINK("https://klasma.github.io/Logging_2582/knärot/A 49809-2023 karta knärot.png", "A 49809-2023")</f>
        <v/>
      </c>
      <c r="AA16">
        <f>HYPERLINK("https://klasma.github.io/Logging_2582/klagomål/A 49809-2023 FSC-klagomål.docx", "A 49809-2023")</f>
        <v/>
      </c>
      <c r="AB16">
        <f>HYPERLINK("https://klasma.github.io/Logging_2582/klagomålsmail/A 49809-2023 FSC-klagomål mail.docx", "A 49809-2023")</f>
        <v/>
      </c>
      <c r="AC16">
        <f>HYPERLINK("https://klasma.github.io/Logging_2582/tillsyn/A 49809-2023 tillsynsbegäran.docx", "A 49809-2023")</f>
        <v/>
      </c>
      <c r="AD16">
        <f>HYPERLINK("https://klasma.github.io/Logging_2582/tillsynsmail/A 49809-2023 tillsynsbegäran mail.docx", "A 49809-2023")</f>
        <v/>
      </c>
    </row>
    <row r="17" ht="15" customHeight="1">
      <c r="A17" t="inlineStr">
        <is>
          <t>A 55316-2023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46322</v>
      </c>
      <c r="F17" t="inlineStr">
        <is>
          <t>NORRBOTTENS LÄN</t>
        </is>
      </c>
      <c r="G17" t="inlineStr">
        <is>
          <t>BODEN</t>
        </is>
      </c>
      <c r="I17" t="n">
        <v>17.6</v>
      </c>
      <c r="J17" t="n">
        <v>6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10</v>
      </c>
      <c r="T17" t="n">
        <v>10</v>
      </c>
      <c r="U17" t="n">
        <v>0</v>
      </c>
      <c r="V17" s="2" t="inlineStr">
        <is>
          <t>Gammelgransskål
Lunglav
Ullticka
Bollvitmossa
Gråspett
Videsparv
Buskskvätta
Kungsfågel
Svartvit flugsnappare
Revlummer</t>
        </is>
      </c>
      <c r="W17">
        <f>HYPERLINK("https://klasma.github.io/Logging_2582/artfynd/A 55316-2023 artfynd.xlsx", "A 55316-2023")</f>
        <v/>
      </c>
      <c r="X17">
        <f>HYPERLINK("https://klasma.github.io/Logging_2582/kartor/A 55316-2023 karta.png", "A 55316-2023")</f>
        <v/>
      </c>
      <c r="Y17">
        <f>HYPERLINK("https://klasma.github.io/Logging_2582/kartor_geotiff/A 55316-2023 georefererad karta.tif", "A 55316-2023")</f>
        <v/>
      </c>
      <c r="AA17">
        <f>HYPERLINK("https://klasma.github.io/Logging_2582/klagomål/A 55316-2023 FSC-klagomål.docx", "A 55316-2023")</f>
        <v/>
      </c>
      <c r="AB17">
        <f>HYPERLINK("https://klasma.github.io/Logging_2582/klagomålsmail/A 55316-2023 FSC-klagomål mail.docx", "A 55316-2023")</f>
        <v/>
      </c>
      <c r="AC17">
        <f>HYPERLINK("https://klasma.github.io/Logging_2582/tillsyn/A 55316-2023 tillsynsbegäran.docx", "A 55316-2023")</f>
        <v/>
      </c>
      <c r="AD17">
        <f>HYPERLINK("https://klasma.github.io/Logging_2582/tillsynsmail/A 55316-2023 tillsynsbegäran mail.docx", "A 55316-2023")</f>
        <v/>
      </c>
      <c r="AE17">
        <f>HYPERLINK("https://klasma.github.io/Logging_2582/fåglar/A 55316-2023 prioriterade fågelarter.docx", "A 55316-2023")</f>
        <v/>
      </c>
    </row>
    <row r="18" ht="15" customHeight="1">
      <c r="A18" t="inlineStr">
        <is>
          <t>S 1319-2026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46149</v>
      </c>
      <c r="E18" s="1" t="n">
        <v>46322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642.7</v>
      </c>
      <c r="J18" t="n">
        <v>7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10</v>
      </c>
      <c r="T18" t="n">
        <v>12</v>
      </c>
      <c r="U18" t="n">
        <v>1</v>
      </c>
      <c r="V18" s="2" t="inlineStr">
        <is>
          <t>Garnlav
Lunglav
Rödvingetrast
Talltita
Hässlebrodd
Tjäder
Buskskvätta
Grönsiska
Kungsfågel
Fläcknycklar</t>
        </is>
      </c>
      <c r="W18">
        <f>HYPERLINK("https://klasma.github.io/Logging_2582/artfynd/S 1319-2026 artfynd.xlsx", "S 1319-2026")</f>
        <v/>
      </c>
      <c r="X18">
        <f>HYPERLINK("https://klasma.github.io/Logging_2582/kartor/S 1319-2026 karta.png", "S 1319-2026")</f>
        <v/>
      </c>
      <c r="Y18">
        <f>HYPERLINK("https://klasma.github.io/Logging_2582/kartor_geotiff/S 1319-2026 georefererad karta.tif", "S 1319-2026")</f>
        <v/>
      </c>
      <c r="AA18">
        <f>HYPERLINK("https://klasma.github.io/Logging_2582/klagomål/S 1319-2026 FSC-klagomål.docx", "S 1319-2026")</f>
        <v/>
      </c>
      <c r="AB18">
        <f>HYPERLINK("https://klasma.github.io/Logging_2582/klagomålsmail/S 1319-2026 FSC-klagomål mail.docx", "S 1319-2026")</f>
        <v/>
      </c>
      <c r="AC18">
        <f>HYPERLINK("https://klasma.github.io/Logging_2582/tillsyn/S 1319-2026 tillsynsbegäran.docx", "S 1319-2026")</f>
        <v/>
      </c>
      <c r="AD18">
        <f>HYPERLINK("https://klasma.github.io/Logging_2582/tillsynsmail/S 1319-2026 tillsynsbegäran mail.docx", "S 1319-2026")</f>
        <v/>
      </c>
      <c r="AE18">
        <f>HYPERLINK("https://klasma.github.io/Logging_2582/fåglar/S 1319-2026 prioriterade fågelarter.docx", "S 1319-2026")</f>
        <v/>
      </c>
    </row>
    <row r="19" ht="15" customHeight="1">
      <c r="A19" t="inlineStr">
        <is>
          <t>A 56172-2022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46322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4</v>
      </c>
      <c r="J19" t="n">
        <v>0</v>
      </c>
      <c r="K19" t="n">
        <v>5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9</v>
      </c>
      <c r="T19" t="n">
        <v>25</v>
      </c>
      <c r="U19" t="n">
        <v>4</v>
      </c>
      <c r="V19" s="2" t="inlineStr">
        <is>
          <t>Garnlav
Lunglav
Stiftgelélav
Violettgrå tagellav
Bårdlav
Luddlav
Rävticka
Skinnlav
Stuplav</t>
        </is>
      </c>
      <c r="W19">
        <f>HYPERLINK("https://klasma.github.io/Logging_2582/artfynd/A 56172-2022 artfynd.xlsx", "A 56172-2022")</f>
        <v/>
      </c>
      <c r="X19">
        <f>HYPERLINK("https://klasma.github.io/Logging_2582/kartor/A 56172-2022 karta.png", "A 56172-2022")</f>
        <v/>
      </c>
      <c r="Y19">
        <f>HYPERLINK("https://klasma.github.io/Logging_2582/kartor_geotiff/A 56172-2022 georefererad karta.tif", "A 56172-2022")</f>
        <v/>
      </c>
      <c r="AA19">
        <f>HYPERLINK("https://klasma.github.io/Logging_2582/klagomål/A 56172-2022 FSC-klagomål.docx", "A 56172-2022")</f>
        <v/>
      </c>
      <c r="AB19">
        <f>HYPERLINK("https://klasma.github.io/Logging_2582/klagomålsmail/A 56172-2022 FSC-klagomål mail.docx", "A 56172-2022")</f>
        <v/>
      </c>
      <c r="AC19">
        <f>HYPERLINK("https://klasma.github.io/Logging_2582/tillsyn/A 56172-2022 tillsynsbegäran.docx", "A 56172-2022")</f>
        <v/>
      </c>
      <c r="AD19">
        <f>HYPERLINK("https://klasma.github.io/Logging_2582/tillsynsmail/A 56172-2022 tillsynsbegäran mail.docx", "A 56172-2022")</f>
        <v/>
      </c>
    </row>
    <row r="20" ht="15" customHeight="1">
      <c r="A20" t="inlineStr">
        <is>
          <t>A 19812-2025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46322</v>
      </c>
      <c r="F20" t="inlineStr">
        <is>
          <t>NORRBOTTENS LÄN</t>
        </is>
      </c>
      <c r="G20" t="inlineStr">
        <is>
          <t>BODEN</t>
        </is>
      </c>
      <c r="H20" t="inlineStr">
        <is>
          <t>Sveaskog</t>
        </is>
      </c>
      <c r="I20" t="n">
        <v>18.4</v>
      </c>
      <c r="J20" t="n">
        <v>2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55</v>
      </c>
      <c r="U20" t="n">
        <v>0</v>
      </c>
      <c r="V20" s="2" t="inlineStr">
        <is>
          <t>Knärot
Dropptaggsvamp
Höstlåsbräken
Orange taggsvamp
Tallticka
Grönpyrola
Skinnlav
Vedticka</t>
        </is>
      </c>
      <c r="W20">
        <f>HYPERLINK("https://klasma.github.io/Logging_2582/artfynd/A 19812-2025 artfynd.xlsx", "A 19812-2025")</f>
        <v/>
      </c>
      <c r="X20">
        <f>HYPERLINK("https://klasma.github.io/Logging_2582/kartor/A 19812-2025 karta.png", "A 19812-2025")</f>
        <v/>
      </c>
      <c r="Y20">
        <f>HYPERLINK("https://klasma.github.io/Logging_2582/kartor_geotiff/A 19812-2025 georefererad karta.tif", "A 19812-2025")</f>
        <v/>
      </c>
      <c r="Z20">
        <f>HYPERLINK("https://klasma.github.io/Logging_2582/knärot/A 19812-2025 karta knärot.png", "A 19812-2025")</f>
        <v/>
      </c>
      <c r="AA20">
        <f>HYPERLINK("https://klasma.github.io/Logging_2582/klagomål/A 19812-2025 FSC-klagomål.docx", "A 19812-2025")</f>
        <v/>
      </c>
      <c r="AB20">
        <f>HYPERLINK("https://klasma.github.io/Logging_2582/klagomålsmail/A 19812-2025 FSC-klagomål mail.docx", "A 19812-2025")</f>
        <v/>
      </c>
      <c r="AC20">
        <f>HYPERLINK("https://klasma.github.io/Logging_2582/tillsyn/A 19812-2025 tillsynsbegäran.docx", "A 19812-2025")</f>
        <v/>
      </c>
      <c r="AD20">
        <f>HYPERLINK("https://klasma.github.io/Logging_2582/tillsynsmail/A 19812-2025 tillsynsbegäran mail.docx", "A 19812-2025")</f>
        <v/>
      </c>
    </row>
    <row r="21" ht="15" customHeight="1">
      <c r="A21" t="inlineStr">
        <is>
          <t>A 3922-2025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45684</v>
      </c>
      <c r="E21" s="1" t="n">
        <v>46322</v>
      </c>
      <c r="F21" t="inlineStr">
        <is>
          <t>NORRBOTTENS LÄN</t>
        </is>
      </c>
      <c r="G21" t="inlineStr">
        <is>
          <t>BODEN</t>
        </is>
      </c>
      <c r="H21" t="inlineStr">
        <is>
          <t>SCA</t>
        </is>
      </c>
      <c r="I21" t="n">
        <v>1.9</v>
      </c>
      <c r="J21" t="n">
        <v>2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8</v>
      </c>
      <c r="T21" t="n">
        <v>10</v>
      </c>
      <c r="U21" t="n">
        <v>10</v>
      </c>
      <c r="V21" s="2" t="inlineStr">
        <is>
          <t>Garnlav
Dropptaggsvamp
Olisthaerus substriatus
Rosenticka
Talltita
Ullticka
Violmussling
Revlummer</t>
        </is>
      </c>
      <c r="W21">
        <f>HYPERLINK("https://klasma.github.io/Logging_2582/artfynd/A 3922-2025 artfynd.xlsx", "A 3922-2025")</f>
        <v/>
      </c>
      <c r="X21">
        <f>HYPERLINK("https://klasma.github.io/Logging_2582/kartor/A 3922-2025 karta.png", "A 3922-2025")</f>
        <v/>
      </c>
      <c r="Y21">
        <f>HYPERLINK("https://klasma.github.io/Logging_2582/kartor_geotiff/A 3922-2025 georefererad karta.tif", "A 3922-2025")</f>
        <v/>
      </c>
      <c r="AA21">
        <f>HYPERLINK("https://klasma.github.io/Logging_2582/klagomål/A 3922-2025 FSC-klagomål.docx", "A 3922-2025")</f>
        <v/>
      </c>
      <c r="AB21">
        <f>HYPERLINK("https://klasma.github.io/Logging_2582/klagomålsmail/A 3922-2025 FSC-klagomål mail.docx", "A 3922-2025")</f>
        <v/>
      </c>
      <c r="AC21">
        <f>HYPERLINK("https://klasma.github.io/Logging_2582/tillsyn/A 3922-2025 tillsynsbegäran.docx", "A 3922-2025")</f>
        <v/>
      </c>
      <c r="AD21">
        <f>HYPERLINK("https://klasma.github.io/Logging_2582/tillsynsmail/A 3922-2025 tillsynsbegäran mail.docx", "A 3922-2025")</f>
        <v/>
      </c>
      <c r="AE21">
        <f>HYPERLINK("https://klasma.github.io/Logging_2582/fåglar/A 3922-2025 prioriterade fågelarter.docx", "A 3922-2025")</f>
        <v/>
      </c>
    </row>
    <row r="22" ht="15" customHeight="1">
      <c r="A22" t="inlineStr">
        <is>
          <t>A 49753-2022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46322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21.2</v>
      </c>
      <c r="J22" t="n">
        <v>4</v>
      </c>
      <c r="K22" t="n">
        <v>2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9</v>
      </c>
      <c r="U22" t="n">
        <v>9</v>
      </c>
      <c r="V22" s="2" t="inlineStr">
        <is>
          <t>Garnlav
Motaggsvamp
Talltita
Norrlandslav
Plattlummer
Järpe
Revlummer</t>
        </is>
      </c>
      <c r="W22">
        <f>HYPERLINK("https://klasma.github.io/Logging_2582/artfynd/A 49753-2022 artfynd.xlsx", "A 49753-2022")</f>
        <v/>
      </c>
      <c r="X22">
        <f>HYPERLINK("https://klasma.github.io/Logging_2582/kartor/A 49753-2022 karta.png", "A 49753-2022")</f>
        <v/>
      </c>
      <c r="Y22">
        <f>HYPERLINK("https://klasma.github.io/Logging_2582/kartor_geotiff/A 49753-2022 georefererad karta.tif", "A 49753-2022")</f>
        <v/>
      </c>
      <c r="AA22">
        <f>HYPERLINK("https://klasma.github.io/Logging_2582/klagomål/A 49753-2022 FSC-klagomål.docx", "A 49753-2022")</f>
        <v/>
      </c>
      <c r="AB22">
        <f>HYPERLINK("https://klasma.github.io/Logging_2582/klagomålsmail/A 49753-2022 FSC-klagomål mail.docx", "A 49753-2022")</f>
        <v/>
      </c>
      <c r="AC22">
        <f>HYPERLINK("https://klasma.github.io/Logging_2582/tillsyn/A 49753-2022 tillsynsbegäran.docx", "A 49753-2022")</f>
        <v/>
      </c>
      <c r="AD22">
        <f>HYPERLINK("https://klasma.github.io/Logging_2582/tillsynsmail/A 49753-2022 tillsynsbegäran mail.docx", "A 49753-2022")</f>
        <v/>
      </c>
      <c r="AE22">
        <f>HYPERLINK("https://klasma.github.io/Logging_2582/fåglar/A 49753-2022 prioriterade fågelarter.docx", "A 49753-2022")</f>
        <v/>
      </c>
    </row>
    <row r="23" ht="15" customHeight="1">
      <c r="A23" t="inlineStr">
        <is>
          <t>A 47498-2022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44853</v>
      </c>
      <c r="E23" s="1" t="n">
        <v>46322</v>
      </c>
      <c r="F23" t="inlineStr">
        <is>
          <t>NORRBOTTENS LÄN</t>
        </is>
      </c>
      <c r="G23" t="inlineStr">
        <is>
          <t>BODEN</t>
        </is>
      </c>
      <c r="H23" t="inlineStr">
        <is>
          <t>Kommuner</t>
        </is>
      </c>
      <c r="I23" t="n">
        <v>2.6</v>
      </c>
      <c r="J23" t="n">
        <v>6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7</v>
      </c>
      <c r="V23" s="2" t="inlineStr">
        <is>
          <t>Tornseglare
Järnsparv
Tretåig hackspett
Strutbräken
Spillkråka
Orre
Ärtsångare</t>
        </is>
      </c>
      <c r="W23">
        <f>HYPERLINK("https://klasma.github.io/Logging_2582/artfynd/A 47498-2022 artfynd.xlsx", "A 47498-2022")</f>
        <v/>
      </c>
      <c r="X23">
        <f>HYPERLINK("https://klasma.github.io/Logging_2582/kartor/A 47498-2022 karta.png", "A 47498-2022")</f>
        <v/>
      </c>
      <c r="Y23">
        <f>HYPERLINK("https://klasma.github.io/Logging_2582/kartor_geotiff/A 47498-2022 georefererad karta.tif", "A 47498-2022")</f>
        <v/>
      </c>
      <c r="AA23">
        <f>HYPERLINK("https://klasma.github.io/Logging_2582/klagomål/A 47498-2022 FSC-klagomål.docx", "A 47498-2022")</f>
        <v/>
      </c>
      <c r="AB23">
        <f>HYPERLINK("https://klasma.github.io/Logging_2582/klagomålsmail/A 47498-2022 FSC-klagomål mail.docx", "A 47498-2022")</f>
        <v/>
      </c>
      <c r="AC23">
        <f>HYPERLINK("https://klasma.github.io/Logging_2582/tillsyn/A 47498-2022 tillsynsbegäran.docx", "A 47498-2022")</f>
        <v/>
      </c>
      <c r="AD23">
        <f>HYPERLINK("https://klasma.github.io/Logging_2582/tillsynsmail/A 47498-2022 tillsynsbegäran mail.docx", "A 47498-2022")</f>
        <v/>
      </c>
      <c r="AE23">
        <f>HYPERLINK("https://klasma.github.io/Logging_2582/fåglar/A 47498-2022 prioriterade fågelarter.docx", "A 47498-2022")</f>
        <v/>
      </c>
    </row>
    <row r="24" ht="15" customHeight="1">
      <c r="A24" t="inlineStr">
        <is>
          <t>A 319-2024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46322</v>
      </c>
      <c r="F24" t="inlineStr">
        <is>
          <t>NORRBOTTENS LÄN</t>
        </is>
      </c>
      <c r="G24" t="inlineStr">
        <is>
          <t>BODEN</t>
        </is>
      </c>
      <c r="I24" t="n">
        <v>4.3</v>
      </c>
      <c r="J24" t="n">
        <v>2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7</v>
      </c>
      <c r="T24" t="n">
        <v>12</v>
      </c>
      <c r="U24" t="n">
        <v>8</v>
      </c>
      <c r="V24" s="2" t="inlineStr">
        <is>
          <t>Gammelgransskål
Ullticka
Violettgrå tagellav
Blodticka
Vedticka
Spillkråka
Revlummer</t>
        </is>
      </c>
      <c r="W24">
        <f>HYPERLINK("https://klasma.github.io/Logging_2582/artfynd/A 319-2024 artfynd.xlsx", "A 319-2024")</f>
        <v/>
      </c>
      <c r="X24">
        <f>HYPERLINK("https://klasma.github.io/Logging_2582/kartor/A 319-2024 karta.png", "A 319-2024")</f>
        <v/>
      </c>
      <c r="Y24">
        <f>HYPERLINK("https://klasma.github.io/Logging_2582/kartor_geotiff/A 319-2024 georefererad karta.tif", "A 319-2024")</f>
        <v/>
      </c>
      <c r="AA24">
        <f>HYPERLINK("https://klasma.github.io/Logging_2582/klagomål/A 319-2024 FSC-klagomål.docx", "A 319-2024")</f>
        <v/>
      </c>
      <c r="AB24">
        <f>HYPERLINK("https://klasma.github.io/Logging_2582/klagomålsmail/A 319-2024 FSC-klagomål mail.docx", "A 319-2024")</f>
        <v/>
      </c>
      <c r="AC24">
        <f>HYPERLINK("https://klasma.github.io/Logging_2582/tillsyn/A 319-2024 tillsynsbegäran.docx", "A 319-2024")</f>
        <v/>
      </c>
      <c r="AD24">
        <f>HYPERLINK("https://klasma.github.io/Logging_2582/tillsynsmail/A 319-2024 tillsynsbegäran mail.docx", "A 319-2024")</f>
        <v/>
      </c>
      <c r="AE24">
        <f>HYPERLINK("https://klasma.github.io/Logging_2582/fåglar/A 319-2024 prioriterade fågelarter.docx", "A 319-2024")</f>
        <v/>
      </c>
    </row>
    <row r="25" ht="15" customHeight="1">
      <c r="A25" t="inlineStr">
        <is>
          <t>A 19598-2023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45049</v>
      </c>
      <c r="E25" s="1" t="n">
        <v>46322</v>
      </c>
      <c r="F25" t="inlineStr">
        <is>
          <t>NORRBOTTENS LÄN</t>
        </is>
      </c>
      <c r="G25" t="inlineStr">
        <is>
          <t>BODEN</t>
        </is>
      </c>
      <c r="I25" t="n">
        <v>1.8</v>
      </c>
      <c r="J25" t="n">
        <v>1</v>
      </c>
      <c r="K25" t="n">
        <v>3</v>
      </c>
      <c r="L25" t="n">
        <v>1</v>
      </c>
      <c r="M25" t="n">
        <v>3</v>
      </c>
      <c r="N25" t="n">
        <v>0</v>
      </c>
      <c r="O25" t="n">
        <v>0</v>
      </c>
      <c r="P25" t="n">
        <v>0</v>
      </c>
      <c r="Q25" t="n">
        <v>4</v>
      </c>
      <c r="R25" t="n">
        <v>3</v>
      </c>
      <c r="S25" t="n">
        <v>7</v>
      </c>
      <c r="T25" t="n">
        <v>11</v>
      </c>
      <c r="U25" t="n">
        <v>0</v>
      </c>
      <c r="V25" s="2" t="inlineStr">
        <is>
          <t>Garnlav
Grenlav
Liten hornflikmossa
Vedflikmossa
Bollvitmossa
Källpraktmossa
Lappranunkel</t>
        </is>
      </c>
      <c r="W25">
        <f>HYPERLINK("https://klasma.github.io/Logging_2582/artfynd/A 19598-2023 artfynd.xlsx", "A 19598-2023")</f>
        <v/>
      </c>
      <c r="X25">
        <f>HYPERLINK("https://klasma.github.io/Logging_2582/kartor/A 19598-2023 karta.png", "A 19598-2023")</f>
        <v/>
      </c>
      <c r="Y25">
        <f>HYPERLINK("https://klasma.github.io/Logging_2582/kartor_geotiff/A 19598-2023 georefererad karta.tif", "A 19598-2023")</f>
        <v/>
      </c>
      <c r="AA25">
        <f>HYPERLINK("https://klasma.github.io/Logging_2582/klagomål/A 19598-2023 FSC-klagomål.docx", "A 19598-2023")</f>
        <v/>
      </c>
      <c r="AB25">
        <f>HYPERLINK("https://klasma.github.io/Logging_2582/klagomålsmail/A 19598-2023 FSC-klagomål mail.docx", "A 19598-2023")</f>
        <v/>
      </c>
      <c r="AC25">
        <f>HYPERLINK("https://klasma.github.io/Logging_2582/tillsyn/A 19598-2023 tillsynsbegäran.docx", "A 19598-2023")</f>
        <v/>
      </c>
      <c r="AD25">
        <f>HYPERLINK("https://klasma.github.io/Logging_2582/tillsynsmail/A 19598-2023 tillsynsbegäran mail.docx", "A 19598-2023")</f>
        <v/>
      </c>
    </row>
    <row r="26" ht="15" customHeight="1">
      <c r="A26" t="inlineStr">
        <is>
          <t>A 30513-2026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46322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10.2</v>
      </c>
      <c r="J26" t="n">
        <v>1</v>
      </c>
      <c r="K26" t="n">
        <v>1</v>
      </c>
      <c r="L26" t="n">
        <v>4</v>
      </c>
      <c r="M26" t="n">
        <v>2</v>
      </c>
      <c r="N26" t="n">
        <v>0</v>
      </c>
      <c r="O26" t="n">
        <v>0</v>
      </c>
      <c r="P26" t="n">
        <v>0</v>
      </c>
      <c r="Q26" t="n">
        <v>6</v>
      </c>
      <c r="R26" t="n">
        <v>2</v>
      </c>
      <c r="S26" t="n">
        <v>7</v>
      </c>
      <c r="T26" t="n">
        <v>21</v>
      </c>
      <c r="U26" t="n">
        <v>12</v>
      </c>
      <c r="V26" s="2" t="inlineStr">
        <is>
          <t>Gräddporing
Knärot
Dropptaggsvamp
Nordtagging
Orange taggsvamp
Tallticka
Grönpyrola</t>
        </is>
      </c>
      <c r="W26">
        <f>HYPERLINK("https://klasma.github.io/Logging_2582/artfynd/A 30513-2026 artfynd.xlsx", "A 30513-2026")</f>
        <v/>
      </c>
      <c r="X26">
        <f>HYPERLINK("https://klasma.github.io/Logging_2582/kartor/A 30513-2026 karta.png", "A 30513-2026")</f>
        <v/>
      </c>
      <c r="Y26">
        <f>HYPERLINK("https://klasma.github.io/Logging_2582/kartor_geotiff/A 30513-2026 georefererad karta.tif", "A 30513-2026")</f>
        <v/>
      </c>
      <c r="Z26">
        <f>HYPERLINK("https://klasma.github.io/Logging_2582/knärot/A 30513-2026 karta knärot.png", "A 30513-2026")</f>
        <v/>
      </c>
      <c r="AA26">
        <f>HYPERLINK("https://klasma.github.io/Logging_2582/klagomål/A 30513-2026 FSC-klagomål.docx", "A 30513-2026")</f>
        <v/>
      </c>
      <c r="AB26">
        <f>HYPERLINK("https://klasma.github.io/Logging_2582/klagomålsmail/A 30513-2026 FSC-klagomål mail.docx", "A 30513-2026")</f>
        <v/>
      </c>
      <c r="AC26">
        <f>HYPERLINK("https://klasma.github.io/Logging_2582/tillsyn/A 30513-2026 tillsynsbegäran.docx", "A 30513-2026")</f>
        <v/>
      </c>
      <c r="AD26">
        <f>HYPERLINK("https://klasma.github.io/Logging_2582/tillsynsmail/A 30513-2026 tillsynsbegäran mail.docx", "A 30513-2026")</f>
        <v/>
      </c>
    </row>
    <row r="27" ht="15" customHeight="1">
      <c r="A27" t="inlineStr">
        <is>
          <t>A 28183-2026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46322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8.199999999999999</v>
      </c>
      <c r="J27" t="n">
        <v>2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18</v>
      </c>
      <c r="U27" t="n">
        <v>18</v>
      </c>
      <c r="V27" s="2" t="inlineStr">
        <is>
          <t>Knärot
Blå taggsvamp
Lunglav
Orange taggsvamp
Grönpyrola
Fläcknycklar</t>
        </is>
      </c>
      <c r="W27">
        <f>HYPERLINK("https://klasma.github.io/Logging_2582/artfynd/A 28183-2026 artfynd.xlsx", "A 28183-2026")</f>
        <v/>
      </c>
      <c r="X27">
        <f>HYPERLINK("https://klasma.github.io/Logging_2582/kartor/A 28183-2026 karta.png", "A 28183-2026")</f>
        <v/>
      </c>
      <c r="Y27">
        <f>HYPERLINK("https://klasma.github.io/Logging_2582/kartor_geotiff/A 28183-2026 georefererad karta.tif", "A 28183-2026")</f>
        <v/>
      </c>
      <c r="Z27">
        <f>HYPERLINK("https://klasma.github.io/Logging_2582/knärot/A 28183-2026 karta knärot.png", "A 28183-2026")</f>
        <v/>
      </c>
      <c r="AA27">
        <f>HYPERLINK("https://klasma.github.io/Logging_2582/klagomål/A 28183-2026 FSC-klagomål.docx", "A 28183-2026")</f>
        <v/>
      </c>
      <c r="AB27">
        <f>HYPERLINK("https://klasma.github.io/Logging_2582/klagomålsmail/A 28183-2026 FSC-klagomål mail.docx", "A 28183-2026")</f>
        <v/>
      </c>
      <c r="AC27">
        <f>HYPERLINK("https://klasma.github.io/Logging_2582/tillsyn/A 28183-2026 tillsynsbegäran.docx", "A 28183-2026")</f>
        <v/>
      </c>
      <c r="AD27">
        <f>HYPERLINK("https://klasma.github.io/Logging_2582/tillsynsmail/A 28183-2026 tillsynsbegäran mail.docx", "A 28183-2026")</f>
        <v/>
      </c>
    </row>
    <row r="28" ht="15" customHeight="1">
      <c r="A28" t="inlineStr">
        <is>
          <t>A 51389-2022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46322</v>
      </c>
      <c r="F28" t="inlineStr">
        <is>
          <t>NORRBOTTENS LÄN</t>
        </is>
      </c>
      <c r="G28" t="inlineStr">
        <is>
          <t>BODEN</t>
        </is>
      </c>
      <c r="H28" t="inlineStr">
        <is>
          <t>Övriga statliga verk och myndigheter</t>
        </is>
      </c>
      <c r="I28" t="n">
        <v>15.6</v>
      </c>
      <c r="J28" t="n">
        <v>6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3</v>
      </c>
      <c r="V28" s="2" t="inlineStr">
        <is>
          <t>Pärluggla
Grönsångare
Talltita
Järpe
Tallbit
Orre</t>
        </is>
      </c>
      <c r="W28">
        <f>HYPERLINK("https://klasma.github.io/Logging_2582/artfynd/A 51389-2022 artfynd.xlsx", "A 51389-2022")</f>
        <v/>
      </c>
      <c r="X28">
        <f>HYPERLINK("https://klasma.github.io/Logging_2582/kartor/A 51389-2022 karta.png", "A 51389-2022")</f>
        <v/>
      </c>
      <c r="Y28">
        <f>HYPERLINK("https://klasma.github.io/Logging_2582/kartor_geotiff/A 51389-2022 georefererad karta.tif", "A 51389-2022")</f>
        <v/>
      </c>
      <c r="AA28">
        <f>HYPERLINK("https://klasma.github.io/Logging_2582/klagomål/A 51389-2022 FSC-klagomål.docx", "A 51389-2022")</f>
        <v/>
      </c>
      <c r="AB28">
        <f>HYPERLINK("https://klasma.github.io/Logging_2582/klagomålsmail/A 51389-2022 FSC-klagomål mail.docx", "A 51389-2022")</f>
        <v/>
      </c>
      <c r="AC28">
        <f>HYPERLINK("https://klasma.github.io/Logging_2582/tillsyn/A 51389-2022 tillsynsbegäran.docx", "A 51389-2022")</f>
        <v/>
      </c>
      <c r="AD28">
        <f>HYPERLINK("https://klasma.github.io/Logging_2582/tillsynsmail/A 51389-2022 tillsynsbegäran mail.docx", "A 51389-2022")</f>
        <v/>
      </c>
      <c r="AE28">
        <f>HYPERLINK("https://klasma.github.io/Logging_2582/fåglar/A 51389-2022 prioriterade fågelarter.docx", "A 51389-2022")</f>
        <v/>
      </c>
    </row>
    <row r="29" ht="15" customHeight="1">
      <c r="A29" t="inlineStr">
        <is>
          <t>S 1449-2024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45418</v>
      </c>
      <c r="E29" s="1" t="n">
        <v>46322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</v>
      </c>
      <c r="J29" t="n">
        <v>0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8</v>
      </c>
      <c r="U29" t="n">
        <v>2</v>
      </c>
      <c r="V29" s="2" t="inlineStr">
        <is>
          <t>Skrovlig taggsvamp
Nordtagging
Skarp dropptaggsvamp
Vaddporing
Rävticka
Skinnlav</t>
        </is>
      </c>
      <c r="W29">
        <f>HYPERLINK("https://klasma.github.io/Logging_2582/artfynd/S 1449-2024 artfynd.xlsx", "S 1449-2024")</f>
        <v/>
      </c>
      <c r="X29">
        <f>HYPERLINK("https://klasma.github.io/Logging_2582/kartor/S 1449-2024 karta.png", "S 1449-2024")</f>
        <v/>
      </c>
      <c r="Y29">
        <f>HYPERLINK("https://klasma.github.io/Logging_2582/kartor_geotiff/S 1449-2024 georefererad karta.tif", "S 1449-2024")</f>
        <v/>
      </c>
      <c r="AA29">
        <f>HYPERLINK("https://klasma.github.io/Logging_2582/klagomål/S 1449-2024 FSC-klagomål.docx", "S 1449-2024")</f>
        <v/>
      </c>
      <c r="AB29">
        <f>HYPERLINK("https://klasma.github.io/Logging_2582/klagomålsmail/S 1449-2024 FSC-klagomål mail.docx", "S 1449-2024")</f>
        <v/>
      </c>
      <c r="AC29">
        <f>HYPERLINK("https://klasma.github.io/Logging_2582/tillsyn/S 1449-2024 tillsynsbegäran.docx", "S 1449-2024")</f>
        <v/>
      </c>
      <c r="AD29">
        <f>HYPERLINK("https://klasma.github.io/Logging_2582/tillsynsmail/S 1449-2024 tillsynsbegäran mail.docx", "S 1449-2024")</f>
        <v/>
      </c>
    </row>
    <row r="30" ht="15" customHeight="1">
      <c r="A30" t="inlineStr">
        <is>
          <t>S 2311-2024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45463</v>
      </c>
      <c r="E30" s="1" t="n">
        <v>46322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2.3</v>
      </c>
      <c r="J30" t="n">
        <v>3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7</v>
      </c>
      <c r="V30" s="2" t="inlineStr">
        <is>
          <t>Knärot
Orange taggsvamp
Grönpyrola
Spindelblomster
Ögonpyrola
Nattviol</t>
        </is>
      </c>
      <c r="W30">
        <f>HYPERLINK("https://klasma.github.io/Logging_2582/artfynd/S 2311-2024 artfynd.xlsx", "S 2311-2024")</f>
        <v/>
      </c>
      <c r="X30">
        <f>HYPERLINK("https://klasma.github.io/Logging_2582/kartor/S 2311-2024 karta.png", "S 2311-2024")</f>
        <v/>
      </c>
      <c r="Y30">
        <f>HYPERLINK("https://klasma.github.io/Logging_2582/kartor_geotiff/S 2311-2024 georefererad karta.tif", "S 2311-2024")</f>
        <v/>
      </c>
      <c r="Z30">
        <f>HYPERLINK("https://klasma.github.io/Logging_2582/knärot/S 2311-2024 karta knärot.png", "S 2311-2024")</f>
        <v/>
      </c>
      <c r="AA30">
        <f>HYPERLINK("https://klasma.github.io/Logging_2582/klagomål/S 2311-2024 FSC-klagomål.docx", "S 2311-2024")</f>
        <v/>
      </c>
      <c r="AB30">
        <f>HYPERLINK("https://klasma.github.io/Logging_2582/klagomålsmail/S 2311-2024 FSC-klagomål mail.docx", "S 2311-2024")</f>
        <v/>
      </c>
      <c r="AC30">
        <f>HYPERLINK("https://klasma.github.io/Logging_2582/tillsyn/S 2311-2024 tillsynsbegäran.docx", "S 2311-2024")</f>
        <v/>
      </c>
      <c r="AD30">
        <f>HYPERLINK("https://klasma.github.io/Logging_2582/tillsynsmail/S 2311-2024 tillsynsbegäran mail.docx", "S 2311-2024")</f>
        <v/>
      </c>
    </row>
    <row r="31" ht="15" customHeight="1">
      <c r="A31" t="inlineStr">
        <is>
          <t>A 34792-2022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44795</v>
      </c>
      <c r="E31" s="1" t="n">
        <v>46322</v>
      </c>
      <c r="F31" t="inlineStr">
        <is>
          <t>NORRBOTTENS LÄN</t>
        </is>
      </c>
      <c r="G31" t="inlineStr">
        <is>
          <t>BODEN</t>
        </is>
      </c>
      <c r="H31" t="inlineStr">
        <is>
          <t>SCA</t>
        </is>
      </c>
      <c r="I31" t="n">
        <v>6.7</v>
      </c>
      <c r="J31" t="n">
        <v>1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Knärot
Gammelgransskål
Lunglav
Ullticka
Grönpyrola</t>
        </is>
      </c>
      <c r="W31">
        <f>HYPERLINK("https://klasma.github.io/Logging_2582/artfynd/A 34792-2022 artfynd.xlsx", "A 34792-2022")</f>
        <v/>
      </c>
      <c r="X31">
        <f>HYPERLINK("https://klasma.github.io/Logging_2582/kartor/A 34792-2022 karta.png", "A 34792-2022")</f>
        <v/>
      </c>
      <c r="Y31">
        <f>HYPERLINK("https://klasma.github.io/Logging_2582/kartor_geotiff/A 34792-2022 georefererad karta.tif", "A 34792-2022")</f>
        <v/>
      </c>
      <c r="Z31">
        <f>HYPERLINK("https://klasma.github.io/Logging_2582/knärot/A 34792-2022 karta knärot.png", "A 34792-2022")</f>
        <v/>
      </c>
      <c r="AA31">
        <f>HYPERLINK("https://klasma.github.io/Logging_2582/klagomål/A 34792-2022 FSC-klagomål.docx", "A 34792-2022")</f>
        <v/>
      </c>
      <c r="AB31">
        <f>HYPERLINK("https://klasma.github.io/Logging_2582/klagomålsmail/A 34792-2022 FSC-klagomål mail.docx", "A 34792-2022")</f>
        <v/>
      </c>
      <c r="AC31">
        <f>HYPERLINK("https://klasma.github.io/Logging_2582/tillsyn/A 34792-2022 tillsynsbegäran.docx", "A 34792-2022")</f>
        <v/>
      </c>
      <c r="AD31">
        <f>HYPERLINK("https://klasma.github.io/Logging_2582/tillsynsmail/A 34792-2022 tillsynsbegäran mail.docx", "A 34792-2022")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46322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46322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46322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46322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46322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46322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32309-2025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46322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13.6</v>
      </c>
      <c r="J38" t="n">
        <v>1</v>
      </c>
      <c r="K38" t="n">
        <v>2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t="n">
        <v>4</v>
      </c>
      <c r="V38" s="2" t="inlineStr">
        <is>
          <t>Doftticka
Garnlav
Lunglav
Bårdlav
Stuplav</t>
        </is>
      </c>
      <c r="W38">
        <f>HYPERLINK("https://klasma.github.io/Logging_2582/artfynd/A 32309-2025 artfynd.xlsx", "A 32309-2025")</f>
        <v/>
      </c>
      <c r="X38">
        <f>HYPERLINK("https://klasma.github.io/Logging_2582/kartor/A 32309-2025 karta.png", "A 32309-2025")</f>
        <v/>
      </c>
      <c r="Y38">
        <f>HYPERLINK("https://klasma.github.io/Logging_2582/kartor_geotiff/A 32309-2025 georefererad karta.tif", "A 32309-2025")</f>
        <v/>
      </c>
      <c r="AA38">
        <f>HYPERLINK("https://klasma.github.io/Logging_2582/klagomål/A 32309-2025 FSC-klagomål.docx", "A 32309-2025")</f>
        <v/>
      </c>
      <c r="AB38">
        <f>HYPERLINK("https://klasma.github.io/Logging_2582/klagomålsmail/A 32309-2025 FSC-klagomål mail.docx", "A 32309-2025")</f>
        <v/>
      </c>
      <c r="AC38">
        <f>HYPERLINK("https://klasma.github.io/Logging_2582/tillsyn/A 32309-2025 tillsynsbegäran.docx", "A 32309-2025")</f>
        <v/>
      </c>
      <c r="AD38">
        <f>HYPERLINK("https://klasma.github.io/Logging_2582/tillsynsmail/A 32309-2025 tillsynsbegäran mail.docx", "A 32309-2025")</f>
        <v/>
      </c>
    </row>
    <row r="39" ht="15" customHeight="1">
      <c r="A39" t="inlineStr">
        <is>
          <t>A 32325-2024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46322</v>
      </c>
      <c r="F39" t="inlineStr">
        <is>
          <t>NORRBOTTENS LÄN</t>
        </is>
      </c>
      <c r="G39" t="inlineStr">
        <is>
          <t>BODEN</t>
        </is>
      </c>
      <c r="H39" t="inlineStr">
        <is>
          <t>Övriga Aktiebolag</t>
        </is>
      </c>
      <c r="I39" t="n">
        <v>36.5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7</v>
      </c>
      <c r="U39" t="n">
        <v>7</v>
      </c>
      <c r="V39" s="2" t="inlineStr">
        <is>
          <t>Garnlav
Knärot
Gammelgransskål
Luddlav
Skinnlav</t>
        </is>
      </c>
      <c r="W39">
        <f>HYPERLINK("https://klasma.github.io/Logging_2582/artfynd/A 32325-2024 artfynd.xlsx", "A 32325-2024")</f>
        <v/>
      </c>
      <c r="X39">
        <f>HYPERLINK("https://klasma.github.io/Logging_2582/kartor/A 32325-2024 karta.png", "A 32325-2024")</f>
        <v/>
      </c>
      <c r="Y39">
        <f>HYPERLINK("https://klasma.github.io/Logging_2582/kartor_geotiff/A 32325-2024 georefererad karta.tif", "A 32325-2024")</f>
        <v/>
      </c>
      <c r="Z39">
        <f>HYPERLINK("https://klasma.github.io/Logging_2582/knärot/A 32325-2024 karta knärot.png", "A 32325-2024")</f>
        <v/>
      </c>
      <c r="AA39">
        <f>HYPERLINK("https://klasma.github.io/Logging_2582/klagomål/A 32325-2024 FSC-klagomål.docx", "A 32325-2024")</f>
        <v/>
      </c>
      <c r="AB39">
        <f>HYPERLINK("https://klasma.github.io/Logging_2582/klagomålsmail/A 32325-2024 FSC-klagomål mail.docx", "A 32325-2024")</f>
        <v/>
      </c>
      <c r="AC39">
        <f>HYPERLINK("https://klasma.github.io/Logging_2582/tillsyn/A 32325-2024 tillsynsbegäran.docx", "A 32325-2024")</f>
        <v/>
      </c>
      <c r="AD39">
        <f>HYPERLINK("https://klasma.github.io/Logging_2582/tillsynsmail/A 32325-2024 tillsynsbegäran mail.docx", "A 32325-2024")</f>
        <v/>
      </c>
    </row>
    <row r="40" ht="15" customHeight="1">
      <c r="A40" t="inlineStr">
        <is>
          <t>A 54167-2025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46322</v>
      </c>
      <c r="F40" t="inlineStr">
        <is>
          <t>NORRBOTTENS LÄN</t>
        </is>
      </c>
      <c r="G40" t="inlineStr">
        <is>
          <t>BODEN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5</v>
      </c>
      <c r="U40" t="n">
        <v>4</v>
      </c>
      <c r="V40" s="2" t="inlineStr">
        <is>
          <t>Lunglav
Stiftgelélav
Järpe
Spillkråka
Vanlig padda</t>
        </is>
      </c>
      <c r="W40">
        <f>HYPERLINK("https://klasma.github.io/Logging_2582/artfynd/A 54167-2025 artfynd.xlsx", "A 54167-2025")</f>
        <v/>
      </c>
      <c r="X40">
        <f>HYPERLINK("https://klasma.github.io/Logging_2582/kartor/A 54167-2025 karta.png", "A 54167-2025")</f>
        <v/>
      </c>
      <c r="Y40">
        <f>HYPERLINK("https://klasma.github.io/Logging_2582/kartor_geotiff/A 54167-2025 georefererad karta.tif", "A 54167-2025")</f>
        <v/>
      </c>
      <c r="AA40">
        <f>HYPERLINK("https://klasma.github.io/Logging_2582/klagomål/A 54167-2025 FSC-klagomål.docx", "A 54167-2025")</f>
        <v/>
      </c>
      <c r="AB40">
        <f>HYPERLINK("https://klasma.github.io/Logging_2582/klagomålsmail/A 54167-2025 FSC-klagomål mail.docx", "A 54167-2025")</f>
        <v/>
      </c>
      <c r="AC40">
        <f>HYPERLINK("https://klasma.github.io/Logging_2582/tillsyn/A 54167-2025 tillsynsbegäran.docx", "A 54167-2025")</f>
        <v/>
      </c>
      <c r="AD40">
        <f>HYPERLINK("https://klasma.github.io/Logging_2582/tillsynsmail/A 54167-2025 tillsynsbegäran mail.docx", "A 54167-2025")</f>
        <v/>
      </c>
      <c r="AE40">
        <f>HYPERLINK("https://klasma.github.io/Logging_2582/fåglar/A 54167-2025 prioriterade fågelarter.docx", "A 54167-2025")</f>
        <v/>
      </c>
    </row>
    <row r="41" ht="15" customHeight="1">
      <c r="A41" t="inlineStr">
        <is>
          <t>A 21610-2026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46322</v>
      </c>
      <c r="F41" t="inlineStr">
        <is>
          <t>NORRBOTTENS LÄN</t>
        </is>
      </c>
      <c r="G41" t="inlineStr">
        <is>
          <t>BODEN</t>
        </is>
      </c>
      <c r="I41" t="n">
        <v>1.8</v>
      </c>
      <c r="J41" t="n">
        <v>5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5</v>
      </c>
      <c r="T41" t="n">
        <v>11</v>
      </c>
      <c r="U41" t="n">
        <v>11</v>
      </c>
      <c r="V41" s="2" t="inlineStr">
        <is>
          <t>Björktrast
Järnsparv
Rödvingetrast
Talltita
Gråsiska</t>
        </is>
      </c>
      <c r="W41">
        <f>HYPERLINK("https://klasma.github.io/Logging_2582/artfynd/A 21610-2026 artfynd.xlsx", "A 21610-2026")</f>
        <v/>
      </c>
      <c r="X41">
        <f>HYPERLINK("https://klasma.github.io/Logging_2582/kartor/A 21610-2026 karta.png", "A 21610-2026")</f>
        <v/>
      </c>
      <c r="Y41">
        <f>HYPERLINK("https://klasma.github.io/Logging_2582/kartor_geotiff/A 21610-2026 georefererad karta.tif", "A 21610-2026")</f>
        <v/>
      </c>
      <c r="AA41">
        <f>HYPERLINK("https://klasma.github.io/Logging_2582/klagomål/A 21610-2026 FSC-klagomål.docx", "A 21610-2026")</f>
        <v/>
      </c>
      <c r="AB41">
        <f>HYPERLINK("https://klasma.github.io/Logging_2582/klagomålsmail/A 21610-2026 FSC-klagomål mail.docx", "A 21610-2026")</f>
        <v/>
      </c>
      <c r="AC41">
        <f>HYPERLINK("https://klasma.github.io/Logging_2582/tillsyn/A 21610-2026 tillsynsbegäran.docx", "A 21610-2026")</f>
        <v/>
      </c>
      <c r="AD41">
        <f>HYPERLINK("https://klasma.github.io/Logging_2582/tillsynsmail/A 21610-2026 tillsynsbegäran mail.docx", "A 21610-2026")</f>
        <v/>
      </c>
      <c r="AE41">
        <f>HYPERLINK("https://klasma.github.io/Logging_2582/fåglar/A 21610-2026 prioriterade fågelarter.docx", "A 21610-2026")</f>
        <v/>
      </c>
    </row>
    <row r="42" ht="15" customHeight="1">
      <c r="A42" t="inlineStr">
        <is>
          <t>A 59358-2022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44904</v>
      </c>
      <c r="E42" s="1" t="n">
        <v>46322</v>
      </c>
      <c r="F42" t="inlineStr">
        <is>
          <t>NORRBOTTENS LÄN</t>
        </is>
      </c>
      <c r="G42" t="inlineStr">
        <is>
          <t>BODEN</t>
        </is>
      </c>
      <c r="I42" t="n">
        <v>1.5</v>
      </c>
      <c r="J42" t="n">
        <v>4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Stare
Rosenfink
Rävticka
Sångsvan
Trana</t>
        </is>
      </c>
      <c r="W42">
        <f>HYPERLINK("https://klasma.github.io/Logging_2582/artfynd/A 59358-2022 artfynd.xlsx", "A 59358-2022")</f>
        <v/>
      </c>
      <c r="X42">
        <f>HYPERLINK("https://klasma.github.io/Logging_2582/kartor/A 59358-2022 karta.png", "A 59358-2022")</f>
        <v/>
      </c>
      <c r="Y42">
        <f>HYPERLINK("https://klasma.github.io/Logging_2582/kartor_geotiff/A 59358-2022 georefererad karta.tif", "A 59358-2022")</f>
        <v/>
      </c>
      <c r="AA42">
        <f>HYPERLINK("https://klasma.github.io/Logging_2582/klagomål/A 59358-2022 FSC-klagomål.docx", "A 59358-2022")</f>
        <v/>
      </c>
      <c r="AB42">
        <f>HYPERLINK("https://klasma.github.io/Logging_2582/klagomålsmail/A 59358-2022 FSC-klagomål mail.docx", "A 59358-2022")</f>
        <v/>
      </c>
      <c r="AC42">
        <f>HYPERLINK("https://klasma.github.io/Logging_2582/tillsyn/A 59358-2022 tillsynsbegäran.docx", "A 59358-2022")</f>
        <v/>
      </c>
      <c r="AD42">
        <f>HYPERLINK("https://klasma.github.io/Logging_2582/tillsynsmail/A 59358-2022 tillsynsbegäran mail.docx", "A 59358-2022")</f>
        <v/>
      </c>
      <c r="AE42">
        <f>HYPERLINK("https://klasma.github.io/Logging_2582/fåglar/A 59358-2022 prioriterade fågelarter.docx", "A 59358-2022")</f>
        <v/>
      </c>
    </row>
    <row r="43" ht="15" customHeight="1">
      <c r="A43" t="inlineStr">
        <is>
          <t>A 42648-2026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46309</v>
      </c>
      <c r="E43" s="1" t="n">
        <v>46322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14.6</v>
      </c>
      <c r="J43" t="n">
        <v>0</v>
      </c>
      <c r="K43" t="n">
        <v>0</v>
      </c>
      <c r="L43" t="n">
        <v>4</v>
      </c>
      <c r="M43" t="n">
        <v>1</v>
      </c>
      <c r="N43" t="n">
        <v>0</v>
      </c>
      <c r="O43" t="n">
        <v>0</v>
      </c>
      <c r="P43" t="n">
        <v>0</v>
      </c>
      <c r="Q43" t="n">
        <v>5</v>
      </c>
      <c r="R43" t="n">
        <v>1</v>
      </c>
      <c r="S43" t="n">
        <v>5</v>
      </c>
      <c r="T43" t="n">
        <v>12</v>
      </c>
      <c r="U43" t="n">
        <v>0</v>
      </c>
      <c r="V43" s="2" t="inlineStr">
        <is>
          <t>Garnlav
Gammelgransskål
Lunglav
Motaggsvamp
Rynkskinn</t>
        </is>
      </c>
      <c r="W43">
        <f>HYPERLINK("https://klasma.github.io/Logging_2582/artfynd/A 42648-2026 artfynd.xlsx", "A 42648-2026")</f>
        <v/>
      </c>
      <c r="X43">
        <f>HYPERLINK("https://klasma.github.io/Logging_2582/kartor/A 42648-2026 karta.png", "A 42648-2026")</f>
        <v/>
      </c>
      <c r="Y43">
        <f>HYPERLINK("https://klasma.github.io/Logging_2582/kartor_geotiff/A 42648-2026 georefererad karta.tif", "A 42648-2026")</f>
        <v/>
      </c>
      <c r="AA43">
        <f>HYPERLINK("https://klasma.github.io/Logging_2582/klagomål/A 42648-2026 FSC-klagomål.docx", "A 42648-2026")</f>
        <v/>
      </c>
      <c r="AB43">
        <f>HYPERLINK("https://klasma.github.io/Logging_2582/klagomålsmail/A 42648-2026 FSC-klagomål mail.docx", "A 42648-2026")</f>
        <v/>
      </c>
      <c r="AC43">
        <f>HYPERLINK("https://klasma.github.io/Logging_2582/tillsyn/A 42648-2026 tillsynsbegäran.docx", "A 42648-2026")</f>
        <v/>
      </c>
      <c r="AD43">
        <f>HYPERLINK("https://klasma.github.io/Logging_2582/tillsynsmail/A 42648-2026 tillsynsbegäran mail.docx", "A 42648-2026")</f>
        <v/>
      </c>
    </row>
    <row r="44" ht="15" customHeight="1">
      <c r="A44" t="inlineStr">
        <is>
          <t>A 43710-2025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46322</v>
      </c>
      <c r="F44" t="inlineStr">
        <is>
          <t>NORRBOTTENS LÄN</t>
        </is>
      </c>
      <c r="G44" t="inlineStr">
        <is>
          <t>BODEN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Talltagel
Spillkråka
Timmerticka
Orre</t>
        </is>
      </c>
      <c r="W44">
        <f>HYPERLINK("https://klasma.github.io/Logging_2582/artfynd/A 43710-2025 artfynd.xlsx", "A 43710-2025")</f>
        <v/>
      </c>
      <c r="X44">
        <f>HYPERLINK("https://klasma.github.io/Logging_2582/kartor/A 43710-2025 karta.png", "A 43710-2025")</f>
        <v/>
      </c>
      <c r="Y44">
        <f>HYPERLINK("https://klasma.github.io/Logging_2582/kartor_geotiff/A 43710-2025 georefererad karta.tif", "A 43710-2025")</f>
        <v/>
      </c>
      <c r="AA44">
        <f>HYPERLINK("https://klasma.github.io/Logging_2582/klagomål/A 43710-2025 FSC-klagomål.docx", "A 43710-2025")</f>
        <v/>
      </c>
      <c r="AB44">
        <f>HYPERLINK("https://klasma.github.io/Logging_2582/klagomålsmail/A 43710-2025 FSC-klagomål mail.docx", "A 43710-2025")</f>
        <v/>
      </c>
      <c r="AC44">
        <f>HYPERLINK("https://klasma.github.io/Logging_2582/tillsyn/A 43710-2025 tillsynsbegäran.docx", "A 43710-2025")</f>
        <v/>
      </c>
      <c r="AD44">
        <f>HYPERLINK("https://klasma.github.io/Logging_2582/tillsynsmail/A 43710-2025 tillsynsbegäran mail.docx", "A 43710-2025")</f>
        <v/>
      </c>
      <c r="AE44">
        <f>HYPERLINK("https://klasma.github.io/Logging_2582/fåglar/A 43710-2025 prioriterade fågelarter.docx", "A 43710-2025")</f>
        <v/>
      </c>
    </row>
    <row r="45" ht="15" customHeight="1">
      <c r="A45" t="inlineStr">
        <is>
          <t>A 28358-2026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46322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7.3</v>
      </c>
      <c r="J45" t="n">
        <v>3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6</v>
      </c>
      <c r="U45" t="n">
        <v>0</v>
      </c>
      <c r="V45" s="2" t="inlineStr">
        <is>
          <t>Doftticka
Knärot
Lunglav
Spindelblomster</t>
        </is>
      </c>
      <c r="W45">
        <f>HYPERLINK("https://klasma.github.io/Logging_2582/artfynd/A 28358-2026 artfynd.xlsx", "A 28358-2026")</f>
        <v/>
      </c>
      <c r="X45">
        <f>HYPERLINK("https://klasma.github.io/Logging_2582/kartor/A 28358-2026 karta.png", "A 28358-2026")</f>
        <v/>
      </c>
      <c r="Y45">
        <f>HYPERLINK("https://klasma.github.io/Logging_2582/kartor_geotiff/A 28358-2026 georefererad karta.tif", "A 28358-2026")</f>
        <v/>
      </c>
      <c r="Z45">
        <f>HYPERLINK("https://klasma.github.io/Logging_2582/knärot/A 28358-2026 karta knärot.png", "A 28358-2026")</f>
        <v/>
      </c>
      <c r="AA45">
        <f>HYPERLINK("https://klasma.github.io/Logging_2582/klagomål/A 28358-2026 FSC-klagomål.docx", "A 28358-2026")</f>
        <v/>
      </c>
      <c r="AB45">
        <f>HYPERLINK("https://klasma.github.io/Logging_2582/klagomålsmail/A 28358-2026 FSC-klagomål mail.docx", "A 28358-2026")</f>
        <v/>
      </c>
      <c r="AC45">
        <f>HYPERLINK("https://klasma.github.io/Logging_2582/tillsyn/A 28358-2026 tillsynsbegäran.docx", "A 28358-2026")</f>
        <v/>
      </c>
      <c r="AD45">
        <f>HYPERLINK("https://klasma.github.io/Logging_2582/tillsynsmail/A 28358-2026 tillsynsbegäran mail.docx", "A 28358-2026")</f>
        <v/>
      </c>
    </row>
    <row r="46" ht="15" customHeight="1">
      <c r="A46" t="inlineStr">
        <is>
          <t>A 59028-2025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46322</v>
      </c>
      <c r="F46" t="inlineStr">
        <is>
          <t>NORRBOTTENS LÄN</t>
        </is>
      </c>
      <c r="G46" t="inlineStr">
        <is>
          <t>BODEN</t>
        </is>
      </c>
      <c r="I46" t="n">
        <v>4.3</v>
      </c>
      <c r="J46" t="n">
        <v>0</v>
      </c>
      <c r="K46" t="n">
        <v>0</v>
      </c>
      <c r="L46" t="n">
        <v>2</v>
      </c>
      <c r="M46" t="n">
        <v>2</v>
      </c>
      <c r="N46" t="n">
        <v>0</v>
      </c>
      <c r="O46" t="n">
        <v>0</v>
      </c>
      <c r="P46" t="n">
        <v>0</v>
      </c>
      <c r="Q46" t="n">
        <v>4</v>
      </c>
      <c r="R46" t="n">
        <v>2</v>
      </c>
      <c r="S46" t="n">
        <v>4</v>
      </c>
      <c r="T46" t="n">
        <v>4</v>
      </c>
      <c r="U46" t="n">
        <v>0</v>
      </c>
      <c r="V46" s="2" t="inlineStr">
        <is>
          <t>Goliatmusseron
Skrovlig taggsvamp
Dvärgbägarlav
Skarp dropptaggsvamp</t>
        </is>
      </c>
      <c r="W46">
        <f>HYPERLINK("https://klasma.github.io/Logging_2582/artfynd/A 59028-2025 artfynd.xlsx", "A 59028-2025")</f>
        <v/>
      </c>
      <c r="X46">
        <f>HYPERLINK("https://klasma.github.io/Logging_2582/kartor/A 59028-2025 karta.png", "A 59028-2025")</f>
        <v/>
      </c>
      <c r="Y46">
        <f>HYPERLINK("https://klasma.github.io/Logging_2582/kartor_geotiff/A 59028-2025 georefererad karta.tif", "A 59028-2025")</f>
        <v/>
      </c>
      <c r="AA46">
        <f>HYPERLINK("https://klasma.github.io/Logging_2582/klagomål/A 59028-2025 FSC-klagomål.docx", "A 59028-2025")</f>
        <v/>
      </c>
      <c r="AB46">
        <f>HYPERLINK("https://klasma.github.io/Logging_2582/klagomålsmail/A 59028-2025 FSC-klagomål mail.docx", "A 59028-2025")</f>
        <v/>
      </c>
      <c r="AC46">
        <f>HYPERLINK("https://klasma.github.io/Logging_2582/tillsyn/A 59028-2025 tillsynsbegäran.docx", "A 59028-2025")</f>
        <v/>
      </c>
      <c r="AD46">
        <f>HYPERLINK("https://klasma.github.io/Logging_2582/tillsynsmail/A 59028-2025 tillsynsbegäran mail.docx", "A 59028-2025")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46322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57526-2025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46322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HYPERLINK("https://klasma.github.io/Logging_2582/artfynd/A 57526-2025 artfynd.xlsx", "A 57526-2025")</f>
        <v/>
      </c>
      <c r="X48">
        <f>HYPERLINK("https://klasma.github.io/Logging_2582/kartor/A 57526-2025 karta.png", "A 57526-2025")</f>
        <v/>
      </c>
      <c r="Y48">
        <f>HYPERLINK("https://klasma.github.io/Logging_2582/kartor_geotiff/A 57526-2025 georefererad karta.tif", "A 57526-2025")</f>
        <v/>
      </c>
      <c r="Z48">
        <f>HYPERLINK("https://klasma.github.io/Logging_2582/knärot/A 57526-2025 karta knärot.png", "A 57526-2025")</f>
        <v/>
      </c>
      <c r="AA48">
        <f>HYPERLINK("https://klasma.github.io/Logging_2582/klagomål/A 57526-2025 FSC-klagomål.docx", "A 57526-2025")</f>
        <v/>
      </c>
      <c r="AB48">
        <f>HYPERLINK("https://klasma.github.io/Logging_2582/klagomålsmail/A 57526-2025 FSC-klagomål mail.docx", "A 57526-2025")</f>
        <v/>
      </c>
      <c r="AC48">
        <f>HYPERLINK("https://klasma.github.io/Logging_2582/tillsyn/A 57526-2025 tillsynsbegäran.docx", "A 57526-2025")</f>
        <v/>
      </c>
      <c r="AD48">
        <f>HYPERLINK("https://klasma.github.io/Logging_2582/tillsynsmail/A 57526-2025 tillsynsbegäran mail.docx", "A 57526-2025")</f>
        <v/>
      </c>
    </row>
    <row r="49" ht="15" customHeight="1">
      <c r="A49" t="inlineStr">
        <is>
          <t>A 21475-2026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46148</v>
      </c>
      <c r="E49" s="1" t="n">
        <v>46322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27.6</v>
      </c>
      <c r="J49" t="n">
        <v>2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Harticka
Tretåig hackspett
Smal svampklubba
Järpe</t>
        </is>
      </c>
      <c r="W49">
        <f>HYPERLINK("https://klasma.github.io/Logging_2582/artfynd/A 21475-2026 artfynd.xlsx", "A 21475-2026")</f>
        <v/>
      </c>
      <c r="X49">
        <f>HYPERLINK("https://klasma.github.io/Logging_2582/kartor/A 21475-2026 karta.png", "A 21475-2026")</f>
        <v/>
      </c>
      <c r="Y49">
        <f>HYPERLINK("https://klasma.github.io/Logging_2582/kartor_geotiff/A 21475-2026 georefererad karta.tif", "A 21475-2026")</f>
        <v/>
      </c>
      <c r="AA49">
        <f>HYPERLINK("https://klasma.github.io/Logging_2582/klagomål/A 21475-2026 FSC-klagomål.docx", "A 21475-2026")</f>
        <v/>
      </c>
      <c r="AB49">
        <f>HYPERLINK("https://klasma.github.io/Logging_2582/klagomålsmail/A 21475-2026 FSC-klagomål mail.docx", "A 21475-2026")</f>
        <v/>
      </c>
      <c r="AC49">
        <f>HYPERLINK("https://klasma.github.io/Logging_2582/tillsyn/A 21475-2026 tillsynsbegäran.docx", "A 21475-2026")</f>
        <v/>
      </c>
      <c r="AD49">
        <f>HYPERLINK("https://klasma.github.io/Logging_2582/tillsynsmail/A 21475-2026 tillsynsbegäran mail.docx", "A 21475-2026")</f>
        <v/>
      </c>
      <c r="AE49">
        <f>HYPERLINK("https://klasma.github.io/Logging_2582/fåglar/A 21475-2026 prioriterade fågelarter.docx", "A 21475-2026")</f>
        <v/>
      </c>
    </row>
    <row r="50" ht="15" customHeight="1">
      <c r="A50" t="inlineStr">
        <is>
          <t>A 35413-2026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46322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1.7</v>
      </c>
      <c r="J50" t="n">
        <v>2</v>
      </c>
      <c r="K50" t="n">
        <v>2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16</v>
      </c>
      <c r="U50" t="n">
        <v>16</v>
      </c>
      <c r="V50" s="2" t="inlineStr">
        <is>
          <t>Knärot
Spindelblomster
Ögonpyrola
Ormbär</t>
        </is>
      </c>
      <c r="W50">
        <f>HYPERLINK("https://klasma.github.io/Logging_2582/artfynd/A 35413-2026 artfynd.xlsx", "A 35413-2026")</f>
        <v/>
      </c>
      <c r="X50">
        <f>HYPERLINK("https://klasma.github.io/Logging_2582/kartor/A 35413-2026 karta.png", "A 35413-2026")</f>
        <v/>
      </c>
      <c r="Y50">
        <f>HYPERLINK("https://klasma.github.io/Logging_2582/kartor_geotiff/A 35413-2026 georefererad karta.tif", "A 35413-2026")</f>
        <v/>
      </c>
      <c r="Z50">
        <f>HYPERLINK("https://klasma.github.io/Logging_2582/knärot/A 35413-2026 karta knärot.png", "A 35413-2026")</f>
        <v/>
      </c>
      <c r="AA50">
        <f>HYPERLINK("https://klasma.github.io/Logging_2582/klagomål/A 35413-2026 FSC-klagomål.docx", "A 35413-2026")</f>
        <v/>
      </c>
      <c r="AB50">
        <f>HYPERLINK("https://klasma.github.io/Logging_2582/klagomålsmail/A 35413-2026 FSC-klagomål mail.docx", "A 35413-2026")</f>
        <v/>
      </c>
      <c r="AC50">
        <f>HYPERLINK("https://klasma.github.io/Logging_2582/tillsyn/A 35413-2026 tillsynsbegäran.docx", "A 35413-2026")</f>
        <v/>
      </c>
      <c r="AD50">
        <f>HYPERLINK("https://klasma.github.io/Logging_2582/tillsynsmail/A 35413-2026 tillsynsbegäran mail.docx", "A 35413-2026")</f>
        <v/>
      </c>
    </row>
    <row r="51" ht="15" customHeight="1">
      <c r="A51" t="inlineStr">
        <is>
          <t>A 43576-2026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46315</v>
      </c>
      <c r="E51" s="1" t="n">
        <v>46322</v>
      </c>
      <c r="F51" t="inlineStr">
        <is>
          <t>NORRBOTTENS LÄN</t>
        </is>
      </c>
      <c r="G51" t="inlineStr">
        <is>
          <t>BODEN</t>
        </is>
      </c>
      <c r="I51" t="n">
        <v>5.2</v>
      </c>
      <c r="J51" t="n">
        <v>3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5</v>
      </c>
      <c r="U51" t="n">
        <v>0</v>
      </c>
      <c r="V51" s="2" t="inlineStr">
        <is>
          <t>Knärot
Luddfingersvamp
Spindelblomster
Spillkråka</t>
        </is>
      </c>
      <c r="W51">
        <f>HYPERLINK("https://klasma.github.io/Logging_2582/artfynd/A 43576-2026 artfynd.xlsx", "A 43576-2026")</f>
        <v/>
      </c>
      <c r="X51">
        <f>HYPERLINK("https://klasma.github.io/Logging_2582/kartor/A 43576-2026 karta.png", "A 43576-2026")</f>
        <v/>
      </c>
      <c r="Y51">
        <f>HYPERLINK("https://klasma.github.io/Logging_2582/kartor_geotiff/A 43576-2026 georefererad karta.tif", "A 43576-2026")</f>
        <v/>
      </c>
      <c r="Z51">
        <f>HYPERLINK("https://klasma.github.io/Logging_2582/knärot/A 43576-2026 karta knärot.png", "A 43576-2026")</f>
        <v/>
      </c>
      <c r="AA51">
        <f>HYPERLINK("https://klasma.github.io/Logging_2582/klagomål/A 43576-2026 FSC-klagomål.docx", "A 43576-2026")</f>
        <v/>
      </c>
      <c r="AB51">
        <f>HYPERLINK("https://klasma.github.io/Logging_2582/klagomålsmail/A 43576-2026 FSC-klagomål mail.docx", "A 43576-2026")</f>
        <v/>
      </c>
      <c r="AC51">
        <f>HYPERLINK("https://klasma.github.io/Logging_2582/tillsyn/A 43576-2026 tillsynsbegäran.docx", "A 43576-2026")</f>
        <v/>
      </c>
      <c r="AD51">
        <f>HYPERLINK("https://klasma.github.io/Logging_2582/tillsynsmail/A 43576-2026 tillsynsbegäran mail.docx", "A 43576-2026")</f>
        <v/>
      </c>
      <c r="AE51">
        <f>HYPERLINK("https://klasma.github.io/Logging_2582/fåglar/A 43576-2026 prioriterade fågelarter.docx", "A 43576-2026")</f>
        <v/>
      </c>
    </row>
    <row r="52" ht="15" customHeight="1">
      <c r="A52" t="inlineStr">
        <is>
          <t>S 3220-2025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45980</v>
      </c>
      <c r="E52" s="1" t="n">
        <v>46322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2.9</v>
      </c>
      <c r="J52" t="n">
        <v>1</v>
      </c>
      <c r="K52" t="n">
        <v>1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27</v>
      </c>
      <c r="U52" t="n">
        <v>0</v>
      </c>
      <c r="V52" s="2" t="inlineStr">
        <is>
          <t>Knärot
Lunglav
Ullticka
Stuplav</t>
        </is>
      </c>
      <c r="W52">
        <f>HYPERLINK("https://klasma.github.io/Logging_2582/artfynd/S 3220-2025 artfynd.xlsx", "S 3220-2025")</f>
        <v/>
      </c>
      <c r="X52">
        <f>HYPERLINK("https://klasma.github.io/Logging_2582/kartor/S 3220-2025 karta.png", "S 3220-2025")</f>
        <v/>
      </c>
      <c r="Y52">
        <f>HYPERLINK("https://klasma.github.io/Logging_2582/kartor_geotiff/S 3220-2025 georefererad karta.tif", "S 3220-2025")</f>
        <v/>
      </c>
      <c r="Z52">
        <f>HYPERLINK("https://klasma.github.io/Logging_2582/knärot/S 3220-2025 karta knärot.png", "S 3220-2025")</f>
        <v/>
      </c>
      <c r="AA52">
        <f>HYPERLINK("https://klasma.github.io/Logging_2582/klagomål/S 3220-2025 FSC-klagomål.docx", "S 3220-2025")</f>
        <v/>
      </c>
      <c r="AB52">
        <f>HYPERLINK("https://klasma.github.io/Logging_2582/klagomålsmail/S 3220-2025 FSC-klagomål mail.docx", "S 3220-2025")</f>
        <v/>
      </c>
      <c r="AC52">
        <f>HYPERLINK("https://klasma.github.io/Logging_2582/tillsyn/S 3220-2025 tillsynsbegäran.docx", "S 3220-2025")</f>
        <v/>
      </c>
      <c r="AD52">
        <f>HYPERLINK("https://klasma.github.io/Logging_2582/tillsynsmail/S 3220-2025 tillsynsbegäran mail.docx", "S 3220-2025")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46322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46322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46322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46322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t="n">
        <v>0</v>
      </c>
      <c r="V56" s="2" t="inlineStr">
        <is>
          <t>Doftticka
Knärot
Lunglav</t>
        </is>
      </c>
      <c r="W56">
        <f>HYPERLINK("https://klasma.github.io/Logging_2582/artfynd/A 28267-2025 artfynd.xlsx", "A 28267-2025")</f>
        <v/>
      </c>
      <c r="X56">
        <f>HYPERLINK("https://klasma.github.io/Logging_2582/kartor/A 28267-2025 karta.png", "A 28267-2025")</f>
        <v/>
      </c>
      <c r="Y56">
        <f>HYPERLINK("https://klasma.github.io/Logging_2582/kartor_geotiff/A 28267-2025 georefererad karta.tif", "A 28267-2025")</f>
        <v/>
      </c>
      <c r="Z56">
        <f>HYPERLINK("https://klasma.github.io/Logging_2582/knärot/A 28267-2025 karta knärot.png", "A 28267-2025")</f>
        <v/>
      </c>
      <c r="AA56">
        <f>HYPERLINK("https://klasma.github.io/Logging_2582/klagomål/A 28267-2025 FSC-klagomål.docx", "A 28267-2025")</f>
        <v/>
      </c>
      <c r="AB56">
        <f>HYPERLINK("https://klasma.github.io/Logging_2582/klagomålsmail/A 28267-2025 FSC-klagomål mail.docx", "A 28267-2025")</f>
        <v/>
      </c>
      <c r="AC56">
        <f>HYPERLINK("https://klasma.github.io/Logging_2582/tillsyn/A 28267-2025 tillsynsbegäran.docx", "A 28267-2025")</f>
        <v/>
      </c>
      <c r="AD56">
        <f>HYPERLINK("https://klasma.github.io/Logging_2582/tillsynsmail/A 28267-2025 tillsynsbegäran mail.docx", "A 28267-2025")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46322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46322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46322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31230-2026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46217</v>
      </c>
      <c r="E60" s="1" t="n">
        <v>46322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7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Fläcknycklar
Fläcknycklar × sumpnycklar</t>
        </is>
      </c>
      <c r="W60">
        <f>HYPERLINK("https://klasma.github.io/Logging_2582/artfynd/A 31230-2026 artfynd.xlsx", "A 31230-2026")</f>
        <v/>
      </c>
      <c r="X60">
        <f>HYPERLINK("https://klasma.github.io/Logging_2582/kartor/A 31230-2026 karta.png", "A 31230-2026")</f>
        <v/>
      </c>
      <c r="Y60">
        <f>HYPERLINK("https://klasma.github.io/Logging_2582/kartor_geotiff/A 31230-2026 georefererad karta.tif", "A 31230-2026")</f>
        <v/>
      </c>
      <c r="AA60">
        <f>HYPERLINK("https://klasma.github.io/Logging_2582/klagomål/A 31230-2026 FSC-klagomål.docx", "A 31230-2026")</f>
        <v/>
      </c>
      <c r="AB60">
        <f>HYPERLINK("https://klasma.github.io/Logging_2582/klagomålsmail/A 31230-2026 FSC-klagomål mail.docx", "A 31230-2026")</f>
        <v/>
      </c>
      <c r="AC60">
        <f>HYPERLINK("https://klasma.github.io/Logging_2582/tillsyn/A 31230-2026 tillsynsbegäran.docx", "A 31230-2026")</f>
        <v/>
      </c>
      <c r="AD60">
        <f>HYPERLINK("https://klasma.github.io/Logging_2582/tillsynsmail/A 31230-2026 tillsynsbegäran mail.docx", "A 31230-2026")</f>
        <v/>
      </c>
    </row>
    <row r="61" ht="15" customHeight="1">
      <c r="A61" t="inlineStr">
        <is>
          <t>A 38808-2026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46322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12.7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Lunglav
Vedflamlav
Stuplav</t>
        </is>
      </c>
      <c r="W61">
        <f>HYPERLINK("https://klasma.github.io/Logging_2582/artfynd/A 38808-2026 artfynd.xlsx", "A 38808-2026")</f>
        <v/>
      </c>
      <c r="X61">
        <f>HYPERLINK("https://klasma.github.io/Logging_2582/kartor/A 38808-2026 karta.png", "A 38808-2026")</f>
        <v/>
      </c>
      <c r="Y61">
        <f>HYPERLINK("https://klasma.github.io/Logging_2582/kartor_geotiff/A 38808-2026 georefererad karta.tif", "A 38808-2026")</f>
        <v/>
      </c>
      <c r="AA61">
        <f>HYPERLINK("https://klasma.github.io/Logging_2582/klagomål/A 38808-2026 FSC-klagomål.docx", "A 38808-2026")</f>
        <v/>
      </c>
      <c r="AB61">
        <f>HYPERLINK("https://klasma.github.io/Logging_2582/klagomålsmail/A 38808-2026 FSC-klagomål mail.docx", "A 38808-2026")</f>
        <v/>
      </c>
      <c r="AC61">
        <f>HYPERLINK("https://klasma.github.io/Logging_2582/tillsyn/A 38808-2026 tillsynsbegäran.docx", "A 38808-2026")</f>
        <v/>
      </c>
      <c r="AD61">
        <f>HYPERLINK("https://klasma.github.io/Logging_2582/tillsynsmail/A 38808-2026 tillsynsbegäran mail.docx", "A 38808-2026")</f>
        <v/>
      </c>
    </row>
    <row r="62" ht="15" customHeight="1">
      <c r="A62" t="inlineStr">
        <is>
          <t>A 23323-2025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46322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21.8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Grönpyrola
Fläcknycklar
Nattviol</t>
        </is>
      </c>
      <c r="W62">
        <f>HYPERLINK("https://klasma.github.io/Logging_2582/artfynd/A 23323-2025 artfynd.xlsx", "A 23323-2025")</f>
        <v/>
      </c>
      <c r="X62">
        <f>HYPERLINK("https://klasma.github.io/Logging_2582/kartor/A 23323-2025 karta.png", "A 23323-2025")</f>
        <v/>
      </c>
      <c r="Y62">
        <f>HYPERLINK("https://klasma.github.io/Logging_2582/kartor_geotiff/A 23323-2025 georefererad karta.tif", "A 23323-2025")</f>
        <v/>
      </c>
      <c r="AA62">
        <f>HYPERLINK("https://klasma.github.io/Logging_2582/klagomål/A 23323-2025 FSC-klagomål.docx", "A 23323-2025")</f>
        <v/>
      </c>
      <c r="AB62">
        <f>HYPERLINK("https://klasma.github.io/Logging_2582/klagomålsmail/A 23323-2025 FSC-klagomål mail.docx", "A 23323-2025")</f>
        <v/>
      </c>
      <c r="AC62">
        <f>HYPERLINK("https://klasma.github.io/Logging_2582/tillsyn/A 23323-2025 tillsynsbegäran.docx", "A 23323-2025")</f>
        <v/>
      </c>
      <c r="AD62">
        <f>HYPERLINK("https://klasma.github.io/Logging_2582/tillsynsmail/A 23323-2025 tillsynsbegäran mail.docx", "A 23323-2025")</f>
        <v/>
      </c>
    </row>
    <row r="63" ht="15" customHeight="1">
      <c r="A63" t="inlineStr">
        <is>
          <t>A 23575-2023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46322</v>
      </c>
      <c r="F63" t="inlineStr">
        <is>
          <t>NORRBOTTENS LÄN</t>
        </is>
      </c>
      <c r="G63" t="inlineStr">
        <is>
          <t>BODEN</t>
        </is>
      </c>
      <c r="I63" t="n">
        <v>7.9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1</v>
      </c>
      <c r="V63" s="2" t="inlineStr">
        <is>
          <t>Gammelgransskål
Nordfladdermus
Bollvitmossa</t>
        </is>
      </c>
      <c r="W63">
        <f>HYPERLINK("https://klasma.github.io/Logging_2582/artfynd/A 23575-2023 artfynd.xlsx", "A 23575-2023")</f>
        <v/>
      </c>
      <c r="X63">
        <f>HYPERLINK("https://klasma.github.io/Logging_2582/kartor/A 23575-2023 karta.png", "A 23575-2023")</f>
        <v/>
      </c>
      <c r="Y63">
        <f>HYPERLINK("https://klasma.github.io/Logging_2582/kartor_geotiff/A 23575-2023 georefererad karta.tif", "A 23575-2023")</f>
        <v/>
      </c>
      <c r="AA63">
        <f>HYPERLINK("https://klasma.github.io/Logging_2582/klagomål/A 23575-2023 FSC-klagomål.docx", "A 23575-2023")</f>
        <v/>
      </c>
      <c r="AB63">
        <f>HYPERLINK("https://klasma.github.io/Logging_2582/klagomålsmail/A 23575-2023 FSC-klagomål mail.docx", "A 23575-2023")</f>
        <v/>
      </c>
      <c r="AC63">
        <f>HYPERLINK("https://klasma.github.io/Logging_2582/tillsyn/A 23575-2023 tillsynsbegäran.docx", "A 23575-2023")</f>
        <v/>
      </c>
      <c r="AD63">
        <f>HYPERLINK("https://klasma.github.io/Logging_2582/tillsynsmail/A 23575-2023 tillsynsbegäran mail.docx", "A 23575-2023")</f>
        <v/>
      </c>
    </row>
    <row r="64" ht="15" customHeight="1">
      <c r="A64" t="inlineStr">
        <is>
          <t>A 43007-2022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44833</v>
      </c>
      <c r="E64" s="1" t="n">
        <v>46322</v>
      </c>
      <c r="F64" t="inlineStr">
        <is>
          <t>NORRBOTTENS LÄN</t>
        </is>
      </c>
      <c r="G64" t="inlineStr">
        <is>
          <t>BODEN</t>
        </is>
      </c>
      <c r="I64" t="n">
        <v>1.8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Kransmossa
Liljekonvalj
Nattviol</t>
        </is>
      </c>
      <c r="W64">
        <f>HYPERLINK("https://klasma.github.io/Logging_2582/artfynd/A 43007-2022 artfynd.xlsx", "A 43007-2022")</f>
        <v/>
      </c>
      <c r="X64">
        <f>HYPERLINK("https://klasma.github.io/Logging_2582/kartor/A 43007-2022 karta.png", "A 43007-2022")</f>
        <v/>
      </c>
      <c r="Y64">
        <f>HYPERLINK("https://klasma.github.io/Logging_2582/kartor_geotiff/A 43007-2022 georefererad karta.tif", "A 43007-2022")</f>
        <v/>
      </c>
      <c r="AA64">
        <f>HYPERLINK("https://klasma.github.io/Logging_2582/klagomål/A 43007-2022 FSC-klagomål.docx", "A 43007-2022")</f>
        <v/>
      </c>
      <c r="AB64">
        <f>HYPERLINK("https://klasma.github.io/Logging_2582/klagomålsmail/A 43007-2022 FSC-klagomål mail.docx", "A 43007-2022")</f>
        <v/>
      </c>
      <c r="AC64">
        <f>HYPERLINK("https://klasma.github.io/Logging_2582/tillsyn/A 43007-2022 tillsynsbegäran.docx", "A 43007-2022")</f>
        <v/>
      </c>
      <c r="AD64">
        <f>HYPERLINK("https://klasma.github.io/Logging_2582/tillsynsmail/A 43007-2022 tillsynsbegäran mail.docx", "A 43007-2022")</f>
        <v/>
      </c>
    </row>
    <row r="65" ht="15" customHeight="1">
      <c r="A65" t="inlineStr">
        <is>
          <t>A 37014-2023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46322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2.4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Talltita
Stuplav</t>
        </is>
      </c>
      <c r="W65">
        <f>HYPERLINK("https://klasma.github.io/Logging_2582/artfynd/A 37014-2023 artfynd.xlsx", "A 37014-2023")</f>
        <v/>
      </c>
      <c r="X65">
        <f>HYPERLINK("https://klasma.github.io/Logging_2582/kartor/A 37014-2023 karta.png", "A 37014-2023")</f>
        <v/>
      </c>
      <c r="Y65">
        <f>HYPERLINK("https://klasma.github.io/Logging_2582/kartor_geotiff/A 37014-2023 georefererad karta.tif", "A 37014-2023")</f>
        <v/>
      </c>
      <c r="AA65">
        <f>HYPERLINK("https://klasma.github.io/Logging_2582/klagomål/A 37014-2023 FSC-klagomål.docx", "A 37014-2023")</f>
        <v/>
      </c>
      <c r="AB65">
        <f>HYPERLINK("https://klasma.github.io/Logging_2582/klagomålsmail/A 37014-2023 FSC-klagomål mail.docx", "A 37014-2023")</f>
        <v/>
      </c>
      <c r="AC65">
        <f>HYPERLINK("https://klasma.github.io/Logging_2582/tillsyn/A 37014-2023 tillsynsbegäran.docx", "A 37014-2023")</f>
        <v/>
      </c>
      <c r="AD65">
        <f>HYPERLINK("https://klasma.github.io/Logging_2582/tillsynsmail/A 37014-2023 tillsynsbegäran mail.docx", "A 37014-2023")</f>
        <v/>
      </c>
      <c r="AE65">
        <f>HYPERLINK("https://klasma.github.io/Logging_2582/fåglar/A 37014-2023 prioriterade fågelarter.docx", "A 37014-2023")</f>
        <v/>
      </c>
    </row>
    <row r="66" ht="15" customHeight="1">
      <c r="A66" t="inlineStr">
        <is>
          <t>A 26040-2026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46322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32.6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3</v>
      </c>
      <c r="V66" s="2" t="inlineStr">
        <is>
          <t>Doftticka
Lunglav
Bårdlav</t>
        </is>
      </c>
      <c r="W66">
        <f>HYPERLINK("https://klasma.github.io/Logging_2582/artfynd/A 26040-2026 artfynd.xlsx", "A 26040-2026")</f>
        <v/>
      </c>
      <c r="X66">
        <f>HYPERLINK("https://klasma.github.io/Logging_2582/kartor/A 26040-2026 karta.png", "A 26040-2026")</f>
        <v/>
      </c>
      <c r="Y66">
        <f>HYPERLINK("https://klasma.github.io/Logging_2582/kartor_geotiff/A 26040-2026 georefererad karta.tif", "A 26040-2026")</f>
        <v/>
      </c>
      <c r="AA66">
        <f>HYPERLINK("https://klasma.github.io/Logging_2582/klagomål/A 26040-2026 FSC-klagomål.docx", "A 26040-2026")</f>
        <v/>
      </c>
      <c r="AB66">
        <f>HYPERLINK("https://klasma.github.io/Logging_2582/klagomålsmail/A 26040-2026 FSC-klagomål mail.docx", "A 26040-2026")</f>
        <v/>
      </c>
      <c r="AC66">
        <f>HYPERLINK("https://klasma.github.io/Logging_2582/tillsyn/A 26040-2026 tillsynsbegäran.docx", "A 26040-2026")</f>
        <v/>
      </c>
      <c r="AD66">
        <f>HYPERLINK("https://klasma.github.io/Logging_2582/tillsynsmail/A 26040-2026 tillsynsbegäran mail.docx", "A 26040-2026")</f>
        <v/>
      </c>
    </row>
    <row r="67" ht="15" customHeight="1">
      <c r="A67" t="inlineStr">
        <is>
          <t>A 26728-2026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46322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14.4</v>
      </c>
      <c r="J67" t="n">
        <v>2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Lunglav
Plattlummer
Fläcknycklar</t>
        </is>
      </c>
      <c r="W67">
        <f>HYPERLINK("https://klasma.github.io/Logging_2582/artfynd/A 26728-2026 artfynd.xlsx", "A 26728-2026")</f>
        <v/>
      </c>
      <c r="X67">
        <f>HYPERLINK("https://klasma.github.io/Logging_2582/kartor/A 26728-2026 karta.png", "A 26728-2026")</f>
        <v/>
      </c>
      <c r="Y67">
        <f>HYPERLINK("https://klasma.github.io/Logging_2582/kartor_geotiff/A 26728-2026 georefererad karta.tif", "A 26728-2026")</f>
        <v/>
      </c>
      <c r="AA67">
        <f>HYPERLINK("https://klasma.github.io/Logging_2582/klagomål/A 26728-2026 FSC-klagomål.docx", "A 26728-2026")</f>
        <v/>
      </c>
      <c r="AB67">
        <f>HYPERLINK("https://klasma.github.io/Logging_2582/klagomålsmail/A 26728-2026 FSC-klagomål mail.docx", "A 26728-2026")</f>
        <v/>
      </c>
      <c r="AC67">
        <f>HYPERLINK("https://klasma.github.io/Logging_2582/tillsyn/A 26728-2026 tillsynsbegäran.docx", "A 26728-2026")</f>
        <v/>
      </c>
      <c r="AD67">
        <f>HYPERLINK("https://klasma.github.io/Logging_2582/tillsynsmail/A 26728-2026 tillsynsbegäran mail.docx", "A 26728-2026")</f>
        <v/>
      </c>
    </row>
    <row r="68" ht="15" customHeight="1">
      <c r="A68" t="inlineStr">
        <is>
          <t>A 34875-2026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46322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5.1</v>
      </c>
      <c r="J68" t="n">
        <v>2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Knärot
Tallticka
Fläcknycklar</t>
        </is>
      </c>
      <c r="W68">
        <f>HYPERLINK("https://klasma.github.io/Logging_2582/artfynd/A 34875-2026 artfynd.xlsx", "A 34875-2026")</f>
        <v/>
      </c>
      <c r="X68">
        <f>HYPERLINK("https://klasma.github.io/Logging_2582/kartor/A 34875-2026 karta.png", "A 34875-2026")</f>
        <v/>
      </c>
      <c r="Y68">
        <f>HYPERLINK("https://klasma.github.io/Logging_2582/kartor_geotiff/A 34875-2026 georefererad karta.tif", "A 34875-2026")</f>
        <v/>
      </c>
      <c r="Z68">
        <f>HYPERLINK("https://klasma.github.io/Logging_2582/knärot/A 34875-2026 karta knärot.png", "A 34875-2026")</f>
        <v/>
      </c>
      <c r="AA68">
        <f>HYPERLINK("https://klasma.github.io/Logging_2582/klagomål/A 34875-2026 FSC-klagomål.docx", "A 34875-2026")</f>
        <v/>
      </c>
      <c r="AB68">
        <f>HYPERLINK("https://klasma.github.io/Logging_2582/klagomålsmail/A 34875-2026 FSC-klagomål mail.docx", "A 34875-2026")</f>
        <v/>
      </c>
      <c r="AC68">
        <f>HYPERLINK("https://klasma.github.io/Logging_2582/tillsyn/A 34875-2026 tillsynsbegäran.docx", "A 34875-2026")</f>
        <v/>
      </c>
      <c r="AD68">
        <f>HYPERLINK("https://klasma.github.io/Logging_2582/tillsynsmail/A 34875-2026 tillsynsbegäran mail.docx", "A 34875-2026")</f>
        <v/>
      </c>
    </row>
    <row r="69" ht="15" customHeight="1">
      <c r="A69" t="inlineStr">
        <is>
          <t>A 29797-2022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44755</v>
      </c>
      <c r="E69" s="1" t="n">
        <v>46322</v>
      </c>
      <c r="F69" t="inlineStr">
        <is>
          <t>NORRBOTTENS LÄN</t>
        </is>
      </c>
      <c r="G69" t="inlineStr">
        <is>
          <t>BODEN</t>
        </is>
      </c>
      <c r="H69" t="inlineStr">
        <is>
          <t>Kyrkan</t>
        </is>
      </c>
      <c r="I69" t="n">
        <v>29.2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Vanlig groda
Vanlig padda
Revlummer</t>
        </is>
      </c>
      <c r="W69">
        <f>HYPERLINK("https://klasma.github.io/Logging_2582/artfynd/A 29797-2022 artfynd.xlsx", "A 29797-2022")</f>
        <v/>
      </c>
      <c r="X69">
        <f>HYPERLINK("https://klasma.github.io/Logging_2582/kartor/A 29797-2022 karta.png", "A 29797-2022")</f>
        <v/>
      </c>
      <c r="Y69">
        <f>HYPERLINK("https://klasma.github.io/Logging_2582/kartor_geotiff/A 29797-2022 georefererad karta.tif", "A 29797-2022")</f>
        <v/>
      </c>
      <c r="AA69">
        <f>HYPERLINK("https://klasma.github.io/Logging_2582/klagomål/A 29797-2022 FSC-klagomål.docx", "A 29797-2022")</f>
        <v/>
      </c>
      <c r="AB69">
        <f>HYPERLINK("https://klasma.github.io/Logging_2582/klagomålsmail/A 29797-2022 FSC-klagomål mail.docx", "A 29797-2022")</f>
        <v/>
      </c>
      <c r="AC69">
        <f>HYPERLINK("https://klasma.github.io/Logging_2582/tillsyn/A 29797-2022 tillsynsbegäran.docx", "A 29797-2022")</f>
        <v/>
      </c>
      <c r="AD69">
        <f>HYPERLINK("https://klasma.github.io/Logging_2582/tillsynsmail/A 29797-2022 tillsynsbegäran mail.docx", "A 29797-2022")</f>
        <v/>
      </c>
    </row>
    <row r="70" ht="15" customHeight="1">
      <c r="A70" t="inlineStr">
        <is>
          <t>A 32590-2026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46240</v>
      </c>
      <c r="E70" s="1" t="n">
        <v>46322</v>
      </c>
      <c r="F70" t="inlineStr">
        <is>
          <t>NORRBOTTENS LÄN</t>
        </is>
      </c>
      <c r="G70" t="inlineStr">
        <is>
          <t>BODEN</t>
        </is>
      </c>
      <c r="H70" t="inlineStr">
        <is>
          <t>SCA</t>
        </is>
      </c>
      <c r="I70" t="n">
        <v>5.9</v>
      </c>
      <c r="J70" t="n">
        <v>1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Tretåig hackspett
Vitgrynig nållav</t>
        </is>
      </c>
      <c r="W70">
        <f>HYPERLINK("https://klasma.github.io/Logging_2582/artfynd/A 32590-2026 artfynd.xlsx", "A 32590-2026")</f>
        <v/>
      </c>
      <c r="X70">
        <f>HYPERLINK("https://klasma.github.io/Logging_2582/kartor/A 32590-2026 karta.png", "A 32590-2026")</f>
        <v/>
      </c>
      <c r="Y70">
        <f>HYPERLINK("https://klasma.github.io/Logging_2582/kartor_geotiff/A 32590-2026 georefererad karta.tif", "A 32590-2026")</f>
        <v/>
      </c>
      <c r="AA70">
        <f>HYPERLINK("https://klasma.github.io/Logging_2582/klagomål/A 32590-2026 FSC-klagomål.docx", "A 32590-2026")</f>
        <v/>
      </c>
      <c r="AB70">
        <f>HYPERLINK("https://klasma.github.io/Logging_2582/klagomålsmail/A 32590-2026 FSC-klagomål mail.docx", "A 32590-2026")</f>
        <v/>
      </c>
      <c r="AC70">
        <f>HYPERLINK("https://klasma.github.io/Logging_2582/tillsyn/A 32590-2026 tillsynsbegäran.docx", "A 32590-2026")</f>
        <v/>
      </c>
      <c r="AD70">
        <f>HYPERLINK("https://klasma.github.io/Logging_2582/tillsynsmail/A 32590-2026 tillsynsbegäran mail.docx", "A 32590-2026")</f>
        <v/>
      </c>
      <c r="AE70">
        <f>HYPERLINK("https://klasma.github.io/Logging_2582/fåglar/A 32590-2026 prioriterade fågelarter.docx", "A 32590-2026")</f>
        <v/>
      </c>
    </row>
    <row r="71" ht="15" customHeight="1">
      <c r="A71" t="inlineStr">
        <is>
          <t>A 36162-2026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46267</v>
      </c>
      <c r="E71" s="1" t="n">
        <v>46322</v>
      </c>
      <c r="F71" t="inlineStr">
        <is>
          <t>NORRBOTTENS LÄN</t>
        </is>
      </c>
      <c r="G71" t="inlineStr">
        <is>
          <t>BODEN</t>
        </is>
      </c>
      <c r="I71" t="n">
        <v>2.3</v>
      </c>
      <c r="J71" t="n">
        <v>3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Björktrast
Rödvingetrast
Skrattmås</t>
        </is>
      </c>
      <c r="W71">
        <f>HYPERLINK("https://klasma.github.io/Logging_2582/artfynd/A 36162-2026 artfynd.xlsx", "A 36162-2026")</f>
        <v/>
      </c>
      <c r="X71">
        <f>HYPERLINK("https://klasma.github.io/Logging_2582/kartor/A 36162-2026 karta.png", "A 36162-2026")</f>
        <v/>
      </c>
      <c r="Y71">
        <f>HYPERLINK("https://klasma.github.io/Logging_2582/kartor_geotiff/A 36162-2026 georefererad karta.tif", "A 36162-2026")</f>
        <v/>
      </c>
      <c r="AA71">
        <f>HYPERLINK("https://klasma.github.io/Logging_2582/klagomål/A 36162-2026 FSC-klagomål.docx", "A 36162-2026")</f>
        <v/>
      </c>
      <c r="AB71">
        <f>HYPERLINK("https://klasma.github.io/Logging_2582/klagomålsmail/A 36162-2026 FSC-klagomål mail.docx", "A 36162-2026")</f>
        <v/>
      </c>
      <c r="AC71">
        <f>HYPERLINK("https://klasma.github.io/Logging_2582/tillsyn/A 36162-2026 tillsynsbegäran.docx", "A 36162-2026")</f>
        <v/>
      </c>
      <c r="AD71">
        <f>HYPERLINK("https://klasma.github.io/Logging_2582/tillsynsmail/A 36162-2026 tillsynsbegäran mail.docx", "A 36162-2026")</f>
        <v/>
      </c>
      <c r="AE71">
        <f>HYPERLINK("https://klasma.github.io/Logging_2582/fåglar/A 36162-2026 prioriterade fågelarter.docx", "A 36162-2026")</f>
        <v/>
      </c>
    </row>
    <row r="72" ht="15" customHeight="1">
      <c r="A72" t="inlineStr">
        <is>
          <t>A 43987-2026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46317</v>
      </c>
      <c r="E72" s="1" t="n">
        <v>46322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2.5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4</v>
      </c>
      <c r="U72" t="n">
        <v>0</v>
      </c>
      <c r="V72" s="2" t="inlineStr">
        <is>
          <t>Lunglav
Luddlav
Stuplav</t>
        </is>
      </c>
      <c r="W72">
        <f>HYPERLINK("https://klasma.github.io/Logging_2582/artfynd/A 43987-2026 artfynd.xlsx", "A 43987-2026")</f>
        <v/>
      </c>
      <c r="X72">
        <f>HYPERLINK("https://klasma.github.io/Logging_2582/kartor/A 43987-2026 karta.png", "A 43987-2026")</f>
        <v/>
      </c>
      <c r="Y72">
        <f>HYPERLINK("https://klasma.github.io/Logging_2582/kartor_geotiff/A 43987-2026 georefererad karta.tif", "A 43987-2026")</f>
        <v/>
      </c>
      <c r="AA72">
        <f>HYPERLINK("https://klasma.github.io/Logging_2582/klagomål/A 43987-2026 FSC-klagomål.docx", "A 43987-2026")</f>
        <v/>
      </c>
      <c r="AB72">
        <f>HYPERLINK("https://klasma.github.io/Logging_2582/klagomålsmail/A 43987-2026 FSC-klagomål mail.docx", "A 43987-2026")</f>
        <v/>
      </c>
      <c r="AC72">
        <f>HYPERLINK("https://klasma.github.io/Logging_2582/tillsyn/A 43987-2026 tillsynsbegäran.docx", "A 43987-2026")</f>
        <v/>
      </c>
      <c r="AD72">
        <f>HYPERLINK("https://klasma.github.io/Logging_2582/tillsynsmail/A 43987-2026 tillsynsbegäran mail.docx", "A 43987-2026")</f>
        <v/>
      </c>
    </row>
    <row r="73" ht="15" customHeight="1">
      <c r="A73" t="inlineStr">
        <is>
          <t>A 13659-2022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44648</v>
      </c>
      <c r="E73" s="1" t="n">
        <v>46322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7.3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Bollvitmossa
Ögonpyrola</t>
        </is>
      </c>
      <c r="W73">
        <f>HYPERLINK("https://klasma.github.io/Logging_2582/artfynd/A 13659-2022 artfynd.xlsx", "A 13659-2022")</f>
        <v/>
      </c>
      <c r="X73">
        <f>HYPERLINK("https://klasma.github.io/Logging_2582/kartor/A 13659-2022 karta.png", "A 13659-2022")</f>
        <v/>
      </c>
      <c r="Y73">
        <f>HYPERLINK("https://klasma.github.io/Logging_2582/kartor_geotiff/A 13659-2022 georefererad karta.tif", "A 13659-2022")</f>
        <v/>
      </c>
      <c r="AA73">
        <f>HYPERLINK("https://klasma.github.io/Logging_2582/klagomål/A 13659-2022 FSC-klagomål.docx", "A 13659-2022")</f>
        <v/>
      </c>
      <c r="AB73">
        <f>HYPERLINK("https://klasma.github.io/Logging_2582/klagomålsmail/A 13659-2022 FSC-klagomål mail.docx", "A 13659-2022")</f>
        <v/>
      </c>
      <c r="AC73">
        <f>HYPERLINK("https://klasma.github.io/Logging_2582/tillsyn/A 13659-2022 tillsynsbegäran.docx", "A 13659-2022")</f>
        <v/>
      </c>
      <c r="AD73">
        <f>HYPERLINK("https://klasma.github.io/Logging_2582/tillsynsmail/A 13659-2022 tillsynsbegäran mail.docx", "A 13659-2022")</f>
        <v/>
      </c>
    </row>
    <row r="74" ht="15" customHeight="1">
      <c r="A74" t="inlineStr">
        <is>
          <t>A 36629-2022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46322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10</v>
      </c>
      <c r="U74" t="n">
        <v>10</v>
      </c>
      <c r="V74" s="2" t="inlineStr">
        <is>
          <t>Dropptaggsvamp
Skarp dropptaggsvamp</t>
        </is>
      </c>
      <c r="W74">
        <f>HYPERLINK("https://klasma.github.io/Logging_2582/artfynd/A 36629-2022 artfynd.xlsx", "A 36629-2022")</f>
        <v/>
      </c>
      <c r="X74">
        <f>HYPERLINK("https://klasma.github.io/Logging_2582/kartor/A 36629-2022 karta.png", "A 36629-2022")</f>
        <v/>
      </c>
      <c r="Y74">
        <f>HYPERLINK("https://klasma.github.io/Logging_2582/kartor_geotiff/A 36629-2022 georefererad karta.tif", "A 36629-2022")</f>
        <v/>
      </c>
      <c r="AA74">
        <f>HYPERLINK("https://klasma.github.io/Logging_2582/klagomål/A 36629-2022 FSC-klagomål.docx", "A 36629-2022")</f>
        <v/>
      </c>
      <c r="AB74">
        <f>HYPERLINK("https://klasma.github.io/Logging_2582/klagomålsmail/A 36629-2022 FSC-klagomål mail.docx", "A 36629-2022")</f>
        <v/>
      </c>
      <c r="AC74">
        <f>HYPERLINK("https://klasma.github.io/Logging_2582/tillsyn/A 36629-2022 tillsynsbegäran.docx", "A 36629-2022")</f>
        <v/>
      </c>
      <c r="AD74">
        <f>HYPERLINK("https://klasma.github.io/Logging_2582/tillsynsmail/A 36629-2022 tillsynsbegäran mail.docx", "A 36629-2022")</f>
        <v/>
      </c>
    </row>
    <row r="75" ht="15" customHeight="1">
      <c r="A75" t="inlineStr">
        <is>
          <t>A 35037-2022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46322</v>
      </c>
      <c r="F75" t="inlineStr">
        <is>
          <t>NORRBOTTENS LÄN</t>
        </is>
      </c>
      <c r="G75" t="inlineStr">
        <is>
          <t>BODEN</t>
        </is>
      </c>
      <c r="I75" t="n">
        <v>0.6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Rödvingetrast
Revlummer</t>
        </is>
      </c>
      <c r="W75">
        <f>HYPERLINK("https://klasma.github.io/Logging_2582/artfynd/A 35037-2022 artfynd.xlsx", "A 35037-2022")</f>
        <v/>
      </c>
      <c r="X75">
        <f>HYPERLINK("https://klasma.github.io/Logging_2582/kartor/A 35037-2022 karta.png", "A 35037-2022")</f>
        <v/>
      </c>
      <c r="Y75">
        <f>HYPERLINK("https://klasma.github.io/Logging_2582/kartor_geotiff/A 35037-2022 georefererad karta.tif", "A 35037-2022")</f>
        <v/>
      </c>
      <c r="AA75">
        <f>HYPERLINK("https://klasma.github.io/Logging_2582/klagomål/A 35037-2022 FSC-klagomål.docx", "A 35037-2022")</f>
        <v/>
      </c>
      <c r="AB75">
        <f>HYPERLINK("https://klasma.github.io/Logging_2582/klagomålsmail/A 35037-2022 FSC-klagomål mail.docx", "A 35037-2022")</f>
        <v/>
      </c>
      <c r="AC75">
        <f>HYPERLINK("https://klasma.github.io/Logging_2582/tillsyn/A 35037-2022 tillsynsbegäran.docx", "A 35037-2022")</f>
        <v/>
      </c>
      <c r="AD75">
        <f>HYPERLINK("https://klasma.github.io/Logging_2582/tillsynsmail/A 35037-2022 tillsynsbegäran mail.docx", "A 35037-2022")</f>
        <v/>
      </c>
      <c r="AE75">
        <f>HYPERLINK("https://klasma.github.io/Logging_2582/fåglar/A 35037-2022 prioriterade fågelarter.docx", "A 35037-2022")</f>
        <v/>
      </c>
    </row>
    <row r="76" ht="15" customHeight="1">
      <c r="A76" t="inlineStr">
        <is>
          <t>A 26346-2022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46322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5.6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 taggsvamp
Ullticka</t>
        </is>
      </c>
      <c r="W76">
        <f>HYPERLINK("https://klasma.github.io/Logging_2582/artfynd/A 26346-2022 artfynd.xlsx", "A 26346-2022")</f>
        <v/>
      </c>
      <c r="X76">
        <f>HYPERLINK("https://klasma.github.io/Logging_2582/kartor/A 26346-2022 karta.png", "A 26346-2022")</f>
        <v/>
      </c>
      <c r="Y76">
        <f>HYPERLINK("https://klasma.github.io/Logging_2582/kartor_geotiff/A 26346-2022 georefererad karta.tif", "A 26346-2022")</f>
        <v/>
      </c>
      <c r="AA76">
        <f>HYPERLINK("https://klasma.github.io/Logging_2582/klagomål/A 26346-2022 FSC-klagomål.docx", "A 26346-2022")</f>
        <v/>
      </c>
      <c r="AB76">
        <f>HYPERLINK("https://klasma.github.io/Logging_2582/klagomålsmail/A 26346-2022 FSC-klagomål mail.docx", "A 26346-2022")</f>
        <v/>
      </c>
      <c r="AC76">
        <f>HYPERLINK("https://klasma.github.io/Logging_2582/tillsyn/A 26346-2022 tillsynsbegäran.docx", "A 26346-2022")</f>
        <v/>
      </c>
      <c r="AD76">
        <f>HYPERLINK("https://klasma.github.io/Logging_2582/tillsynsmail/A 26346-2022 tillsynsbegäran mail.docx", "A 26346-2022")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46322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1507-2022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46322</v>
      </c>
      <c r="F78" t="inlineStr">
        <is>
          <t>NORRBOTTENS LÄN</t>
        </is>
      </c>
      <c r="G78" t="inlineStr">
        <is>
          <t>BODEN</t>
        </is>
      </c>
      <c r="H78" t="inlineStr">
        <is>
          <t>Övriga statliga verk och myndigheter</t>
        </is>
      </c>
      <c r="I78" t="n">
        <v>15.4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Talltita
Gråspett</t>
        </is>
      </c>
      <c r="W78">
        <f>HYPERLINK("https://klasma.github.io/Logging_2582/artfynd/A 1507-2022 artfynd.xlsx", "A 1507-2022")</f>
        <v/>
      </c>
      <c r="X78">
        <f>HYPERLINK("https://klasma.github.io/Logging_2582/kartor/A 1507-2022 karta.png", "A 1507-2022")</f>
        <v/>
      </c>
      <c r="Y78">
        <f>HYPERLINK("https://klasma.github.io/Logging_2582/kartor_geotiff/A 1507-2022 georefererad karta.tif", "A 1507-2022")</f>
        <v/>
      </c>
      <c r="AA78">
        <f>HYPERLINK("https://klasma.github.io/Logging_2582/klagomål/A 1507-2022 FSC-klagomål.docx", "A 1507-2022")</f>
        <v/>
      </c>
      <c r="AB78">
        <f>HYPERLINK("https://klasma.github.io/Logging_2582/klagomålsmail/A 1507-2022 FSC-klagomål mail.docx", "A 1507-2022")</f>
        <v/>
      </c>
      <c r="AC78">
        <f>HYPERLINK("https://klasma.github.io/Logging_2582/tillsyn/A 1507-2022 tillsynsbegäran.docx", "A 1507-2022")</f>
        <v/>
      </c>
      <c r="AD78">
        <f>HYPERLINK("https://klasma.github.io/Logging_2582/tillsynsmail/A 1507-2022 tillsynsbegäran mail.docx", "A 1507-2022")</f>
        <v/>
      </c>
      <c r="AE78">
        <f>HYPERLINK("https://klasma.github.io/Logging_2582/fåglar/A 1507-2022 prioriterade fågelarter.docx", "A 1507-2022")</f>
        <v/>
      </c>
    </row>
    <row r="79" ht="15" customHeight="1">
      <c r="A79" t="inlineStr">
        <is>
          <t>A 1507-2022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46322</v>
      </c>
      <c r="F79" t="inlineStr">
        <is>
          <t>NORRBOTTENS LÄN</t>
        </is>
      </c>
      <c r="G79" t="inlineStr">
        <is>
          <t>BODEN</t>
        </is>
      </c>
      <c r="H79" t="inlineStr">
        <is>
          <t>Övriga statliga verk och myndigheter</t>
        </is>
      </c>
      <c r="I79" t="n">
        <v>15.4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Talltita
Gråspett</t>
        </is>
      </c>
      <c r="W79">
        <f>HYPERLINK("https://klasma.github.io/Logging_2582/artfynd/A 1507-2022 artfynd.xlsx", "A 1507-2022")</f>
        <v/>
      </c>
      <c r="X79">
        <f>HYPERLINK("https://klasma.github.io/Logging_2582/kartor/A 1507-2022 karta.png", "A 1507-2022")</f>
        <v/>
      </c>
      <c r="Y79">
        <f>HYPERLINK("https://klasma.github.io/Logging_2582/kartor_geotiff/A 1507-2022 georefererad karta.tif", "A 1507-2022")</f>
        <v/>
      </c>
      <c r="AA79">
        <f>HYPERLINK("https://klasma.github.io/Logging_2582/klagomål/A 1507-2022 FSC-klagomål.docx", "A 1507-2022")</f>
        <v/>
      </c>
      <c r="AB79">
        <f>HYPERLINK("https://klasma.github.io/Logging_2582/klagomålsmail/A 1507-2022 FSC-klagomål mail.docx", "A 1507-2022")</f>
        <v/>
      </c>
      <c r="AC79">
        <f>HYPERLINK("https://klasma.github.io/Logging_2582/tillsyn/A 1507-2022 tillsynsbegäran.docx", "A 1507-2022")</f>
        <v/>
      </c>
      <c r="AD79">
        <f>HYPERLINK("https://klasma.github.io/Logging_2582/tillsynsmail/A 1507-2022 tillsynsbegäran mail.docx", "A 1507-2022")</f>
        <v/>
      </c>
      <c r="AE79">
        <f>HYPERLINK("https://klasma.github.io/Logging_2582/fåglar/A 1507-2022 prioriterade fågelarter.docx", "A 1507-2022")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46322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22906-2023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45072</v>
      </c>
      <c r="E81" s="1" t="n">
        <v>46322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3.5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Utter</t>
        </is>
      </c>
      <c r="W81">
        <f>HYPERLINK("https://klasma.github.io/Logging_2582/artfynd/A 22906-2023 artfynd.xlsx", "A 22906-2023")</f>
        <v/>
      </c>
      <c r="X81">
        <f>HYPERLINK("https://klasma.github.io/Logging_2582/kartor/A 22906-2023 karta.png", "A 22906-2023")</f>
        <v/>
      </c>
      <c r="Y81">
        <f>HYPERLINK("https://klasma.github.io/Logging_2582/kartor_geotiff/A 22906-2023 georefererad karta.tif", "A 22906-2023")</f>
        <v/>
      </c>
      <c r="AA81">
        <f>HYPERLINK("https://klasma.github.io/Logging_2582/klagomål/A 22906-2023 FSC-klagomål.docx", "A 22906-2023")</f>
        <v/>
      </c>
      <c r="AB81">
        <f>HYPERLINK("https://klasma.github.io/Logging_2582/klagomålsmail/A 22906-2023 FSC-klagomål mail.docx", "A 22906-2023")</f>
        <v/>
      </c>
      <c r="AC81">
        <f>HYPERLINK("https://klasma.github.io/Logging_2582/tillsyn/A 22906-2023 tillsynsbegäran.docx", "A 22906-2023")</f>
        <v/>
      </c>
      <c r="AD81">
        <f>HYPERLINK("https://klasma.github.io/Logging_2582/tillsynsmail/A 22906-2023 tillsynsbegäran mail.docx", "A 22906-2023")</f>
        <v/>
      </c>
      <c r="AE81">
        <f>HYPERLINK("https://klasma.github.io/Logging_2582/fåglar/A 22906-2023 prioriterade fågelarter.docx", "A 22906-2023")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46322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6639-2024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45341</v>
      </c>
      <c r="E83" s="1" t="n">
        <v>46322</v>
      </c>
      <c r="F83" t="inlineStr">
        <is>
          <t>NORRBOTTENS LÄN</t>
        </is>
      </c>
      <c r="G83" t="inlineStr">
        <is>
          <t>BODEN</t>
        </is>
      </c>
      <c r="H83" t="inlineStr">
        <is>
          <t>Övriga statliga verk och myndigheter</t>
        </is>
      </c>
      <c r="I83" t="n">
        <v>23.8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Kungsfågel</t>
        </is>
      </c>
      <c r="W83">
        <f>HYPERLINK("https://klasma.github.io/Logging_2582/artfynd/A 6639-2024 artfynd.xlsx", "A 6639-2024")</f>
        <v/>
      </c>
      <c r="X83">
        <f>HYPERLINK("https://klasma.github.io/Logging_2582/kartor/A 6639-2024 karta.png", "A 6639-2024")</f>
        <v/>
      </c>
      <c r="Y83">
        <f>HYPERLINK("https://klasma.github.io/Logging_2582/kartor_geotiff/A 6639-2024 georefererad karta.tif", "A 6639-2024")</f>
        <v/>
      </c>
      <c r="AA83">
        <f>HYPERLINK("https://klasma.github.io/Logging_2582/klagomål/A 6639-2024 FSC-klagomål.docx", "A 6639-2024")</f>
        <v/>
      </c>
      <c r="AB83">
        <f>HYPERLINK("https://klasma.github.io/Logging_2582/klagomålsmail/A 6639-2024 FSC-klagomål mail.docx", "A 6639-2024")</f>
        <v/>
      </c>
      <c r="AC83">
        <f>HYPERLINK("https://klasma.github.io/Logging_2582/tillsyn/A 6639-2024 tillsynsbegäran.docx", "A 6639-2024")</f>
        <v/>
      </c>
      <c r="AD83">
        <f>HYPERLINK("https://klasma.github.io/Logging_2582/tillsynsmail/A 6639-2024 tillsynsbegäran mail.docx", "A 6639-2024")</f>
        <v/>
      </c>
    </row>
    <row r="84" ht="15" customHeight="1">
      <c r="A84" t="inlineStr">
        <is>
          <t>A 32971-2024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45517</v>
      </c>
      <c r="E84" s="1" t="n">
        <v>46322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10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5</v>
      </c>
      <c r="U84" t="n">
        <v>4</v>
      </c>
      <c r="V84" s="2" t="inlineStr">
        <is>
          <t>Lunglav
Fläcknycklar</t>
        </is>
      </c>
      <c r="W84">
        <f>HYPERLINK("https://klasma.github.io/Logging_2582/artfynd/A 32971-2024 artfynd.xlsx", "A 32971-2024")</f>
        <v/>
      </c>
      <c r="X84">
        <f>HYPERLINK("https://klasma.github.io/Logging_2582/kartor/A 32971-2024 karta.png", "A 32971-2024")</f>
        <v/>
      </c>
      <c r="Y84">
        <f>HYPERLINK("https://klasma.github.io/Logging_2582/kartor_geotiff/A 32971-2024 georefererad karta.tif", "A 32971-2024")</f>
        <v/>
      </c>
      <c r="AA84">
        <f>HYPERLINK("https://klasma.github.io/Logging_2582/klagomål/A 32971-2024 FSC-klagomål.docx", "A 32971-2024")</f>
        <v/>
      </c>
      <c r="AB84">
        <f>HYPERLINK("https://klasma.github.io/Logging_2582/klagomålsmail/A 32971-2024 FSC-klagomål mail.docx", "A 32971-2024")</f>
        <v/>
      </c>
      <c r="AC84">
        <f>HYPERLINK("https://klasma.github.io/Logging_2582/tillsyn/A 32971-2024 tillsynsbegäran.docx", "A 32971-2024")</f>
        <v/>
      </c>
      <c r="AD84">
        <f>HYPERLINK("https://klasma.github.io/Logging_2582/tillsynsmail/A 32971-2024 tillsynsbegäran mail.docx", "A 32971-2024")</f>
        <v/>
      </c>
    </row>
    <row r="85" ht="15" customHeight="1">
      <c r="A85" t="inlineStr">
        <is>
          <t>A 17292-2022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46322</v>
      </c>
      <c r="F85" t="inlineStr">
        <is>
          <t>NORRBOTTENS LÄN</t>
        </is>
      </c>
      <c r="G85" t="inlineStr">
        <is>
          <t>BODEN</t>
        </is>
      </c>
      <c r="H85" t="inlineStr">
        <is>
          <t>Kyrkan</t>
        </is>
      </c>
      <c r="I85" t="n">
        <v>0.8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Revlummer</t>
        </is>
      </c>
      <c r="W85">
        <f>HYPERLINK("https://klasma.github.io/Logging_2582/artfynd/A 17292-2022 artfynd.xlsx", "A 17292-2022")</f>
        <v/>
      </c>
      <c r="X85">
        <f>HYPERLINK("https://klasma.github.io/Logging_2582/kartor/A 17292-2022 karta.png", "A 17292-2022")</f>
        <v/>
      </c>
      <c r="Y85">
        <f>HYPERLINK("https://klasma.github.io/Logging_2582/kartor_geotiff/A 17292-2022 georefererad karta.tif", "A 17292-2022")</f>
        <v/>
      </c>
      <c r="AA85">
        <f>HYPERLINK("https://klasma.github.io/Logging_2582/klagomål/A 17292-2022 FSC-klagomål.docx", "A 17292-2022")</f>
        <v/>
      </c>
      <c r="AB85">
        <f>HYPERLINK("https://klasma.github.io/Logging_2582/klagomålsmail/A 17292-2022 FSC-klagomål mail.docx", "A 17292-2022")</f>
        <v/>
      </c>
      <c r="AC85">
        <f>HYPERLINK("https://klasma.github.io/Logging_2582/tillsyn/A 17292-2022 tillsynsbegäran.docx", "A 17292-2022")</f>
        <v/>
      </c>
      <c r="AD85">
        <f>HYPERLINK("https://klasma.github.io/Logging_2582/tillsynsmail/A 17292-2022 tillsynsbegäran mail.docx", "A 17292-2022")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46322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6895-2025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45701</v>
      </c>
      <c r="E87" s="1" t="n">
        <v>46322</v>
      </c>
      <c r="F87" t="inlineStr">
        <is>
          <t>NORRBOTTENS LÄN</t>
        </is>
      </c>
      <c r="G87" t="inlineStr">
        <is>
          <t>BODEN</t>
        </is>
      </c>
      <c r="I87" t="n">
        <v>1.5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Kolflarnlav
Plattlummer</t>
        </is>
      </c>
      <c r="W87">
        <f>HYPERLINK("https://klasma.github.io/Logging_2582/artfynd/A 6895-2025 artfynd.xlsx", "A 6895-2025")</f>
        <v/>
      </c>
      <c r="X87">
        <f>HYPERLINK("https://klasma.github.io/Logging_2582/kartor/A 6895-2025 karta.png", "A 6895-2025")</f>
        <v/>
      </c>
      <c r="Y87">
        <f>HYPERLINK("https://klasma.github.io/Logging_2582/kartor_geotiff/A 6895-2025 georefererad karta.tif", "A 6895-2025")</f>
        <v/>
      </c>
      <c r="AA87">
        <f>HYPERLINK("https://klasma.github.io/Logging_2582/klagomål/A 6895-2025 FSC-klagomål.docx", "A 6895-2025")</f>
        <v/>
      </c>
      <c r="AB87">
        <f>HYPERLINK("https://klasma.github.io/Logging_2582/klagomålsmail/A 6895-2025 FSC-klagomål mail.docx", "A 6895-2025")</f>
        <v/>
      </c>
      <c r="AC87">
        <f>HYPERLINK("https://klasma.github.io/Logging_2582/tillsyn/A 6895-2025 tillsynsbegäran.docx", "A 6895-2025")</f>
        <v/>
      </c>
      <c r="AD87">
        <f>HYPERLINK("https://klasma.github.io/Logging_2582/tillsynsmail/A 6895-2025 tillsynsbegäran mail.docx", "A 6895-2025")</f>
        <v/>
      </c>
    </row>
    <row r="88" ht="15" customHeight="1">
      <c r="A88" t="inlineStr">
        <is>
          <t>A 28867-2025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46322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8.199999999999999</v>
      </c>
      <c r="J88" t="n">
        <v>2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12</v>
      </c>
      <c r="U88" t="n">
        <v>12</v>
      </c>
      <c r="V88" s="2" t="inlineStr">
        <is>
          <t>Knärot
Fläcknycklar</t>
        </is>
      </c>
      <c r="W88">
        <f>HYPERLINK("https://klasma.github.io/Logging_2582/artfynd/A 28867-2025 artfynd.xlsx", "A 28867-2025")</f>
        <v/>
      </c>
      <c r="X88">
        <f>HYPERLINK("https://klasma.github.io/Logging_2582/kartor/A 28867-2025 karta.png", "A 28867-2025")</f>
        <v/>
      </c>
      <c r="Y88">
        <f>HYPERLINK("https://klasma.github.io/Logging_2582/kartor_geotiff/A 28867-2025 georefererad karta.tif", "A 28867-2025")</f>
        <v/>
      </c>
      <c r="Z88">
        <f>HYPERLINK("https://klasma.github.io/Logging_2582/knärot/A 28867-2025 karta knärot.png", "A 28867-2025")</f>
        <v/>
      </c>
      <c r="AA88">
        <f>HYPERLINK("https://klasma.github.io/Logging_2582/klagomål/A 28867-2025 FSC-klagomål.docx", "A 28867-2025")</f>
        <v/>
      </c>
      <c r="AB88">
        <f>HYPERLINK("https://klasma.github.io/Logging_2582/klagomålsmail/A 28867-2025 FSC-klagomål mail.docx", "A 28867-2025")</f>
        <v/>
      </c>
      <c r="AC88">
        <f>HYPERLINK("https://klasma.github.io/Logging_2582/tillsyn/A 28867-2025 tillsynsbegäran.docx", "A 28867-2025")</f>
        <v/>
      </c>
      <c r="AD88">
        <f>HYPERLINK("https://klasma.github.io/Logging_2582/tillsynsmail/A 28867-2025 tillsynsbegäran mail.docx", "A 28867-2025")</f>
        <v/>
      </c>
    </row>
    <row r="89" ht="15" customHeight="1">
      <c r="A89" t="inlineStr">
        <is>
          <t>A 59435-2024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46322</v>
      </c>
      <c r="F89" t="inlineStr">
        <is>
          <t>NORRBOTTENS LÄN</t>
        </is>
      </c>
      <c r="G89" t="inlineStr">
        <is>
          <t>BODEN</t>
        </is>
      </c>
      <c r="I89" t="n">
        <v>2.1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Lappranunkel
Ögonpyrola</t>
        </is>
      </c>
      <c r="W89">
        <f>HYPERLINK("https://klasma.github.io/Logging_2582/artfynd/A 59435-2024 artfynd.xlsx", "A 59435-2024")</f>
        <v/>
      </c>
      <c r="X89">
        <f>HYPERLINK("https://klasma.github.io/Logging_2582/kartor/A 59435-2024 karta.png", "A 59435-2024")</f>
        <v/>
      </c>
      <c r="Y89">
        <f>HYPERLINK("https://klasma.github.io/Logging_2582/kartor_geotiff/A 59435-2024 georefererad karta.tif", "A 59435-2024")</f>
        <v/>
      </c>
      <c r="AA89">
        <f>HYPERLINK("https://klasma.github.io/Logging_2582/klagomål/A 59435-2024 FSC-klagomål.docx", "A 59435-2024")</f>
        <v/>
      </c>
      <c r="AB89">
        <f>HYPERLINK("https://klasma.github.io/Logging_2582/klagomålsmail/A 59435-2024 FSC-klagomål mail.docx", "A 59435-2024")</f>
        <v/>
      </c>
      <c r="AC89">
        <f>HYPERLINK("https://klasma.github.io/Logging_2582/tillsyn/A 59435-2024 tillsynsbegäran.docx", "A 59435-2024")</f>
        <v/>
      </c>
      <c r="AD89">
        <f>HYPERLINK("https://klasma.github.io/Logging_2582/tillsynsmail/A 59435-2024 tillsynsbegäran mail.docx", "A 59435-2024")</f>
        <v/>
      </c>
    </row>
    <row r="90" ht="15" customHeight="1">
      <c r="A90" t="inlineStr">
        <is>
          <t>A 8703-2026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46322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8703-2026 artfynd.xlsx", "A 8703-2026")</f>
        <v/>
      </c>
      <c r="X90">
        <f>HYPERLINK("https://klasma.github.io/Logging_2582/kartor/A 8703-2026 karta.png", "A 8703-2026")</f>
        <v/>
      </c>
      <c r="Y90">
        <f>HYPERLINK("https://klasma.github.io/Logging_2582/kartor_geotiff/A 8703-2026 georefererad karta.tif", "A 8703-2026")</f>
        <v/>
      </c>
      <c r="AA90">
        <f>HYPERLINK("https://klasma.github.io/Logging_2582/klagomål/A 8703-2026 FSC-klagomål.docx", "A 8703-2026")</f>
        <v/>
      </c>
      <c r="AB90">
        <f>HYPERLINK("https://klasma.github.io/Logging_2582/klagomålsmail/A 8703-2026 FSC-klagomål mail.docx", "A 8703-2026")</f>
        <v/>
      </c>
      <c r="AC90">
        <f>HYPERLINK("https://klasma.github.io/Logging_2582/tillsyn/A 8703-2026 tillsynsbegäran.docx", "A 8703-2026")</f>
        <v/>
      </c>
      <c r="AD90">
        <f>HYPERLINK("https://klasma.github.io/Logging_2582/tillsynsmail/A 8703-2026 tillsynsbegäran mail.docx", "A 8703-2026")</f>
        <v/>
      </c>
    </row>
    <row r="91" ht="15" customHeight="1">
      <c r="A91" t="inlineStr">
        <is>
          <t>A 8754-2026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46322</v>
      </c>
      <c r="F91" t="inlineStr">
        <is>
          <t>NORRBOTTENS LÄN</t>
        </is>
      </c>
      <c r="G91" t="inlineStr">
        <is>
          <t>BODEN</t>
        </is>
      </c>
      <c r="I91" t="n">
        <v>2.1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Ullticka</t>
        </is>
      </c>
      <c r="W91">
        <f>HYPERLINK("https://klasma.github.io/Logging_2582/artfynd/A 8754-2026 artfynd.xlsx", "A 8754-2026")</f>
        <v/>
      </c>
      <c r="X91">
        <f>HYPERLINK("https://klasma.github.io/Logging_2582/kartor/A 8754-2026 karta.png", "A 8754-2026")</f>
        <v/>
      </c>
      <c r="Y91">
        <f>HYPERLINK("https://klasma.github.io/Logging_2582/kartor_geotiff/A 8754-2026 georefererad karta.tif", "A 8754-2026")</f>
        <v/>
      </c>
      <c r="AA91">
        <f>HYPERLINK("https://klasma.github.io/Logging_2582/klagomål/A 8754-2026 FSC-klagomål.docx", "A 8754-2026")</f>
        <v/>
      </c>
      <c r="AB91">
        <f>HYPERLINK("https://klasma.github.io/Logging_2582/klagomålsmail/A 8754-2026 FSC-klagomål mail.docx", "A 8754-2026")</f>
        <v/>
      </c>
      <c r="AC91">
        <f>HYPERLINK("https://klasma.github.io/Logging_2582/tillsyn/A 8754-2026 tillsynsbegäran.docx", "A 8754-2026")</f>
        <v/>
      </c>
      <c r="AD91">
        <f>HYPERLINK("https://klasma.github.io/Logging_2582/tillsynsmail/A 8754-2026 tillsynsbegäran mail.docx", "A 8754-2026")</f>
        <v/>
      </c>
    </row>
    <row r="92" ht="15" customHeight="1">
      <c r="A92" t="inlineStr">
        <is>
          <t>A 29881-2026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46322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Lunglav
Fläcknycklar</t>
        </is>
      </c>
      <c r="W92">
        <f>HYPERLINK("https://klasma.github.io/Logging_2582/artfynd/A 29881-2026 artfynd.xlsx", "A 29881-2026")</f>
        <v/>
      </c>
      <c r="X92">
        <f>HYPERLINK("https://klasma.github.io/Logging_2582/kartor/A 29881-2026 karta.png", "A 29881-2026")</f>
        <v/>
      </c>
      <c r="Y92">
        <f>HYPERLINK("https://klasma.github.io/Logging_2582/kartor_geotiff/A 29881-2026 georefererad karta.tif", "A 29881-2026")</f>
        <v/>
      </c>
      <c r="AA92">
        <f>HYPERLINK("https://klasma.github.io/Logging_2582/klagomål/A 29881-2026 FSC-klagomål.docx", "A 29881-2026")</f>
        <v/>
      </c>
      <c r="AB92">
        <f>HYPERLINK("https://klasma.github.io/Logging_2582/klagomålsmail/A 29881-2026 FSC-klagomål mail.docx", "A 29881-2026")</f>
        <v/>
      </c>
      <c r="AC92">
        <f>HYPERLINK("https://klasma.github.io/Logging_2582/tillsyn/A 29881-2026 tillsynsbegäran.docx", "A 29881-2026")</f>
        <v/>
      </c>
      <c r="AD92">
        <f>HYPERLINK("https://klasma.github.io/Logging_2582/tillsynsmail/A 29881-2026 tillsynsbegäran mail.docx", "A 29881-2026")</f>
        <v/>
      </c>
    </row>
    <row r="93" ht="15" customHeight="1">
      <c r="A93" t="inlineStr">
        <is>
          <t>A 37086-2025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46322</v>
      </c>
      <c r="F93" t="inlineStr">
        <is>
          <t>NORRBOTTENS LÄN</t>
        </is>
      </c>
      <c r="G93" t="inlineStr">
        <is>
          <t>BODEN</t>
        </is>
      </c>
      <c r="H93" t="inlineStr">
        <is>
          <t>Övriga Aktiebolag</t>
        </is>
      </c>
      <c r="I93" t="n">
        <v>22.8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Lunglav
Stuplav</t>
        </is>
      </c>
      <c r="W93">
        <f>HYPERLINK("https://klasma.github.io/Logging_2582/artfynd/A 37086-2025 artfynd.xlsx", "A 37086-2025")</f>
        <v/>
      </c>
      <c r="X93">
        <f>HYPERLINK("https://klasma.github.io/Logging_2582/kartor/A 37086-2025 karta.png", "A 37086-2025")</f>
        <v/>
      </c>
      <c r="Y93">
        <f>HYPERLINK("https://klasma.github.io/Logging_2582/kartor_geotiff/A 37086-2025 georefererad karta.tif", "A 37086-2025")</f>
        <v/>
      </c>
      <c r="AA93">
        <f>HYPERLINK("https://klasma.github.io/Logging_2582/klagomål/A 37086-2025 FSC-klagomål.docx", "A 37086-2025")</f>
        <v/>
      </c>
      <c r="AB93">
        <f>HYPERLINK("https://klasma.github.io/Logging_2582/klagomålsmail/A 37086-2025 FSC-klagomål mail.docx", "A 37086-2025")</f>
        <v/>
      </c>
      <c r="AC93">
        <f>HYPERLINK("https://klasma.github.io/Logging_2582/tillsyn/A 37086-2025 tillsynsbegäran.docx", "A 37086-2025")</f>
        <v/>
      </c>
      <c r="AD93">
        <f>HYPERLINK("https://klasma.github.io/Logging_2582/tillsynsmail/A 37086-2025 tillsynsbegäran mail.docx", "A 37086-2025")</f>
        <v/>
      </c>
    </row>
    <row r="94" ht="15" customHeight="1">
      <c r="A94" t="inlineStr">
        <is>
          <t>A 29807-2026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46322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Mörk kolflarnlav</t>
        </is>
      </c>
      <c r="W94">
        <f>HYPERLINK("https://klasma.github.io/Logging_2582/artfynd/A 29807-2026 artfynd.xlsx", "A 29807-2026")</f>
        <v/>
      </c>
      <c r="X94">
        <f>HYPERLINK("https://klasma.github.io/Logging_2582/kartor/A 29807-2026 karta.png", "A 29807-2026")</f>
        <v/>
      </c>
      <c r="Y94">
        <f>HYPERLINK("https://klasma.github.io/Logging_2582/kartor_geotiff/A 29807-2026 georefererad karta.tif", "A 29807-2026")</f>
        <v/>
      </c>
      <c r="AA94">
        <f>HYPERLINK("https://klasma.github.io/Logging_2582/klagomål/A 29807-2026 FSC-klagomål.docx", "A 29807-2026")</f>
        <v/>
      </c>
      <c r="AB94">
        <f>HYPERLINK("https://klasma.github.io/Logging_2582/klagomålsmail/A 29807-2026 FSC-klagomål mail.docx", "A 29807-2026")</f>
        <v/>
      </c>
      <c r="AC94">
        <f>HYPERLINK("https://klasma.github.io/Logging_2582/tillsyn/A 29807-2026 tillsynsbegäran.docx", "A 29807-2026")</f>
        <v/>
      </c>
      <c r="AD94">
        <f>HYPERLINK("https://klasma.github.io/Logging_2582/tillsynsmail/A 29807-2026 tillsynsbegäran mail.docx", "A 29807-2026")</f>
        <v/>
      </c>
    </row>
    <row r="95" ht="15" customHeight="1">
      <c r="A95" t="inlineStr">
        <is>
          <t>A 29860-2026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46322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Knottrig blåslav
Lunglav</t>
        </is>
      </c>
      <c r="W95">
        <f>HYPERLINK("https://klasma.github.io/Logging_2582/artfynd/A 29860-2026 artfynd.xlsx", "A 29860-2026")</f>
        <v/>
      </c>
      <c r="X95">
        <f>HYPERLINK("https://klasma.github.io/Logging_2582/kartor/A 29860-2026 karta.png", "A 29860-2026")</f>
        <v/>
      </c>
      <c r="Y95">
        <f>HYPERLINK("https://klasma.github.io/Logging_2582/kartor_geotiff/A 29860-2026 georefererad karta.tif", "A 29860-2026")</f>
        <v/>
      </c>
      <c r="AA95">
        <f>HYPERLINK("https://klasma.github.io/Logging_2582/klagomål/A 29860-2026 FSC-klagomål.docx", "A 29860-2026")</f>
        <v/>
      </c>
      <c r="AB95">
        <f>HYPERLINK("https://klasma.github.io/Logging_2582/klagomålsmail/A 29860-2026 FSC-klagomål mail.docx", "A 29860-2026")</f>
        <v/>
      </c>
      <c r="AC95">
        <f>HYPERLINK("https://klasma.github.io/Logging_2582/tillsyn/A 29860-2026 tillsynsbegäran.docx", "A 29860-2026")</f>
        <v/>
      </c>
      <c r="AD95">
        <f>HYPERLINK("https://klasma.github.io/Logging_2582/tillsynsmail/A 29860-2026 tillsynsbegäran mail.docx", "A 29860-2026")</f>
        <v/>
      </c>
    </row>
    <row r="96" ht="15" customHeight="1">
      <c r="A96" t="inlineStr">
        <is>
          <t>A 48899-2024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46322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18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Hässlebrodd
Fläcknycklar</t>
        </is>
      </c>
      <c r="W96">
        <f>HYPERLINK("https://klasma.github.io/Logging_2582/artfynd/A 48899-2024 artfynd.xlsx", "A 48899-2024")</f>
        <v/>
      </c>
      <c r="X96">
        <f>HYPERLINK("https://klasma.github.io/Logging_2582/kartor/A 48899-2024 karta.png", "A 48899-2024")</f>
        <v/>
      </c>
      <c r="Y96">
        <f>HYPERLINK("https://klasma.github.io/Logging_2582/kartor_geotiff/A 48899-2024 georefererad karta.tif", "A 48899-2024")</f>
        <v/>
      </c>
      <c r="AA96">
        <f>HYPERLINK("https://klasma.github.io/Logging_2582/klagomål/A 48899-2024 FSC-klagomål.docx", "A 48899-2024")</f>
        <v/>
      </c>
      <c r="AB96">
        <f>HYPERLINK("https://klasma.github.io/Logging_2582/klagomålsmail/A 48899-2024 FSC-klagomål mail.docx", "A 48899-2024")</f>
        <v/>
      </c>
      <c r="AC96">
        <f>HYPERLINK("https://klasma.github.io/Logging_2582/tillsyn/A 48899-2024 tillsynsbegäran.docx", "A 48899-2024")</f>
        <v/>
      </c>
      <c r="AD96">
        <f>HYPERLINK("https://klasma.github.io/Logging_2582/tillsynsmail/A 48899-2024 tillsynsbegäran mail.docx", "A 48899-2024")</f>
        <v/>
      </c>
    </row>
    <row r="97" ht="15" customHeight="1">
      <c r="A97" t="inlineStr">
        <is>
          <t>A 31233-2026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46322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18.5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3</v>
      </c>
      <c r="V97" s="2" t="inlineStr">
        <is>
          <t>Lunglav
Fläcknycklar</t>
        </is>
      </c>
      <c r="W97">
        <f>HYPERLINK("https://klasma.github.io/Logging_2582/artfynd/A 31233-2026 artfynd.xlsx", "A 31233-2026")</f>
        <v/>
      </c>
      <c r="X97">
        <f>HYPERLINK("https://klasma.github.io/Logging_2582/kartor/A 31233-2026 karta.png", "A 31233-2026")</f>
        <v/>
      </c>
      <c r="Y97">
        <f>HYPERLINK("https://klasma.github.io/Logging_2582/kartor_geotiff/A 31233-2026 georefererad karta.tif", "A 31233-2026")</f>
        <v/>
      </c>
      <c r="AA97">
        <f>HYPERLINK("https://klasma.github.io/Logging_2582/klagomål/A 31233-2026 FSC-klagomål.docx", "A 31233-2026")</f>
        <v/>
      </c>
      <c r="AB97">
        <f>HYPERLINK("https://klasma.github.io/Logging_2582/klagomålsmail/A 31233-2026 FSC-klagomål mail.docx", "A 31233-2026")</f>
        <v/>
      </c>
      <c r="AC97">
        <f>HYPERLINK("https://klasma.github.io/Logging_2582/tillsyn/A 31233-2026 tillsynsbegäran.docx", "A 31233-2026")</f>
        <v/>
      </c>
      <c r="AD97">
        <f>HYPERLINK("https://klasma.github.io/Logging_2582/tillsynsmail/A 31233-2026 tillsynsbegäran mail.docx", "A 31233-2026")</f>
        <v/>
      </c>
    </row>
    <row r="98" ht="15" customHeight="1">
      <c r="A98" t="inlineStr">
        <is>
          <t>A 61210-2024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46322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4</v>
      </c>
      <c r="U98" t="n">
        <v>0</v>
      </c>
      <c r="V98" s="2" t="inlineStr">
        <is>
          <t>Skrovlig taggsvamp
Blå taggsvamp</t>
        </is>
      </c>
      <c r="W98">
        <f>HYPERLINK("https://klasma.github.io/Logging_2582/artfynd/A 61210-2024 artfynd.xlsx", "A 61210-2024")</f>
        <v/>
      </c>
      <c r="X98">
        <f>HYPERLINK("https://klasma.github.io/Logging_2582/kartor/A 61210-2024 karta.png", "A 61210-2024")</f>
        <v/>
      </c>
      <c r="Y98">
        <f>HYPERLINK("https://klasma.github.io/Logging_2582/kartor_geotiff/A 61210-2024 georefererad karta.tif", "A 61210-2024")</f>
        <v/>
      </c>
      <c r="AA98">
        <f>HYPERLINK("https://klasma.github.io/Logging_2582/klagomål/A 61210-2024 FSC-klagomål.docx", "A 61210-2024")</f>
        <v/>
      </c>
      <c r="AB98">
        <f>HYPERLINK("https://klasma.github.io/Logging_2582/klagomålsmail/A 61210-2024 FSC-klagomål mail.docx", "A 61210-2024")</f>
        <v/>
      </c>
      <c r="AC98">
        <f>HYPERLINK("https://klasma.github.io/Logging_2582/tillsyn/A 61210-2024 tillsynsbegäran.docx", "A 61210-2024")</f>
        <v/>
      </c>
      <c r="AD98">
        <f>HYPERLINK("https://klasma.github.io/Logging_2582/tillsynsmail/A 61210-2024 tillsynsbegäran mail.docx", "A 61210-2024")</f>
        <v/>
      </c>
    </row>
    <row r="99" ht="15" customHeight="1">
      <c r="A99" t="inlineStr">
        <is>
          <t>A 31655-2026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46322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Lunglav</t>
        </is>
      </c>
      <c r="W99">
        <f>HYPERLINK("https://klasma.github.io/Logging_2582/artfynd/A 31655-2026 artfynd.xlsx", "A 31655-2026")</f>
        <v/>
      </c>
      <c r="X99">
        <f>HYPERLINK("https://klasma.github.io/Logging_2582/kartor/A 31655-2026 karta.png", "A 31655-2026")</f>
        <v/>
      </c>
      <c r="Y99">
        <f>HYPERLINK("https://klasma.github.io/Logging_2582/kartor_geotiff/A 31655-2026 georefererad karta.tif", "A 31655-2026")</f>
        <v/>
      </c>
      <c r="AA99">
        <f>HYPERLINK("https://klasma.github.io/Logging_2582/klagomål/A 31655-2026 FSC-klagomål.docx", "A 31655-2026")</f>
        <v/>
      </c>
      <c r="AB99">
        <f>HYPERLINK("https://klasma.github.io/Logging_2582/klagomålsmail/A 31655-2026 FSC-klagomål mail.docx", "A 31655-2026")</f>
        <v/>
      </c>
      <c r="AC99">
        <f>HYPERLINK("https://klasma.github.io/Logging_2582/tillsyn/A 31655-2026 tillsynsbegäran.docx", "A 31655-2026")</f>
        <v/>
      </c>
      <c r="AD99">
        <f>HYPERLINK("https://klasma.github.io/Logging_2582/tillsynsmail/A 31655-2026 tillsynsbegäran mail.docx", "A 31655-2026")</f>
        <v/>
      </c>
    </row>
    <row r="100" ht="15" customHeight="1">
      <c r="A100" t="inlineStr">
        <is>
          <t>A 34737-2024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46322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1</v>
      </c>
      <c r="V100" s="2" t="inlineStr">
        <is>
          <t>Lunglav
Fläcknycklar</t>
        </is>
      </c>
      <c r="W100">
        <f>HYPERLINK("https://klasma.github.io/Logging_2582/artfynd/A 34737-2024 artfynd.xlsx", "A 34737-2024")</f>
        <v/>
      </c>
      <c r="X100">
        <f>HYPERLINK("https://klasma.github.io/Logging_2582/kartor/A 34737-2024 karta.png", "A 34737-2024")</f>
        <v/>
      </c>
      <c r="Y100">
        <f>HYPERLINK("https://klasma.github.io/Logging_2582/kartor_geotiff/A 34737-2024 georefererad karta.tif", "A 34737-2024")</f>
        <v/>
      </c>
      <c r="AA100">
        <f>HYPERLINK("https://klasma.github.io/Logging_2582/klagomål/A 34737-2024 FSC-klagomål.docx", "A 34737-2024")</f>
        <v/>
      </c>
      <c r="AB100">
        <f>HYPERLINK("https://klasma.github.io/Logging_2582/klagomålsmail/A 34737-2024 FSC-klagomål mail.docx", "A 34737-2024")</f>
        <v/>
      </c>
      <c r="AC100">
        <f>HYPERLINK("https://klasma.github.io/Logging_2582/tillsyn/A 34737-2024 tillsynsbegäran.docx", "A 34737-2024")</f>
        <v/>
      </c>
      <c r="AD100">
        <f>HYPERLINK("https://klasma.github.io/Logging_2582/tillsynsmail/A 34737-2024 tillsynsbegäran mail.docx", "A 34737-2024")</f>
        <v/>
      </c>
    </row>
    <row r="101" ht="15" customHeight="1">
      <c r="A101" t="inlineStr">
        <is>
          <t>A 38870-2026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46286</v>
      </c>
      <c r="E101" s="1" t="n">
        <v>46322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4.8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Fläcknycklar
Revlummer</t>
        </is>
      </c>
      <c r="W101">
        <f>HYPERLINK("https://klasma.github.io/Logging_2582/artfynd/A 38870-2026 artfynd.xlsx", "A 38870-2026")</f>
        <v/>
      </c>
      <c r="X101">
        <f>HYPERLINK("https://klasma.github.io/Logging_2582/kartor/A 38870-2026 karta.png", "A 38870-2026")</f>
        <v/>
      </c>
      <c r="Y101">
        <f>HYPERLINK("https://klasma.github.io/Logging_2582/kartor_geotiff/A 38870-2026 georefererad karta.tif", "A 38870-2026")</f>
        <v/>
      </c>
      <c r="AA101">
        <f>HYPERLINK("https://klasma.github.io/Logging_2582/klagomål/A 38870-2026 FSC-klagomål.docx", "A 38870-2026")</f>
        <v/>
      </c>
      <c r="AB101">
        <f>HYPERLINK("https://klasma.github.io/Logging_2582/klagomålsmail/A 38870-2026 FSC-klagomål mail.docx", "A 38870-2026")</f>
        <v/>
      </c>
      <c r="AC101">
        <f>HYPERLINK("https://klasma.github.io/Logging_2582/tillsyn/A 38870-2026 tillsynsbegäran.docx", "A 38870-2026")</f>
        <v/>
      </c>
      <c r="AD101">
        <f>HYPERLINK("https://klasma.github.io/Logging_2582/tillsynsmail/A 38870-2026 tillsynsbegäran mail.docx", "A 38870-2026")</f>
        <v/>
      </c>
    </row>
    <row r="102" ht="15" customHeight="1">
      <c r="A102" t="inlineStr">
        <is>
          <t>A 60774-2025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45999</v>
      </c>
      <c r="E102" s="1" t="n">
        <v>46322</v>
      </c>
      <c r="F102" t="inlineStr">
        <is>
          <t>NORRBOTTENS LÄN</t>
        </is>
      </c>
      <c r="G102" t="inlineStr">
        <is>
          <t>BODEN</t>
        </is>
      </c>
      <c r="I102" t="n">
        <v>1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Ullticka
Skinnlav</t>
        </is>
      </c>
      <c r="W102">
        <f>HYPERLINK("https://klasma.github.io/Logging_2582/artfynd/A 60774-2025 artfynd.xlsx", "A 60774-2025")</f>
        <v/>
      </c>
      <c r="X102">
        <f>HYPERLINK("https://klasma.github.io/Logging_2582/kartor/A 60774-2025 karta.png", "A 60774-2025")</f>
        <v/>
      </c>
      <c r="Y102">
        <f>HYPERLINK("https://klasma.github.io/Logging_2582/kartor_geotiff/A 60774-2025 georefererad karta.tif", "A 60774-2025")</f>
        <v/>
      </c>
      <c r="AA102">
        <f>HYPERLINK("https://klasma.github.io/Logging_2582/klagomål/A 60774-2025 FSC-klagomål.docx", "A 60774-2025")</f>
        <v/>
      </c>
      <c r="AB102">
        <f>HYPERLINK("https://klasma.github.io/Logging_2582/klagomålsmail/A 60774-2025 FSC-klagomål mail.docx", "A 60774-2025")</f>
        <v/>
      </c>
      <c r="AC102">
        <f>HYPERLINK("https://klasma.github.io/Logging_2582/tillsyn/A 60774-2025 tillsynsbegäran.docx", "A 60774-2025")</f>
        <v/>
      </c>
      <c r="AD102">
        <f>HYPERLINK("https://klasma.github.io/Logging_2582/tillsynsmail/A 60774-2025 tillsynsbegäran mail.docx", "A 60774-2025")</f>
        <v/>
      </c>
    </row>
    <row r="103" ht="15" customHeight="1">
      <c r="A103" t="inlineStr">
        <is>
          <t>A 33096-2026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46322</v>
      </c>
      <c r="F103" t="inlineStr">
        <is>
          <t>NORRBOTTENS LÄN</t>
        </is>
      </c>
      <c r="G103" t="inlineStr">
        <is>
          <t>BODEN</t>
        </is>
      </c>
      <c r="I103" t="n">
        <v>36.6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HYPERLINK("https://klasma.github.io/Logging_2582/artfynd/A 33096-2026 artfynd.xlsx", "A 33096-2026")</f>
        <v/>
      </c>
      <c r="X103">
        <f>HYPERLINK("https://klasma.github.io/Logging_2582/kartor/A 33096-2026 karta.png", "A 33096-2026")</f>
        <v/>
      </c>
      <c r="Y103">
        <f>HYPERLINK("https://klasma.github.io/Logging_2582/kartor_geotiff/A 33096-2026 georefererad karta.tif", "A 33096-2026")</f>
        <v/>
      </c>
      <c r="AA103">
        <f>HYPERLINK("https://klasma.github.io/Logging_2582/klagomål/A 33096-2026 FSC-klagomål.docx", "A 33096-2026")</f>
        <v/>
      </c>
      <c r="AB103">
        <f>HYPERLINK("https://klasma.github.io/Logging_2582/klagomålsmail/A 33096-2026 FSC-klagomål mail.docx", "A 33096-2026")</f>
        <v/>
      </c>
      <c r="AC103">
        <f>HYPERLINK("https://klasma.github.io/Logging_2582/tillsyn/A 33096-2026 tillsynsbegäran.docx", "A 33096-2026")</f>
        <v/>
      </c>
      <c r="AD103">
        <f>HYPERLINK("https://klasma.github.io/Logging_2582/tillsynsmail/A 33096-2026 tillsynsbegäran mail.docx", "A 33096-2026")</f>
        <v/>
      </c>
    </row>
    <row r="104" ht="15" customHeight="1">
      <c r="A104" t="inlineStr">
        <is>
          <t>A 33416-2026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46322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Plattlummer</t>
        </is>
      </c>
      <c r="W104">
        <f>HYPERLINK("https://klasma.github.io/Logging_2582/artfynd/A 33416-2026 artfynd.xlsx", "A 33416-2026")</f>
        <v/>
      </c>
      <c r="X104">
        <f>HYPERLINK("https://klasma.github.io/Logging_2582/kartor/A 33416-2026 karta.png", "A 33416-2026")</f>
        <v/>
      </c>
      <c r="Y104">
        <f>HYPERLINK("https://klasma.github.io/Logging_2582/kartor_geotiff/A 33416-2026 georefererad karta.tif", "A 33416-2026")</f>
        <v/>
      </c>
      <c r="AA104">
        <f>HYPERLINK("https://klasma.github.io/Logging_2582/klagomål/A 33416-2026 FSC-klagomål.docx", "A 33416-2026")</f>
        <v/>
      </c>
      <c r="AB104">
        <f>HYPERLINK("https://klasma.github.io/Logging_2582/klagomålsmail/A 33416-2026 FSC-klagomål mail.docx", "A 33416-2026")</f>
        <v/>
      </c>
      <c r="AC104">
        <f>HYPERLINK("https://klasma.github.io/Logging_2582/tillsyn/A 33416-2026 tillsynsbegäran.docx", "A 33416-2026")</f>
        <v/>
      </c>
      <c r="AD104">
        <f>HYPERLINK("https://klasma.github.io/Logging_2582/tillsynsmail/A 33416-2026 tillsynsbegäran mail.docx", "A 33416-2026")</f>
        <v/>
      </c>
    </row>
    <row r="105" ht="15" customHeight="1">
      <c r="A105" t="inlineStr">
        <is>
          <t>A 31758-2025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46322</v>
      </c>
      <c r="F105" t="inlineStr">
        <is>
          <t>NORRBOTTENS LÄN</t>
        </is>
      </c>
      <c r="G105" t="inlineStr">
        <is>
          <t>BODEN</t>
        </is>
      </c>
      <c r="I105" t="n">
        <v>19.9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Garnlav
Tretåig hackspett</t>
        </is>
      </c>
      <c r="W105">
        <f>HYPERLINK("https://klasma.github.io/Logging_2582/artfynd/A 31758-2025 artfynd.xlsx", "A 31758-2025")</f>
        <v/>
      </c>
      <c r="X105">
        <f>HYPERLINK("https://klasma.github.io/Logging_2582/kartor/A 31758-2025 karta.png", "A 31758-2025")</f>
        <v/>
      </c>
      <c r="Y105">
        <f>HYPERLINK("https://klasma.github.io/Logging_2582/kartor_geotiff/A 31758-2025 georefererad karta.tif", "A 31758-2025")</f>
        <v/>
      </c>
      <c r="AA105">
        <f>HYPERLINK("https://klasma.github.io/Logging_2582/klagomål/A 31758-2025 FSC-klagomål.docx", "A 31758-2025")</f>
        <v/>
      </c>
      <c r="AB105">
        <f>HYPERLINK("https://klasma.github.io/Logging_2582/klagomålsmail/A 31758-2025 FSC-klagomål mail.docx", "A 31758-2025")</f>
        <v/>
      </c>
      <c r="AC105">
        <f>HYPERLINK("https://klasma.github.io/Logging_2582/tillsyn/A 31758-2025 tillsynsbegäran.docx", "A 31758-2025")</f>
        <v/>
      </c>
      <c r="AD105">
        <f>HYPERLINK("https://klasma.github.io/Logging_2582/tillsynsmail/A 31758-2025 tillsynsbegäran mail.docx", "A 31758-2025")</f>
        <v/>
      </c>
      <c r="AE105">
        <f>HYPERLINK("https://klasma.github.io/Logging_2582/fåglar/A 31758-2025 prioriterade fågelarter.docx", "A 31758-2025")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46322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34164-2023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45137</v>
      </c>
      <c r="E107" s="1" t="n">
        <v>46322</v>
      </c>
      <c r="F107" t="inlineStr">
        <is>
          <t>NORRBOTTENS LÄN</t>
        </is>
      </c>
      <c r="G107" t="inlineStr">
        <is>
          <t>BODEN</t>
        </is>
      </c>
      <c r="H107" t="inlineStr">
        <is>
          <t>SCA</t>
        </is>
      </c>
      <c r="I107" t="n">
        <v>2.2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Tretåig hackspett</t>
        </is>
      </c>
      <c r="W107">
        <f>HYPERLINK("https://klasma.github.io/Logging_2582/artfynd/A 34164-2023 artfynd.xlsx", "A 34164-2023")</f>
        <v/>
      </c>
      <c r="X107">
        <f>HYPERLINK("https://klasma.github.io/Logging_2582/kartor/A 34164-2023 karta.png", "A 34164-2023")</f>
        <v/>
      </c>
      <c r="Y107">
        <f>HYPERLINK("https://klasma.github.io/Logging_2582/kartor_geotiff/A 34164-2023 georefererad karta.tif", "A 34164-2023")</f>
        <v/>
      </c>
      <c r="AA107">
        <f>HYPERLINK("https://klasma.github.io/Logging_2582/klagomål/A 34164-2023 FSC-klagomål.docx", "A 34164-2023")</f>
        <v/>
      </c>
      <c r="AB107">
        <f>HYPERLINK("https://klasma.github.io/Logging_2582/klagomålsmail/A 34164-2023 FSC-klagomål mail.docx", "A 34164-2023")</f>
        <v/>
      </c>
      <c r="AC107">
        <f>HYPERLINK("https://klasma.github.io/Logging_2582/tillsyn/A 34164-2023 tillsynsbegäran.docx", "A 34164-2023")</f>
        <v/>
      </c>
      <c r="AD107">
        <f>HYPERLINK("https://klasma.github.io/Logging_2582/tillsynsmail/A 34164-2023 tillsynsbegäran mail.docx", "A 34164-2023")</f>
        <v/>
      </c>
      <c r="AE107">
        <f>HYPERLINK("https://klasma.github.io/Logging_2582/fåglar/A 34164-2023 prioriterade fågelarter.docx", "A 34164-2023")</f>
        <v/>
      </c>
    </row>
    <row r="108" ht="15" customHeight="1">
      <c r="A108" t="inlineStr">
        <is>
          <t>A 21657-2026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46322</v>
      </c>
      <c r="F108" t="inlineStr">
        <is>
          <t>NORRBOTTENS LÄN</t>
        </is>
      </c>
      <c r="G108" t="inlineStr">
        <is>
          <t>BODEN</t>
        </is>
      </c>
      <c r="I108" t="n">
        <v>9.800000000000001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Orre
Utter</t>
        </is>
      </c>
      <c r="W108">
        <f>HYPERLINK("https://klasma.github.io/Logging_2582/artfynd/A 21657-2026 artfynd.xlsx", "A 21657-2026")</f>
        <v/>
      </c>
      <c r="X108">
        <f>HYPERLINK("https://klasma.github.io/Logging_2582/kartor/A 21657-2026 karta.png", "A 21657-2026")</f>
        <v/>
      </c>
      <c r="Y108">
        <f>HYPERLINK("https://klasma.github.io/Logging_2582/kartor_geotiff/A 21657-2026 georefererad karta.tif", "A 21657-2026")</f>
        <v/>
      </c>
      <c r="AA108">
        <f>HYPERLINK("https://klasma.github.io/Logging_2582/klagomål/A 21657-2026 FSC-klagomål.docx", "A 21657-2026")</f>
        <v/>
      </c>
      <c r="AB108">
        <f>HYPERLINK("https://klasma.github.io/Logging_2582/klagomålsmail/A 21657-2026 FSC-klagomål mail.docx", "A 21657-2026")</f>
        <v/>
      </c>
      <c r="AC108">
        <f>HYPERLINK("https://klasma.github.io/Logging_2582/tillsyn/A 21657-2026 tillsynsbegäran.docx", "A 21657-2026")</f>
        <v/>
      </c>
      <c r="AD108">
        <f>HYPERLINK("https://klasma.github.io/Logging_2582/tillsynsmail/A 21657-2026 tillsynsbegäran mail.docx", "A 21657-2026")</f>
        <v/>
      </c>
      <c r="AE108">
        <f>HYPERLINK("https://klasma.github.io/Logging_2582/fåglar/A 21657-2026 prioriterade fågelarter.docx", "A 21657-2026")</f>
        <v/>
      </c>
    </row>
    <row r="109" ht="15" customHeight="1">
      <c r="A109" t="inlineStr">
        <is>
          <t>A 23794-2026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46164</v>
      </c>
      <c r="E109" s="1" t="n">
        <v>46322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3.1</v>
      </c>
      <c r="J109" t="n">
        <v>2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Plattlummer
Spindelblomster</t>
        </is>
      </c>
      <c r="W109">
        <f>HYPERLINK("https://klasma.github.io/Logging_2582/artfynd/A 23794-2026 artfynd.xlsx", "A 23794-2026")</f>
        <v/>
      </c>
      <c r="X109">
        <f>HYPERLINK("https://klasma.github.io/Logging_2582/kartor/A 23794-2026 karta.png", "A 23794-2026")</f>
        <v/>
      </c>
      <c r="Y109">
        <f>HYPERLINK("https://klasma.github.io/Logging_2582/kartor_geotiff/A 23794-2026 georefererad karta.tif", "A 23794-2026")</f>
        <v/>
      </c>
      <c r="AA109">
        <f>HYPERLINK("https://klasma.github.io/Logging_2582/klagomål/A 23794-2026 FSC-klagomål.docx", "A 23794-2026")</f>
        <v/>
      </c>
      <c r="AB109">
        <f>HYPERLINK("https://klasma.github.io/Logging_2582/klagomålsmail/A 23794-2026 FSC-klagomål mail.docx", "A 23794-2026")</f>
        <v/>
      </c>
      <c r="AC109">
        <f>HYPERLINK("https://klasma.github.io/Logging_2582/tillsyn/A 23794-2026 tillsynsbegäran.docx", "A 23794-2026")</f>
        <v/>
      </c>
      <c r="AD109">
        <f>HYPERLINK("https://klasma.github.io/Logging_2582/tillsynsmail/A 23794-2026 tillsynsbegäran mail.docx", "A 23794-2026")</f>
        <v/>
      </c>
    </row>
    <row r="110" ht="15" customHeight="1">
      <c r="A110" t="inlineStr">
        <is>
          <t>A 26773-2026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46184</v>
      </c>
      <c r="E110" s="1" t="n">
        <v>46322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2.9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Lunglav</t>
        </is>
      </c>
      <c r="W110">
        <f>HYPERLINK("https://klasma.github.io/Logging_2582/artfynd/A 26773-2026 artfynd.xlsx", "A 26773-2026")</f>
        <v/>
      </c>
      <c r="X110">
        <f>HYPERLINK("https://klasma.github.io/Logging_2582/kartor/A 26773-2026 karta.png", "A 26773-2026")</f>
        <v/>
      </c>
      <c r="Y110">
        <f>HYPERLINK("https://klasma.github.io/Logging_2582/kartor_geotiff/A 26773-2026 georefererad karta.tif", "A 26773-2026")</f>
        <v/>
      </c>
      <c r="Z110">
        <f>HYPERLINK("https://klasma.github.io/Logging_2582/knärot/A 26773-2026 karta knärot.png", "A 26773-2026")</f>
        <v/>
      </c>
      <c r="AA110">
        <f>HYPERLINK("https://klasma.github.io/Logging_2582/klagomål/A 26773-2026 FSC-klagomål.docx", "A 26773-2026")</f>
        <v/>
      </c>
      <c r="AB110">
        <f>HYPERLINK("https://klasma.github.io/Logging_2582/klagomålsmail/A 26773-2026 FSC-klagomål mail.docx", "A 26773-2026")</f>
        <v/>
      </c>
      <c r="AC110">
        <f>HYPERLINK("https://klasma.github.io/Logging_2582/tillsyn/A 26773-2026 tillsynsbegäran.docx", "A 26773-2026")</f>
        <v/>
      </c>
      <c r="AD110">
        <f>HYPERLINK("https://klasma.github.io/Logging_2582/tillsynsmail/A 26773-2026 tillsynsbegäran mail.docx", "A 26773-2026")</f>
        <v/>
      </c>
    </row>
    <row r="111" ht="15" customHeight="1">
      <c r="A111" t="inlineStr">
        <is>
          <t>A 34874-2026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46322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6</v>
      </c>
      <c r="J111" t="n">
        <v>1</v>
      </c>
      <c r="K111" t="n">
        <v>0</v>
      </c>
      <c r="L111" t="n">
        <v>0</v>
      </c>
      <c r="M111" t="n">
        <v>2</v>
      </c>
      <c r="N111" t="n">
        <v>0</v>
      </c>
      <c r="O111" t="n">
        <v>0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Garnlav
Knärot</t>
        </is>
      </c>
      <c r="W111">
        <f>HYPERLINK("https://klasma.github.io/Logging_2582/artfynd/A 34874-2026 artfynd.xlsx", "A 34874-2026")</f>
        <v/>
      </c>
      <c r="X111">
        <f>HYPERLINK("https://klasma.github.io/Logging_2582/kartor/A 34874-2026 karta.png", "A 34874-2026")</f>
        <v/>
      </c>
      <c r="Y111">
        <f>HYPERLINK("https://klasma.github.io/Logging_2582/kartor_geotiff/A 34874-2026 georefererad karta.tif", "A 34874-2026")</f>
        <v/>
      </c>
      <c r="Z111">
        <f>HYPERLINK("https://klasma.github.io/Logging_2582/knärot/A 34874-2026 karta knärot.png", "A 34874-2026")</f>
        <v/>
      </c>
      <c r="AA111">
        <f>HYPERLINK("https://klasma.github.io/Logging_2582/klagomål/A 34874-2026 FSC-klagomål.docx", "A 34874-2026")</f>
        <v/>
      </c>
      <c r="AB111">
        <f>HYPERLINK("https://klasma.github.io/Logging_2582/klagomålsmail/A 34874-2026 FSC-klagomål mail.docx", "A 34874-2026")</f>
        <v/>
      </c>
      <c r="AC111">
        <f>HYPERLINK("https://klasma.github.io/Logging_2582/tillsyn/A 34874-2026 tillsynsbegäran.docx", "A 34874-2026")</f>
        <v/>
      </c>
      <c r="AD111">
        <f>HYPERLINK("https://klasma.github.io/Logging_2582/tillsynsmail/A 34874-2026 tillsynsbegäran mail.docx", "A 34874-2026")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46322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42092-2026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46304</v>
      </c>
      <c r="E113" s="1" t="n">
        <v>46322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14.4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1</v>
      </c>
      <c r="V113" s="2" t="inlineStr">
        <is>
          <t>Dropptaggsvamp
Lunglav</t>
        </is>
      </c>
      <c r="W113">
        <f>HYPERLINK("https://klasma.github.io/Logging_2582/artfynd/A 42092-2026 artfynd.xlsx", "A 42092-2026")</f>
        <v/>
      </c>
      <c r="X113">
        <f>HYPERLINK("https://klasma.github.io/Logging_2582/kartor/A 42092-2026 karta.png", "A 42092-2026")</f>
        <v/>
      </c>
      <c r="Y113">
        <f>HYPERLINK("https://klasma.github.io/Logging_2582/kartor_geotiff/A 42092-2026 georefererad karta.tif", "A 42092-2026")</f>
        <v/>
      </c>
      <c r="AA113">
        <f>HYPERLINK("https://klasma.github.io/Logging_2582/klagomål/A 42092-2026 FSC-klagomål.docx", "A 42092-2026")</f>
        <v/>
      </c>
      <c r="AB113">
        <f>HYPERLINK("https://klasma.github.io/Logging_2582/klagomålsmail/A 42092-2026 FSC-klagomål mail.docx", "A 42092-2026")</f>
        <v/>
      </c>
      <c r="AC113">
        <f>HYPERLINK("https://klasma.github.io/Logging_2582/tillsyn/A 42092-2026 tillsynsbegäran.docx", "A 42092-2026")</f>
        <v/>
      </c>
      <c r="AD113">
        <f>HYPERLINK("https://klasma.github.io/Logging_2582/tillsynsmail/A 42092-2026 tillsynsbegäran mail.docx", "A 42092-2026")</f>
        <v/>
      </c>
    </row>
    <row r="114" ht="15" customHeight="1">
      <c r="A114" t="inlineStr">
        <is>
          <t>A 42233-2022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44830</v>
      </c>
      <c r="E114" s="1" t="n">
        <v>46322</v>
      </c>
      <c r="F114" t="inlineStr">
        <is>
          <t>NORRBOTTENS LÄN</t>
        </is>
      </c>
      <c r="G114" t="inlineStr">
        <is>
          <t>BODEN</t>
        </is>
      </c>
      <c r="I114" t="n">
        <v>3.6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Enkelbeckasin
Svartvit flugsnappare</t>
        </is>
      </c>
      <c r="W114">
        <f>HYPERLINK("https://klasma.github.io/Logging_2582/artfynd/A 42233-2022 artfynd.xlsx", "A 42233-2022")</f>
        <v/>
      </c>
      <c r="X114">
        <f>HYPERLINK("https://klasma.github.io/Logging_2582/kartor/A 42233-2022 karta.png", "A 42233-2022")</f>
        <v/>
      </c>
      <c r="Y114">
        <f>HYPERLINK("https://klasma.github.io/Logging_2582/kartor_geotiff/A 42233-2022 georefererad karta.tif", "A 42233-2022")</f>
        <v/>
      </c>
      <c r="AA114">
        <f>HYPERLINK("https://klasma.github.io/Logging_2582/klagomål/A 42233-2022 FSC-klagomål.docx", "A 42233-2022")</f>
        <v/>
      </c>
      <c r="AB114">
        <f>HYPERLINK("https://klasma.github.io/Logging_2582/klagomålsmail/A 42233-2022 FSC-klagomål mail.docx", "A 42233-2022")</f>
        <v/>
      </c>
      <c r="AC114">
        <f>HYPERLINK("https://klasma.github.io/Logging_2582/tillsyn/A 42233-2022 tillsynsbegäran.docx", "A 42233-2022")</f>
        <v/>
      </c>
      <c r="AD114">
        <f>HYPERLINK("https://klasma.github.io/Logging_2582/tillsynsmail/A 42233-2022 tillsynsbegäran mail.docx", "A 42233-2022")</f>
        <v/>
      </c>
      <c r="AE114">
        <f>HYPERLINK("https://klasma.github.io/Logging_2582/fåglar/A 42233-2022 prioriterade fågelarter.docx", "A 42233-2022")</f>
        <v/>
      </c>
    </row>
    <row r="115" ht="15" customHeight="1">
      <c r="A115" t="inlineStr">
        <is>
          <t>A 35418-2026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46261</v>
      </c>
      <c r="E115" s="1" t="n">
        <v>46322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4.3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8</v>
      </c>
      <c r="U115" t="n">
        <v>8</v>
      </c>
      <c r="V115" s="2" t="inlineStr">
        <is>
          <t>Knärot
Dropptaggsvamp</t>
        </is>
      </c>
      <c r="W115">
        <f>HYPERLINK("https://klasma.github.io/Logging_2582/artfynd/A 35418-2026 artfynd.xlsx", "A 35418-2026")</f>
        <v/>
      </c>
      <c r="X115">
        <f>HYPERLINK("https://klasma.github.io/Logging_2582/kartor/A 35418-2026 karta.png", "A 35418-2026")</f>
        <v/>
      </c>
      <c r="Y115">
        <f>HYPERLINK("https://klasma.github.io/Logging_2582/kartor_geotiff/A 35418-2026 georefererad karta.tif", "A 35418-2026")</f>
        <v/>
      </c>
      <c r="Z115">
        <f>HYPERLINK("https://klasma.github.io/Logging_2582/knärot/A 35418-2026 karta knärot.png", "A 35418-2026")</f>
        <v/>
      </c>
      <c r="AA115">
        <f>HYPERLINK("https://klasma.github.io/Logging_2582/klagomål/A 35418-2026 FSC-klagomål.docx", "A 35418-2026")</f>
        <v/>
      </c>
      <c r="AB115">
        <f>HYPERLINK("https://klasma.github.io/Logging_2582/klagomålsmail/A 35418-2026 FSC-klagomål mail.docx", "A 35418-2026")</f>
        <v/>
      </c>
      <c r="AC115">
        <f>HYPERLINK("https://klasma.github.io/Logging_2582/tillsyn/A 35418-2026 tillsynsbegäran.docx", "A 35418-2026")</f>
        <v/>
      </c>
      <c r="AD115">
        <f>HYPERLINK("https://klasma.github.io/Logging_2582/tillsynsmail/A 35418-2026 tillsynsbegäran mail.docx", "A 35418-2026")</f>
        <v/>
      </c>
    </row>
    <row r="116" ht="15" customHeight="1">
      <c r="A116" t="inlineStr">
        <is>
          <t>A 26721-2026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46184</v>
      </c>
      <c r="E116" s="1" t="n">
        <v>46322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7.8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Plattlummer
Tibast</t>
        </is>
      </c>
      <c r="W116">
        <f>HYPERLINK("https://klasma.github.io/Logging_2582/artfynd/A 26721-2026 artfynd.xlsx", "A 26721-2026")</f>
        <v/>
      </c>
      <c r="X116">
        <f>HYPERLINK("https://klasma.github.io/Logging_2582/kartor/A 26721-2026 karta.png", "A 26721-2026")</f>
        <v/>
      </c>
      <c r="Y116">
        <f>HYPERLINK("https://klasma.github.io/Logging_2582/kartor_geotiff/A 26721-2026 georefererad karta.tif", "A 26721-2026")</f>
        <v/>
      </c>
      <c r="AA116">
        <f>HYPERLINK("https://klasma.github.io/Logging_2582/klagomål/A 26721-2026 FSC-klagomål.docx", "A 26721-2026")</f>
        <v/>
      </c>
      <c r="AB116">
        <f>HYPERLINK("https://klasma.github.io/Logging_2582/klagomålsmail/A 26721-2026 FSC-klagomål mail.docx", "A 26721-2026")</f>
        <v/>
      </c>
      <c r="AC116">
        <f>HYPERLINK("https://klasma.github.io/Logging_2582/tillsyn/A 26721-2026 tillsynsbegäran.docx", "A 26721-2026")</f>
        <v/>
      </c>
      <c r="AD116">
        <f>HYPERLINK("https://klasma.github.io/Logging_2582/tillsynsmail/A 26721-2026 tillsynsbegäran mail.docx", "A 26721-2026")</f>
        <v/>
      </c>
    </row>
    <row r="117" ht="15" customHeight="1">
      <c r="A117" t="inlineStr">
        <is>
          <t>A 43163-2026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46311</v>
      </c>
      <c r="E117" s="1" t="n">
        <v>46322</v>
      </c>
      <c r="F117" t="inlineStr">
        <is>
          <t>NORRBOTTENS LÄN</t>
        </is>
      </c>
      <c r="G117" t="inlineStr">
        <is>
          <t>BODEN</t>
        </is>
      </c>
      <c r="I117" t="n">
        <v>5.6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4</v>
      </c>
      <c r="U117" t="n">
        <v>0</v>
      </c>
      <c r="V117" s="2" t="inlineStr">
        <is>
          <t>Knärot
Knottrig blåslav</t>
        </is>
      </c>
      <c r="W117">
        <f>HYPERLINK("https://klasma.github.io/Logging_2582/artfynd/A 43163-2026 artfynd.xlsx", "A 43163-2026")</f>
        <v/>
      </c>
      <c r="X117">
        <f>HYPERLINK("https://klasma.github.io/Logging_2582/kartor/A 43163-2026 karta.png", "A 43163-2026")</f>
        <v/>
      </c>
      <c r="Y117">
        <f>HYPERLINK("https://klasma.github.io/Logging_2582/kartor_geotiff/A 43163-2026 georefererad karta.tif", "A 43163-2026")</f>
        <v/>
      </c>
      <c r="Z117">
        <f>HYPERLINK("https://klasma.github.io/Logging_2582/knärot/A 43163-2026 karta knärot.png", "A 43163-2026")</f>
        <v/>
      </c>
      <c r="AA117">
        <f>HYPERLINK("https://klasma.github.io/Logging_2582/klagomål/A 43163-2026 FSC-klagomål.docx", "A 43163-2026")</f>
        <v/>
      </c>
      <c r="AB117">
        <f>HYPERLINK("https://klasma.github.io/Logging_2582/klagomålsmail/A 43163-2026 FSC-klagomål mail.docx", "A 43163-2026")</f>
        <v/>
      </c>
      <c r="AC117">
        <f>HYPERLINK("https://klasma.github.io/Logging_2582/tillsyn/A 43163-2026 tillsynsbegäran.docx", "A 43163-2026")</f>
        <v/>
      </c>
      <c r="AD117">
        <f>HYPERLINK("https://klasma.github.io/Logging_2582/tillsynsmail/A 43163-2026 tillsynsbegäran mail.docx", "A 43163-2026")</f>
        <v/>
      </c>
    </row>
    <row r="118" ht="15" customHeight="1">
      <c r="A118" t="inlineStr">
        <is>
          <t>A 36622-2026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46270</v>
      </c>
      <c r="E118" s="1" t="n">
        <v>46322</v>
      </c>
      <c r="F118" t="inlineStr">
        <is>
          <t>NORRBOTTENS LÄN</t>
        </is>
      </c>
      <c r="G118" t="inlineStr">
        <is>
          <t>BODEN</t>
        </is>
      </c>
      <c r="I118" t="n">
        <v>11.7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4</v>
      </c>
      <c r="U118" t="n">
        <v>0</v>
      </c>
      <c r="V118" s="2" t="inlineStr">
        <is>
          <t>Dropptaggsvamp
Revlummer</t>
        </is>
      </c>
      <c r="W118">
        <f>HYPERLINK("https://klasma.github.io/Logging_2582/artfynd/A 36622-2026 artfynd.xlsx", "A 36622-2026")</f>
        <v/>
      </c>
      <c r="X118">
        <f>HYPERLINK("https://klasma.github.io/Logging_2582/kartor/A 36622-2026 karta.png", "A 36622-2026")</f>
        <v/>
      </c>
      <c r="Y118">
        <f>HYPERLINK("https://klasma.github.io/Logging_2582/kartor_geotiff/A 36622-2026 georefererad karta.tif", "A 36622-2026")</f>
        <v/>
      </c>
      <c r="AA118">
        <f>HYPERLINK("https://klasma.github.io/Logging_2582/klagomål/A 36622-2026 FSC-klagomål.docx", "A 36622-2026")</f>
        <v/>
      </c>
      <c r="AB118">
        <f>HYPERLINK("https://klasma.github.io/Logging_2582/klagomålsmail/A 36622-2026 FSC-klagomål mail.docx", "A 36622-2026")</f>
        <v/>
      </c>
      <c r="AC118">
        <f>HYPERLINK("https://klasma.github.io/Logging_2582/tillsyn/A 36622-2026 tillsynsbegäran.docx", "A 36622-2026")</f>
        <v/>
      </c>
      <c r="AD118">
        <f>HYPERLINK("https://klasma.github.io/Logging_2582/tillsynsmail/A 36622-2026 tillsynsbegäran mail.docx", "A 36622-2026")</f>
        <v/>
      </c>
    </row>
    <row r="119" ht="15" customHeight="1">
      <c r="A119" t="inlineStr">
        <is>
          <t>A 36163-2026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46267</v>
      </c>
      <c r="E119" s="1" t="n">
        <v>46322</v>
      </c>
      <c r="F119" t="inlineStr">
        <is>
          <t>NORRBOTTENS LÄN</t>
        </is>
      </c>
      <c r="G119" t="inlineStr">
        <is>
          <t>BODEN</t>
        </is>
      </c>
      <c r="I119" t="n">
        <v>7.2</v>
      </c>
      <c r="J119" t="n">
        <v>2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3</v>
      </c>
      <c r="V119" s="2" t="inlineStr">
        <is>
          <t>Björktrast
Rödvingetrast</t>
        </is>
      </c>
      <c r="W119">
        <f>HYPERLINK("https://klasma.github.io/Logging_2582/artfynd/A 36163-2026 artfynd.xlsx", "A 36163-2026")</f>
        <v/>
      </c>
      <c r="X119">
        <f>HYPERLINK("https://klasma.github.io/Logging_2582/kartor/A 36163-2026 karta.png", "A 36163-2026")</f>
        <v/>
      </c>
      <c r="Y119">
        <f>HYPERLINK("https://klasma.github.io/Logging_2582/kartor_geotiff/A 36163-2026 georefererad karta.tif", "A 36163-2026")</f>
        <v/>
      </c>
      <c r="AA119">
        <f>HYPERLINK("https://klasma.github.io/Logging_2582/klagomål/A 36163-2026 FSC-klagomål.docx", "A 36163-2026")</f>
        <v/>
      </c>
      <c r="AB119">
        <f>HYPERLINK("https://klasma.github.io/Logging_2582/klagomålsmail/A 36163-2026 FSC-klagomål mail.docx", "A 36163-2026")</f>
        <v/>
      </c>
      <c r="AC119">
        <f>HYPERLINK("https://klasma.github.io/Logging_2582/tillsyn/A 36163-2026 tillsynsbegäran.docx", "A 36163-2026")</f>
        <v/>
      </c>
      <c r="AD119">
        <f>HYPERLINK("https://klasma.github.io/Logging_2582/tillsynsmail/A 36163-2026 tillsynsbegäran mail.docx", "A 36163-2026")</f>
        <v/>
      </c>
      <c r="AE119">
        <f>HYPERLINK("https://klasma.github.io/Logging_2582/fåglar/A 36163-2026 prioriterade fågelarter.docx", "A 36163-2026")</f>
        <v/>
      </c>
    </row>
    <row r="120" ht="15" customHeight="1">
      <c r="A120" t="inlineStr">
        <is>
          <t>A 44440-2026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46321</v>
      </c>
      <c r="E120" s="1" t="n">
        <v>46322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Gammelgransskål
Rynkskinn</t>
        </is>
      </c>
      <c r="W120">
        <f>HYPERLINK("https://klasma.github.io/Logging_2582/artfynd/A 44440-2026 artfynd.xlsx", "A 44440-2026")</f>
        <v/>
      </c>
      <c r="X120">
        <f>HYPERLINK("https://klasma.github.io/Logging_2582/kartor/A 44440-2026 karta.png", "A 44440-2026")</f>
        <v/>
      </c>
      <c r="Y120">
        <f>HYPERLINK("https://klasma.github.io/Logging_2582/kartor_geotiff/A 44440-2026 georefererad karta.tif", "A 44440-2026")</f>
        <v/>
      </c>
      <c r="AA120">
        <f>HYPERLINK("https://klasma.github.io/Logging_2582/klagomål/A 44440-2026 FSC-klagomål.docx", "A 44440-2026")</f>
        <v/>
      </c>
      <c r="AB120">
        <f>HYPERLINK("https://klasma.github.io/Logging_2582/klagomålsmail/A 44440-2026 FSC-klagomål mail.docx", "A 44440-2026")</f>
        <v/>
      </c>
      <c r="AC120">
        <f>HYPERLINK("https://klasma.github.io/Logging_2582/tillsyn/A 44440-2026 tillsynsbegäran.docx", "A 44440-2026")</f>
        <v/>
      </c>
      <c r="AD120">
        <f>HYPERLINK("https://klasma.github.io/Logging_2582/tillsynsmail/A 44440-2026 tillsynsbegäran mail.docx", "A 44440-2026")</f>
        <v/>
      </c>
    </row>
    <row r="121" ht="15" customHeight="1">
      <c r="A121" t="inlineStr">
        <is>
          <t>S 884-2024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45376</v>
      </c>
      <c r="E121" s="1" t="n">
        <v>46322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1.6</v>
      </c>
      <c r="J121" t="n">
        <v>1</v>
      </c>
      <c r="K121" t="n">
        <v>2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Spindelblomster
Ögonpyrola</t>
        </is>
      </c>
      <c r="W121">
        <f>HYPERLINK("https://klasma.github.io/Logging_2582/artfynd/S 884-2024 artfynd.xlsx", "S 884-2024")</f>
        <v/>
      </c>
      <c r="X121">
        <f>HYPERLINK("https://klasma.github.io/Logging_2582/kartor/S 884-2024 karta.png", "S 884-2024")</f>
        <v/>
      </c>
      <c r="Y121">
        <f>HYPERLINK("https://klasma.github.io/Logging_2582/kartor_geotiff/S 884-2024 georefererad karta.tif", "S 884-2024")</f>
        <v/>
      </c>
      <c r="Z121">
        <f>HYPERLINK("https://klasma.github.io/Logging_2582/knärot/S 884-2024 karta knärot.png", "S 884-2024")</f>
        <v/>
      </c>
      <c r="AA121">
        <f>HYPERLINK("https://klasma.github.io/Logging_2582/klagomål/S 884-2024 FSC-klagomål.docx", "S 884-2024")</f>
        <v/>
      </c>
      <c r="AB121">
        <f>HYPERLINK("https://klasma.github.io/Logging_2582/klagomålsmail/S 884-2024 FSC-klagomål mail.docx", "S 884-2024")</f>
        <v/>
      </c>
      <c r="AC121">
        <f>HYPERLINK("https://klasma.github.io/Logging_2582/tillsyn/S 884-2024 tillsynsbegäran.docx", "S 884-2024")</f>
        <v/>
      </c>
      <c r="AD121">
        <f>HYPERLINK("https://klasma.github.io/Logging_2582/tillsynsmail/S 884-2024 tillsynsbegäran mail.docx", "S 884-2024")</f>
        <v/>
      </c>
    </row>
    <row r="122" ht="15" customHeight="1">
      <c r="A122" t="inlineStr">
        <is>
          <t>A 13647-2022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46322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0</v>
      </c>
      <c r="V122" s="2" t="inlineStr">
        <is>
          <t>Gammelgransskål</t>
        </is>
      </c>
      <c r="W122">
        <f>HYPERLINK("https://klasma.github.io/Logging_2582/artfynd/A 13647-2022 artfynd.xlsx", "A 13647-2022")</f>
        <v/>
      </c>
      <c r="X122">
        <f>HYPERLINK("https://klasma.github.io/Logging_2582/kartor/A 13647-2022 karta.png", "A 13647-2022")</f>
        <v/>
      </c>
      <c r="Y122">
        <f>HYPERLINK("https://klasma.github.io/Logging_2582/kartor_geotiff/A 13647-2022 georefererad karta.tif", "A 13647-2022")</f>
        <v/>
      </c>
      <c r="AA122">
        <f>HYPERLINK("https://klasma.github.io/Logging_2582/klagomål/A 13647-2022 FSC-klagomål.docx", "A 13647-2022")</f>
        <v/>
      </c>
      <c r="AB122">
        <f>HYPERLINK("https://klasma.github.io/Logging_2582/klagomålsmail/A 13647-2022 FSC-klagomål mail.docx", "A 13647-2022")</f>
        <v/>
      </c>
      <c r="AC122">
        <f>HYPERLINK("https://klasma.github.io/Logging_2582/tillsyn/A 13647-2022 tillsynsbegäran.docx", "A 13647-2022")</f>
        <v/>
      </c>
      <c r="AD122">
        <f>HYPERLINK("https://klasma.github.io/Logging_2582/tillsynsmail/A 13647-2022 tillsynsbegäran mail.docx", "A 13647-2022")</f>
        <v/>
      </c>
    </row>
    <row r="123" ht="15" customHeight="1">
      <c r="A123" t="inlineStr">
        <is>
          <t>A 44768-2022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46322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6.1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HYPERLINK("https://klasma.github.io/Logging_2582/artfynd/A 44768-2022 artfynd.xlsx", "A 44768-2022")</f>
        <v/>
      </c>
      <c r="X123">
        <f>HYPERLINK("https://klasma.github.io/Logging_2582/kartor/A 44768-2022 karta.png", "A 44768-2022")</f>
        <v/>
      </c>
      <c r="Y123">
        <f>HYPERLINK("https://klasma.github.io/Logging_2582/kartor_geotiff/A 44768-2022 georefererad karta.tif", "A 44768-2022")</f>
        <v/>
      </c>
      <c r="AA123">
        <f>HYPERLINK("https://klasma.github.io/Logging_2582/klagomål/A 44768-2022 FSC-klagomål.docx", "A 44768-2022")</f>
        <v/>
      </c>
      <c r="AB123">
        <f>HYPERLINK("https://klasma.github.io/Logging_2582/klagomålsmail/A 44768-2022 FSC-klagomål mail.docx", "A 44768-2022")</f>
        <v/>
      </c>
      <c r="AC123">
        <f>HYPERLINK("https://klasma.github.io/Logging_2582/tillsyn/A 44768-2022 tillsynsbegäran.docx", "A 44768-2022")</f>
        <v/>
      </c>
      <c r="AD123">
        <f>HYPERLINK("https://klasma.github.io/Logging_2582/tillsynsmail/A 44768-2022 tillsynsbegäran mail.docx", "A 44768-2022")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46322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49410-2023 artfynd.xlsx", "A 49410-2023")</f>
        <v/>
      </c>
      <c r="X124">
        <f>HYPERLINK("https://klasma.github.io/Logging_2582/kartor/A 49410-2023 karta.png", "A 49410-2023")</f>
        <v/>
      </c>
      <c r="Y124">
        <f>HYPERLINK("https://klasma.github.io/Logging_2582/kartor_geotiff/A 49410-2023 georefererad karta.tif", "A 49410-2023")</f>
        <v/>
      </c>
      <c r="AA124">
        <f>HYPERLINK("https://klasma.github.io/Logging_2582/klagomål/A 49410-2023 FSC-klagomål.docx", "A 49410-2023")</f>
        <v/>
      </c>
      <c r="AB124">
        <f>HYPERLINK("https://klasma.github.io/Logging_2582/klagomålsmail/A 49410-2023 FSC-klagomål mail.docx", "A 49410-2023")</f>
        <v/>
      </c>
      <c r="AC124">
        <f>HYPERLINK("https://klasma.github.io/Logging_2582/tillsyn/A 49410-2023 tillsynsbegäran.docx", "A 49410-2023")</f>
        <v/>
      </c>
      <c r="AD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46322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2568-2024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45313</v>
      </c>
      <c r="E126" s="1" t="n">
        <v>46322</v>
      </c>
      <c r="F126" t="inlineStr">
        <is>
          <t>NORRBOTTENS LÄN</t>
        </is>
      </c>
      <c r="G126" t="inlineStr">
        <is>
          <t>BODEN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 taggsvamp</t>
        </is>
      </c>
      <c r="W126">
        <f>HYPERLINK("https://klasma.github.io/Logging_2582/artfynd/A 2568-2024 artfynd.xlsx", "A 2568-2024")</f>
        <v/>
      </c>
      <c r="X126">
        <f>HYPERLINK("https://klasma.github.io/Logging_2582/kartor/A 2568-2024 karta.png", "A 2568-2024")</f>
        <v/>
      </c>
      <c r="Y126">
        <f>HYPERLINK("https://klasma.github.io/Logging_2582/kartor_geotiff/A 2568-2024 georefererad karta.tif", "A 2568-2024")</f>
        <v/>
      </c>
      <c r="AA126">
        <f>HYPERLINK("https://klasma.github.io/Logging_2582/klagomål/A 2568-2024 FSC-klagomål.docx", "A 2568-2024")</f>
        <v/>
      </c>
      <c r="AB126">
        <f>HYPERLINK("https://klasma.github.io/Logging_2582/klagomålsmail/A 2568-2024 FSC-klagomål mail.docx", "A 2568-2024")</f>
        <v/>
      </c>
      <c r="AC126">
        <f>HYPERLINK("https://klasma.github.io/Logging_2582/tillsyn/A 2568-2024 tillsynsbegäran.docx", "A 2568-2024")</f>
        <v/>
      </c>
      <c r="AD126">
        <f>HYPERLINK("https://klasma.github.io/Logging_2582/tillsynsmail/A 2568-2024 tillsynsbegäran mail.docx", "A 2568-2024")</f>
        <v/>
      </c>
    </row>
    <row r="127" ht="15" customHeight="1">
      <c r="A127" t="inlineStr">
        <is>
          <t>A 42436-2025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46322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4.1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Skinnlav</t>
        </is>
      </c>
      <c r="W127">
        <f>HYPERLINK("https://klasma.github.io/Logging_2582/artfynd/A 42436-2025 artfynd.xlsx", "A 42436-2025")</f>
        <v/>
      </c>
      <c r="X127">
        <f>HYPERLINK("https://klasma.github.io/Logging_2582/kartor/A 42436-2025 karta.png", "A 42436-2025")</f>
        <v/>
      </c>
      <c r="Y127">
        <f>HYPERLINK("https://klasma.github.io/Logging_2582/kartor_geotiff/A 42436-2025 georefererad karta.tif", "A 42436-2025")</f>
        <v/>
      </c>
      <c r="AA127">
        <f>HYPERLINK("https://klasma.github.io/Logging_2582/klagomål/A 42436-2025 FSC-klagomål.docx", "A 42436-2025")</f>
        <v/>
      </c>
      <c r="AB127">
        <f>HYPERLINK("https://klasma.github.io/Logging_2582/klagomålsmail/A 42436-2025 FSC-klagomål mail.docx", "A 42436-2025")</f>
        <v/>
      </c>
      <c r="AC127">
        <f>HYPERLINK("https://klasma.github.io/Logging_2582/tillsyn/A 42436-2025 tillsynsbegäran.docx", "A 42436-2025")</f>
        <v/>
      </c>
      <c r="AD127">
        <f>HYPERLINK("https://klasma.github.io/Logging_2582/tillsynsmail/A 42436-2025 tillsynsbegäran mail.docx", "A 42436-2025")</f>
        <v/>
      </c>
    </row>
    <row r="128" ht="15" customHeight="1">
      <c r="A128" t="inlineStr">
        <is>
          <t>A 18678-2025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45763</v>
      </c>
      <c r="E128" s="1" t="n">
        <v>46322</v>
      </c>
      <c r="F128" t="inlineStr">
        <is>
          <t>NORRBOTTENS LÄN</t>
        </is>
      </c>
      <c r="G128" t="inlineStr">
        <is>
          <t>BODEN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Garnlav</t>
        </is>
      </c>
      <c r="W128">
        <f>HYPERLINK("https://klasma.github.io/Logging_2582/artfynd/A 18678-2025 artfynd.xlsx", "A 18678-2025")</f>
        <v/>
      </c>
      <c r="X128">
        <f>HYPERLINK("https://klasma.github.io/Logging_2582/kartor/A 18678-2025 karta.png", "A 18678-2025")</f>
        <v/>
      </c>
      <c r="Y128">
        <f>HYPERLINK("https://klasma.github.io/Logging_2582/kartor_geotiff/A 18678-2025 georefererad karta.tif", "A 18678-2025")</f>
        <v/>
      </c>
      <c r="AA128">
        <f>HYPERLINK("https://klasma.github.io/Logging_2582/klagomål/A 18678-2025 FSC-klagomål.docx", "A 18678-2025")</f>
        <v/>
      </c>
      <c r="AB128">
        <f>HYPERLINK("https://klasma.github.io/Logging_2582/klagomålsmail/A 18678-2025 FSC-klagomål mail.docx", "A 18678-2025")</f>
        <v/>
      </c>
      <c r="AC128">
        <f>HYPERLINK("https://klasma.github.io/Logging_2582/tillsyn/A 18678-2025 tillsynsbegäran.docx", "A 18678-2025")</f>
        <v/>
      </c>
      <c r="AD128">
        <f>HYPERLINK("https://klasma.github.io/Logging_2582/tillsynsmail/A 18678-2025 tillsynsbegäran mail.docx", "A 18678-2025")</f>
        <v/>
      </c>
    </row>
    <row r="129" ht="15" customHeight="1">
      <c r="A129" t="inlineStr">
        <is>
          <t>A 48549-2025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46322</v>
      </c>
      <c r="F129" t="inlineStr">
        <is>
          <t>NORRBOTTENS LÄN</t>
        </is>
      </c>
      <c r="G129" t="inlineStr">
        <is>
          <t>BODEN</t>
        </is>
      </c>
      <c r="I129" t="n">
        <v>4.1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Gråspett</t>
        </is>
      </c>
      <c r="W129">
        <f>HYPERLINK("https://klasma.github.io/Logging_2582/artfynd/A 48549-2025 artfynd.xlsx", "A 48549-2025")</f>
        <v/>
      </c>
      <c r="X129">
        <f>HYPERLINK("https://klasma.github.io/Logging_2582/kartor/A 48549-2025 karta.png", "A 48549-2025")</f>
        <v/>
      </c>
      <c r="Y129">
        <f>HYPERLINK("https://klasma.github.io/Logging_2582/kartor_geotiff/A 48549-2025 georefererad karta.tif", "A 48549-2025")</f>
        <v/>
      </c>
      <c r="AA129">
        <f>HYPERLINK("https://klasma.github.io/Logging_2582/klagomål/A 48549-2025 FSC-klagomål.docx", "A 48549-2025")</f>
        <v/>
      </c>
      <c r="AB129">
        <f>HYPERLINK("https://klasma.github.io/Logging_2582/klagomålsmail/A 48549-2025 FSC-klagomål mail.docx", "A 48549-2025")</f>
        <v/>
      </c>
      <c r="AC129">
        <f>HYPERLINK("https://klasma.github.io/Logging_2582/tillsyn/A 48549-2025 tillsynsbegäran.docx", "A 48549-2025")</f>
        <v/>
      </c>
      <c r="AD129">
        <f>HYPERLINK("https://klasma.github.io/Logging_2582/tillsynsmail/A 48549-2025 tillsynsbegäran mail.docx", "A 48549-2025")</f>
        <v/>
      </c>
      <c r="AE129">
        <f>HYPERLINK("https://klasma.github.io/Logging_2582/fåglar/A 48549-2025 prioriterade fågelarter.docx", "A 48549-2025")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46322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68560-2021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46322</v>
      </c>
      <c r="F131" t="inlineStr">
        <is>
          <t>NORRBOTTENS LÄN</t>
        </is>
      </c>
      <c r="G131" t="inlineStr">
        <is>
          <t>BODEN</t>
        </is>
      </c>
      <c r="I131" t="n">
        <v>3.5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4</v>
      </c>
      <c r="U131" t="n">
        <v>4</v>
      </c>
      <c r="V131" s="2" t="inlineStr">
        <is>
          <t>Småflikig brosklav</t>
        </is>
      </c>
      <c r="W131">
        <f>HYPERLINK("https://klasma.github.io/Logging_2582/artfynd/A 68560-2021 artfynd.xlsx", "A 68560-2021")</f>
        <v/>
      </c>
      <c r="X131">
        <f>HYPERLINK("https://klasma.github.io/Logging_2582/kartor/A 68560-2021 karta.png", "A 68560-2021")</f>
        <v/>
      </c>
      <c r="Y131">
        <f>HYPERLINK("https://klasma.github.io/Logging_2582/kartor_geotiff/A 68560-2021 georefererad karta.tif", "A 68560-2021")</f>
        <v/>
      </c>
      <c r="AA131">
        <f>HYPERLINK("https://klasma.github.io/Logging_2582/klagomål/A 68560-2021 FSC-klagomål.docx", "A 68560-2021")</f>
        <v/>
      </c>
      <c r="AB131">
        <f>HYPERLINK("https://klasma.github.io/Logging_2582/klagomålsmail/A 68560-2021 FSC-klagomål mail.docx", "A 68560-2021")</f>
        <v/>
      </c>
      <c r="AC131">
        <f>HYPERLINK("https://klasma.github.io/Logging_2582/tillsyn/A 68560-2021 tillsynsbegäran.docx", "A 68560-2021")</f>
        <v/>
      </c>
      <c r="AD131">
        <f>HYPERLINK("https://klasma.github.io/Logging_2582/tillsynsmail/A 68560-2021 tillsynsbegäran mail.docx", "A 68560-2021")</f>
        <v/>
      </c>
    </row>
    <row r="132" ht="15" customHeight="1">
      <c r="A132" t="inlineStr">
        <is>
          <t>A 51184-2025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46322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HYPERLINK("https://klasma.github.io/Logging_2582/artfynd/A 51184-2025 artfynd.xlsx", "A 51184-2025")</f>
        <v/>
      </c>
      <c r="X132">
        <f>HYPERLINK("https://klasma.github.io/Logging_2582/kartor/A 51184-2025 karta.png", "A 51184-2025")</f>
        <v/>
      </c>
      <c r="Y132">
        <f>HYPERLINK("https://klasma.github.io/Logging_2582/kartor_geotiff/A 51184-2025 georefererad karta.tif", "A 51184-2025")</f>
        <v/>
      </c>
      <c r="AA132">
        <f>HYPERLINK("https://klasma.github.io/Logging_2582/klagomål/A 51184-2025 FSC-klagomål.docx", "A 51184-2025")</f>
        <v/>
      </c>
      <c r="AB132">
        <f>HYPERLINK("https://klasma.github.io/Logging_2582/klagomålsmail/A 51184-2025 FSC-klagomål mail.docx", "A 51184-2025")</f>
        <v/>
      </c>
      <c r="AC132">
        <f>HYPERLINK("https://klasma.github.io/Logging_2582/tillsyn/A 51184-2025 tillsynsbegäran.docx", "A 51184-2025")</f>
        <v/>
      </c>
      <c r="AD132">
        <f>HYPERLINK("https://klasma.github.io/Logging_2582/tillsynsmail/A 51184-2025 tillsynsbegäran mail.docx", "A 51184-2025")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46322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46322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51874-2025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45952</v>
      </c>
      <c r="E135" s="1" t="n">
        <v>46322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0.7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Skinnlav</t>
        </is>
      </c>
      <c r="W135">
        <f>HYPERLINK("https://klasma.github.io/Logging_2582/artfynd/A 51874-2025 artfynd.xlsx", "A 51874-2025")</f>
        <v/>
      </c>
      <c r="X135">
        <f>HYPERLINK("https://klasma.github.io/Logging_2582/kartor/A 51874-2025 karta.png", "A 51874-2025")</f>
        <v/>
      </c>
      <c r="Y135">
        <f>HYPERLINK("https://klasma.github.io/Logging_2582/kartor_geotiff/A 51874-2025 georefererad karta.tif", "A 51874-2025")</f>
        <v/>
      </c>
      <c r="AA135">
        <f>HYPERLINK("https://klasma.github.io/Logging_2582/klagomål/A 51874-2025 FSC-klagomål.docx", "A 51874-2025")</f>
        <v/>
      </c>
      <c r="AB135">
        <f>HYPERLINK("https://klasma.github.io/Logging_2582/klagomålsmail/A 51874-2025 FSC-klagomål mail.docx", "A 51874-2025")</f>
        <v/>
      </c>
      <c r="AC135">
        <f>HYPERLINK("https://klasma.github.io/Logging_2582/tillsyn/A 51874-2025 tillsynsbegäran.docx", "A 51874-2025")</f>
        <v/>
      </c>
      <c r="AD135">
        <f>HYPERLINK("https://klasma.github.io/Logging_2582/tillsynsmail/A 51874-2025 tillsynsbegäran mail.docx", "A 51874-2025")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46322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46322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46322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68514-2021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46322</v>
      </c>
      <c r="F139" t="inlineStr">
        <is>
          <t>NORRBOTTENS LÄN</t>
        </is>
      </c>
      <c r="G139" t="inlineStr">
        <is>
          <t>BODEN</t>
        </is>
      </c>
      <c r="I139" t="n">
        <v>6.2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Spillkråka</t>
        </is>
      </c>
      <c r="W139">
        <f>HYPERLINK("https://klasma.github.io/Logging_2582/artfynd/A 68514-2021 artfynd.xlsx", "A 68514-2021")</f>
        <v/>
      </c>
      <c r="X139">
        <f>HYPERLINK("https://klasma.github.io/Logging_2582/kartor/A 68514-2021 karta.png", "A 68514-2021")</f>
        <v/>
      </c>
      <c r="Y139">
        <f>HYPERLINK("https://klasma.github.io/Logging_2582/kartor_geotiff/A 68514-2021 georefererad karta.tif", "A 68514-2021")</f>
        <v/>
      </c>
      <c r="Z139">
        <f>HYPERLINK("https://klasma.github.io/Logging_2582/knärot/A 68514-2021 karta knärot.png", "A 68514-2021")</f>
        <v/>
      </c>
      <c r="AA139">
        <f>HYPERLINK("https://klasma.github.io/Logging_2582/klagomål/A 68514-2021 FSC-klagomål.docx", "A 68514-2021")</f>
        <v/>
      </c>
      <c r="AB139">
        <f>HYPERLINK("https://klasma.github.io/Logging_2582/klagomålsmail/A 68514-2021 FSC-klagomål mail.docx", "A 68514-2021")</f>
        <v/>
      </c>
      <c r="AC139">
        <f>HYPERLINK("https://klasma.github.io/Logging_2582/tillsyn/A 68514-2021 tillsynsbegäran.docx", "A 68514-2021")</f>
        <v/>
      </c>
      <c r="AD139">
        <f>HYPERLINK("https://klasma.github.io/Logging_2582/tillsynsmail/A 68514-2021 tillsynsbegäran mail.docx", "A 68514-2021")</f>
        <v/>
      </c>
      <c r="AE139">
        <f>HYPERLINK("https://klasma.github.io/Logging_2582/fåglar/A 68514-2021 prioriterade fågelarter.docx", "A 68514-2021")</f>
        <v/>
      </c>
    </row>
    <row r="140" ht="15" customHeight="1">
      <c r="A140" t="inlineStr">
        <is>
          <t>A 16217-2024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45406</v>
      </c>
      <c r="E140" s="1" t="n">
        <v>46322</v>
      </c>
      <c r="F140" t="inlineStr">
        <is>
          <t>NORRBOTTENS LÄN</t>
        </is>
      </c>
      <c r="G140" t="inlineStr">
        <is>
          <t>BODEN</t>
        </is>
      </c>
      <c r="I140" t="n">
        <v>7.2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Videsparv</t>
        </is>
      </c>
      <c r="W140">
        <f>HYPERLINK("https://klasma.github.io/Logging_2582/artfynd/A 16217-2024 artfynd.xlsx", "A 16217-2024")</f>
        <v/>
      </c>
      <c r="X140">
        <f>HYPERLINK("https://klasma.github.io/Logging_2582/kartor/A 16217-2024 karta.png", "A 16217-2024")</f>
        <v/>
      </c>
      <c r="Y140">
        <f>HYPERLINK("https://klasma.github.io/Logging_2582/kartor_geotiff/A 16217-2024 georefererad karta.tif", "A 16217-2024")</f>
        <v/>
      </c>
      <c r="AA140">
        <f>HYPERLINK("https://klasma.github.io/Logging_2582/klagomål/A 16217-2024 FSC-klagomål.docx", "A 16217-2024")</f>
        <v/>
      </c>
      <c r="AB140">
        <f>HYPERLINK("https://klasma.github.io/Logging_2582/klagomålsmail/A 16217-2024 FSC-klagomål mail.docx", "A 16217-2024")</f>
        <v/>
      </c>
      <c r="AC140">
        <f>HYPERLINK("https://klasma.github.io/Logging_2582/tillsyn/A 16217-2024 tillsynsbegäran.docx", "A 16217-2024")</f>
        <v/>
      </c>
      <c r="AD140">
        <f>HYPERLINK("https://klasma.github.io/Logging_2582/tillsynsmail/A 16217-2024 tillsynsbegäran mail.docx", "A 16217-2024")</f>
        <v/>
      </c>
      <c r="AE140">
        <f>HYPERLINK("https://klasma.github.io/Logging_2582/fåglar/A 16217-2024 prioriterade fågelarter.docx", "A 16217-2024")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46322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22892-2024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45448</v>
      </c>
      <c r="E142" s="1" t="n">
        <v>46322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0.8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Bollvitmossa</t>
        </is>
      </c>
      <c r="W142">
        <f>HYPERLINK("https://klasma.github.io/Logging_2582/artfynd/A 22892-2024 artfynd.xlsx", "A 22892-2024")</f>
        <v/>
      </c>
      <c r="X142">
        <f>HYPERLINK("https://klasma.github.io/Logging_2582/kartor/A 22892-2024 karta.png", "A 22892-2024")</f>
        <v/>
      </c>
      <c r="Y142">
        <f>HYPERLINK("https://klasma.github.io/Logging_2582/kartor_geotiff/A 22892-2024 georefererad karta.tif", "A 22892-2024")</f>
        <v/>
      </c>
      <c r="AA142">
        <f>HYPERLINK("https://klasma.github.io/Logging_2582/klagomål/A 22892-2024 FSC-klagomål.docx", "A 22892-2024")</f>
        <v/>
      </c>
      <c r="AB142">
        <f>HYPERLINK("https://klasma.github.io/Logging_2582/klagomålsmail/A 22892-2024 FSC-klagomål mail.docx", "A 22892-2024")</f>
        <v/>
      </c>
      <c r="AC142">
        <f>HYPERLINK("https://klasma.github.io/Logging_2582/tillsyn/A 22892-2024 tillsynsbegäran.docx", "A 22892-2024")</f>
        <v/>
      </c>
      <c r="AD142">
        <f>HYPERLINK("https://klasma.github.io/Logging_2582/tillsynsmail/A 22892-2024 tillsynsbegäran mail.docx", "A 22892-2024")</f>
        <v/>
      </c>
    </row>
    <row r="143" ht="15" customHeight="1">
      <c r="A143" t="inlineStr">
        <is>
          <t>A 60781-2025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46322</v>
      </c>
      <c r="F143" t="inlineStr">
        <is>
          <t>NORRBOTTENS LÄN</t>
        </is>
      </c>
      <c r="G143" t="inlineStr">
        <is>
          <t>BODEN</t>
        </is>
      </c>
      <c r="I143" t="n">
        <v>12.3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HYPERLINK("https://klasma.github.io/Logging_2582/artfynd/A 60781-2025 artfynd.xlsx", "A 60781-2025")</f>
        <v/>
      </c>
      <c r="X143">
        <f>HYPERLINK("https://klasma.github.io/Logging_2582/kartor/A 60781-2025 karta.png", "A 60781-2025")</f>
        <v/>
      </c>
      <c r="Y143">
        <f>HYPERLINK("https://klasma.github.io/Logging_2582/kartor_geotiff/A 60781-2025 georefererad karta.tif", "A 60781-2025")</f>
        <v/>
      </c>
      <c r="AA143">
        <f>HYPERLINK("https://klasma.github.io/Logging_2582/klagomål/A 60781-2025 FSC-klagomål.docx", "A 60781-2025")</f>
        <v/>
      </c>
      <c r="AB143">
        <f>HYPERLINK("https://klasma.github.io/Logging_2582/klagomålsmail/A 60781-2025 FSC-klagomål mail.docx", "A 60781-2025")</f>
        <v/>
      </c>
      <c r="AC143">
        <f>HYPERLINK("https://klasma.github.io/Logging_2582/tillsyn/A 60781-2025 tillsynsbegäran.docx", "A 60781-2025")</f>
        <v/>
      </c>
      <c r="AD143">
        <f>HYPERLINK("https://klasma.github.io/Logging_2582/tillsynsmail/A 60781-2025 tillsynsbegäran mail.docx", "A 60781-2025")</f>
        <v/>
      </c>
    </row>
    <row r="144" ht="15" customHeight="1">
      <c r="A144" t="inlineStr">
        <is>
          <t>A 62002-2025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46003</v>
      </c>
      <c r="E144" s="1" t="n">
        <v>46322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Vitgrynig nållav</t>
        </is>
      </c>
      <c r="W144">
        <f>HYPERLINK("https://klasma.github.io/Logging_2582/artfynd/A 62002-2025 artfynd.xlsx", "A 62002-2025")</f>
        <v/>
      </c>
      <c r="X144">
        <f>HYPERLINK("https://klasma.github.io/Logging_2582/kartor/A 62002-2025 karta.png", "A 62002-2025")</f>
        <v/>
      </c>
      <c r="Y144">
        <f>HYPERLINK("https://klasma.github.io/Logging_2582/kartor_geotiff/A 62002-2025 georefererad karta.tif", "A 62002-2025")</f>
        <v/>
      </c>
      <c r="AA144">
        <f>HYPERLINK("https://klasma.github.io/Logging_2582/klagomål/A 62002-2025 FSC-klagomål.docx", "A 62002-2025")</f>
        <v/>
      </c>
      <c r="AB144">
        <f>HYPERLINK("https://klasma.github.io/Logging_2582/klagomålsmail/A 62002-2025 FSC-klagomål mail.docx", "A 62002-2025")</f>
        <v/>
      </c>
      <c r="AC144">
        <f>HYPERLINK("https://klasma.github.io/Logging_2582/tillsyn/A 62002-2025 tillsynsbegäran.docx", "A 62002-2025")</f>
        <v/>
      </c>
      <c r="AD144">
        <f>HYPERLINK("https://klasma.github.io/Logging_2582/tillsynsmail/A 62002-2025 tillsynsbegäran mail.docx", "A 62002-2025")</f>
        <v/>
      </c>
    </row>
    <row r="145" ht="15" customHeight="1">
      <c r="A145" t="inlineStr">
        <is>
          <t>A 13568-2022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46322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1.5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Lavskrika</t>
        </is>
      </c>
      <c r="W145">
        <f>HYPERLINK("https://klasma.github.io/Logging_2582/artfynd/A 13568-2022 artfynd.xlsx", "A 13568-2022")</f>
        <v/>
      </c>
      <c r="X145">
        <f>HYPERLINK("https://klasma.github.io/Logging_2582/kartor/A 13568-2022 karta.png", "A 13568-2022")</f>
        <v/>
      </c>
      <c r="Y145">
        <f>HYPERLINK("https://klasma.github.io/Logging_2582/kartor_geotiff/A 13568-2022 georefererad karta.tif", "A 13568-2022")</f>
        <v/>
      </c>
      <c r="AA145">
        <f>HYPERLINK("https://klasma.github.io/Logging_2582/klagomål/A 13568-2022 FSC-klagomål.docx", "A 13568-2022")</f>
        <v/>
      </c>
      <c r="AB145">
        <f>HYPERLINK("https://klasma.github.io/Logging_2582/klagomålsmail/A 13568-2022 FSC-klagomål mail.docx", "A 13568-2022")</f>
        <v/>
      </c>
      <c r="AC145">
        <f>HYPERLINK("https://klasma.github.io/Logging_2582/tillsyn/A 13568-2022 tillsynsbegäran.docx", "A 13568-2022")</f>
        <v/>
      </c>
      <c r="AD145">
        <f>HYPERLINK("https://klasma.github.io/Logging_2582/tillsynsmail/A 13568-2022 tillsynsbegäran mail.docx", "A 13568-2022")</f>
        <v/>
      </c>
      <c r="AE145">
        <f>HYPERLINK("https://klasma.github.io/Logging_2582/fåglar/A 13568-2022 prioriterade fågelarter.docx", "A 13568-2022")</f>
        <v/>
      </c>
    </row>
    <row r="146" ht="15" customHeight="1">
      <c r="A146" t="inlineStr">
        <is>
          <t>A 29875-2026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46322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Tallticka</t>
        </is>
      </c>
      <c r="W146">
        <f>HYPERLINK("https://klasma.github.io/Logging_2582/artfynd/A 29875-2026 artfynd.xlsx", "A 29875-2026")</f>
        <v/>
      </c>
      <c r="X146">
        <f>HYPERLINK("https://klasma.github.io/Logging_2582/kartor/A 29875-2026 karta.png", "A 29875-2026")</f>
        <v/>
      </c>
      <c r="Y146">
        <f>HYPERLINK("https://klasma.github.io/Logging_2582/kartor_geotiff/A 29875-2026 georefererad karta.tif", "A 29875-2026")</f>
        <v/>
      </c>
      <c r="AA146">
        <f>HYPERLINK("https://klasma.github.io/Logging_2582/klagomål/A 29875-2026 FSC-klagomål.docx", "A 29875-2026")</f>
        <v/>
      </c>
      <c r="AB146">
        <f>HYPERLINK("https://klasma.github.io/Logging_2582/klagomålsmail/A 29875-2026 FSC-klagomål mail.docx", "A 29875-2026")</f>
        <v/>
      </c>
      <c r="AC146">
        <f>HYPERLINK("https://klasma.github.io/Logging_2582/tillsyn/A 29875-2026 tillsynsbegäran.docx", "A 29875-2026")</f>
        <v/>
      </c>
      <c r="AD146">
        <f>HYPERLINK("https://klasma.github.io/Logging_2582/tillsynsmail/A 29875-2026 tillsynsbegäran mail.docx", "A 29875-2026")</f>
        <v/>
      </c>
    </row>
    <row r="147" ht="15" customHeight="1">
      <c r="A147" t="inlineStr">
        <is>
          <t>A 4878-2026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46322</v>
      </c>
      <c r="F147" t="inlineStr">
        <is>
          <t>NORRBOTTENS LÄN</t>
        </is>
      </c>
      <c r="G147" t="inlineStr">
        <is>
          <t>BODEN</t>
        </is>
      </c>
      <c r="I147" t="n">
        <v>1.8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4878-2026 artfynd.xlsx", "A 4878-2026")</f>
        <v/>
      </c>
      <c r="X147">
        <f>HYPERLINK("https://klasma.github.io/Logging_2582/kartor/A 4878-2026 karta.png", "A 4878-2026")</f>
        <v/>
      </c>
      <c r="Y147">
        <f>HYPERLINK("https://klasma.github.io/Logging_2582/kartor_geotiff/A 4878-2026 georefererad karta.tif", "A 4878-2026")</f>
        <v/>
      </c>
      <c r="AA147">
        <f>HYPERLINK("https://klasma.github.io/Logging_2582/klagomål/A 4878-2026 FSC-klagomål.docx", "A 4878-2026")</f>
        <v/>
      </c>
      <c r="AB147">
        <f>HYPERLINK("https://klasma.github.io/Logging_2582/klagomålsmail/A 4878-2026 FSC-klagomål mail.docx", "A 4878-2026")</f>
        <v/>
      </c>
      <c r="AC147">
        <f>HYPERLINK("https://klasma.github.io/Logging_2582/tillsyn/A 4878-2026 tillsynsbegäran.docx", "A 4878-2026")</f>
        <v/>
      </c>
      <c r="AD147">
        <f>HYPERLINK("https://klasma.github.io/Logging_2582/tillsynsmail/A 4878-2026 tillsynsbegäran mail.docx", "A 4878-2026")</f>
        <v/>
      </c>
    </row>
    <row r="148" ht="15" customHeight="1">
      <c r="A148" t="inlineStr">
        <is>
          <t>A 38511-2025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46322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Knärot</t>
        </is>
      </c>
      <c r="W148">
        <f>HYPERLINK("https://klasma.github.io/Logging_2582/artfynd/A 38511-2025 artfynd.xlsx", "A 38511-2025")</f>
        <v/>
      </c>
      <c r="X148">
        <f>HYPERLINK("https://klasma.github.io/Logging_2582/kartor/A 38511-2025 karta.png", "A 38511-2025")</f>
        <v/>
      </c>
      <c r="Y148">
        <f>HYPERLINK("https://klasma.github.io/Logging_2582/kartor_geotiff/A 38511-2025 georefererad karta.tif", "A 38511-2025")</f>
        <v/>
      </c>
      <c r="Z148">
        <f>HYPERLINK("https://klasma.github.io/Logging_2582/knärot/A 38511-2025 karta knärot.png", "A 38511-2025")</f>
        <v/>
      </c>
      <c r="AA148">
        <f>HYPERLINK("https://klasma.github.io/Logging_2582/klagomål/A 38511-2025 FSC-klagomål.docx", "A 38511-2025")</f>
        <v/>
      </c>
      <c r="AB148">
        <f>HYPERLINK("https://klasma.github.io/Logging_2582/klagomålsmail/A 38511-2025 FSC-klagomål mail.docx", "A 38511-2025")</f>
        <v/>
      </c>
      <c r="AC148">
        <f>HYPERLINK("https://klasma.github.io/Logging_2582/tillsyn/A 38511-2025 tillsynsbegäran.docx", "A 38511-2025")</f>
        <v/>
      </c>
      <c r="AD148">
        <f>HYPERLINK("https://klasma.github.io/Logging_2582/tillsynsmail/A 38511-2025 tillsynsbegäran mail.docx", "A 38511-2025")</f>
        <v/>
      </c>
    </row>
    <row r="149" ht="15" customHeight="1">
      <c r="A149" t="inlineStr">
        <is>
          <t>A 32159-2026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46236</v>
      </c>
      <c r="E149" s="1" t="n">
        <v>46322</v>
      </c>
      <c r="F149" t="inlineStr">
        <is>
          <t>NORRBOTTENS LÄN</t>
        </is>
      </c>
      <c r="G149" t="inlineStr">
        <is>
          <t>BODEN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Vanlig padda</t>
        </is>
      </c>
      <c r="W149">
        <f>HYPERLINK("https://klasma.github.io/Logging_2582/artfynd/A 32159-2026 artfynd.xlsx", "A 32159-2026")</f>
        <v/>
      </c>
      <c r="X149">
        <f>HYPERLINK("https://klasma.github.io/Logging_2582/kartor/A 32159-2026 karta.png", "A 32159-2026")</f>
        <v/>
      </c>
      <c r="Y149">
        <f>HYPERLINK("https://klasma.github.io/Logging_2582/kartor_geotiff/A 32159-2026 georefererad karta.tif", "A 32159-2026")</f>
        <v/>
      </c>
      <c r="AA149">
        <f>HYPERLINK("https://klasma.github.io/Logging_2582/klagomål/A 32159-2026 FSC-klagomål.docx", "A 32159-2026")</f>
        <v/>
      </c>
      <c r="AB149">
        <f>HYPERLINK("https://klasma.github.io/Logging_2582/klagomålsmail/A 32159-2026 FSC-klagomål mail.docx", "A 32159-2026")</f>
        <v/>
      </c>
      <c r="AC149">
        <f>HYPERLINK("https://klasma.github.io/Logging_2582/tillsyn/A 32159-2026 tillsynsbegäran.docx", "A 32159-2026")</f>
        <v/>
      </c>
      <c r="AD149">
        <f>HYPERLINK("https://klasma.github.io/Logging_2582/tillsynsmail/A 32159-2026 tillsynsbegäran mail.docx", "A 32159-2026")</f>
        <v/>
      </c>
    </row>
    <row r="150" ht="15" customHeight="1">
      <c r="A150" t="inlineStr">
        <is>
          <t>A 14329-2026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46322</v>
      </c>
      <c r="F150" t="inlineStr">
        <is>
          <t>NORRBOTTENS LÄN</t>
        </is>
      </c>
      <c r="G150" t="inlineStr">
        <is>
          <t>BODEN</t>
        </is>
      </c>
      <c r="I150" t="n">
        <v>1.1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Tjäder</t>
        </is>
      </c>
      <c r="W150">
        <f>HYPERLINK("https://klasma.github.io/Logging_2582/artfynd/A 14329-2026 artfynd.xlsx", "A 14329-2026")</f>
        <v/>
      </c>
      <c r="X150">
        <f>HYPERLINK("https://klasma.github.io/Logging_2582/kartor/A 14329-2026 karta.png", "A 14329-2026")</f>
        <v/>
      </c>
      <c r="Y150">
        <f>HYPERLINK("https://klasma.github.io/Logging_2582/kartor_geotiff/A 14329-2026 georefererad karta.tif", "A 14329-2026")</f>
        <v/>
      </c>
      <c r="AA150">
        <f>HYPERLINK("https://klasma.github.io/Logging_2582/klagomål/A 14329-2026 FSC-klagomål.docx", "A 14329-2026")</f>
        <v/>
      </c>
      <c r="AB150">
        <f>HYPERLINK("https://klasma.github.io/Logging_2582/klagomålsmail/A 14329-2026 FSC-klagomål mail.docx", "A 14329-2026")</f>
        <v/>
      </c>
      <c r="AC150">
        <f>HYPERLINK("https://klasma.github.io/Logging_2582/tillsyn/A 14329-2026 tillsynsbegäran.docx", "A 14329-2026")</f>
        <v/>
      </c>
      <c r="AD150">
        <f>HYPERLINK("https://klasma.github.io/Logging_2582/tillsynsmail/A 14329-2026 tillsynsbegäran mail.docx", "A 14329-2026")</f>
        <v/>
      </c>
      <c r="AE150">
        <f>HYPERLINK("https://klasma.github.io/Logging_2582/fåglar/A 14329-2026 prioriterade fågelarter.docx", "A 14329-2026")</f>
        <v/>
      </c>
    </row>
    <row r="151" ht="15" customHeight="1">
      <c r="A151" t="inlineStr">
        <is>
          <t>A 36743-2024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45538</v>
      </c>
      <c r="E151" s="1" t="n">
        <v>46322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HYPERLINK("https://klasma.github.io/Logging_2582/artfynd/A 36743-2024 artfynd.xlsx", "A 36743-2024")</f>
        <v/>
      </c>
      <c r="X151">
        <f>HYPERLINK("https://klasma.github.io/Logging_2582/kartor/A 36743-2024 karta.png", "A 36743-2024")</f>
        <v/>
      </c>
      <c r="Y151">
        <f>HYPERLINK("https://klasma.github.io/Logging_2582/kartor_geotiff/A 36743-2024 georefererad karta.tif", "A 36743-2024")</f>
        <v/>
      </c>
      <c r="AA151">
        <f>HYPERLINK("https://klasma.github.io/Logging_2582/klagomål/A 36743-2024 FSC-klagomål.docx", "A 36743-2024")</f>
        <v/>
      </c>
      <c r="AB151">
        <f>HYPERLINK("https://klasma.github.io/Logging_2582/klagomålsmail/A 36743-2024 FSC-klagomål mail.docx", "A 36743-2024")</f>
        <v/>
      </c>
      <c r="AC151">
        <f>HYPERLINK("https://klasma.github.io/Logging_2582/tillsyn/A 36743-2024 tillsynsbegäran.docx", "A 36743-2024")</f>
        <v/>
      </c>
      <c r="AD151">
        <f>HYPERLINK("https://klasma.github.io/Logging_2582/tillsynsmail/A 36743-2024 tillsynsbegäran mail.docx", "A 36743-2024")</f>
        <v/>
      </c>
    </row>
    <row r="152" ht="15" customHeight="1">
      <c r="A152" t="inlineStr">
        <is>
          <t>A 32600-2024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45513</v>
      </c>
      <c r="E152" s="1" t="n">
        <v>46322</v>
      </c>
      <c r="F152" t="inlineStr">
        <is>
          <t>NORRBOTTENS LÄN</t>
        </is>
      </c>
      <c r="G152" t="inlineStr">
        <is>
          <t>BODEN</t>
        </is>
      </c>
      <c r="I152" t="n">
        <v>2.5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HYPERLINK("https://klasma.github.io/Logging_2582/artfynd/A 32600-2024 artfynd.xlsx", "A 32600-2024")</f>
        <v/>
      </c>
      <c r="X152">
        <f>HYPERLINK("https://klasma.github.io/Logging_2582/kartor/A 32600-2024 karta.png", "A 32600-2024")</f>
        <v/>
      </c>
      <c r="Y152">
        <f>HYPERLINK("https://klasma.github.io/Logging_2582/kartor_geotiff/A 32600-2024 georefererad karta.tif", "A 32600-2024")</f>
        <v/>
      </c>
      <c r="AA152">
        <f>HYPERLINK("https://klasma.github.io/Logging_2582/klagomål/A 32600-2024 FSC-klagomål.docx", "A 32600-2024")</f>
        <v/>
      </c>
      <c r="AB152">
        <f>HYPERLINK("https://klasma.github.io/Logging_2582/klagomålsmail/A 32600-2024 FSC-klagomål mail.docx", "A 32600-2024")</f>
        <v/>
      </c>
      <c r="AC152">
        <f>HYPERLINK("https://klasma.github.io/Logging_2582/tillsyn/A 32600-2024 tillsynsbegäran.docx", "A 32600-2024")</f>
        <v/>
      </c>
      <c r="AD152">
        <f>HYPERLINK("https://klasma.github.io/Logging_2582/tillsynsmail/A 32600-2024 tillsynsbegäran mail.docx", "A 32600-2024")</f>
        <v/>
      </c>
    </row>
    <row r="153" ht="15" customHeight="1">
      <c r="A153" t="inlineStr">
        <is>
          <t>A 32664-2026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46240</v>
      </c>
      <c r="E153" s="1" t="n">
        <v>46322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14.3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4</v>
      </c>
      <c r="U153" t="n">
        <v>0</v>
      </c>
      <c r="V153" s="2" t="inlineStr">
        <is>
          <t>Lunglav</t>
        </is>
      </c>
      <c r="W153">
        <f>HYPERLINK("https://klasma.github.io/Logging_2582/artfynd/A 32664-2026 artfynd.xlsx", "A 32664-2026")</f>
        <v/>
      </c>
      <c r="X153">
        <f>HYPERLINK("https://klasma.github.io/Logging_2582/kartor/A 32664-2026 karta.png", "A 32664-2026")</f>
        <v/>
      </c>
      <c r="Y153">
        <f>HYPERLINK("https://klasma.github.io/Logging_2582/kartor_geotiff/A 32664-2026 georefererad karta.tif", "A 32664-2026")</f>
        <v/>
      </c>
      <c r="AA153">
        <f>HYPERLINK("https://klasma.github.io/Logging_2582/klagomål/A 32664-2026 FSC-klagomål.docx", "A 32664-2026")</f>
        <v/>
      </c>
      <c r="AB153">
        <f>HYPERLINK("https://klasma.github.io/Logging_2582/klagomålsmail/A 32664-2026 FSC-klagomål mail.docx", "A 32664-2026")</f>
        <v/>
      </c>
      <c r="AC153">
        <f>HYPERLINK("https://klasma.github.io/Logging_2582/tillsyn/A 32664-2026 tillsynsbegäran.docx", "A 32664-2026")</f>
        <v/>
      </c>
      <c r="AD153">
        <f>HYPERLINK("https://klasma.github.io/Logging_2582/tillsynsmail/A 32664-2026 tillsynsbegäran mail.docx", "A 32664-2026")</f>
        <v/>
      </c>
    </row>
    <row r="154" ht="15" customHeight="1">
      <c r="A154" t="inlineStr">
        <is>
          <t>A 38395-2026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46282</v>
      </c>
      <c r="E154" s="1" t="n">
        <v>46322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HYPERLINK("https://klasma.github.io/Logging_2582/artfynd/A 38395-2026 artfynd.xlsx", "A 38395-2026")</f>
        <v/>
      </c>
      <c r="X154">
        <f>HYPERLINK("https://klasma.github.io/Logging_2582/kartor/A 38395-2026 karta.png", "A 38395-2026")</f>
        <v/>
      </c>
      <c r="Y154">
        <f>HYPERLINK("https://klasma.github.io/Logging_2582/kartor_geotiff/A 38395-2026 georefererad karta.tif", "A 38395-2026")</f>
        <v/>
      </c>
      <c r="AA154">
        <f>HYPERLINK("https://klasma.github.io/Logging_2582/klagomål/A 38395-2026 FSC-klagomål.docx", "A 38395-2026")</f>
        <v/>
      </c>
      <c r="AB154">
        <f>HYPERLINK("https://klasma.github.io/Logging_2582/klagomålsmail/A 38395-2026 FSC-klagomål mail.docx", "A 38395-2026")</f>
        <v/>
      </c>
      <c r="AC154">
        <f>HYPERLINK("https://klasma.github.io/Logging_2582/tillsyn/A 38395-2026 tillsynsbegäran.docx", "A 38395-2026")</f>
        <v/>
      </c>
      <c r="AD154">
        <f>HYPERLINK("https://klasma.github.io/Logging_2582/tillsynsmail/A 38395-2026 tillsynsbegäran mail.docx", "A 38395-2026")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46322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665-2023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46322</v>
      </c>
      <c r="F156" t="inlineStr">
        <is>
          <t>NORRBOTTENS LÄN</t>
        </is>
      </c>
      <c r="G156" t="inlineStr">
        <is>
          <t>BODEN</t>
        </is>
      </c>
      <c r="I156" t="n">
        <v>0.9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HYPERLINK("https://klasma.github.io/Logging_2582/artfynd/A 665-2023 artfynd.xlsx", "A 665-2023")</f>
        <v/>
      </c>
      <c r="X156">
        <f>HYPERLINK("https://klasma.github.io/Logging_2582/kartor/A 665-2023 karta.png", "A 665-2023")</f>
        <v/>
      </c>
      <c r="Y156">
        <f>HYPERLINK("https://klasma.github.io/Logging_2582/kartor_geotiff/A 665-2023 georefererad karta.tif", "A 665-2023")</f>
        <v/>
      </c>
      <c r="AA156">
        <f>HYPERLINK("https://klasma.github.io/Logging_2582/klagomål/A 665-2023 FSC-klagomål.docx", "A 665-2023")</f>
        <v/>
      </c>
      <c r="AB156">
        <f>HYPERLINK("https://klasma.github.io/Logging_2582/klagomålsmail/A 665-2023 FSC-klagomål mail.docx", "A 665-2023")</f>
        <v/>
      </c>
      <c r="AC156">
        <f>HYPERLINK("https://klasma.github.io/Logging_2582/tillsyn/A 665-2023 tillsynsbegäran.docx", "A 665-2023")</f>
        <v/>
      </c>
      <c r="AD156">
        <f>HYPERLINK("https://klasma.github.io/Logging_2582/tillsynsmail/A 665-2023 tillsynsbegäran mail.docx", "A 665-2023")</f>
        <v/>
      </c>
      <c r="AE156">
        <f>HYPERLINK("https://klasma.github.io/Logging_2582/fåglar/A 665-2023 prioriterade fågelarter.docx", "A 665-2023")</f>
        <v/>
      </c>
    </row>
    <row r="157" ht="15" customHeight="1">
      <c r="A157" t="inlineStr">
        <is>
          <t>A 54833-2025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46322</v>
      </c>
      <c r="F157" t="inlineStr">
        <is>
          <t>NORRBOTTENS LÄN</t>
        </is>
      </c>
      <c r="G157" t="inlineStr">
        <is>
          <t>BODEN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Utter</t>
        </is>
      </c>
      <c r="W157">
        <f>HYPERLINK("https://klasma.github.io/Logging_2582/artfynd/A 54833-2025 artfynd.xlsx", "A 54833-2025")</f>
        <v/>
      </c>
      <c r="X157">
        <f>HYPERLINK("https://klasma.github.io/Logging_2582/kartor/A 54833-2025 karta.png", "A 54833-2025")</f>
        <v/>
      </c>
      <c r="Y157">
        <f>HYPERLINK("https://klasma.github.io/Logging_2582/kartor_geotiff/A 54833-2025 georefererad karta.tif", "A 54833-2025")</f>
        <v/>
      </c>
      <c r="AA157">
        <f>HYPERLINK("https://klasma.github.io/Logging_2582/klagomål/A 54833-2025 FSC-klagomål.docx", "A 54833-2025")</f>
        <v/>
      </c>
      <c r="AB157">
        <f>HYPERLINK("https://klasma.github.io/Logging_2582/klagomålsmail/A 54833-2025 FSC-klagomål mail.docx", "A 54833-2025")</f>
        <v/>
      </c>
      <c r="AC157">
        <f>HYPERLINK("https://klasma.github.io/Logging_2582/tillsyn/A 54833-2025 tillsynsbegäran.docx", "A 54833-2025")</f>
        <v/>
      </c>
      <c r="AD157">
        <f>HYPERLINK("https://klasma.github.io/Logging_2582/tillsynsmail/A 54833-2025 tillsynsbegäran mail.docx", "A 54833-2025")</f>
        <v/>
      </c>
    </row>
    <row r="158" ht="15" customHeight="1">
      <c r="A158" t="inlineStr">
        <is>
          <t>A 19580-2026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46322</v>
      </c>
      <c r="F158" t="inlineStr">
        <is>
          <t>NORRBOTTENS LÄN</t>
        </is>
      </c>
      <c r="G158" t="inlineStr">
        <is>
          <t>BODEN</t>
        </is>
      </c>
      <c r="I158" t="n">
        <v>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Dropptaggsvamp</t>
        </is>
      </c>
      <c r="W158">
        <f>HYPERLINK("https://klasma.github.io/Logging_2582/artfynd/A 19580-2026 artfynd.xlsx", "A 19580-2026")</f>
        <v/>
      </c>
      <c r="X158">
        <f>HYPERLINK("https://klasma.github.io/Logging_2582/kartor/A 19580-2026 karta.png", "A 19580-2026")</f>
        <v/>
      </c>
      <c r="Y158">
        <f>HYPERLINK("https://klasma.github.io/Logging_2582/kartor_geotiff/A 19580-2026 georefererad karta.tif", "A 19580-2026")</f>
        <v/>
      </c>
      <c r="AA158">
        <f>HYPERLINK("https://klasma.github.io/Logging_2582/klagomål/A 19580-2026 FSC-klagomål.docx", "A 19580-2026")</f>
        <v/>
      </c>
      <c r="AB158">
        <f>HYPERLINK("https://klasma.github.io/Logging_2582/klagomålsmail/A 19580-2026 FSC-klagomål mail.docx", "A 19580-2026")</f>
        <v/>
      </c>
      <c r="AC158">
        <f>HYPERLINK("https://klasma.github.io/Logging_2582/tillsyn/A 19580-2026 tillsynsbegäran.docx", "A 19580-2026")</f>
        <v/>
      </c>
      <c r="AD158">
        <f>HYPERLINK("https://klasma.github.io/Logging_2582/tillsynsmail/A 19580-2026 tillsynsbegäran mail.docx", "A 19580-2026")</f>
        <v/>
      </c>
    </row>
    <row r="159" ht="15" customHeight="1">
      <c r="A159" t="inlineStr">
        <is>
          <t>A 12832-2022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44642</v>
      </c>
      <c r="E159" s="1" t="n">
        <v>46322</v>
      </c>
      <c r="F159" t="inlineStr">
        <is>
          <t>NORRBOTTENS LÄN</t>
        </is>
      </c>
      <c r="G159" t="inlineStr">
        <is>
          <t>BODEN</t>
        </is>
      </c>
      <c r="I159" t="n">
        <v>6.6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Doftticka</t>
        </is>
      </c>
      <c r="W159">
        <f>HYPERLINK("https://klasma.github.io/Logging_2582/artfynd/A 12832-2022 artfynd.xlsx", "A 12832-2022")</f>
        <v/>
      </c>
      <c r="X159">
        <f>HYPERLINK("https://klasma.github.io/Logging_2582/kartor/A 12832-2022 karta.png", "A 12832-2022")</f>
        <v/>
      </c>
      <c r="Y159">
        <f>HYPERLINK("https://klasma.github.io/Logging_2582/kartor_geotiff/A 12832-2022 georefererad karta.tif", "A 12832-2022")</f>
        <v/>
      </c>
      <c r="AA159">
        <f>HYPERLINK("https://klasma.github.io/Logging_2582/klagomål/A 12832-2022 FSC-klagomål.docx", "A 12832-2022")</f>
        <v/>
      </c>
      <c r="AB159">
        <f>HYPERLINK("https://klasma.github.io/Logging_2582/klagomålsmail/A 12832-2022 FSC-klagomål mail.docx", "A 12832-2022")</f>
        <v/>
      </c>
      <c r="AC159">
        <f>HYPERLINK("https://klasma.github.io/Logging_2582/tillsyn/A 12832-2022 tillsynsbegäran.docx", "A 12832-2022")</f>
        <v/>
      </c>
      <c r="AD159">
        <f>HYPERLINK("https://klasma.github.io/Logging_2582/tillsynsmail/A 12832-2022 tillsynsbegäran mail.docx", "A 12832-2022")</f>
        <v/>
      </c>
    </row>
    <row r="160" ht="15" customHeight="1">
      <c r="A160" t="inlineStr">
        <is>
          <t>A 21310-2026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46147</v>
      </c>
      <c r="E160" s="1" t="n">
        <v>46322</v>
      </c>
      <c r="F160" t="inlineStr">
        <is>
          <t>NORRBOTTENS LÄN</t>
        </is>
      </c>
      <c r="G160" t="inlineStr">
        <is>
          <t>BODEN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Revlummer</t>
        </is>
      </c>
      <c r="W160">
        <f>HYPERLINK("https://klasma.github.io/Logging_2582/artfynd/A 21310-2026 artfynd.xlsx", "A 21310-2026")</f>
        <v/>
      </c>
      <c r="X160">
        <f>HYPERLINK("https://klasma.github.io/Logging_2582/kartor/A 21310-2026 karta.png", "A 21310-2026")</f>
        <v/>
      </c>
      <c r="Y160">
        <f>HYPERLINK("https://klasma.github.io/Logging_2582/kartor_geotiff/A 21310-2026 georefererad karta.tif", "A 21310-2026")</f>
        <v/>
      </c>
      <c r="AA160">
        <f>HYPERLINK("https://klasma.github.io/Logging_2582/klagomål/A 21310-2026 FSC-klagomål.docx", "A 21310-2026")</f>
        <v/>
      </c>
      <c r="AB160">
        <f>HYPERLINK("https://klasma.github.io/Logging_2582/klagomålsmail/A 21310-2026 FSC-klagomål mail.docx", "A 21310-2026")</f>
        <v/>
      </c>
      <c r="AC160">
        <f>HYPERLINK("https://klasma.github.io/Logging_2582/tillsyn/A 21310-2026 tillsynsbegäran.docx", "A 21310-2026")</f>
        <v/>
      </c>
      <c r="AD160">
        <f>HYPERLINK("https://klasma.github.io/Logging_2582/tillsynsmail/A 21310-2026 tillsynsbegäran mail.docx", "A 21310-2026")</f>
        <v/>
      </c>
    </row>
    <row r="161" ht="15" customHeight="1">
      <c r="A161" t="inlineStr">
        <is>
          <t>A 33756-2026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46322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5.5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Bollvitmossa</t>
        </is>
      </c>
      <c r="W161">
        <f>HYPERLINK("https://klasma.github.io/Logging_2582/artfynd/A 33756-2026 artfynd.xlsx", "A 33756-2026")</f>
        <v/>
      </c>
      <c r="X161">
        <f>HYPERLINK("https://klasma.github.io/Logging_2582/kartor/A 33756-2026 karta.png", "A 33756-2026")</f>
        <v/>
      </c>
      <c r="Y161">
        <f>HYPERLINK("https://klasma.github.io/Logging_2582/kartor_geotiff/A 33756-2026 georefererad karta.tif", "A 33756-2026")</f>
        <v/>
      </c>
      <c r="AA161">
        <f>HYPERLINK("https://klasma.github.io/Logging_2582/klagomål/A 33756-2026 FSC-klagomål.docx", "A 33756-2026")</f>
        <v/>
      </c>
      <c r="AB161">
        <f>HYPERLINK("https://klasma.github.io/Logging_2582/klagomålsmail/A 33756-2026 FSC-klagomål mail.docx", "A 33756-2026")</f>
        <v/>
      </c>
      <c r="AC161">
        <f>HYPERLINK("https://klasma.github.io/Logging_2582/tillsyn/A 33756-2026 tillsynsbegäran.docx", "A 33756-2026")</f>
        <v/>
      </c>
      <c r="AD161">
        <f>HYPERLINK("https://klasma.github.io/Logging_2582/tillsynsmail/A 33756-2026 tillsynsbegäran mail.docx", "A 33756-2026")</f>
        <v/>
      </c>
    </row>
    <row r="162" ht="15" customHeight="1">
      <c r="A162" t="inlineStr">
        <is>
          <t>A 41087-2024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45559</v>
      </c>
      <c r="E162" s="1" t="n">
        <v>46322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HYPERLINK("https://klasma.github.io/Logging_2582/artfynd/A 41087-2024 artfynd.xlsx", "A 41087-2024")</f>
        <v/>
      </c>
      <c r="X162">
        <f>HYPERLINK("https://klasma.github.io/Logging_2582/kartor/A 41087-2024 karta.png", "A 41087-2024")</f>
        <v/>
      </c>
      <c r="Y162">
        <f>HYPERLINK("https://klasma.github.io/Logging_2582/kartor_geotiff/A 41087-2024 georefererad karta.tif", "A 41087-2024")</f>
        <v/>
      </c>
      <c r="AA162">
        <f>HYPERLINK("https://klasma.github.io/Logging_2582/klagomål/A 41087-2024 FSC-klagomål.docx", "A 41087-2024")</f>
        <v/>
      </c>
      <c r="AB162">
        <f>HYPERLINK("https://klasma.github.io/Logging_2582/klagomålsmail/A 41087-2024 FSC-klagomål mail.docx", "A 41087-2024")</f>
        <v/>
      </c>
      <c r="AC162">
        <f>HYPERLINK("https://klasma.github.io/Logging_2582/tillsyn/A 41087-2024 tillsynsbegäran.docx", "A 41087-2024")</f>
        <v/>
      </c>
      <c r="AD162">
        <f>HYPERLINK("https://klasma.github.io/Logging_2582/tillsynsmail/A 41087-2024 tillsynsbegäran mail.docx", "A 41087-2024")</f>
        <v/>
      </c>
    </row>
    <row r="163" ht="15" customHeight="1">
      <c r="A163" t="inlineStr">
        <is>
          <t>A 24429-2026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46322</v>
      </c>
      <c r="F163" t="inlineStr">
        <is>
          <t>NORRBOTTENS LÄN</t>
        </is>
      </c>
      <c r="G163" t="inlineStr">
        <is>
          <t>BODEN</t>
        </is>
      </c>
      <c r="I163" t="n">
        <v>0.5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HYPERLINK("https://klasma.github.io/Logging_2582/artfynd/A 24429-2026 artfynd.xlsx", "A 24429-2026")</f>
        <v/>
      </c>
      <c r="X163">
        <f>HYPERLINK("https://klasma.github.io/Logging_2582/kartor/A 24429-2026 karta.png", "A 24429-2026")</f>
        <v/>
      </c>
      <c r="Y163">
        <f>HYPERLINK("https://klasma.github.io/Logging_2582/kartor_geotiff/A 24429-2026 georefererad karta.tif", "A 24429-2026")</f>
        <v/>
      </c>
      <c r="AA163">
        <f>HYPERLINK("https://klasma.github.io/Logging_2582/klagomål/A 24429-2026 FSC-klagomål.docx", "A 24429-2026")</f>
        <v/>
      </c>
      <c r="AB163">
        <f>HYPERLINK("https://klasma.github.io/Logging_2582/klagomålsmail/A 24429-2026 FSC-klagomål mail.docx", "A 24429-2026")</f>
        <v/>
      </c>
      <c r="AC163">
        <f>HYPERLINK("https://klasma.github.io/Logging_2582/tillsyn/A 24429-2026 tillsynsbegäran.docx", "A 24429-2026")</f>
        <v/>
      </c>
      <c r="AD163">
        <f>HYPERLINK("https://klasma.github.io/Logging_2582/tillsynsmail/A 24429-2026 tillsynsbegäran mail.docx", "A 24429-2026")</f>
        <v/>
      </c>
    </row>
    <row r="164" ht="15" customHeight="1">
      <c r="A164" t="inlineStr">
        <is>
          <t>A 2565-2026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46322</v>
      </c>
      <c r="F164" t="inlineStr">
        <is>
          <t>NORRBOTTENS LÄN</t>
        </is>
      </c>
      <c r="G164" t="inlineStr">
        <is>
          <t>BODEN</t>
        </is>
      </c>
      <c r="H164" t="inlineStr">
        <is>
          <t>Naturvårdsverket</t>
        </is>
      </c>
      <c r="I164" t="n">
        <v>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Garnlav</t>
        </is>
      </c>
      <c r="W164">
        <f>HYPERLINK("https://klasma.github.io/Logging_2582/artfynd/A 2565-2026 artfynd.xlsx", "A 2565-2026")</f>
        <v/>
      </c>
      <c r="X164">
        <f>HYPERLINK("https://klasma.github.io/Logging_2582/kartor/A 2565-2026 karta.png", "A 2565-2026")</f>
        <v/>
      </c>
      <c r="Y164">
        <f>HYPERLINK("https://klasma.github.io/Logging_2582/kartor_geotiff/A 2565-2026 georefererad karta.tif", "A 2565-2026")</f>
        <v/>
      </c>
      <c r="AA164">
        <f>HYPERLINK("https://klasma.github.io/Logging_2582/klagomål/A 2565-2026 FSC-klagomål.docx", "A 2565-2026")</f>
        <v/>
      </c>
      <c r="AB164">
        <f>HYPERLINK("https://klasma.github.io/Logging_2582/klagomålsmail/A 2565-2026 FSC-klagomål mail.docx", "A 2565-2026")</f>
        <v/>
      </c>
      <c r="AC164">
        <f>HYPERLINK("https://klasma.github.io/Logging_2582/tillsyn/A 2565-2026 tillsynsbegäran.docx", "A 2565-2026")</f>
        <v/>
      </c>
      <c r="AD164">
        <f>HYPERLINK("https://klasma.github.io/Logging_2582/tillsynsmail/A 2565-2026 tillsynsbegäran mail.docx", "A 2565-2026")</f>
        <v/>
      </c>
    </row>
    <row r="165" ht="15" customHeight="1">
      <c r="A165" t="inlineStr">
        <is>
          <t>A 25805-2026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46322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3.6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Plattlummer</t>
        </is>
      </c>
      <c r="W165">
        <f>HYPERLINK("https://klasma.github.io/Logging_2582/artfynd/A 25805-2026 artfynd.xlsx", "A 25805-2026")</f>
        <v/>
      </c>
      <c r="X165">
        <f>HYPERLINK("https://klasma.github.io/Logging_2582/kartor/A 25805-2026 karta.png", "A 25805-2026")</f>
        <v/>
      </c>
      <c r="Y165">
        <f>HYPERLINK("https://klasma.github.io/Logging_2582/kartor_geotiff/A 25805-2026 georefererad karta.tif", "A 25805-2026")</f>
        <v/>
      </c>
      <c r="AA165">
        <f>HYPERLINK("https://klasma.github.io/Logging_2582/klagomål/A 25805-2026 FSC-klagomål.docx", "A 25805-2026")</f>
        <v/>
      </c>
      <c r="AB165">
        <f>HYPERLINK("https://klasma.github.io/Logging_2582/klagomålsmail/A 25805-2026 FSC-klagomål mail.docx", "A 25805-2026")</f>
        <v/>
      </c>
      <c r="AC165">
        <f>HYPERLINK("https://klasma.github.io/Logging_2582/tillsyn/A 25805-2026 tillsynsbegäran.docx", "A 25805-2026")</f>
        <v/>
      </c>
      <c r="AD165">
        <f>HYPERLINK("https://klasma.github.io/Logging_2582/tillsynsmail/A 25805-2026 tillsynsbegäran mail.docx", "A 25805-2026")</f>
        <v/>
      </c>
    </row>
    <row r="166" ht="15" customHeight="1">
      <c r="A166" t="inlineStr">
        <is>
          <t>A 25803-2026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46322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9.9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Spindelblomster</t>
        </is>
      </c>
      <c r="W166">
        <f>HYPERLINK("https://klasma.github.io/Logging_2582/artfynd/A 25803-2026 artfynd.xlsx", "A 25803-2026")</f>
        <v/>
      </c>
      <c r="X166">
        <f>HYPERLINK("https://klasma.github.io/Logging_2582/kartor/A 25803-2026 karta.png", "A 25803-2026")</f>
        <v/>
      </c>
      <c r="Y166">
        <f>HYPERLINK("https://klasma.github.io/Logging_2582/kartor_geotiff/A 25803-2026 georefererad karta.tif", "A 25803-2026")</f>
        <v/>
      </c>
      <c r="AA166">
        <f>HYPERLINK("https://klasma.github.io/Logging_2582/klagomål/A 25803-2026 FSC-klagomål.docx", "A 25803-2026")</f>
        <v/>
      </c>
      <c r="AB166">
        <f>HYPERLINK("https://klasma.github.io/Logging_2582/klagomålsmail/A 25803-2026 FSC-klagomål mail.docx", "A 25803-2026")</f>
        <v/>
      </c>
      <c r="AC166">
        <f>HYPERLINK("https://klasma.github.io/Logging_2582/tillsyn/A 25803-2026 tillsynsbegäran.docx", "A 25803-2026")</f>
        <v/>
      </c>
      <c r="AD166">
        <f>HYPERLINK("https://klasma.github.io/Logging_2582/tillsynsmail/A 25803-2026 tillsynsbegäran mail.docx", "A 25803-2026")</f>
        <v/>
      </c>
    </row>
    <row r="167" ht="15" customHeight="1">
      <c r="A167" t="inlineStr">
        <is>
          <t>A 25801-2026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46322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1.9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0</v>
      </c>
      <c r="V167" s="2" t="inlineStr">
        <is>
          <t>Knärot</t>
        </is>
      </c>
      <c r="W167">
        <f>HYPERLINK("https://klasma.github.io/Logging_2582/artfynd/A 25801-2026 artfynd.xlsx", "A 25801-2026")</f>
        <v/>
      </c>
      <c r="X167">
        <f>HYPERLINK("https://klasma.github.io/Logging_2582/kartor/A 25801-2026 karta.png", "A 25801-2026")</f>
        <v/>
      </c>
      <c r="Y167">
        <f>HYPERLINK("https://klasma.github.io/Logging_2582/kartor_geotiff/A 25801-2026 georefererad karta.tif", "A 25801-2026")</f>
        <v/>
      </c>
      <c r="Z167">
        <f>HYPERLINK("https://klasma.github.io/Logging_2582/knärot/A 25801-2026 karta knärot.png", "A 25801-2026")</f>
        <v/>
      </c>
      <c r="AA167">
        <f>HYPERLINK("https://klasma.github.io/Logging_2582/klagomål/A 25801-2026 FSC-klagomål.docx", "A 25801-2026")</f>
        <v/>
      </c>
      <c r="AB167">
        <f>HYPERLINK("https://klasma.github.io/Logging_2582/klagomålsmail/A 25801-2026 FSC-klagomål mail.docx", "A 25801-2026")</f>
        <v/>
      </c>
      <c r="AC167">
        <f>HYPERLINK("https://klasma.github.io/Logging_2582/tillsyn/A 25801-2026 tillsynsbegäran.docx", "A 25801-2026")</f>
        <v/>
      </c>
      <c r="AD167">
        <f>HYPERLINK("https://klasma.github.io/Logging_2582/tillsynsmail/A 25801-2026 tillsynsbegäran mail.docx", "A 25801-2026")</f>
        <v/>
      </c>
    </row>
    <row r="168" ht="15" customHeight="1">
      <c r="A168" t="inlineStr">
        <is>
          <t>A 26438-2026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46183</v>
      </c>
      <c r="E168" s="1" t="n">
        <v>46322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15.9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Kolflarnlav</t>
        </is>
      </c>
      <c r="W168">
        <f>HYPERLINK("https://klasma.github.io/Logging_2582/artfynd/A 26438-2026 artfynd.xlsx", "A 26438-2026")</f>
        <v/>
      </c>
      <c r="X168">
        <f>HYPERLINK("https://klasma.github.io/Logging_2582/kartor/A 26438-2026 karta.png", "A 26438-2026")</f>
        <v/>
      </c>
      <c r="Y168">
        <f>HYPERLINK("https://klasma.github.io/Logging_2582/kartor_geotiff/A 26438-2026 georefererad karta.tif", "A 26438-2026")</f>
        <v/>
      </c>
      <c r="AA168">
        <f>HYPERLINK("https://klasma.github.io/Logging_2582/klagomål/A 26438-2026 FSC-klagomål.docx", "A 26438-2026")</f>
        <v/>
      </c>
      <c r="AB168">
        <f>HYPERLINK("https://klasma.github.io/Logging_2582/klagomålsmail/A 26438-2026 FSC-klagomål mail.docx", "A 26438-2026")</f>
        <v/>
      </c>
      <c r="AC168">
        <f>HYPERLINK("https://klasma.github.io/Logging_2582/tillsyn/A 26438-2026 tillsynsbegäran.docx", "A 26438-2026")</f>
        <v/>
      </c>
      <c r="AD168">
        <f>HYPERLINK("https://klasma.github.io/Logging_2582/tillsynsmail/A 26438-2026 tillsynsbegäran mail.docx", "A 26438-2026")</f>
        <v/>
      </c>
    </row>
    <row r="169" ht="15" customHeight="1">
      <c r="A169" t="inlineStr">
        <is>
          <t>A 26690-2026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46322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11.9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Knärot</t>
        </is>
      </c>
      <c r="W169">
        <f>HYPERLINK("https://klasma.github.io/Logging_2582/artfynd/A 26690-2026 artfynd.xlsx", "A 26690-2026")</f>
        <v/>
      </c>
      <c r="X169">
        <f>HYPERLINK("https://klasma.github.io/Logging_2582/kartor/A 26690-2026 karta.png", "A 26690-2026")</f>
        <v/>
      </c>
      <c r="Y169">
        <f>HYPERLINK("https://klasma.github.io/Logging_2582/kartor_geotiff/A 26690-2026 georefererad karta.tif", "A 26690-2026")</f>
        <v/>
      </c>
      <c r="Z169">
        <f>HYPERLINK("https://klasma.github.io/Logging_2582/knärot/A 26690-2026 karta knärot.png", "A 26690-2026")</f>
        <v/>
      </c>
      <c r="AA169">
        <f>HYPERLINK("https://klasma.github.io/Logging_2582/klagomål/A 26690-2026 FSC-klagomål.docx", "A 26690-2026")</f>
        <v/>
      </c>
      <c r="AB169">
        <f>HYPERLINK("https://klasma.github.io/Logging_2582/klagomålsmail/A 26690-2026 FSC-klagomål mail.docx", "A 26690-2026")</f>
        <v/>
      </c>
      <c r="AC169">
        <f>HYPERLINK("https://klasma.github.io/Logging_2582/tillsyn/A 26690-2026 tillsynsbegäran.docx", "A 26690-2026")</f>
        <v/>
      </c>
      <c r="AD169">
        <f>HYPERLINK("https://klasma.github.io/Logging_2582/tillsynsmail/A 26690-2026 tillsynsbegäran mail.docx", "A 26690-2026")</f>
        <v/>
      </c>
    </row>
    <row r="170" ht="15" customHeight="1">
      <c r="A170" t="inlineStr">
        <is>
          <t>A 34512-2026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46255</v>
      </c>
      <c r="E170" s="1" t="n">
        <v>46322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9.300000000000001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Skarp dropptaggsvamp</t>
        </is>
      </c>
      <c r="W170">
        <f>HYPERLINK("https://klasma.github.io/Logging_2582/artfynd/A 34512-2026 artfynd.xlsx", "A 34512-2026")</f>
        <v/>
      </c>
      <c r="X170">
        <f>HYPERLINK("https://klasma.github.io/Logging_2582/kartor/A 34512-2026 karta.png", "A 34512-2026")</f>
        <v/>
      </c>
      <c r="Y170">
        <f>HYPERLINK("https://klasma.github.io/Logging_2582/kartor_geotiff/A 34512-2026 georefererad karta.tif", "A 34512-2026")</f>
        <v/>
      </c>
      <c r="AA170">
        <f>HYPERLINK("https://klasma.github.io/Logging_2582/klagomål/A 34512-2026 FSC-klagomål.docx", "A 34512-2026")</f>
        <v/>
      </c>
      <c r="AB170">
        <f>HYPERLINK("https://klasma.github.io/Logging_2582/klagomålsmail/A 34512-2026 FSC-klagomål mail.docx", "A 34512-2026")</f>
        <v/>
      </c>
      <c r="AC170">
        <f>HYPERLINK("https://klasma.github.io/Logging_2582/tillsyn/A 34512-2026 tillsynsbegäran.docx", "A 34512-2026")</f>
        <v/>
      </c>
      <c r="AD170">
        <f>HYPERLINK("https://klasma.github.io/Logging_2582/tillsynsmail/A 34512-2026 tillsynsbegäran mail.docx", "A 34512-2026")</f>
        <v/>
      </c>
    </row>
    <row r="171" ht="15" customHeight="1">
      <c r="A171" t="inlineStr">
        <is>
          <t>A 41589-2026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46302</v>
      </c>
      <c r="E171" s="1" t="n">
        <v>46322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2.8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Reliktbock</t>
        </is>
      </c>
      <c r="W171">
        <f>HYPERLINK("https://klasma.github.io/Logging_2582/artfynd/A 41589-2026 artfynd.xlsx", "A 41589-2026")</f>
        <v/>
      </c>
      <c r="X171">
        <f>HYPERLINK("https://klasma.github.io/Logging_2582/kartor/A 41589-2026 karta.png", "A 41589-2026")</f>
        <v/>
      </c>
      <c r="Y171">
        <f>HYPERLINK("https://klasma.github.io/Logging_2582/kartor_geotiff/A 41589-2026 georefererad karta.tif", "A 41589-2026")</f>
        <v/>
      </c>
      <c r="AA171">
        <f>HYPERLINK("https://klasma.github.io/Logging_2582/klagomål/A 41589-2026 FSC-klagomål.docx", "A 41589-2026")</f>
        <v/>
      </c>
      <c r="AB171">
        <f>HYPERLINK("https://klasma.github.io/Logging_2582/klagomålsmail/A 41589-2026 FSC-klagomål mail.docx", "A 41589-2026")</f>
        <v/>
      </c>
      <c r="AC171">
        <f>HYPERLINK("https://klasma.github.io/Logging_2582/tillsyn/A 41589-2026 tillsynsbegäran.docx", "A 41589-2026")</f>
        <v/>
      </c>
      <c r="AD171">
        <f>HYPERLINK("https://klasma.github.io/Logging_2582/tillsynsmail/A 41589-2026 tillsynsbegäran mail.docx", "A 41589-2026")</f>
        <v/>
      </c>
    </row>
    <row r="172" ht="15" customHeight="1">
      <c r="A172" t="inlineStr">
        <is>
          <t>A 35292-2026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46322</v>
      </c>
      <c r="F172" t="inlineStr">
        <is>
          <t>NORRBOTTENS LÄN</t>
        </is>
      </c>
      <c r="G172" t="inlineStr">
        <is>
          <t>BODEN</t>
        </is>
      </c>
      <c r="I172" t="n">
        <v>4.9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Tretåig hackspett</t>
        </is>
      </c>
      <c r="W172">
        <f>HYPERLINK("https://klasma.github.io/Logging_2582/artfynd/A 35292-2026 artfynd.xlsx", "A 35292-2026")</f>
        <v/>
      </c>
      <c r="X172">
        <f>HYPERLINK("https://klasma.github.io/Logging_2582/kartor/A 35292-2026 karta.png", "A 35292-2026")</f>
        <v/>
      </c>
      <c r="Y172">
        <f>HYPERLINK("https://klasma.github.io/Logging_2582/kartor_geotiff/A 35292-2026 georefererad karta.tif", "A 35292-2026")</f>
        <v/>
      </c>
      <c r="AA172">
        <f>HYPERLINK("https://klasma.github.io/Logging_2582/klagomål/A 35292-2026 FSC-klagomål.docx", "A 35292-2026")</f>
        <v/>
      </c>
      <c r="AB172">
        <f>HYPERLINK("https://klasma.github.io/Logging_2582/klagomålsmail/A 35292-2026 FSC-klagomål mail.docx", "A 35292-2026")</f>
        <v/>
      </c>
      <c r="AC172">
        <f>HYPERLINK("https://klasma.github.io/Logging_2582/tillsyn/A 35292-2026 tillsynsbegäran.docx", "A 35292-2026")</f>
        <v/>
      </c>
      <c r="AD172">
        <f>HYPERLINK("https://klasma.github.io/Logging_2582/tillsynsmail/A 35292-2026 tillsynsbegäran mail.docx", "A 35292-2026")</f>
        <v/>
      </c>
      <c r="AE172">
        <f>HYPERLINK("https://klasma.github.io/Logging_2582/fåglar/A 35292-2026 prioriterade fågelarter.docx", "A 35292-2026")</f>
        <v/>
      </c>
    </row>
    <row r="173" ht="15" customHeight="1">
      <c r="A173" t="inlineStr">
        <is>
          <t>A 35299-2026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46322</v>
      </c>
      <c r="F173" t="inlineStr">
        <is>
          <t>NORRBOTTENS LÄN</t>
        </is>
      </c>
      <c r="G173" t="inlineStr">
        <is>
          <t>BODEN</t>
        </is>
      </c>
      <c r="I173" t="n">
        <v>3.3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Knärot</t>
        </is>
      </c>
      <c r="W173">
        <f>HYPERLINK("https://klasma.github.io/Logging_2582/artfynd/A 35299-2026 artfynd.xlsx", "A 35299-2026")</f>
        <v/>
      </c>
      <c r="X173">
        <f>HYPERLINK("https://klasma.github.io/Logging_2582/kartor/A 35299-2026 karta.png", "A 35299-2026")</f>
        <v/>
      </c>
      <c r="Y173">
        <f>HYPERLINK("https://klasma.github.io/Logging_2582/kartor_geotiff/A 35299-2026 georefererad karta.tif", "A 35299-2026")</f>
        <v/>
      </c>
      <c r="Z173">
        <f>HYPERLINK("https://klasma.github.io/Logging_2582/knärot/A 35299-2026 karta knärot.png", "A 35299-2026")</f>
        <v/>
      </c>
      <c r="AA173">
        <f>HYPERLINK("https://klasma.github.io/Logging_2582/klagomål/A 35299-2026 FSC-klagomål.docx", "A 35299-2026")</f>
        <v/>
      </c>
      <c r="AB173">
        <f>HYPERLINK("https://klasma.github.io/Logging_2582/klagomålsmail/A 35299-2026 FSC-klagomål mail.docx", "A 35299-2026")</f>
        <v/>
      </c>
      <c r="AC173">
        <f>HYPERLINK("https://klasma.github.io/Logging_2582/tillsyn/A 35299-2026 tillsynsbegäran.docx", "A 35299-2026")</f>
        <v/>
      </c>
      <c r="AD173">
        <f>HYPERLINK("https://klasma.github.io/Logging_2582/tillsynsmail/A 35299-2026 tillsynsbegäran mail.docx", "A 35299-2026")</f>
        <v/>
      </c>
    </row>
    <row r="174" ht="15" customHeight="1">
      <c r="A174" t="inlineStr">
        <is>
          <t>A 19396-2022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44692</v>
      </c>
      <c r="E174" s="1" t="n">
        <v>46322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13.1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HYPERLINK("https://klasma.github.io/Logging_2582/artfynd/A 19396-2022 artfynd.xlsx", "A 19396-2022")</f>
        <v/>
      </c>
      <c r="X174">
        <f>HYPERLINK("https://klasma.github.io/Logging_2582/kartor/A 19396-2022 karta.png", "A 19396-2022")</f>
        <v/>
      </c>
      <c r="Y174">
        <f>HYPERLINK("https://klasma.github.io/Logging_2582/kartor_geotiff/A 19396-2022 georefererad karta.tif", "A 19396-2022")</f>
        <v/>
      </c>
      <c r="AA174">
        <f>HYPERLINK("https://klasma.github.io/Logging_2582/klagomål/A 19396-2022 FSC-klagomål.docx", "A 19396-2022")</f>
        <v/>
      </c>
      <c r="AB174">
        <f>HYPERLINK("https://klasma.github.io/Logging_2582/klagomålsmail/A 19396-2022 FSC-klagomål mail.docx", "A 19396-2022")</f>
        <v/>
      </c>
      <c r="AC174">
        <f>HYPERLINK("https://klasma.github.io/Logging_2582/tillsyn/A 19396-2022 tillsynsbegäran.docx", "A 19396-2022")</f>
        <v/>
      </c>
      <c r="AD174">
        <f>HYPERLINK("https://klasma.github.io/Logging_2582/tillsynsmail/A 19396-2022 tillsynsbegäran mail.docx", "A 19396-2022")</f>
        <v/>
      </c>
    </row>
    <row r="175" ht="15" customHeight="1">
      <c r="A175" t="inlineStr">
        <is>
          <t>A 35415-2026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46261</v>
      </c>
      <c r="E175" s="1" t="n">
        <v>46322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2.6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2</v>
      </c>
      <c r="U175" t="n">
        <v>2</v>
      </c>
      <c r="V175" s="2" t="inlineStr">
        <is>
          <t>Knärot</t>
        </is>
      </c>
      <c r="W175">
        <f>HYPERLINK("https://klasma.github.io/Logging_2582/artfynd/A 35415-2026 artfynd.xlsx", "A 35415-2026")</f>
        <v/>
      </c>
      <c r="X175">
        <f>HYPERLINK("https://klasma.github.io/Logging_2582/kartor/A 35415-2026 karta.png", "A 35415-2026")</f>
        <v/>
      </c>
      <c r="Y175">
        <f>HYPERLINK("https://klasma.github.io/Logging_2582/kartor_geotiff/A 35415-2026 georefererad karta.tif", "A 35415-2026")</f>
        <v/>
      </c>
      <c r="Z175">
        <f>HYPERLINK("https://klasma.github.io/Logging_2582/knärot/A 35415-2026 karta knärot.png", "A 35415-2026")</f>
        <v/>
      </c>
      <c r="AA175">
        <f>HYPERLINK("https://klasma.github.io/Logging_2582/klagomål/A 35415-2026 FSC-klagomål.docx", "A 35415-2026")</f>
        <v/>
      </c>
      <c r="AB175">
        <f>HYPERLINK("https://klasma.github.io/Logging_2582/klagomålsmail/A 35415-2026 FSC-klagomål mail.docx", "A 35415-2026")</f>
        <v/>
      </c>
      <c r="AC175">
        <f>HYPERLINK("https://klasma.github.io/Logging_2582/tillsyn/A 35415-2026 tillsynsbegäran.docx", "A 35415-2026")</f>
        <v/>
      </c>
      <c r="AD175">
        <f>HYPERLINK("https://klasma.github.io/Logging_2582/tillsynsmail/A 35415-2026 tillsynsbegäran mail.docx", "A 35415-2026")</f>
        <v/>
      </c>
    </row>
    <row r="176" ht="15" customHeight="1">
      <c r="A176" t="inlineStr">
        <is>
          <t>A 35410-2026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46261</v>
      </c>
      <c r="E176" s="1" t="n">
        <v>46322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1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9</v>
      </c>
      <c r="U176" t="n">
        <v>9</v>
      </c>
      <c r="V176" s="2" t="inlineStr">
        <is>
          <t>Knärot</t>
        </is>
      </c>
      <c r="W176">
        <f>HYPERLINK("https://klasma.github.io/Logging_2582/artfynd/A 35410-2026 artfynd.xlsx", "A 35410-2026")</f>
        <v/>
      </c>
      <c r="X176">
        <f>HYPERLINK("https://klasma.github.io/Logging_2582/kartor/A 35410-2026 karta.png", "A 35410-2026")</f>
        <v/>
      </c>
      <c r="Y176">
        <f>HYPERLINK("https://klasma.github.io/Logging_2582/kartor_geotiff/A 35410-2026 georefererad karta.tif", "A 35410-2026")</f>
        <v/>
      </c>
      <c r="Z176">
        <f>HYPERLINK("https://klasma.github.io/Logging_2582/knärot/A 35410-2026 karta knärot.png", "A 35410-2026")</f>
        <v/>
      </c>
      <c r="AA176">
        <f>HYPERLINK("https://klasma.github.io/Logging_2582/klagomål/A 35410-2026 FSC-klagomål.docx", "A 35410-2026")</f>
        <v/>
      </c>
      <c r="AB176">
        <f>HYPERLINK("https://klasma.github.io/Logging_2582/klagomålsmail/A 35410-2026 FSC-klagomål mail.docx", "A 35410-2026")</f>
        <v/>
      </c>
      <c r="AC176">
        <f>HYPERLINK("https://klasma.github.io/Logging_2582/tillsyn/A 35410-2026 tillsynsbegäran.docx", "A 35410-2026")</f>
        <v/>
      </c>
      <c r="AD176">
        <f>HYPERLINK("https://klasma.github.io/Logging_2582/tillsynsmail/A 35410-2026 tillsynsbegäran mail.docx", "A 35410-2026")</f>
        <v/>
      </c>
    </row>
    <row r="177" ht="15" customHeight="1">
      <c r="A177" t="inlineStr">
        <is>
          <t>A 43166-2026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46311</v>
      </c>
      <c r="E177" s="1" t="n">
        <v>46322</v>
      </c>
      <c r="F177" t="inlineStr">
        <is>
          <t>NORRBOTTENS LÄN</t>
        </is>
      </c>
      <c r="G177" t="inlineStr">
        <is>
          <t>BODEN</t>
        </is>
      </c>
      <c r="I177" t="n">
        <v>10.6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Tofsmes</t>
        </is>
      </c>
      <c r="W177">
        <f>HYPERLINK("https://klasma.github.io/Logging_2582/artfynd/A 43166-2026 artfynd.xlsx", "A 43166-2026")</f>
        <v/>
      </c>
      <c r="X177">
        <f>HYPERLINK("https://klasma.github.io/Logging_2582/kartor/A 43166-2026 karta.png", "A 43166-2026")</f>
        <v/>
      </c>
      <c r="Y177">
        <f>HYPERLINK("https://klasma.github.io/Logging_2582/kartor_geotiff/A 43166-2026 georefererad karta.tif", "A 43166-2026")</f>
        <v/>
      </c>
      <c r="AA177">
        <f>HYPERLINK("https://klasma.github.io/Logging_2582/klagomål/A 43166-2026 FSC-klagomål.docx", "A 43166-2026")</f>
        <v/>
      </c>
      <c r="AB177">
        <f>HYPERLINK("https://klasma.github.io/Logging_2582/klagomålsmail/A 43166-2026 FSC-klagomål mail.docx", "A 43166-2026")</f>
        <v/>
      </c>
      <c r="AC177">
        <f>HYPERLINK("https://klasma.github.io/Logging_2582/tillsyn/A 43166-2026 tillsynsbegäran.docx", "A 43166-2026")</f>
        <v/>
      </c>
      <c r="AD177">
        <f>HYPERLINK("https://klasma.github.io/Logging_2582/tillsynsmail/A 43166-2026 tillsynsbegäran mail.docx", "A 43166-2026")</f>
        <v/>
      </c>
    </row>
    <row r="178" ht="15" customHeight="1">
      <c r="A178" t="inlineStr">
        <is>
          <t>A 36130-2026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46267</v>
      </c>
      <c r="E178" s="1" t="n">
        <v>46322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Vedflamlav</t>
        </is>
      </c>
      <c r="W178">
        <f>HYPERLINK("https://klasma.github.io/Logging_2582/artfynd/A 36130-2026 artfynd.xlsx", "A 36130-2026")</f>
        <v/>
      </c>
      <c r="X178">
        <f>HYPERLINK("https://klasma.github.io/Logging_2582/kartor/A 36130-2026 karta.png", "A 36130-2026")</f>
        <v/>
      </c>
      <c r="Y178">
        <f>HYPERLINK("https://klasma.github.io/Logging_2582/kartor_geotiff/A 36130-2026 georefererad karta.tif", "A 36130-2026")</f>
        <v/>
      </c>
      <c r="AA178">
        <f>HYPERLINK("https://klasma.github.io/Logging_2582/klagomål/A 36130-2026 FSC-klagomål.docx", "A 36130-2026")</f>
        <v/>
      </c>
      <c r="AB178">
        <f>HYPERLINK("https://klasma.github.io/Logging_2582/klagomålsmail/A 36130-2026 FSC-klagomål mail.docx", "A 36130-2026")</f>
        <v/>
      </c>
      <c r="AC178">
        <f>HYPERLINK("https://klasma.github.io/Logging_2582/tillsyn/A 36130-2026 tillsynsbegäran.docx", "A 36130-2026")</f>
        <v/>
      </c>
      <c r="AD178">
        <f>HYPERLINK("https://klasma.github.io/Logging_2582/tillsynsmail/A 36130-2026 tillsynsbegäran mail.docx", "A 36130-2026")</f>
        <v/>
      </c>
    </row>
    <row r="179" ht="15" customHeight="1">
      <c r="A179" t="inlineStr">
        <is>
          <t>A 36734-2026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46322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Fläcknycklar</t>
        </is>
      </c>
      <c r="W179">
        <f>HYPERLINK("https://klasma.github.io/Logging_2582/artfynd/A 36734-2026 artfynd.xlsx", "A 36734-2026")</f>
        <v/>
      </c>
      <c r="X179">
        <f>HYPERLINK("https://klasma.github.io/Logging_2582/kartor/A 36734-2026 karta.png", "A 36734-2026")</f>
        <v/>
      </c>
      <c r="Y179">
        <f>HYPERLINK("https://klasma.github.io/Logging_2582/kartor_geotiff/A 36734-2026 georefererad karta.tif", "A 36734-2026")</f>
        <v/>
      </c>
      <c r="AA179">
        <f>HYPERLINK("https://klasma.github.io/Logging_2582/klagomål/A 36734-2026 FSC-klagomål.docx", "A 36734-2026")</f>
        <v/>
      </c>
      <c r="AB179">
        <f>HYPERLINK("https://klasma.github.io/Logging_2582/klagomålsmail/A 36734-2026 FSC-klagomål mail.docx", "A 36734-2026")</f>
        <v/>
      </c>
      <c r="AC179">
        <f>HYPERLINK("https://klasma.github.io/Logging_2582/tillsyn/A 36734-2026 tillsynsbegäran.docx", "A 36734-2026")</f>
        <v/>
      </c>
      <c r="AD179">
        <f>HYPERLINK("https://klasma.github.io/Logging_2582/tillsynsmail/A 36734-2026 tillsynsbegäran mail.docx", "A 36734-2026")</f>
        <v/>
      </c>
    </row>
    <row r="180" ht="15" customHeight="1">
      <c r="A180" t="inlineStr">
        <is>
          <t>A 36749-2026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46272</v>
      </c>
      <c r="E180" s="1" t="n">
        <v>46322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8.699999999999999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t="n">
        <v>0</v>
      </c>
      <c r="V180" s="2" t="inlineStr">
        <is>
          <t>Vedflamlav</t>
        </is>
      </c>
      <c r="W180">
        <f>HYPERLINK("https://klasma.github.io/Logging_2582/artfynd/A 36749-2026 artfynd.xlsx", "A 36749-2026")</f>
        <v/>
      </c>
      <c r="X180">
        <f>HYPERLINK("https://klasma.github.io/Logging_2582/kartor/A 36749-2026 karta.png", "A 36749-2026")</f>
        <v/>
      </c>
      <c r="Y180">
        <f>HYPERLINK("https://klasma.github.io/Logging_2582/kartor_geotiff/A 36749-2026 georefererad karta.tif", "A 36749-2026")</f>
        <v/>
      </c>
      <c r="AA180">
        <f>HYPERLINK("https://klasma.github.io/Logging_2582/klagomål/A 36749-2026 FSC-klagomål.docx", "A 36749-2026")</f>
        <v/>
      </c>
      <c r="AB180">
        <f>HYPERLINK("https://klasma.github.io/Logging_2582/klagomålsmail/A 36749-2026 FSC-klagomål mail.docx", "A 36749-2026")</f>
        <v/>
      </c>
      <c r="AC180">
        <f>HYPERLINK("https://klasma.github.io/Logging_2582/tillsyn/A 36749-2026 tillsynsbegäran.docx", "A 36749-2026")</f>
        <v/>
      </c>
      <c r="AD180">
        <f>HYPERLINK("https://klasma.github.io/Logging_2582/tillsynsmail/A 36749-2026 tillsynsbegäran mail.docx", "A 36749-2026")</f>
        <v/>
      </c>
    </row>
    <row r="181" ht="15" customHeight="1">
      <c r="A181" t="inlineStr">
        <is>
          <t>S 187-2023</t>
        </is>
      </c>
      <c r="B181" t="inlineStr">
        <is>
          <t>samrådsanmälan</t>
        </is>
      </c>
      <c r="C181" t="inlineStr">
        <is>
          <t>Skogsgödsling</t>
        </is>
      </c>
      <c r="D181" s="1" t="n">
        <v>44944</v>
      </c>
      <c r="E181" s="1" t="n">
        <v>46322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407.1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Duvhök</t>
        </is>
      </c>
      <c r="W181">
        <f>HYPERLINK("https://klasma.github.io/Logging_2582/artfynd/S 187-2023 artfynd.xlsx", "S 187-2023")</f>
        <v/>
      </c>
      <c r="X181">
        <f>HYPERLINK("https://klasma.github.io/Logging_2582/kartor/S 187-2023 karta.png", "S 187-2023")</f>
        <v/>
      </c>
      <c r="Y181">
        <f>HYPERLINK("https://klasma.github.io/Logging_2582/kartor_geotiff/S 187-2023 georefererad karta.tif", "S 187-2023")</f>
        <v/>
      </c>
      <c r="AA181">
        <f>HYPERLINK("https://klasma.github.io/Logging_2582/klagomål/S 187-2023 FSC-klagomål.docx", "S 187-2023")</f>
        <v/>
      </c>
      <c r="AB181">
        <f>HYPERLINK("https://klasma.github.io/Logging_2582/klagomålsmail/S 187-2023 FSC-klagomål mail.docx", "S 187-2023")</f>
        <v/>
      </c>
      <c r="AC181">
        <f>HYPERLINK("https://klasma.github.io/Logging_2582/tillsyn/S 187-2023 tillsynsbegäran.docx", "S 187-2023")</f>
        <v/>
      </c>
      <c r="AD181">
        <f>HYPERLINK("https://klasma.github.io/Logging_2582/tillsynsmail/S 187-2023 tillsynsbegäran mail.docx", "S 187-2023")</f>
        <v/>
      </c>
      <c r="AE181">
        <f>HYPERLINK("https://klasma.github.io/Logging_2582/fåglar/S 187-2023 prioriterade fågelarter.docx", "S 187-2023")</f>
        <v/>
      </c>
    </row>
    <row r="182" ht="15" customHeight="1">
      <c r="A182" t="inlineStr">
        <is>
          <t>S 1448-2024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45418</v>
      </c>
      <c r="E182" s="1" t="n">
        <v>46322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Tallticka</t>
        </is>
      </c>
      <c r="W182">
        <f>HYPERLINK("https://klasma.github.io/Logging_2582/artfynd/S 1448-2024 artfynd.xlsx", "S 1448-2024")</f>
        <v/>
      </c>
      <c r="X182">
        <f>HYPERLINK("https://klasma.github.io/Logging_2582/kartor/S 1448-2024 karta.png", "S 1448-2024")</f>
        <v/>
      </c>
      <c r="Y182">
        <f>HYPERLINK("https://klasma.github.io/Logging_2582/kartor_geotiff/S 1448-2024 georefererad karta.tif", "S 1448-2024")</f>
        <v/>
      </c>
      <c r="AA182">
        <f>HYPERLINK("https://klasma.github.io/Logging_2582/klagomål/S 1448-2024 FSC-klagomål.docx", "S 1448-2024")</f>
        <v/>
      </c>
      <c r="AB182">
        <f>HYPERLINK("https://klasma.github.io/Logging_2582/klagomålsmail/S 1448-2024 FSC-klagomål mail.docx", "S 1448-2024")</f>
        <v/>
      </c>
      <c r="AC182">
        <f>HYPERLINK("https://klasma.github.io/Logging_2582/tillsyn/S 1448-2024 tillsynsbegäran.docx", "S 1448-2024")</f>
        <v/>
      </c>
      <c r="AD182">
        <f>HYPERLINK("https://klasma.github.io/Logging_2582/tillsynsmail/S 1448-2024 tillsynsbegäran mail.docx", "S 1448-2024")</f>
        <v/>
      </c>
    </row>
    <row r="183" ht="15" customHeight="1">
      <c r="A183" t="inlineStr">
        <is>
          <t>S 1234-2023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45028</v>
      </c>
      <c r="E183" s="1" t="n">
        <v>46322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100.1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HYPERLINK("https://klasma.github.io/Logging_2582/artfynd/S 1234-2023 artfynd.xlsx", "S 1234-2023")</f>
        <v/>
      </c>
      <c r="X183">
        <f>HYPERLINK("https://klasma.github.io/Logging_2582/kartor/S 1234-2023 karta.png", "S 1234-2023")</f>
        <v/>
      </c>
      <c r="Y183">
        <f>HYPERLINK("https://klasma.github.io/Logging_2582/kartor_geotiff/S 1234-2023 georefererad karta.tif", "S 1234-2023")</f>
        <v/>
      </c>
      <c r="AA183">
        <f>HYPERLINK("https://klasma.github.io/Logging_2582/klagomål/S 1234-2023 FSC-klagomål.docx", "S 1234-2023")</f>
        <v/>
      </c>
      <c r="AB183">
        <f>HYPERLINK("https://klasma.github.io/Logging_2582/klagomålsmail/S 1234-2023 FSC-klagomål mail.docx", "S 1234-2023")</f>
        <v/>
      </c>
      <c r="AC183">
        <f>HYPERLINK("https://klasma.github.io/Logging_2582/tillsyn/S 1234-2023 tillsynsbegäran.docx", "S 1234-2023")</f>
        <v/>
      </c>
      <c r="AD183">
        <f>HYPERLINK("https://klasma.github.io/Logging_2582/tillsynsmail/S 1234-2023 tillsynsbegäran mail.docx", "S 1234-2023")</f>
        <v/>
      </c>
    </row>
    <row r="184" ht="15" customHeight="1">
      <c r="A184" t="inlineStr">
        <is>
          <t>S 5116-2024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45643</v>
      </c>
      <c r="E184" s="1" t="n">
        <v>46322</v>
      </c>
      <c r="F184" t="inlineStr">
        <is>
          <t>NORRBOTTENS LÄN</t>
        </is>
      </c>
      <c r="G184" t="inlineStr">
        <is>
          <t>BODEN</t>
        </is>
      </c>
      <c r="I184" t="n">
        <v>9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Mattlummer</t>
        </is>
      </c>
      <c r="W184">
        <f>HYPERLINK("https://klasma.github.io/Logging_2582/artfynd/S 5116-2024 artfynd.xlsx", "S 5116-2024")</f>
        <v/>
      </c>
      <c r="X184">
        <f>HYPERLINK("https://klasma.github.io/Logging_2582/kartor/S 5116-2024 karta.png", "S 5116-2024")</f>
        <v/>
      </c>
      <c r="Y184">
        <f>HYPERLINK("https://klasma.github.io/Logging_2582/kartor_geotiff/S 5116-2024 georefererad karta.tif", "S 5116-2024")</f>
        <v/>
      </c>
      <c r="AA184">
        <f>HYPERLINK("https://klasma.github.io/Logging_2582/klagomål/S 5116-2024 FSC-klagomål.docx", "S 5116-2024")</f>
        <v/>
      </c>
      <c r="AB184">
        <f>HYPERLINK("https://klasma.github.io/Logging_2582/klagomålsmail/S 5116-2024 FSC-klagomål mail.docx", "S 5116-2024")</f>
        <v/>
      </c>
      <c r="AC184">
        <f>HYPERLINK("https://klasma.github.io/Logging_2582/tillsyn/S 5116-2024 tillsynsbegäran.docx", "S 5116-2024")</f>
        <v/>
      </c>
      <c r="AD184">
        <f>HYPERLINK("https://klasma.github.io/Logging_2582/tillsynsmail/S 5116-2024 tillsynsbegäran mail.docx", "S 5116-2024")</f>
        <v/>
      </c>
    </row>
    <row r="185" ht="15" customHeight="1">
      <c r="A185" t="inlineStr">
        <is>
          <t>S 1634-2025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45799</v>
      </c>
      <c r="E185" s="1" t="n">
        <v>46322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1.9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Knärot</t>
        </is>
      </c>
      <c r="W185">
        <f>HYPERLINK("https://klasma.github.io/Logging_2582/artfynd/S 1634-2025 artfynd.xlsx", "S 1634-2025")</f>
        <v/>
      </c>
      <c r="X185">
        <f>HYPERLINK("https://klasma.github.io/Logging_2582/kartor/S 1634-2025 karta.png", "S 1634-2025")</f>
        <v/>
      </c>
      <c r="Y185">
        <f>HYPERLINK("https://klasma.github.io/Logging_2582/kartor_geotiff/S 1634-2025 georefererad karta.tif", "S 1634-2025")</f>
        <v/>
      </c>
      <c r="Z185">
        <f>HYPERLINK("https://klasma.github.io/Logging_2582/knärot/S 1634-2025 karta knärot.png", "S 1634-2025")</f>
        <v/>
      </c>
      <c r="AA185">
        <f>HYPERLINK("https://klasma.github.io/Logging_2582/klagomål/S 1634-2025 FSC-klagomål.docx", "S 1634-2025")</f>
        <v/>
      </c>
      <c r="AB185">
        <f>HYPERLINK("https://klasma.github.io/Logging_2582/klagomålsmail/S 1634-2025 FSC-klagomål mail.docx", "S 1634-2025")</f>
        <v/>
      </c>
      <c r="AC185">
        <f>HYPERLINK("https://klasma.github.io/Logging_2582/tillsyn/S 1634-2025 tillsynsbegäran.docx", "S 1634-2025")</f>
        <v/>
      </c>
      <c r="AD185">
        <f>HYPERLINK("https://klasma.github.io/Logging_2582/tillsynsmail/S 1634-2025 tillsynsbegäran mail.docx", "S 1634-2025")</f>
        <v/>
      </c>
    </row>
    <row r="186" ht="15" customHeight="1">
      <c r="A186" t="inlineStr">
        <is>
          <t>S 2450-2025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45901</v>
      </c>
      <c r="E186" s="1" t="n">
        <v>46322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HYPERLINK("https://klasma.github.io/Logging_2582/artfynd/S 2450-2025 artfynd.xlsx", "S 2450-2025")</f>
        <v/>
      </c>
      <c r="X186">
        <f>HYPERLINK("https://klasma.github.io/Logging_2582/kartor/S 2450-2025 karta.png", "S 2450-2025")</f>
        <v/>
      </c>
      <c r="Y186">
        <f>HYPERLINK("https://klasma.github.io/Logging_2582/kartor_geotiff/S 2450-2025 georefererad karta.tif", "S 2450-2025")</f>
        <v/>
      </c>
      <c r="AA186">
        <f>HYPERLINK("https://klasma.github.io/Logging_2582/klagomål/S 2450-2025 FSC-klagomål.docx", "S 2450-2025")</f>
        <v/>
      </c>
      <c r="AB186">
        <f>HYPERLINK("https://klasma.github.io/Logging_2582/klagomålsmail/S 2450-2025 FSC-klagomål mail.docx", "S 2450-2025")</f>
        <v/>
      </c>
      <c r="AC186">
        <f>HYPERLINK("https://klasma.github.io/Logging_2582/tillsyn/S 2450-2025 tillsynsbegäran.docx", "S 2450-2025")</f>
        <v/>
      </c>
      <c r="AD186">
        <f>HYPERLINK("https://klasma.github.io/Logging_2582/tillsynsmail/S 2450-2025 tillsynsbegäran mail.docx", "S 2450-2025")</f>
        <v/>
      </c>
    </row>
    <row r="187" ht="15" customHeight="1">
      <c r="A187" t="inlineStr">
        <is>
          <t>S 2940-2025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45952</v>
      </c>
      <c r="E187" s="1" t="n">
        <v>46322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0.7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Skinnlav</t>
        </is>
      </c>
      <c r="W187">
        <f>HYPERLINK("https://klasma.github.io/Logging_2582/artfynd/S 2940-2025 artfynd.xlsx", "S 2940-2025")</f>
        <v/>
      </c>
      <c r="X187">
        <f>HYPERLINK("https://klasma.github.io/Logging_2582/kartor/S 2940-2025 karta.png", "S 2940-2025")</f>
        <v/>
      </c>
      <c r="Y187">
        <f>HYPERLINK("https://klasma.github.io/Logging_2582/kartor_geotiff/S 2940-2025 georefererad karta.tif", "S 2940-2025")</f>
        <v/>
      </c>
      <c r="AA187">
        <f>HYPERLINK("https://klasma.github.io/Logging_2582/klagomål/S 2940-2025 FSC-klagomål.docx", "S 2940-2025")</f>
        <v/>
      </c>
      <c r="AB187">
        <f>HYPERLINK("https://klasma.github.io/Logging_2582/klagomålsmail/S 2940-2025 FSC-klagomål mail.docx", "S 2940-2025")</f>
        <v/>
      </c>
      <c r="AC187">
        <f>HYPERLINK("https://klasma.github.io/Logging_2582/tillsyn/S 2940-2025 tillsynsbegäran.docx", "S 2940-2025")</f>
        <v/>
      </c>
      <c r="AD187">
        <f>HYPERLINK("https://klasma.github.io/Logging_2582/tillsynsmail/S 2940-2025 tillsynsbegäran mail.docx", "S 2940-2025")</f>
        <v/>
      </c>
    </row>
    <row r="188" ht="15" customHeight="1">
      <c r="A188" t="inlineStr">
        <is>
          <t>A 63790-2021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46322</v>
      </c>
      <c r="F188" t="inlineStr">
        <is>
          <t>NORRBOTTENS LÄN</t>
        </is>
      </c>
      <c r="G188" t="inlineStr">
        <is>
          <t>BODEN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44677</v>
      </c>
      <c r="E189" s="1" t="n">
        <v>46322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44577</v>
      </c>
      <c r="E190" s="1" t="n">
        <v>46322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15406-2022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44659</v>
      </c>
      <c r="E191" s="1" t="n">
        <v>46322</v>
      </c>
      <c r="F191" t="inlineStr">
        <is>
          <t>NORRBOTTENS LÄN</t>
        </is>
      </c>
      <c r="G191" t="inlineStr">
        <is>
          <t>BODEN</t>
        </is>
      </c>
      <c r="I191" t="n">
        <v>11.2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44671</v>
      </c>
      <c r="E192" s="1" t="n">
        <v>46322</v>
      </c>
      <c r="F192" t="inlineStr">
        <is>
          <t>NORRBOTTENS LÄN</t>
        </is>
      </c>
      <c r="G192" t="inlineStr">
        <is>
          <t>BODEN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44852</v>
      </c>
      <c r="E193" s="1" t="n">
        <v>46322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38722-2022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44815</v>
      </c>
      <c r="E194" s="1" t="n">
        <v>46322</v>
      </c>
      <c r="F194" t="inlineStr">
        <is>
          <t>NORRBOTTENS LÄN</t>
        </is>
      </c>
      <c r="G194" t="inlineStr">
        <is>
          <t>BODEN</t>
        </is>
      </c>
      <c r="H194" t="inlineStr">
        <is>
          <t>Övriga statliga verk och myndigheter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44648</v>
      </c>
      <c r="E195" s="1" t="n">
        <v>46322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44617</v>
      </c>
      <c r="E196" s="1" t="n">
        <v>46322</v>
      </c>
      <c r="F196" t="inlineStr">
        <is>
          <t>NORRBOTTENS LÄN</t>
        </is>
      </c>
      <c r="G196" t="inlineStr">
        <is>
          <t>BODEN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44648</v>
      </c>
      <c r="E197" s="1" t="n">
        <v>46322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50322-2022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44865</v>
      </c>
      <c r="E198" s="1" t="n">
        <v>46322</v>
      </c>
      <c r="F198" t="inlineStr">
        <is>
          <t>NORRBOTTENS LÄN</t>
        </is>
      </c>
      <c r="G198" t="inlineStr">
        <is>
          <t>BODEN</t>
        </is>
      </c>
      <c r="H198" t="inlineStr">
        <is>
          <t>SCA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46322</v>
      </c>
      <c r="F199" t="inlineStr">
        <is>
          <t>NORRBOTTENS LÄN</t>
        </is>
      </c>
      <c r="G199" t="inlineStr">
        <is>
          <t>BODEN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44609</v>
      </c>
      <c r="E200" s="1" t="n">
        <v>46322</v>
      </c>
      <c r="F200" t="inlineStr">
        <is>
          <t>NORRBOTTENS LÄN</t>
        </is>
      </c>
      <c r="G200" t="inlineStr">
        <is>
          <t>BODEN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44671</v>
      </c>
      <c r="E201" s="1" t="n">
        <v>46322</v>
      </c>
      <c r="F201" t="inlineStr">
        <is>
          <t>NORRBOTTENS LÄN</t>
        </is>
      </c>
      <c r="G201" t="inlineStr">
        <is>
          <t>BODEN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44887</v>
      </c>
      <c r="E202" s="1" t="n">
        <v>46322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46322</v>
      </c>
      <c r="F203" t="inlineStr">
        <is>
          <t>NORRBOTTENS LÄN</t>
        </is>
      </c>
      <c r="G203" t="inlineStr">
        <is>
          <t>BODEN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71833-2021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44543</v>
      </c>
      <c r="E204" s="1" t="n">
        <v>46322</v>
      </c>
      <c r="F204" t="inlineStr">
        <is>
          <t>NORRBOTTENS LÄN</t>
        </is>
      </c>
      <c r="G204" t="inlineStr">
        <is>
          <t>BODEN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68914-2021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46322</v>
      </c>
      <c r="F205" t="inlineStr">
        <is>
          <t>NORRBOTTENS LÄN</t>
        </is>
      </c>
      <c r="G205" t="inlineStr">
        <is>
          <t>BODEN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13552-2022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44648</v>
      </c>
      <c r="E206" s="1" t="n">
        <v>46322</v>
      </c>
      <c r="F206" t="inlineStr">
        <is>
          <t>NORRBOTTENS LÄN</t>
        </is>
      </c>
      <c r="G206" t="inlineStr">
        <is>
          <t>BODEN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26013-2022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44734</v>
      </c>
      <c r="E207" s="1" t="n">
        <v>46322</v>
      </c>
      <c r="F207" t="inlineStr">
        <is>
          <t>NORRBOTTENS LÄN</t>
        </is>
      </c>
      <c r="G207" t="inlineStr">
        <is>
          <t>BODEN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710-2022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46322</v>
      </c>
      <c r="F208" t="inlineStr">
        <is>
          <t>NORRBOTTENS LÄN</t>
        </is>
      </c>
      <c r="G208" t="inlineStr">
        <is>
          <t>BODEN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714-2022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46322</v>
      </c>
      <c r="F209" t="inlineStr">
        <is>
          <t>NORRBOTTENS LÄN</t>
        </is>
      </c>
      <c r="G209" t="inlineStr">
        <is>
          <t>BODEN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44600</v>
      </c>
      <c r="E210" s="1" t="n">
        <v>46322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29119-2022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44749</v>
      </c>
      <c r="E211" s="1" t="n">
        <v>46322</v>
      </c>
      <c r="F211" t="inlineStr">
        <is>
          <t>NORRBOTTENS LÄN</t>
        </is>
      </c>
      <c r="G211" t="inlineStr">
        <is>
          <t>BODEN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44722</v>
      </c>
      <c r="E212" s="1" t="n">
        <v>46322</v>
      </c>
      <c r="F212" t="inlineStr">
        <is>
          <t>NORRBOTTENS LÄN</t>
        </is>
      </c>
      <c r="G212" t="inlineStr">
        <is>
          <t>BODEN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69124-2021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44530</v>
      </c>
      <c r="E213" s="1" t="n">
        <v>46322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44565</v>
      </c>
      <c r="E214" s="1" t="n">
        <v>46322</v>
      </c>
      <c r="F214" t="inlineStr">
        <is>
          <t>NORRBOTTENS LÄN</t>
        </is>
      </c>
      <c r="G214" t="inlineStr">
        <is>
          <t>BODEN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44566</v>
      </c>
      <c r="E215" s="1" t="n">
        <v>46322</v>
      </c>
      <c r="F215" t="inlineStr">
        <is>
          <t>NORRBOTTENS LÄN</t>
        </is>
      </c>
      <c r="G215" t="inlineStr">
        <is>
          <t>BODEN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44573</v>
      </c>
      <c r="E216" s="1" t="n">
        <v>46322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44617</v>
      </c>
      <c r="E217" s="1" t="n">
        <v>46322</v>
      </c>
      <c r="F217" t="inlineStr">
        <is>
          <t>NORRBOTTENS LÄN</t>
        </is>
      </c>
      <c r="G217" t="inlineStr">
        <is>
          <t>BODEN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46322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44625</v>
      </c>
      <c r="E219" s="1" t="n">
        <v>46322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44596</v>
      </c>
      <c r="E220" s="1" t="n">
        <v>46322</v>
      </c>
      <c r="F220" t="inlineStr">
        <is>
          <t>NORRBOTTENS LÄN</t>
        </is>
      </c>
      <c r="G220" t="inlineStr">
        <is>
          <t>BODEN</t>
        </is>
      </c>
      <c r="H220" t="inlineStr">
        <is>
          <t>Övriga statliga verk och myndigheter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46322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46322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46322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44743</v>
      </c>
      <c r="E224" s="1" t="n">
        <v>46322</v>
      </c>
      <c r="F224" t="inlineStr">
        <is>
          <t>NORRBOTTENS LÄN</t>
        </is>
      </c>
      <c r="G224" t="inlineStr">
        <is>
          <t>BODEN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46322</v>
      </c>
      <c r="F225" t="inlineStr">
        <is>
          <t>NORRBOTTENS LÄN</t>
        </is>
      </c>
      <c r="G225" t="inlineStr">
        <is>
          <t>BODEN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44565</v>
      </c>
      <c r="E226" s="1" t="n">
        <v>46322</v>
      </c>
      <c r="F226" t="inlineStr">
        <is>
          <t>NORRBOTTENS LÄN</t>
        </is>
      </c>
      <c r="G226" t="inlineStr">
        <is>
          <t>BODEN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44797</v>
      </c>
      <c r="E227" s="1" t="n">
        <v>46322</v>
      </c>
      <c r="F227" t="inlineStr">
        <is>
          <t>NORRBOTTENS LÄN</t>
        </is>
      </c>
      <c r="G227" t="inlineStr">
        <is>
          <t>BODEN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46322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46322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44635</v>
      </c>
      <c r="E230" s="1" t="n">
        <v>46322</v>
      </c>
      <c r="F230" t="inlineStr">
        <is>
          <t>NORRBOTTENS LÄN</t>
        </is>
      </c>
      <c r="G230" t="inlineStr">
        <is>
          <t>BODEN</t>
        </is>
      </c>
      <c r="H230" t="inlineStr">
        <is>
          <t>Kyrkan</t>
        </is>
      </c>
      <c r="I230" t="n">
        <v>16.5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44795</v>
      </c>
      <c r="E231" s="1" t="n">
        <v>46322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46322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46322</v>
      </c>
      <c r="F233" t="inlineStr">
        <is>
          <t>NORRBOTTENS LÄN</t>
        </is>
      </c>
      <c r="G233" t="inlineStr">
        <is>
          <t>BODEN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46322</v>
      </c>
      <c r="F234" t="inlineStr">
        <is>
          <t>NORRBOTTENS LÄN</t>
        </is>
      </c>
      <c r="G234" t="inlineStr">
        <is>
          <t>BODEN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46322</v>
      </c>
      <c r="F235" t="inlineStr">
        <is>
          <t>NORRBOTTENS LÄN</t>
        </is>
      </c>
      <c r="G235" t="inlineStr">
        <is>
          <t>BODEN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46322</v>
      </c>
      <c r="F236" t="inlineStr">
        <is>
          <t>NORRBOTTENS LÄN</t>
        </is>
      </c>
      <c r="G236" t="inlineStr">
        <is>
          <t>BODEN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46322</v>
      </c>
      <c r="F237" t="inlineStr">
        <is>
          <t>NORRBOTTENS LÄN</t>
        </is>
      </c>
      <c r="G237" t="inlineStr">
        <is>
          <t>BODEN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2426-2024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45310</v>
      </c>
      <c r="E238" s="1" t="n">
        <v>46322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46322</v>
      </c>
      <c r="F239" t="inlineStr">
        <is>
          <t>NORRBOTTENS LÄN</t>
        </is>
      </c>
      <c r="G239" t="inlineStr">
        <is>
          <t>BODEN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46322</v>
      </c>
      <c r="F240" t="inlineStr">
        <is>
          <t>NORRBOTTENS LÄN</t>
        </is>
      </c>
      <c r="G240" t="inlineStr">
        <is>
          <t>BODEN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46322</v>
      </c>
      <c r="F241" t="inlineStr">
        <is>
          <t>NORRBOTTENS LÄN</t>
        </is>
      </c>
      <c r="G241" t="inlineStr">
        <is>
          <t>BODEN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46322</v>
      </c>
      <c r="F242" t="inlineStr">
        <is>
          <t>NORRBOTTENS LÄN</t>
        </is>
      </c>
      <c r="G242" t="inlineStr">
        <is>
          <t>BODEN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45770</v>
      </c>
      <c r="E243" s="1" t="n">
        <v>46322</v>
      </c>
      <c r="F243" t="inlineStr">
        <is>
          <t>NORRBOTTENS LÄN</t>
        </is>
      </c>
      <c r="G243" t="inlineStr">
        <is>
          <t>BODEN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73910-2021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46322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39717-2025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45891</v>
      </c>
      <c r="E245" s="1" t="n">
        <v>46322</v>
      </c>
      <c r="F245" t="inlineStr">
        <is>
          <t>NORRBOTTENS LÄN</t>
        </is>
      </c>
      <c r="G245" t="inlineStr">
        <is>
          <t>BODEN</t>
        </is>
      </c>
      <c r="I245" t="n">
        <v>13.9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46322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46322</v>
      </c>
      <c r="F247" t="inlineStr">
        <is>
          <t>NORRBOTTENS LÄN</t>
        </is>
      </c>
      <c r="G247" t="inlineStr">
        <is>
          <t>BODEN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46322</v>
      </c>
      <c r="F248" t="inlineStr">
        <is>
          <t>NORRBOTTENS LÄN</t>
        </is>
      </c>
      <c r="G248" t="inlineStr">
        <is>
          <t>BODEN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45762</v>
      </c>
      <c r="E249" s="1" t="n">
        <v>46322</v>
      </c>
      <c r="F249" t="inlineStr">
        <is>
          <t>NORRBOTTENS LÄN</t>
        </is>
      </c>
      <c r="G249" t="inlineStr">
        <is>
          <t>BODEN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60466-2024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45643</v>
      </c>
      <c r="E250" s="1" t="n">
        <v>46322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46322</v>
      </c>
      <c r="F251" t="inlineStr">
        <is>
          <t>NORRBOTTENS LÄN</t>
        </is>
      </c>
      <c r="G251" t="inlineStr">
        <is>
          <t>BODEN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46322</v>
      </c>
      <c r="F252" t="inlineStr">
        <is>
          <t>NORRBOTTENS LÄN</t>
        </is>
      </c>
      <c r="G252" t="inlineStr">
        <is>
          <t>BODEN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46322</v>
      </c>
      <c r="F253" t="inlineStr">
        <is>
          <t>NORRBOTTENS LÄN</t>
        </is>
      </c>
      <c r="G253" t="inlineStr">
        <is>
          <t>BODEN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46322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8120-2022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44609</v>
      </c>
      <c r="E255" s="1" t="n">
        <v>46322</v>
      </c>
      <c r="F255" t="inlineStr">
        <is>
          <t>NORRBOTTENS LÄN</t>
        </is>
      </c>
      <c r="G255" t="inlineStr">
        <is>
          <t>BODEN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45035</v>
      </c>
      <c r="E256" s="1" t="n">
        <v>46322</v>
      </c>
      <c r="F256" t="inlineStr">
        <is>
          <t>NORRBOTTENS LÄN</t>
        </is>
      </c>
      <c r="G256" t="inlineStr">
        <is>
          <t>BODEN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45238</v>
      </c>
      <c r="E257" s="1" t="n">
        <v>46322</v>
      </c>
      <c r="F257" t="inlineStr">
        <is>
          <t>NORRBOTTENS LÄN</t>
        </is>
      </c>
      <c r="G257" t="inlineStr">
        <is>
          <t>BODEN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45476</v>
      </c>
      <c r="E258" s="1" t="n">
        <v>46322</v>
      </c>
      <c r="F258" t="inlineStr">
        <is>
          <t>NORRBOTTENS LÄN</t>
        </is>
      </c>
      <c r="G258" t="inlineStr">
        <is>
          <t>BODEN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46322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46322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54590-2022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44883</v>
      </c>
      <c r="E261" s="1" t="n">
        <v>46322</v>
      </c>
      <c r="F261" t="inlineStr">
        <is>
          <t>NORRBOTTENS LÄN</t>
        </is>
      </c>
      <c r="G261" t="inlineStr">
        <is>
          <t>BODEN</t>
        </is>
      </c>
      <c r="H261" t="inlineStr">
        <is>
          <t>Sveaskog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46322</v>
      </c>
      <c r="F262" t="inlineStr">
        <is>
          <t>NORRBOTTENS LÄN</t>
        </is>
      </c>
      <c r="G262" t="inlineStr">
        <is>
          <t>BODEN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41691-2025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45902</v>
      </c>
      <c r="E263" s="1" t="n">
        <v>46322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45529</v>
      </c>
      <c r="E264" s="1" t="n">
        <v>46322</v>
      </c>
      <c r="F264" t="inlineStr">
        <is>
          <t>NORRBOTTENS LÄN</t>
        </is>
      </c>
      <c r="G264" t="inlineStr">
        <is>
          <t>BODEN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46322</v>
      </c>
      <c r="F265" t="inlineStr">
        <is>
          <t>NORRBOTTENS LÄN</t>
        </is>
      </c>
      <c r="G265" t="inlineStr">
        <is>
          <t>BODEN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45907</v>
      </c>
      <c r="E266" s="1" t="n">
        <v>46322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46322</v>
      </c>
      <c r="F267" t="inlineStr">
        <is>
          <t>NORRBOTTENS LÄN</t>
        </is>
      </c>
      <c r="G267" t="inlineStr">
        <is>
          <t>BODEN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45454</v>
      </c>
      <c r="E268" s="1" t="n">
        <v>46322</v>
      </c>
      <c r="F268" t="inlineStr">
        <is>
          <t>NORRBOTTENS LÄN</t>
        </is>
      </c>
      <c r="G268" t="inlineStr">
        <is>
          <t>BODEN</t>
        </is>
      </c>
      <c r="I268" t="n">
        <v>10.9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45910</v>
      </c>
      <c r="E269" s="1" t="n">
        <v>46322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44614</v>
      </c>
      <c r="E270" s="1" t="n">
        <v>46322</v>
      </c>
      <c r="F270" t="inlineStr">
        <is>
          <t>NORRBOTTENS LÄN</t>
        </is>
      </c>
      <c r="G270" t="inlineStr">
        <is>
          <t>BODEN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45910</v>
      </c>
      <c r="E271" s="1" t="n">
        <v>46322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45079</v>
      </c>
      <c r="E272" s="1" t="n">
        <v>46322</v>
      </c>
      <c r="F272" t="inlineStr">
        <is>
          <t>NORRBOTTENS LÄN</t>
        </is>
      </c>
      <c r="G272" t="inlineStr">
        <is>
          <t>BODEN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46322</v>
      </c>
      <c r="F273" t="inlineStr">
        <is>
          <t>NORRBOTTENS LÄN</t>
        </is>
      </c>
      <c r="G273" t="inlineStr">
        <is>
          <t>BODEN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44783</v>
      </c>
      <c r="E274" s="1" t="n">
        <v>46322</v>
      </c>
      <c r="F274" t="inlineStr">
        <is>
          <t>NORRBOTTENS LÄN</t>
        </is>
      </c>
      <c r="G274" t="inlineStr">
        <is>
          <t>BODEN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46322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46322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43993-2025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46322</v>
      </c>
      <c r="F277" t="inlineStr">
        <is>
          <t>NORRBOTTENS LÄN</t>
        </is>
      </c>
      <c r="G277" t="inlineStr">
        <is>
          <t>BODEN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46322</v>
      </c>
      <c r="F278" t="inlineStr">
        <is>
          <t>NORRBOTTENS LÄN</t>
        </is>
      </c>
      <c r="G278" t="inlineStr">
        <is>
          <t>BODEN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46322</v>
      </c>
      <c r="F279" t="inlineStr">
        <is>
          <t>NORRBOTTENS LÄN</t>
        </is>
      </c>
      <c r="G279" t="inlineStr">
        <is>
          <t>BODEN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46322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45233</v>
      </c>
      <c r="E281" s="1" t="n">
        <v>46322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46322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18679-2025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46322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45125</v>
      </c>
      <c r="E284" s="1" t="n">
        <v>46322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45919</v>
      </c>
      <c r="E285" s="1" t="n">
        <v>46322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46322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45600</v>
      </c>
      <c r="E287" s="1" t="n">
        <v>46322</v>
      </c>
      <c r="F287" t="inlineStr">
        <is>
          <t>NORRBOTTENS LÄN</t>
        </is>
      </c>
      <c r="G287" t="inlineStr">
        <is>
          <t>BODEN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46322</v>
      </c>
      <c r="F288" t="inlineStr">
        <is>
          <t>NORRBOTTENS LÄN</t>
        </is>
      </c>
      <c r="G288" t="inlineStr">
        <is>
          <t>BODEN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58504-2024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45635</v>
      </c>
      <c r="E289" s="1" t="n">
        <v>46322</v>
      </c>
      <c r="F289" t="inlineStr">
        <is>
          <t>NORRBOTTENS LÄN</t>
        </is>
      </c>
      <c r="G289" t="inlineStr">
        <is>
          <t>BODEN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45922</v>
      </c>
      <c r="E290" s="1" t="n">
        <v>46322</v>
      </c>
      <c r="F290" t="inlineStr">
        <is>
          <t>NORRBOTTENS LÄN</t>
        </is>
      </c>
      <c r="G290" t="inlineStr">
        <is>
          <t>BODEN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46322</v>
      </c>
      <c r="F291" t="inlineStr">
        <is>
          <t>NORRBOTTENS LÄN</t>
        </is>
      </c>
      <c r="G291" t="inlineStr">
        <is>
          <t>BODEN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46322</v>
      </c>
      <c r="F292" t="inlineStr">
        <is>
          <t>NORRBOTTENS LÄN</t>
        </is>
      </c>
      <c r="G292" t="inlineStr">
        <is>
          <t>BODEN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46322</v>
      </c>
      <c r="F293" t="inlineStr">
        <is>
          <t>NORRBOTTENS LÄN</t>
        </is>
      </c>
      <c r="G293" t="inlineStr">
        <is>
          <t>BODEN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45419</v>
      </c>
      <c r="E294" s="1" t="n">
        <v>46322</v>
      </c>
      <c r="F294" t="inlineStr">
        <is>
          <t>NORRBOTTENS LÄN</t>
        </is>
      </c>
      <c r="G294" t="inlineStr">
        <is>
          <t>BODEN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45925</v>
      </c>
      <c r="E295" s="1" t="n">
        <v>46322</v>
      </c>
      <c r="F295" t="inlineStr">
        <is>
          <t>NORRBOTTENS LÄN</t>
        </is>
      </c>
      <c r="G295" t="inlineStr">
        <is>
          <t>BODEN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45925</v>
      </c>
      <c r="E296" s="1" t="n">
        <v>46322</v>
      </c>
      <c r="F296" t="inlineStr">
        <is>
          <t>NORRBOTTENS LÄN</t>
        </is>
      </c>
      <c r="G296" t="inlineStr">
        <is>
          <t>BODEN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45773</v>
      </c>
      <c r="E297" s="1" t="n">
        <v>46322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59584-2023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45254</v>
      </c>
      <c r="E298" s="1" t="n">
        <v>46322</v>
      </c>
      <c r="F298" t="inlineStr">
        <is>
          <t>NORRBOTTENS LÄN</t>
        </is>
      </c>
      <c r="G298" t="inlineStr">
        <is>
          <t>BODEN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54236-2022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46322</v>
      </c>
      <c r="F299" t="inlineStr">
        <is>
          <t>NORRBOTTENS LÄN</t>
        </is>
      </c>
      <c r="G299" t="inlineStr">
        <is>
          <t>BODEN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11651-2023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44994</v>
      </c>
      <c r="E300" s="1" t="n">
        <v>46322</v>
      </c>
      <c r="F300" t="inlineStr">
        <is>
          <t>NORRBOTTENS LÄN</t>
        </is>
      </c>
      <c r="G300" t="inlineStr">
        <is>
          <t>BODEN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45969-2025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45924</v>
      </c>
      <c r="E301" s="1" t="n">
        <v>46322</v>
      </c>
      <c r="F301" t="inlineStr">
        <is>
          <t>NORRBOTTENS LÄN</t>
        </is>
      </c>
      <c r="G301" t="inlineStr">
        <is>
          <t>BODEN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46322</v>
      </c>
      <c r="F302" t="inlineStr">
        <is>
          <t>NORRBOTTENS LÄN</t>
        </is>
      </c>
      <c r="G302" t="inlineStr">
        <is>
          <t>BODEN</t>
        </is>
      </c>
      <c r="H302" t="inlineStr">
        <is>
          <t>Övriga Aktiebolag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46322</v>
      </c>
      <c r="F303" t="inlineStr">
        <is>
          <t>NORRBOTTENS LÄN</t>
        </is>
      </c>
      <c r="G303" t="inlineStr">
        <is>
          <t>BODEN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46322</v>
      </c>
      <c r="F304" t="inlineStr">
        <is>
          <t>NORRBOTTENS LÄN</t>
        </is>
      </c>
      <c r="G304" t="inlineStr">
        <is>
          <t>BODEN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718-2022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44568</v>
      </c>
      <c r="E305" s="1" t="n">
        <v>46322</v>
      </c>
      <c r="F305" t="inlineStr">
        <is>
          <t>NORRBOTTENS LÄN</t>
        </is>
      </c>
      <c r="G305" t="inlineStr">
        <is>
          <t>BODEN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45161</v>
      </c>
      <c r="E306" s="1" t="n">
        <v>46322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46322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43969-2024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45572</v>
      </c>
      <c r="E308" s="1" t="n">
        <v>46322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47595-2025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46322</v>
      </c>
      <c r="F309" t="inlineStr">
        <is>
          <t>NORRBOTTENS LÄN</t>
        </is>
      </c>
      <c r="G309" t="inlineStr">
        <is>
          <t>BODEN</t>
        </is>
      </c>
      <c r="H309" t="inlineStr">
        <is>
          <t>Övriga Aktiebolag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45764</v>
      </c>
      <c r="E310" s="1" t="n">
        <v>46322</v>
      </c>
      <c r="F310" t="inlineStr">
        <is>
          <t>NORRBOTTENS LÄN</t>
        </is>
      </c>
      <c r="G310" t="inlineStr">
        <is>
          <t>BODEN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46322</v>
      </c>
      <c r="F311" t="inlineStr">
        <is>
          <t>NORRBOTTENS LÄN</t>
        </is>
      </c>
      <c r="G311" t="inlineStr">
        <is>
          <t>BODEN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46322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46322</v>
      </c>
      <c r="F313" t="inlineStr">
        <is>
          <t>NORRBOTTENS LÄN</t>
        </is>
      </c>
      <c r="G313" t="inlineStr">
        <is>
          <t>BODEN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46322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45618</v>
      </c>
      <c r="E315" s="1" t="n">
        <v>46322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45933</v>
      </c>
      <c r="E316" s="1" t="n">
        <v>46322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45906</v>
      </c>
      <c r="E317" s="1" t="n">
        <v>46322</v>
      </c>
      <c r="F317" t="inlineStr">
        <is>
          <t>NORRBOTTENS LÄN</t>
        </is>
      </c>
      <c r="G317" t="inlineStr">
        <is>
          <t>BODEN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46322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48173-2025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46322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46322</v>
      </c>
      <c r="F320" t="inlineStr">
        <is>
          <t>NORRBOTTENS LÄN</t>
        </is>
      </c>
      <c r="G320" t="inlineStr">
        <is>
          <t>BODEN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45237</v>
      </c>
      <c r="E321" s="1" t="n">
        <v>46322</v>
      </c>
      <c r="F321" t="inlineStr">
        <is>
          <t>NORRBOTTENS LÄN</t>
        </is>
      </c>
      <c r="G321" t="inlineStr">
        <is>
          <t>BODEN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7442-2024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45345</v>
      </c>
      <c r="E322" s="1" t="n">
        <v>46322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46322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46322</v>
      </c>
      <c r="F324" t="inlineStr">
        <is>
          <t>NORRBOTTENS LÄN</t>
        </is>
      </c>
      <c r="G324" t="inlineStr">
        <is>
          <t>BODEN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38219-2022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46322</v>
      </c>
      <c r="F325" t="inlineStr">
        <is>
          <t>NORRBOTTENS LÄN</t>
        </is>
      </c>
      <c r="G325" t="inlineStr">
        <is>
          <t>BODEN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46322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46322</v>
      </c>
      <c r="F327" t="inlineStr">
        <is>
          <t>NORRBOTTENS LÄN</t>
        </is>
      </c>
      <c r="G327" t="inlineStr">
        <is>
          <t>BODEN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46322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45512</v>
      </c>
      <c r="E329" s="1" t="n">
        <v>46322</v>
      </c>
      <c r="F329" t="inlineStr">
        <is>
          <t>NORRBOTTENS LÄN</t>
        </is>
      </c>
      <c r="G329" t="inlineStr">
        <is>
          <t>BODEN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46322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46322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74264-2021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44558</v>
      </c>
      <c r="E332" s="1" t="n">
        <v>46322</v>
      </c>
      <c r="F332" t="inlineStr">
        <is>
          <t>NORRBOTTENS LÄN</t>
        </is>
      </c>
      <c r="G332" t="inlineStr">
        <is>
          <t>BODEN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44856</v>
      </c>
      <c r="E333" s="1" t="n">
        <v>46322</v>
      </c>
      <c r="F333" t="inlineStr">
        <is>
          <t>NORRBOTTENS LÄN</t>
        </is>
      </c>
      <c r="G333" t="inlineStr">
        <is>
          <t>BODEN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45766</v>
      </c>
      <c r="E334" s="1" t="n">
        <v>46322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45013</v>
      </c>
      <c r="E335" s="1" t="n">
        <v>46322</v>
      </c>
      <c r="F335" t="inlineStr">
        <is>
          <t>NORRBOTTENS LÄN</t>
        </is>
      </c>
      <c r="G335" t="inlineStr">
        <is>
          <t>BODEN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46322</v>
      </c>
      <c r="F336" t="inlineStr">
        <is>
          <t>NORRBOTTENS LÄN</t>
        </is>
      </c>
      <c r="G336" t="inlineStr">
        <is>
          <t>BODEN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3462-2022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44585</v>
      </c>
      <c r="E337" s="1" t="n">
        <v>46322</v>
      </c>
      <c r="F337" t="inlineStr">
        <is>
          <t>NORRBOTTENS LÄN</t>
        </is>
      </c>
      <c r="G337" t="inlineStr">
        <is>
          <t>BODEN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46322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50479-2025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46322</v>
      </c>
      <c r="F339" t="inlineStr">
        <is>
          <t>NORRBOTTENS LÄN</t>
        </is>
      </c>
      <c r="G339" t="inlineStr">
        <is>
          <t>BODEN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46322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45539</v>
      </c>
      <c r="E341" s="1" t="n">
        <v>46322</v>
      </c>
      <c r="F341" t="inlineStr">
        <is>
          <t>NORRBOTTENS LÄN</t>
        </is>
      </c>
      <c r="G341" t="inlineStr">
        <is>
          <t>BODEN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46322</v>
      </c>
      <c r="F342" t="inlineStr">
        <is>
          <t>NORRBOTTENS LÄN</t>
        </is>
      </c>
      <c r="G342" t="inlineStr">
        <is>
          <t>BODEN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46322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46322</v>
      </c>
      <c r="F344" t="inlineStr">
        <is>
          <t>NORRBOTTENS LÄN</t>
        </is>
      </c>
      <c r="G344" t="inlineStr">
        <is>
          <t>BODEN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46322</v>
      </c>
      <c r="F345" t="inlineStr">
        <is>
          <t>NORRBOTTENS LÄN</t>
        </is>
      </c>
      <c r="G345" t="inlineStr">
        <is>
          <t>BODEN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46322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45204</v>
      </c>
      <c r="E347" s="1" t="n">
        <v>46322</v>
      </c>
      <c r="F347" t="inlineStr">
        <is>
          <t>NORRBOTTENS LÄN</t>
        </is>
      </c>
      <c r="G347" t="inlineStr">
        <is>
          <t>BODEN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68565-2021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46322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45687</v>
      </c>
      <c r="E349" s="1" t="n">
        <v>46322</v>
      </c>
      <c r="F349" t="inlineStr">
        <is>
          <t>NORRBOTTENS LÄN</t>
        </is>
      </c>
      <c r="G349" t="inlineStr">
        <is>
          <t>BODEN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45947</v>
      </c>
      <c r="E350" s="1" t="n">
        <v>46322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46322</v>
      </c>
      <c r="F351" t="inlineStr">
        <is>
          <t>NORRBOTTENS LÄN</t>
        </is>
      </c>
      <c r="G351" t="inlineStr">
        <is>
          <t>BODEN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46322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46322</v>
      </c>
      <c r="F353" t="inlineStr">
        <is>
          <t>NORRBOTTENS LÄN</t>
        </is>
      </c>
      <c r="G353" t="inlineStr">
        <is>
          <t>BODEN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46322</v>
      </c>
      <c r="F354" t="inlineStr">
        <is>
          <t>NORRBOTTENS LÄN</t>
        </is>
      </c>
      <c r="G354" t="inlineStr">
        <is>
          <t>BODEN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46322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46322</v>
      </c>
      <c r="F356" t="inlineStr">
        <is>
          <t>NORRBOTTENS LÄN</t>
        </is>
      </c>
      <c r="G356" t="inlineStr">
        <is>
          <t>BODEN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45453</v>
      </c>
      <c r="E357" s="1" t="n">
        <v>46322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46322</v>
      </c>
      <c r="F358" t="inlineStr">
        <is>
          <t>NORRBOTTENS LÄN</t>
        </is>
      </c>
      <c r="G358" t="inlineStr">
        <is>
          <t>BODEN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45478</v>
      </c>
      <c r="E359" s="1" t="n">
        <v>46322</v>
      </c>
      <c r="F359" t="inlineStr">
        <is>
          <t>NORRBOTTENS LÄN</t>
        </is>
      </c>
      <c r="G359" t="inlineStr">
        <is>
          <t>BODEN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51525-2025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45950</v>
      </c>
      <c r="E360" s="1" t="n">
        <v>46322</v>
      </c>
      <c r="F360" t="inlineStr">
        <is>
          <t>NORRBOTTENS LÄN</t>
        </is>
      </c>
      <c r="G360" t="inlineStr">
        <is>
          <t>BODEN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45955</v>
      </c>
      <c r="E361" s="1" t="n">
        <v>46322</v>
      </c>
      <c r="F361" t="inlineStr">
        <is>
          <t>NORRBOTTENS LÄN</t>
        </is>
      </c>
      <c r="G361" t="inlineStr">
        <is>
          <t>BODEN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45955</v>
      </c>
      <c r="E362" s="1" t="n">
        <v>46322</v>
      </c>
      <c r="F362" t="inlineStr">
        <is>
          <t>NORRBOTTENS LÄN</t>
        </is>
      </c>
      <c r="G362" t="inlineStr">
        <is>
          <t>BODEN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45391</v>
      </c>
      <c r="E363" s="1" t="n">
        <v>46322</v>
      </c>
      <c r="F363" t="inlineStr">
        <is>
          <t>NORRBOTTENS LÄN</t>
        </is>
      </c>
      <c r="G363" t="inlineStr">
        <is>
          <t>BODEN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64975-2023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45285</v>
      </c>
      <c r="E364" s="1" t="n">
        <v>46322</v>
      </c>
      <c r="F364" t="inlineStr">
        <is>
          <t>NORRBOTTENS LÄN</t>
        </is>
      </c>
      <c r="G364" t="inlineStr">
        <is>
          <t>BODEN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53623-2025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45960</v>
      </c>
      <c r="E365" s="1" t="n">
        <v>46322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45604</v>
      </c>
      <c r="E366" s="1" t="n">
        <v>46322</v>
      </c>
      <c r="F366" t="inlineStr">
        <is>
          <t>NORRBOTTENS LÄN</t>
        </is>
      </c>
      <c r="G366" t="inlineStr">
        <is>
          <t>BODEN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45778</v>
      </c>
      <c r="E367" s="1" t="n">
        <v>46322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46322</v>
      </c>
      <c r="F368" t="inlineStr">
        <is>
          <t>NORRBOTTENS LÄN</t>
        </is>
      </c>
      <c r="G368" t="inlineStr">
        <is>
          <t>BODEN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14801-2024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45397</v>
      </c>
      <c r="E369" s="1" t="n">
        <v>46322</v>
      </c>
      <c r="F369" t="inlineStr">
        <is>
          <t>NORRBOTTENS LÄN</t>
        </is>
      </c>
      <c r="G369" t="inlineStr">
        <is>
          <t>BODEN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14802-2024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45397</v>
      </c>
      <c r="E370" s="1" t="n">
        <v>46322</v>
      </c>
      <c r="F370" t="inlineStr">
        <is>
          <t>NORRBOTTENS LÄN</t>
        </is>
      </c>
      <c r="G370" t="inlineStr">
        <is>
          <t>BODEN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21349-2025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45782</v>
      </c>
      <c r="E371" s="1" t="n">
        <v>46322</v>
      </c>
      <c r="F371" t="inlineStr">
        <is>
          <t>NORRBOTTENS LÄN</t>
        </is>
      </c>
      <c r="G371" t="inlineStr">
        <is>
          <t>BODEN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45965</v>
      </c>
      <c r="E372" s="1" t="n">
        <v>46322</v>
      </c>
      <c r="F372" t="inlineStr">
        <is>
          <t>NORRBOTTENS LÄN</t>
        </is>
      </c>
      <c r="G372" t="inlineStr">
        <is>
          <t>BODEN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46322</v>
      </c>
      <c r="F373" t="inlineStr">
        <is>
          <t>NORRBOTTENS LÄN</t>
        </is>
      </c>
      <c r="G373" t="inlineStr">
        <is>
          <t>BODEN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46322</v>
      </c>
      <c r="F374" t="inlineStr">
        <is>
          <t>NORRBOTTENS LÄN</t>
        </is>
      </c>
      <c r="G374" t="inlineStr">
        <is>
          <t>BODEN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45764</v>
      </c>
      <c r="E375" s="1" t="n">
        <v>46322</v>
      </c>
      <c r="F375" t="inlineStr">
        <is>
          <t>NORRBOTTENS LÄN</t>
        </is>
      </c>
      <c r="G375" t="inlineStr">
        <is>
          <t>BODEN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46322</v>
      </c>
      <c r="F376" t="inlineStr">
        <is>
          <t>NORRBOTTENS LÄN</t>
        </is>
      </c>
      <c r="G376" t="inlineStr">
        <is>
          <t>BODEN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45964</v>
      </c>
      <c r="E377" s="1" t="n">
        <v>46322</v>
      </c>
      <c r="F377" t="inlineStr">
        <is>
          <t>NORRBOTTENS LÄN</t>
        </is>
      </c>
      <c r="G377" t="inlineStr">
        <is>
          <t>BODEN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46322</v>
      </c>
      <c r="F378" t="inlineStr">
        <is>
          <t>NORRBOTTENS LÄN</t>
        </is>
      </c>
      <c r="G378" t="inlineStr">
        <is>
          <t>BODEN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9596-2023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44983</v>
      </c>
      <c r="E379" s="1" t="n">
        <v>46322</v>
      </c>
      <c r="F379" t="inlineStr">
        <is>
          <t>NORRBOTTENS LÄN</t>
        </is>
      </c>
      <c r="G379" t="inlineStr">
        <is>
          <t>BODEN</t>
        </is>
      </c>
      <c r="I379" t="n">
        <v>37.1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55562-2025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46322</v>
      </c>
      <c r="F380" t="inlineStr">
        <is>
          <t>NORRBOTTENS LÄN</t>
        </is>
      </c>
      <c r="G380" t="inlineStr">
        <is>
          <t>BODEN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45972</v>
      </c>
      <c r="E381" s="1" t="n">
        <v>46322</v>
      </c>
      <c r="F381" t="inlineStr">
        <is>
          <t>NORRBOTTENS LÄN</t>
        </is>
      </c>
      <c r="G381" t="inlineStr">
        <is>
          <t>BODEN</t>
        </is>
      </c>
      <c r="I381" t="n">
        <v>11.9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27749-2026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46322</v>
      </c>
      <c r="F382" t="inlineStr">
        <is>
          <t>NORRBOTTENS LÄN</t>
        </is>
      </c>
      <c r="G382" t="inlineStr">
        <is>
          <t>BODEN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45758</v>
      </c>
      <c r="E383" s="1" t="n">
        <v>46322</v>
      </c>
      <c r="F383" t="inlineStr">
        <is>
          <t>NORRBOTTENS LÄN</t>
        </is>
      </c>
      <c r="G383" t="inlineStr">
        <is>
          <t>BODEN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46322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45149</v>
      </c>
      <c r="E385" s="1" t="n">
        <v>46322</v>
      </c>
      <c r="F385" t="inlineStr">
        <is>
          <t>NORRBOTTENS LÄN</t>
        </is>
      </c>
      <c r="G385" t="inlineStr">
        <is>
          <t>BODEN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46322</v>
      </c>
      <c r="F386" t="inlineStr">
        <is>
          <t>NORRBOTTENS LÄN</t>
        </is>
      </c>
      <c r="G386" t="inlineStr">
        <is>
          <t>BODEN</t>
        </is>
      </c>
      <c r="H386" t="inlineStr">
        <is>
          <t>Naturvårdsverket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22372-2025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45786</v>
      </c>
      <c r="E387" s="1" t="n">
        <v>46322</v>
      </c>
      <c r="F387" t="inlineStr">
        <is>
          <t>NORRBOTTENS LÄN</t>
        </is>
      </c>
      <c r="G387" t="inlineStr">
        <is>
          <t>BODEN</t>
        </is>
      </c>
      <c r="H387" t="inlineStr">
        <is>
          <t>Kommuner</t>
        </is>
      </c>
      <c r="I387" t="n">
        <v>16.3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45975</v>
      </c>
      <c r="E388" s="1" t="n">
        <v>46322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46322</v>
      </c>
      <c r="F389" t="inlineStr">
        <is>
          <t>NORRBOTTENS LÄN</t>
        </is>
      </c>
      <c r="G389" t="inlineStr">
        <is>
          <t>BODEN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46322</v>
      </c>
      <c r="F390" t="inlineStr">
        <is>
          <t>NORRBOTTENS LÄN</t>
        </is>
      </c>
      <c r="G390" t="inlineStr">
        <is>
          <t>BODEN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46322</v>
      </c>
      <c r="F391" t="inlineStr">
        <is>
          <t>NORRBOTTENS LÄN</t>
        </is>
      </c>
      <c r="G391" t="inlineStr">
        <is>
          <t>BODEN</t>
        </is>
      </c>
      <c r="H391" t="inlineStr">
        <is>
          <t>Naturvårdsverket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45791</v>
      </c>
      <c r="E392" s="1" t="n">
        <v>46322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10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45379</v>
      </c>
      <c r="E393" s="1" t="n">
        <v>46322</v>
      </c>
      <c r="F393" t="inlineStr">
        <is>
          <t>NORRBOTTENS LÄN</t>
        </is>
      </c>
      <c r="G393" t="inlineStr">
        <is>
          <t>BODEN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46322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57778-2025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46322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46322</v>
      </c>
      <c r="F396" t="inlineStr">
        <is>
          <t>NORRBOTTENS LÄN</t>
        </is>
      </c>
      <c r="G396" t="inlineStr">
        <is>
          <t>BODEN</t>
        </is>
      </c>
      <c r="I396" t="n">
        <v>33.9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45527</v>
      </c>
      <c r="E397" s="1" t="n">
        <v>46322</v>
      </c>
      <c r="F397" t="inlineStr">
        <is>
          <t>NORRBOTTENS LÄN</t>
        </is>
      </c>
      <c r="G397" t="inlineStr">
        <is>
          <t>BODEN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61487-2023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46322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46322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45984</v>
      </c>
      <c r="E400" s="1" t="n">
        <v>46322</v>
      </c>
      <c r="F400" t="inlineStr">
        <is>
          <t>NORRBOTTENS LÄN</t>
        </is>
      </c>
      <c r="G400" t="inlineStr">
        <is>
          <t>BODEN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46322</v>
      </c>
      <c r="F401" t="inlineStr">
        <is>
          <t>NORRBOTTENS LÄN</t>
        </is>
      </c>
      <c r="G401" t="inlineStr">
        <is>
          <t>BODEN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45793</v>
      </c>
      <c r="E402" s="1" t="n">
        <v>46322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45516</v>
      </c>
      <c r="E403" s="1" t="n">
        <v>46322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32913-2024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45516</v>
      </c>
      <c r="E404" s="1" t="n">
        <v>46322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48420-2024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46322</v>
      </c>
      <c r="F405" t="inlineStr">
        <is>
          <t>NORRBOTTENS LÄN</t>
        </is>
      </c>
      <c r="G405" t="inlineStr">
        <is>
          <t>BODEN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46322</v>
      </c>
      <c r="F406" t="inlineStr">
        <is>
          <t>NORRBOTTENS LÄN</t>
        </is>
      </c>
      <c r="G406" t="inlineStr">
        <is>
          <t>BODEN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44935</v>
      </c>
      <c r="E407" s="1" t="n">
        <v>46322</v>
      </c>
      <c r="F407" t="inlineStr">
        <is>
          <t>NORRBOTTENS LÄN</t>
        </is>
      </c>
      <c r="G407" t="inlineStr">
        <is>
          <t>BODEN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46322</v>
      </c>
      <c r="F408" t="inlineStr">
        <is>
          <t>NORRBOTTENS LÄN</t>
        </is>
      </c>
      <c r="G408" t="inlineStr">
        <is>
          <t>BODEN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46322</v>
      </c>
      <c r="F409" t="inlineStr">
        <is>
          <t>NORRBOTTENS LÄN</t>
        </is>
      </c>
      <c r="G409" t="inlineStr">
        <is>
          <t>BODEN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47920-2024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46322</v>
      </c>
      <c r="F410" t="inlineStr">
        <is>
          <t>NORRBOTTENS LÄN</t>
        </is>
      </c>
      <c r="G410" t="inlineStr">
        <is>
          <t>BODEN</t>
        </is>
      </c>
      <c r="H410" t="inlineStr">
        <is>
          <t>Naturvårdsverket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45797</v>
      </c>
      <c r="E411" s="1" t="n">
        <v>46322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59264-2025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46322</v>
      </c>
      <c r="F412" t="inlineStr">
        <is>
          <t>NORRBOTTENS LÄN</t>
        </is>
      </c>
      <c r="G412" t="inlineStr">
        <is>
          <t>BODEN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45643</v>
      </c>
      <c r="E413" s="1" t="n">
        <v>46322</v>
      </c>
      <c r="F413" t="inlineStr">
        <is>
          <t>NORRBOTTENS LÄN</t>
        </is>
      </c>
      <c r="G413" t="inlineStr">
        <is>
          <t>BODEN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45799</v>
      </c>
      <c r="E414" s="1" t="n">
        <v>46322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46197</v>
      </c>
      <c r="E415" s="1" t="n">
        <v>46322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37791-2024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45543</v>
      </c>
      <c r="E416" s="1" t="n">
        <v>46322</v>
      </c>
      <c r="F416" t="inlineStr">
        <is>
          <t>NORRBOTTENS LÄN</t>
        </is>
      </c>
      <c r="G416" t="inlineStr">
        <is>
          <t>BODEN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45798</v>
      </c>
      <c r="E417" s="1" t="n">
        <v>46322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45798</v>
      </c>
      <c r="E418" s="1" t="n">
        <v>46322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15.8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46322</v>
      </c>
      <c r="F419" t="inlineStr">
        <is>
          <t>NORRBOTTENS LÄN</t>
        </is>
      </c>
      <c r="G419" t="inlineStr">
        <is>
          <t>BODEN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46322</v>
      </c>
      <c r="F420" t="inlineStr">
        <is>
          <t>NORRBOTTENS LÄN</t>
        </is>
      </c>
      <c r="G420" t="inlineStr">
        <is>
          <t>BODEN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46322</v>
      </c>
      <c r="F421" t="inlineStr">
        <is>
          <t>NORRBOTTENS LÄN</t>
        </is>
      </c>
      <c r="G421" t="inlineStr">
        <is>
          <t>BODEN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60235-2025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45994</v>
      </c>
      <c r="E422" s="1" t="n">
        <v>46322</v>
      </c>
      <c r="F422" t="inlineStr">
        <is>
          <t>NORRBOTTENS LÄN</t>
        </is>
      </c>
      <c r="G422" t="inlineStr">
        <is>
          <t>BODEN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44862</v>
      </c>
      <c r="E423" s="1" t="n">
        <v>46322</v>
      </c>
      <c r="F423" t="inlineStr">
        <is>
          <t>NORRBOTTENS LÄN</t>
        </is>
      </c>
      <c r="G423" t="inlineStr">
        <is>
          <t>BODEN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46322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11.8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60395-2025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46322</v>
      </c>
      <c r="F425" t="inlineStr">
        <is>
          <t>NORRBOTTENS LÄN</t>
        </is>
      </c>
      <c r="G425" t="inlineStr">
        <is>
          <t>BODEN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45560</v>
      </c>
      <c r="E426" s="1" t="n">
        <v>46322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45995</v>
      </c>
      <c r="E427" s="1" t="n">
        <v>46322</v>
      </c>
      <c r="F427" t="inlineStr">
        <is>
          <t>NORRBOTTENS LÄN</t>
        </is>
      </c>
      <c r="G427" t="inlineStr">
        <is>
          <t>BODEN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45995</v>
      </c>
      <c r="E428" s="1" t="n">
        <v>46322</v>
      </c>
      <c r="F428" t="inlineStr">
        <is>
          <t>NORRBOTTENS LÄN</t>
        </is>
      </c>
      <c r="G428" t="inlineStr">
        <is>
          <t>BODEN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45246</v>
      </c>
      <c r="E429" s="1" t="n">
        <v>46322</v>
      </c>
      <c r="F429" t="inlineStr">
        <is>
          <t>NORRBOTTENS LÄN</t>
        </is>
      </c>
      <c r="G429" t="inlineStr">
        <is>
          <t>BODEN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60238-2025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46322</v>
      </c>
      <c r="F430" t="inlineStr">
        <is>
          <t>NORRBOTTENS LÄN</t>
        </is>
      </c>
      <c r="G430" t="inlineStr">
        <is>
          <t>BODEN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45803</v>
      </c>
      <c r="E431" s="1" t="n">
        <v>46322</v>
      </c>
      <c r="F431" t="inlineStr">
        <is>
          <t>NORRBOTTENS LÄN</t>
        </is>
      </c>
      <c r="G431" t="inlineStr">
        <is>
          <t>BODEN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46322</v>
      </c>
      <c r="F432" t="inlineStr">
        <is>
          <t>NORRBOTTENS LÄN</t>
        </is>
      </c>
      <c r="G432" t="inlineStr">
        <is>
          <t>BODEN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60236-2025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46322</v>
      </c>
      <c r="F433" t="inlineStr">
        <is>
          <t>NORRBOTTENS LÄN</t>
        </is>
      </c>
      <c r="G433" t="inlineStr">
        <is>
          <t>BODEN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45996</v>
      </c>
      <c r="E434" s="1" t="n">
        <v>46322</v>
      </c>
      <c r="F434" t="inlineStr">
        <is>
          <t>NORRBOTTENS LÄN</t>
        </is>
      </c>
      <c r="G434" t="inlineStr">
        <is>
          <t>BODEN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46322</v>
      </c>
      <c r="F435" t="inlineStr">
        <is>
          <t>NORRBOTTENS LÄN</t>
        </is>
      </c>
      <c r="G435" t="inlineStr">
        <is>
          <t>BODEN</t>
        </is>
      </c>
      <c r="I435" t="n">
        <v>14.5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45194</v>
      </c>
      <c r="E436" s="1" t="n">
        <v>46322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28509-2026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46322</v>
      </c>
      <c r="F437" t="inlineStr">
        <is>
          <t>NORRBOTTENS LÄN</t>
        </is>
      </c>
      <c r="G437" t="inlineStr">
        <is>
          <t>BODEN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45244</v>
      </c>
      <c r="E438" s="1" t="n">
        <v>46322</v>
      </c>
      <c r="F438" t="inlineStr">
        <is>
          <t>NORRBOTTENS LÄN</t>
        </is>
      </c>
      <c r="G438" t="inlineStr">
        <is>
          <t>BODEN</t>
        </is>
      </c>
      <c r="H438" t="inlineStr">
        <is>
          <t>Övriga statliga verk och myndigheter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52247-2024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45608</v>
      </c>
      <c r="E439" s="1" t="n">
        <v>46322</v>
      </c>
      <c r="F439" t="inlineStr">
        <is>
          <t>NORRBOTTENS LÄN</t>
        </is>
      </c>
      <c r="G439" t="inlineStr">
        <is>
          <t>BODEN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52248-2024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45608</v>
      </c>
      <c r="E440" s="1" t="n">
        <v>46322</v>
      </c>
      <c r="F440" t="inlineStr">
        <is>
          <t>NORRBOTTENS LÄN</t>
        </is>
      </c>
      <c r="G440" t="inlineStr">
        <is>
          <t>BODEN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45590</v>
      </c>
      <c r="E441" s="1" t="n">
        <v>46322</v>
      </c>
      <c r="F441" t="inlineStr">
        <is>
          <t>NORRBOTTENS LÄN</t>
        </is>
      </c>
      <c r="G441" t="inlineStr">
        <is>
          <t>BODEN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46322</v>
      </c>
      <c r="F442" t="inlineStr">
        <is>
          <t>NORRBOTTENS LÄN</t>
        </is>
      </c>
      <c r="G442" t="inlineStr">
        <is>
          <t>BODEN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16020-2025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45748</v>
      </c>
      <c r="E443" s="1" t="n">
        <v>46322</v>
      </c>
      <c r="F443" t="inlineStr">
        <is>
          <t>NORRBOTTENS LÄN</t>
        </is>
      </c>
      <c r="G443" t="inlineStr">
        <is>
          <t>BODEN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45906</v>
      </c>
      <c r="E444" s="1" t="n">
        <v>46322</v>
      </c>
      <c r="F444" t="inlineStr">
        <is>
          <t>NORRBOTTENS LÄN</t>
        </is>
      </c>
      <c r="G444" t="inlineStr">
        <is>
          <t>BODEN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46322</v>
      </c>
      <c r="F445" t="inlineStr">
        <is>
          <t>NORRBOTTENS LÄN</t>
        </is>
      </c>
      <c r="G445" t="inlineStr">
        <is>
          <t>BODEN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19564-2024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45429</v>
      </c>
      <c r="E446" s="1" t="n">
        <v>46322</v>
      </c>
      <c r="F446" t="inlineStr">
        <is>
          <t>NORRBOTTENS LÄN</t>
        </is>
      </c>
      <c r="G446" t="inlineStr">
        <is>
          <t>BODEN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45464</v>
      </c>
      <c r="E447" s="1" t="n">
        <v>46322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46322</v>
      </c>
      <c r="F448" t="inlineStr">
        <is>
          <t>NORRBOTTENS LÄN</t>
        </is>
      </c>
      <c r="G448" t="inlineStr">
        <is>
          <t>BODEN</t>
        </is>
      </c>
      <c r="I448" t="n">
        <v>17.1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46322</v>
      </c>
      <c r="F449" t="inlineStr">
        <is>
          <t>NORRBOTTENS LÄN</t>
        </is>
      </c>
      <c r="G449" t="inlineStr">
        <is>
          <t>BODEN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46322</v>
      </c>
      <c r="F450" t="inlineStr">
        <is>
          <t>NORRBOTTENS LÄN</t>
        </is>
      </c>
      <c r="G450" t="inlineStr">
        <is>
          <t>BODEN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46001</v>
      </c>
      <c r="E451" s="1" t="n">
        <v>46322</v>
      </c>
      <c r="F451" t="inlineStr">
        <is>
          <t>NORRBOTTENS LÄN</t>
        </is>
      </c>
      <c r="G451" t="inlineStr">
        <is>
          <t>BODEN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30299-2023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46322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38652-2024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45546</v>
      </c>
      <c r="E453" s="1" t="n">
        <v>46322</v>
      </c>
      <c r="F453" t="inlineStr">
        <is>
          <t>NORRBOTTENS LÄN</t>
        </is>
      </c>
      <c r="G453" t="inlineStr">
        <is>
          <t>BODEN</t>
        </is>
      </c>
      <c r="H453" t="inlineStr">
        <is>
          <t>Sveaskog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46322</v>
      </c>
      <c r="F454" t="inlineStr">
        <is>
          <t>NORRBOTTENS LÄN</t>
        </is>
      </c>
      <c r="G454" t="inlineStr">
        <is>
          <t>BODEN</t>
        </is>
      </c>
      <c r="I454" t="n">
        <v>10.8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45243</v>
      </c>
      <c r="E455" s="1" t="n">
        <v>46322</v>
      </c>
      <c r="F455" t="inlineStr">
        <is>
          <t>NORRBOTTENS LÄN</t>
        </is>
      </c>
      <c r="G455" t="inlineStr">
        <is>
          <t>BODEN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61959-2025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46322</v>
      </c>
      <c r="F456" t="inlineStr">
        <is>
          <t>NORRBOTTENS LÄN</t>
        </is>
      </c>
      <c r="G456" t="inlineStr">
        <is>
          <t>BODEN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45813</v>
      </c>
      <c r="E457" s="1" t="n">
        <v>46322</v>
      </c>
      <c r="F457" t="inlineStr">
        <is>
          <t>NORRBOTTENS LÄN</t>
        </is>
      </c>
      <c r="G457" t="inlineStr">
        <is>
          <t>BODEN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46322</v>
      </c>
      <c r="F458" t="inlineStr">
        <is>
          <t>NORRBOTTENS LÄN</t>
        </is>
      </c>
      <c r="G458" t="inlineStr">
        <is>
          <t>BODEN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46322</v>
      </c>
      <c r="F459" t="inlineStr">
        <is>
          <t>NORRBOTTENS LÄN</t>
        </is>
      </c>
      <c r="G459" t="inlineStr">
        <is>
          <t>BODEN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46001</v>
      </c>
      <c r="E460" s="1" t="n">
        <v>46322</v>
      </c>
      <c r="F460" t="inlineStr">
        <is>
          <t>NORRBOTTENS LÄN</t>
        </is>
      </c>
      <c r="G460" t="inlineStr">
        <is>
          <t>BODEN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28745-2023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46322</v>
      </c>
      <c r="F461" t="inlineStr">
        <is>
          <t>NORRBOTTENS LÄN</t>
        </is>
      </c>
      <c r="G461" t="inlineStr">
        <is>
          <t>BODEN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45813</v>
      </c>
      <c r="E462" s="1" t="n">
        <v>46322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13.9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46322</v>
      </c>
      <c r="F463" t="inlineStr">
        <is>
          <t>NORRBOTTENS LÄN</t>
        </is>
      </c>
      <c r="G463" t="inlineStr">
        <is>
          <t>BODEN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45481</v>
      </c>
      <c r="E464" s="1" t="n">
        <v>46322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45766</v>
      </c>
      <c r="E465" s="1" t="n">
        <v>46322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45070</v>
      </c>
      <c r="E466" s="1" t="n">
        <v>46322</v>
      </c>
      <c r="F466" t="inlineStr">
        <is>
          <t>NORRBOTTENS LÄN</t>
        </is>
      </c>
      <c r="G466" t="inlineStr">
        <is>
          <t>BODEN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28297-2025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45818</v>
      </c>
      <c r="E467" s="1" t="n">
        <v>46322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19060-2024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45427</v>
      </c>
      <c r="E468" s="1" t="n">
        <v>46322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63329-2025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46322</v>
      </c>
      <c r="F469" t="inlineStr">
        <is>
          <t>NORRBOTTENS LÄN</t>
        </is>
      </c>
      <c r="G469" t="inlineStr">
        <is>
          <t>BODEN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63333-2025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46322</v>
      </c>
      <c r="F470" t="inlineStr">
        <is>
          <t>NORRBOTTENS LÄN</t>
        </is>
      </c>
      <c r="G470" t="inlineStr">
        <is>
          <t>BODEN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28134-2025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46322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46322</v>
      </c>
      <c r="F472" t="inlineStr">
        <is>
          <t>NORRBOTTENS LÄN</t>
        </is>
      </c>
      <c r="G472" t="inlineStr">
        <is>
          <t>BODEN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45994</v>
      </c>
      <c r="E473" s="1" t="n">
        <v>46322</v>
      </c>
      <c r="F473" t="inlineStr">
        <is>
          <t>NORRBOTTENS LÄN</t>
        </is>
      </c>
      <c r="G473" t="inlineStr">
        <is>
          <t>BODEN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44625-2024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46322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28270-2025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45818</v>
      </c>
      <c r="E475" s="1" t="n">
        <v>46322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46202</v>
      </c>
      <c r="E476" s="1" t="n">
        <v>46322</v>
      </c>
      <c r="F476" t="inlineStr">
        <is>
          <t>NORRBOTTENS LÄN</t>
        </is>
      </c>
      <c r="G476" t="inlineStr">
        <is>
          <t>BODEN</t>
        </is>
      </c>
      <c r="H476" t="inlineStr">
        <is>
          <t>Sveaskog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46322</v>
      </c>
      <c r="F477" t="inlineStr">
        <is>
          <t>NORRBOTTENS LÄN</t>
        </is>
      </c>
      <c r="G477" t="inlineStr">
        <is>
          <t>BODEN</t>
        </is>
      </c>
      <c r="H477" t="inlineStr">
        <is>
          <t>Sveaskog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62992-2025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46322</v>
      </c>
      <c r="F478" t="inlineStr">
        <is>
          <t>NORRBOTTENS LÄN</t>
        </is>
      </c>
      <c r="G478" t="inlineStr">
        <is>
          <t>BODEN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45672</v>
      </c>
      <c r="E479" s="1" t="n">
        <v>46322</v>
      </c>
      <c r="F479" t="inlineStr">
        <is>
          <t>NORRBOTTENS LÄN</t>
        </is>
      </c>
      <c r="G479" t="inlineStr">
        <is>
          <t>BODEN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45764</v>
      </c>
      <c r="E480" s="1" t="n">
        <v>46322</v>
      </c>
      <c r="F480" t="inlineStr">
        <is>
          <t>NORRBOTTENS LÄN</t>
        </is>
      </c>
      <c r="G480" t="inlineStr">
        <is>
          <t>BODEN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42173-2025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45902</v>
      </c>
      <c r="E481" s="1" t="n">
        <v>46322</v>
      </c>
      <c r="F481" t="inlineStr">
        <is>
          <t>NORRBOTTENS LÄN</t>
        </is>
      </c>
      <c r="G481" t="inlineStr">
        <is>
          <t>BODEN</t>
        </is>
      </c>
      <c r="H481" t="inlineStr">
        <is>
          <t>Övriga statliga verk och myndigheter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63399-2025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46012</v>
      </c>
      <c r="E482" s="1" t="n">
        <v>46322</v>
      </c>
      <c r="F482" t="inlineStr">
        <is>
          <t>NORRBOTTENS LÄN</t>
        </is>
      </c>
      <c r="G482" t="inlineStr">
        <is>
          <t>BODEN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63400-2025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46012</v>
      </c>
      <c r="E483" s="1" t="n">
        <v>46322</v>
      </c>
      <c r="F483" t="inlineStr">
        <is>
          <t>NORRBOTTENS LÄN</t>
        </is>
      </c>
      <c r="G483" t="inlineStr">
        <is>
          <t>BODEN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59890-2023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45254</v>
      </c>
      <c r="E484" s="1" t="n">
        <v>46322</v>
      </c>
      <c r="F484" t="inlineStr">
        <is>
          <t>NORRBOTTENS LÄN</t>
        </is>
      </c>
      <c r="G484" t="inlineStr">
        <is>
          <t>BODEN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30089-2025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45826</v>
      </c>
      <c r="E485" s="1" t="n">
        <v>46322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46322</v>
      </c>
      <c r="F486" t="inlineStr">
        <is>
          <t>NORRBOTTENS LÄN</t>
        </is>
      </c>
      <c r="G486" t="inlineStr">
        <is>
          <t>BODEN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31487-2025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46322</v>
      </c>
      <c r="F487" t="inlineStr">
        <is>
          <t>NORRBOTTENS LÄN</t>
        </is>
      </c>
      <c r="G487" t="inlineStr">
        <is>
          <t>BODEN</t>
        </is>
      </c>
      <c r="H487" t="inlineStr">
        <is>
          <t>Övriga Aktiebolag</t>
        </is>
      </c>
      <c r="I487" t="n">
        <v>9.800000000000001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45833</v>
      </c>
      <c r="E488" s="1" t="n">
        <v>46322</v>
      </c>
      <c r="F488" t="inlineStr">
        <is>
          <t>NORRBOTTENS LÄN</t>
        </is>
      </c>
      <c r="G488" t="inlineStr">
        <is>
          <t>BODEN</t>
        </is>
      </c>
      <c r="H488" t="inlineStr">
        <is>
          <t>Övriga Aktiebolag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46322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45835</v>
      </c>
      <c r="E490" s="1" t="n">
        <v>46322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45667</v>
      </c>
      <c r="E491" s="1" t="n">
        <v>46322</v>
      </c>
      <c r="F491" t="inlineStr">
        <is>
          <t>NORRBOTTENS LÄN</t>
        </is>
      </c>
      <c r="G491" t="inlineStr">
        <is>
          <t>BODEN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46322</v>
      </c>
      <c r="F492" t="inlineStr">
        <is>
          <t>NORRBOTTENS LÄN</t>
        </is>
      </c>
      <c r="G492" t="inlineStr">
        <is>
          <t>BODEN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63891-2025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46020</v>
      </c>
      <c r="E493" s="1" t="n">
        <v>46322</v>
      </c>
      <c r="F493" t="inlineStr">
        <is>
          <t>NORRBOTTENS LÄN</t>
        </is>
      </c>
      <c r="G493" t="inlineStr">
        <is>
          <t>BODEN</t>
        </is>
      </c>
      <c r="I493" t="n">
        <v>12.5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46322</v>
      </c>
      <c r="F494" t="inlineStr">
        <is>
          <t>NORRBOTTENS LÄN</t>
        </is>
      </c>
      <c r="G494" t="inlineStr">
        <is>
          <t>BODEN</t>
        </is>
      </c>
      <c r="I494" t="n">
        <v>9.6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46322</v>
      </c>
      <c r="F495" t="inlineStr">
        <is>
          <t>NORRBOTTENS LÄN</t>
        </is>
      </c>
      <c r="G495" t="inlineStr">
        <is>
          <t>BODEN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33130-2025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45840</v>
      </c>
      <c r="E496" s="1" t="n">
        <v>46322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46322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15486-2025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45747</v>
      </c>
      <c r="E498" s="1" t="n">
        <v>46322</v>
      </c>
      <c r="F498" t="inlineStr">
        <is>
          <t>NORRBOTTENS LÄN</t>
        </is>
      </c>
      <c r="G498" t="inlineStr">
        <is>
          <t>BODEN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46322</v>
      </c>
      <c r="F499" t="inlineStr">
        <is>
          <t>NORRBOTTENS LÄN</t>
        </is>
      </c>
      <c r="G499" t="inlineStr">
        <is>
          <t>BODEN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33981-2025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45843</v>
      </c>
      <c r="E500" s="1" t="n">
        <v>46322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44628</v>
      </c>
      <c r="E501" s="1" t="n">
        <v>46322</v>
      </c>
      <c r="F501" t="inlineStr">
        <is>
          <t>NORRBOTTENS LÄN</t>
        </is>
      </c>
      <c r="G501" t="inlineStr">
        <is>
          <t>BODEN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46322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31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46322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10.3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38371-2023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46322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38372-2023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46322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46322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45718</v>
      </c>
      <c r="E507" s="1" t="n">
        <v>46322</v>
      </c>
      <c r="F507" t="inlineStr">
        <is>
          <t>NORRBOTTENS LÄN</t>
        </is>
      </c>
      <c r="G507" t="inlineStr">
        <is>
          <t>BODEN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46322</v>
      </c>
      <c r="F508" t="inlineStr">
        <is>
          <t>NORRBOTTENS LÄN</t>
        </is>
      </c>
      <c r="G508" t="inlineStr">
        <is>
          <t>BODEN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63841-2025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46020</v>
      </c>
      <c r="E509" s="1" t="n">
        <v>46322</v>
      </c>
      <c r="F509" t="inlineStr">
        <is>
          <t>NORRBOTTENS LÄN</t>
        </is>
      </c>
      <c r="G509" t="inlineStr">
        <is>
          <t>BODEN</t>
        </is>
      </c>
      <c r="I509" t="n">
        <v>10.9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45356</v>
      </c>
      <c r="E510" s="1" t="n">
        <v>46322</v>
      </c>
      <c r="F510" t="inlineStr">
        <is>
          <t>NORRBOTTENS LÄN</t>
        </is>
      </c>
      <c r="G510" t="inlineStr">
        <is>
          <t>BODEN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46322</v>
      </c>
      <c r="F511" t="inlineStr">
        <is>
          <t>NORRBOTTENS LÄN</t>
        </is>
      </c>
      <c r="G511" t="inlineStr">
        <is>
          <t>BODEN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45358</v>
      </c>
      <c r="E512" s="1" t="n">
        <v>46322</v>
      </c>
      <c r="F512" t="inlineStr">
        <is>
          <t>NORRBOTTENS LÄN</t>
        </is>
      </c>
      <c r="G512" t="inlineStr">
        <is>
          <t>BODEN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45603</v>
      </c>
      <c r="E513" s="1" t="n">
        <v>46322</v>
      </c>
      <c r="F513" t="inlineStr">
        <is>
          <t>NORRBOTTENS LÄN</t>
        </is>
      </c>
      <c r="G513" t="inlineStr">
        <is>
          <t>BODEN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45102</v>
      </c>
      <c r="E514" s="1" t="n">
        <v>46322</v>
      </c>
      <c r="F514" t="inlineStr">
        <is>
          <t>NORRBOTTENS LÄN</t>
        </is>
      </c>
      <c r="G514" t="inlineStr">
        <is>
          <t>BODEN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46322</v>
      </c>
      <c r="F515" t="inlineStr">
        <is>
          <t>NORRBOTTENS LÄN</t>
        </is>
      </c>
      <c r="G515" t="inlineStr">
        <is>
          <t>BODEN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46322</v>
      </c>
      <c r="F516" t="inlineStr">
        <is>
          <t>NORRBOTTENS LÄN</t>
        </is>
      </c>
      <c r="G516" t="inlineStr">
        <is>
          <t>BODEN</t>
        </is>
      </c>
      <c r="I516" t="n">
        <v>12.2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45770</v>
      </c>
      <c r="E517" s="1" t="n">
        <v>46322</v>
      </c>
      <c r="F517" t="inlineStr">
        <is>
          <t>NORRBOTTENS LÄN</t>
        </is>
      </c>
      <c r="G517" t="inlineStr">
        <is>
          <t>BODEN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24058-2025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45796</v>
      </c>
      <c r="E518" s="1" t="n">
        <v>46322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2601-2025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45674</v>
      </c>
      <c r="E519" s="1" t="n">
        <v>46322</v>
      </c>
      <c r="F519" t="inlineStr">
        <is>
          <t>NORRBOTTENS LÄN</t>
        </is>
      </c>
      <c r="G519" t="inlineStr">
        <is>
          <t>BODEN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68611-2021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44529</v>
      </c>
      <c r="E520" s="1" t="n">
        <v>46322</v>
      </c>
      <c r="F520" t="inlineStr">
        <is>
          <t>NORRBOTTENS LÄN</t>
        </is>
      </c>
      <c r="G520" t="inlineStr">
        <is>
          <t>BODEN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49728-2024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45596</v>
      </c>
      <c r="E521" s="1" t="n">
        <v>46322</v>
      </c>
      <c r="F521" t="inlineStr">
        <is>
          <t>NORRBOTTENS LÄN</t>
        </is>
      </c>
      <c r="G521" t="inlineStr">
        <is>
          <t>BODEN</t>
        </is>
      </c>
      <c r="I521" t="n">
        <v>22.7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44648</v>
      </c>
      <c r="E522" s="1" t="n">
        <v>46322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45863</v>
      </c>
      <c r="E523" s="1" t="n">
        <v>46322</v>
      </c>
      <c r="F523" t="inlineStr">
        <is>
          <t>NORRBOTTENS LÄN</t>
        </is>
      </c>
      <c r="G523" t="inlineStr">
        <is>
          <t>BODEN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46322</v>
      </c>
      <c r="F524" t="inlineStr">
        <is>
          <t>NORRBOTTENS LÄN</t>
        </is>
      </c>
      <c r="G524" t="inlineStr">
        <is>
          <t>BODEN</t>
        </is>
      </c>
      <c r="I524" t="n">
        <v>38.7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46322</v>
      </c>
      <c r="F525" t="inlineStr">
        <is>
          <t>NORRBOTTENS LÄN</t>
        </is>
      </c>
      <c r="G525" t="inlineStr">
        <is>
          <t>BODEN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51193-2023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45212</v>
      </c>
      <c r="E526" s="1" t="n">
        <v>46322</v>
      </c>
      <c r="F526" t="inlineStr">
        <is>
          <t>NORRBOTTENS LÄN</t>
        </is>
      </c>
      <c r="G526" t="inlineStr">
        <is>
          <t>BODEN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46042</v>
      </c>
      <c r="E527" s="1" t="n">
        <v>46322</v>
      </c>
      <c r="F527" t="inlineStr">
        <is>
          <t>NORRBOTTENS LÄN</t>
        </is>
      </c>
      <c r="G527" t="inlineStr">
        <is>
          <t>BODEN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46322</v>
      </c>
      <c r="F528" t="inlineStr">
        <is>
          <t>NORRBOTTENS LÄN</t>
        </is>
      </c>
      <c r="G528" t="inlineStr">
        <is>
          <t>BODEN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45476</v>
      </c>
      <c r="E529" s="1" t="n">
        <v>46322</v>
      </c>
      <c r="F529" t="inlineStr">
        <is>
          <t>NORRBOTTENS LÄN</t>
        </is>
      </c>
      <c r="G529" t="inlineStr">
        <is>
          <t>BODEN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45456</v>
      </c>
      <c r="E530" s="1" t="n">
        <v>46322</v>
      </c>
      <c r="F530" t="inlineStr">
        <is>
          <t>NORRBOTTENS LÄN</t>
        </is>
      </c>
      <c r="G530" t="inlineStr">
        <is>
          <t>BODEN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10730-2024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45369</v>
      </c>
      <c r="E531" s="1" t="n">
        <v>46322</v>
      </c>
      <c r="F531" t="inlineStr">
        <is>
          <t>NORRBOTTENS LÄN</t>
        </is>
      </c>
      <c r="G531" t="inlineStr">
        <is>
          <t>BODEN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708-2022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44566</v>
      </c>
      <c r="E532" s="1" t="n">
        <v>46322</v>
      </c>
      <c r="F532" t="inlineStr">
        <is>
          <t>NORRBOTTENS LÄN</t>
        </is>
      </c>
      <c r="G532" t="inlineStr">
        <is>
          <t>BODEN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39272-2024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45551</v>
      </c>
      <c r="E533" s="1" t="n">
        <v>46322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32582-2025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45838</v>
      </c>
      <c r="E534" s="1" t="n">
        <v>46322</v>
      </c>
      <c r="F534" t="inlineStr">
        <is>
          <t>NORRBOTTENS LÄN</t>
        </is>
      </c>
      <c r="G534" t="inlineStr">
        <is>
          <t>BODEN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46322</v>
      </c>
      <c r="F535" t="inlineStr">
        <is>
          <t>NORRBOTTENS LÄN</t>
        </is>
      </c>
      <c r="G535" t="inlineStr">
        <is>
          <t>BODEN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45868</v>
      </c>
      <c r="E536" s="1" t="n">
        <v>46322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33697-2023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45132</v>
      </c>
      <c r="E537" s="1" t="n">
        <v>46322</v>
      </c>
      <c r="F537" t="inlineStr">
        <is>
          <t>NORRBOTTENS LÄN</t>
        </is>
      </c>
      <c r="G537" t="inlineStr">
        <is>
          <t>BODEN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46322</v>
      </c>
      <c r="F538" t="inlineStr">
        <is>
          <t>NORRBOTTENS LÄN</t>
        </is>
      </c>
      <c r="G538" t="inlineStr">
        <is>
          <t>BODEN</t>
        </is>
      </c>
      <c r="I538" t="n">
        <v>7.5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37404-2025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45877</v>
      </c>
      <c r="E539" s="1" t="n">
        <v>46322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45649</v>
      </c>
      <c r="E540" s="1" t="n">
        <v>46322</v>
      </c>
      <c r="F540" t="inlineStr">
        <is>
          <t>NORRBOTTENS LÄN</t>
        </is>
      </c>
      <c r="G540" t="inlineStr">
        <is>
          <t>BODEN</t>
        </is>
      </c>
      <c r="I540" t="n">
        <v>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61757-2024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46322</v>
      </c>
      <c r="F541" t="inlineStr">
        <is>
          <t>NORRBOTTENS LÄN</t>
        </is>
      </c>
      <c r="G541" t="inlineStr">
        <is>
          <t>BODEN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37653-2025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46322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30077-2026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46206</v>
      </c>
      <c r="E543" s="1" t="n">
        <v>46322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46322</v>
      </c>
      <c r="F544" t="inlineStr">
        <is>
          <t>NORRBOTTENS LÄN</t>
        </is>
      </c>
      <c r="G544" t="inlineStr">
        <is>
          <t>BODEN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46322</v>
      </c>
      <c r="F545" t="inlineStr">
        <is>
          <t>NORRBOTTENS LÄN</t>
        </is>
      </c>
      <c r="G545" t="inlineStr">
        <is>
          <t>BODEN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38286-2025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45882</v>
      </c>
      <c r="E546" s="1" t="n">
        <v>46322</v>
      </c>
      <c r="F546" t="inlineStr">
        <is>
          <t>NORRBOTTENS LÄN</t>
        </is>
      </c>
      <c r="G546" t="inlineStr">
        <is>
          <t>BODEN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45882</v>
      </c>
      <c r="E547" s="1" t="n">
        <v>46322</v>
      </c>
      <c r="F547" t="inlineStr">
        <is>
          <t>NORRBOTTENS LÄN</t>
        </is>
      </c>
      <c r="G547" t="inlineStr">
        <is>
          <t>BODEN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30025-2026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46322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45105</v>
      </c>
      <c r="E549" s="1" t="n">
        <v>46322</v>
      </c>
      <c r="F549" t="inlineStr">
        <is>
          <t>NORRBOTTENS LÄN</t>
        </is>
      </c>
      <c r="G549" t="inlineStr">
        <is>
          <t>BODEN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46322</v>
      </c>
      <c r="F550" t="inlineStr">
        <is>
          <t>NORRBOTTENS LÄN</t>
        </is>
      </c>
      <c r="G550" t="inlineStr">
        <is>
          <t>BODEN</t>
        </is>
      </c>
      <c r="I550" t="n">
        <v>9.800000000000001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46322</v>
      </c>
      <c r="F551" t="inlineStr">
        <is>
          <t>NORRBOTTENS LÄN</t>
        </is>
      </c>
      <c r="G551" t="inlineStr">
        <is>
          <t>BODEN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46208</v>
      </c>
      <c r="E552" s="1" t="n">
        <v>46322</v>
      </c>
      <c r="F552" t="inlineStr">
        <is>
          <t>NORRBOTTENS LÄN</t>
        </is>
      </c>
      <c r="G552" t="inlineStr">
        <is>
          <t>BODEN</t>
        </is>
      </c>
      <c r="I552" t="n">
        <v>9.800000000000001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47097-2023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45201</v>
      </c>
      <c r="E553" s="1" t="n">
        <v>46322</v>
      </c>
      <c r="F553" t="inlineStr">
        <is>
          <t>NORRBOTTENS LÄN</t>
        </is>
      </c>
      <c r="G553" t="inlineStr">
        <is>
          <t>BODEN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46322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46322</v>
      </c>
      <c r="F555" t="inlineStr">
        <is>
          <t>NORRBOTTENS LÄN</t>
        </is>
      </c>
      <c r="G555" t="inlineStr">
        <is>
          <t>BODEN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46322</v>
      </c>
      <c r="F556" t="inlineStr">
        <is>
          <t>NORRBOTTENS LÄN</t>
        </is>
      </c>
      <c r="G556" t="inlineStr">
        <is>
          <t>BODEN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46322</v>
      </c>
      <c r="F557" t="inlineStr">
        <is>
          <t>NORRBOTTENS LÄN</t>
        </is>
      </c>
      <c r="G557" t="inlineStr">
        <is>
          <t>BODEN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46322</v>
      </c>
      <c r="F558" t="inlineStr">
        <is>
          <t>NORRBOTTENS LÄN</t>
        </is>
      </c>
      <c r="G558" t="inlineStr">
        <is>
          <t>BODEN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30745-2026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46211</v>
      </c>
      <c r="E559" s="1" t="n">
        <v>46322</v>
      </c>
      <c r="F559" t="inlineStr">
        <is>
          <t>NORRBOTTENS LÄN</t>
        </is>
      </c>
      <c r="G559" t="inlineStr">
        <is>
          <t>BODEN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11647-2023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44994</v>
      </c>
      <c r="E560" s="1" t="n">
        <v>46322</v>
      </c>
      <c r="F560" t="inlineStr">
        <is>
          <t>NORRBOTTENS LÄN</t>
        </is>
      </c>
      <c r="G560" t="inlineStr">
        <is>
          <t>BODEN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45884</v>
      </c>
      <c r="E561" s="1" t="n">
        <v>46322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11865-2025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45728</v>
      </c>
      <c r="E562" s="1" t="n">
        <v>46322</v>
      </c>
      <c r="F562" t="inlineStr">
        <is>
          <t>NORRBOTTENS LÄN</t>
        </is>
      </c>
      <c r="G562" t="inlineStr">
        <is>
          <t>BODEN</t>
        </is>
      </c>
      <c r="H562" t="inlineStr">
        <is>
          <t>Övriga Aktiebolag</t>
        </is>
      </c>
      <c r="I562" t="n">
        <v>10.6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46322</v>
      </c>
      <c r="F563" t="inlineStr">
        <is>
          <t>NORRBOTTENS LÄN</t>
        </is>
      </c>
      <c r="G563" t="inlineStr">
        <is>
          <t>BODEN</t>
        </is>
      </c>
      <c r="H563" t="inlineStr">
        <is>
          <t>Kommuner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30430-2026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46209</v>
      </c>
      <c r="E564" s="1" t="n">
        <v>46322</v>
      </c>
      <c r="F564" t="inlineStr">
        <is>
          <t>NORRBOTTENS LÄN</t>
        </is>
      </c>
      <c r="G564" t="inlineStr">
        <is>
          <t>BODEN</t>
        </is>
      </c>
      <c r="H564" t="inlineStr">
        <is>
          <t>Kommuner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46322</v>
      </c>
      <c r="F565" t="inlineStr">
        <is>
          <t>NORRBOTTENS LÄN</t>
        </is>
      </c>
      <c r="G565" t="inlineStr">
        <is>
          <t>BODEN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46322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46322</v>
      </c>
      <c r="F567" t="inlineStr">
        <is>
          <t>NORRBOTTENS LÄN</t>
        </is>
      </c>
      <c r="G567" t="inlineStr">
        <is>
          <t>BODEN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7923-2026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46322</v>
      </c>
      <c r="F568" t="inlineStr">
        <is>
          <t>NORRBOTTENS LÄN</t>
        </is>
      </c>
      <c r="G568" t="inlineStr">
        <is>
          <t>BODEN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45583</v>
      </c>
      <c r="E569" s="1" t="n">
        <v>46322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8433-2026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46322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46322</v>
      </c>
      <c r="F571" t="inlineStr">
        <is>
          <t>NORRBOTTENS LÄN</t>
        </is>
      </c>
      <c r="G571" t="inlineStr">
        <is>
          <t>BODEN</t>
        </is>
      </c>
      <c r="H571" t="inlineStr">
        <is>
          <t>Kommuner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6638-2024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45341</v>
      </c>
      <c r="E572" s="1" t="n">
        <v>46322</v>
      </c>
      <c r="F572" t="inlineStr">
        <is>
          <t>NORRBOTTENS LÄN</t>
        </is>
      </c>
      <c r="G572" t="inlineStr">
        <is>
          <t>BODEN</t>
        </is>
      </c>
      <c r="H572" t="inlineStr">
        <is>
          <t>Övriga statliga verk och myndigheter</t>
        </is>
      </c>
      <c r="I572" t="n">
        <v>12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41957-2024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46322</v>
      </c>
      <c r="F573" t="inlineStr">
        <is>
          <t>NORRBOTTENS LÄN</t>
        </is>
      </c>
      <c r="G573" t="inlineStr">
        <is>
          <t>BODEN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59983-2023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45257</v>
      </c>
      <c r="E574" s="1" t="n">
        <v>46322</v>
      </c>
      <c r="F574" t="inlineStr">
        <is>
          <t>NORRBOTTENS LÄN</t>
        </is>
      </c>
      <c r="G574" t="inlineStr">
        <is>
          <t>BODEN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67068-2021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44522</v>
      </c>
      <c r="E575" s="1" t="n">
        <v>46322</v>
      </c>
      <c r="F575" t="inlineStr">
        <is>
          <t>NORRBOTTENS LÄN</t>
        </is>
      </c>
      <c r="G575" t="inlineStr">
        <is>
          <t>BODEN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46052-2025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45924</v>
      </c>
      <c r="E576" s="1" t="n">
        <v>46322</v>
      </c>
      <c r="F576" t="inlineStr">
        <is>
          <t>NORRBOTTENS LÄN</t>
        </is>
      </c>
      <c r="G576" t="inlineStr">
        <is>
          <t>BODEN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49730-2024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46322</v>
      </c>
      <c r="F577" t="inlineStr">
        <is>
          <t>NORRBOTTENS LÄN</t>
        </is>
      </c>
      <c r="G577" t="inlineStr">
        <is>
          <t>BODEN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47424-2024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45587</v>
      </c>
      <c r="E578" s="1" t="n">
        <v>46322</v>
      </c>
      <c r="F578" t="inlineStr">
        <is>
          <t>NORRBOTTENS LÄN</t>
        </is>
      </c>
      <c r="G578" t="inlineStr">
        <is>
          <t>BODEN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46217</v>
      </c>
      <c r="E579" s="1" t="n">
        <v>46322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46322</v>
      </c>
      <c r="F580" t="inlineStr">
        <is>
          <t>NORRBOTTENS LÄN</t>
        </is>
      </c>
      <c r="G580" t="inlineStr">
        <is>
          <t>BODEN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10694-2026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46322</v>
      </c>
      <c r="F581" t="inlineStr">
        <is>
          <t>NORRBOTTENS LÄN</t>
        </is>
      </c>
      <c r="G581" t="inlineStr">
        <is>
          <t>BODEN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46217</v>
      </c>
      <c r="E582" s="1" t="n">
        <v>46322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8.800000000000001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46217</v>
      </c>
      <c r="E583" s="1" t="n">
        <v>46322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46322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46076</v>
      </c>
      <c r="E585" s="1" t="n">
        <v>46322</v>
      </c>
      <c r="F585" t="inlineStr">
        <is>
          <t>NORRBOTTENS LÄN</t>
        </is>
      </c>
      <c r="G585" t="inlineStr">
        <is>
          <t>BODEN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46322</v>
      </c>
      <c r="F586" t="inlineStr">
        <is>
          <t>NORRBOTTENS LÄN</t>
        </is>
      </c>
      <c r="G586" t="inlineStr">
        <is>
          <t>BODEN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45685</v>
      </c>
      <c r="E587" s="1" t="n">
        <v>46322</v>
      </c>
      <c r="F587" t="inlineStr">
        <is>
          <t>NORRBOTTENS LÄN</t>
        </is>
      </c>
      <c r="G587" t="inlineStr">
        <is>
          <t>BODEN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46322</v>
      </c>
      <c r="F588" t="inlineStr">
        <is>
          <t>NORRBOTTENS LÄN</t>
        </is>
      </c>
      <c r="G588" t="inlineStr">
        <is>
          <t>BODEN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46322</v>
      </c>
      <c r="F589" t="inlineStr">
        <is>
          <t>NORRBOTTENS LÄN</t>
        </is>
      </c>
      <c r="G589" t="inlineStr">
        <is>
          <t>BODEN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11930-2023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44994</v>
      </c>
      <c r="E590" s="1" t="n">
        <v>46322</v>
      </c>
      <c r="F590" t="inlineStr">
        <is>
          <t>NORRBOTTENS LÄN</t>
        </is>
      </c>
      <c r="G590" t="inlineStr">
        <is>
          <t>BODEN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46322</v>
      </c>
      <c r="F591" t="inlineStr">
        <is>
          <t>NORRBOTTENS LÄN</t>
        </is>
      </c>
      <c r="G591" t="inlineStr">
        <is>
          <t>BODEN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11633-2026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46322</v>
      </c>
      <c r="F592" t="inlineStr">
        <is>
          <t>NORRBOTTENS LÄN</t>
        </is>
      </c>
      <c r="G592" t="inlineStr">
        <is>
          <t>BODEN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11569-2026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46084</v>
      </c>
      <c r="E593" s="1" t="n">
        <v>46322</v>
      </c>
      <c r="F593" t="inlineStr">
        <is>
          <t>NORRBOTTENS LÄN</t>
        </is>
      </c>
      <c r="G593" t="inlineStr">
        <is>
          <t>BODEN</t>
        </is>
      </c>
      <c r="I593" t="n">
        <v>9.199999999999999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46225</v>
      </c>
      <c r="E594" s="1" t="n">
        <v>46322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46322</v>
      </c>
      <c r="F595" t="inlineStr">
        <is>
          <t>NORRBOTTENS LÄN</t>
        </is>
      </c>
      <c r="G595" t="inlineStr">
        <is>
          <t>BODEN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11631-2026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46322</v>
      </c>
      <c r="F596" t="inlineStr">
        <is>
          <t>NORRBOTTENS LÄN</t>
        </is>
      </c>
      <c r="G596" t="inlineStr">
        <is>
          <t>BODEN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46322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45512</v>
      </c>
      <c r="E598" s="1" t="n">
        <v>46322</v>
      </c>
      <c r="F598" t="inlineStr">
        <is>
          <t>NORRBOTTENS LÄN</t>
        </is>
      </c>
      <c r="G598" t="inlineStr">
        <is>
          <t>BODEN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46322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56163-2022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44889</v>
      </c>
      <c r="E600" s="1" t="n">
        <v>46322</v>
      </c>
      <c r="F600" t="inlineStr">
        <is>
          <t>NORRBOTTENS LÄN</t>
        </is>
      </c>
      <c r="G600" t="inlineStr">
        <is>
          <t>BODEN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45406</v>
      </c>
      <c r="E601" s="1" t="n">
        <v>46322</v>
      </c>
      <c r="F601" t="inlineStr">
        <is>
          <t>NORRBOTTENS LÄN</t>
        </is>
      </c>
      <c r="G601" t="inlineStr">
        <is>
          <t>BODEN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19968-2025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45771</v>
      </c>
      <c r="E602" s="1" t="n">
        <v>46322</v>
      </c>
      <c r="F602" t="inlineStr">
        <is>
          <t>NORRBOTTENS LÄN</t>
        </is>
      </c>
      <c r="G602" t="inlineStr">
        <is>
          <t>BODEN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46234</v>
      </c>
      <c r="E603" s="1" t="n">
        <v>46322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54104-2022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44881</v>
      </c>
      <c r="E604" s="1" t="n">
        <v>46322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46234</v>
      </c>
      <c r="E605" s="1" t="n">
        <v>46322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32087-2026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46234</v>
      </c>
      <c r="E606" s="1" t="n">
        <v>46322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47423-2024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45587</v>
      </c>
      <c r="E607" s="1" t="n">
        <v>46322</v>
      </c>
      <c r="F607" t="inlineStr">
        <is>
          <t>NORRBOTTENS LÄN</t>
        </is>
      </c>
      <c r="G607" t="inlineStr">
        <is>
          <t>BODEN</t>
        </is>
      </c>
      <c r="I607" t="n">
        <v>17.2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45248</v>
      </c>
      <c r="E608" s="1" t="n">
        <v>46322</v>
      </c>
      <c r="F608" t="inlineStr">
        <is>
          <t>NORRBOTTENS LÄN</t>
        </is>
      </c>
      <c r="G608" t="inlineStr">
        <is>
          <t>BODEN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46322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38259-2026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46281</v>
      </c>
      <c r="E610" s="1" t="n">
        <v>46322</v>
      </c>
      <c r="F610" t="inlineStr">
        <is>
          <t>NORRBOTTENS LÄN</t>
        </is>
      </c>
      <c r="G610" t="inlineStr">
        <is>
          <t>BODEN</t>
        </is>
      </c>
      <c r="H610" t="inlineStr">
        <is>
          <t>Övriga Aktiebolag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45376-2025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45922</v>
      </c>
      <c r="E611" s="1" t="n">
        <v>46322</v>
      </c>
      <c r="F611" t="inlineStr">
        <is>
          <t>NORRBOTTENS LÄN</t>
        </is>
      </c>
      <c r="G611" t="inlineStr">
        <is>
          <t>BODEN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14325-2026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46100</v>
      </c>
      <c r="E612" s="1" t="n">
        <v>46322</v>
      </c>
      <c r="F612" t="inlineStr">
        <is>
          <t>NORRBOTTENS LÄN</t>
        </is>
      </c>
      <c r="G612" t="inlineStr">
        <is>
          <t>BODEN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45761</v>
      </c>
      <c r="E613" s="1" t="n">
        <v>46322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38212-2026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46281</v>
      </c>
      <c r="E614" s="1" t="n">
        <v>46322</v>
      </c>
      <c r="F614" t="inlineStr">
        <is>
          <t>NORRBOTTENS LÄN</t>
        </is>
      </c>
      <c r="G614" t="inlineStr">
        <is>
          <t>BODEN</t>
        </is>
      </c>
      <c r="H614" t="inlineStr">
        <is>
          <t>Övriga Aktiebolag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14245-2026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46099</v>
      </c>
      <c r="E615" s="1" t="n">
        <v>46322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45691</v>
      </c>
      <c r="E616" s="1" t="n">
        <v>46322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13714-2022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44648</v>
      </c>
      <c r="E617" s="1" t="n">
        <v>46322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467-2022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44565</v>
      </c>
      <c r="E618" s="1" t="n">
        <v>46322</v>
      </c>
      <c r="F618" t="inlineStr">
        <is>
          <t>NORRBOTTENS LÄN</t>
        </is>
      </c>
      <c r="G618" t="inlineStr">
        <is>
          <t>BODEN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45649</v>
      </c>
      <c r="E619" s="1" t="n">
        <v>46322</v>
      </c>
      <c r="F619" t="inlineStr">
        <is>
          <t>NORRBOTTENS LÄN</t>
        </is>
      </c>
      <c r="G619" t="inlineStr">
        <is>
          <t>BODEN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15342-2026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46322</v>
      </c>
      <c r="F620" t="inlineStr">
        <is>
          <t>NORRBOTTENS LÄN</t>
        </is>
      </c>
      <c r="G620" t="inlineStr">
        <is>
          <t>BODEN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44553-2024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45574</v>
      </c>
      <c r="E621" s="1" t="n">
        <v>46322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46238</v>
      </c>
      <c r="E622" s="1" t="n">
        <v>46322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46281</v>
      </c>
      <c r="E623" s="1" t="n">
        <v>46322</v>
      </c>
      <c r="F623" t="inlineStr">
        <is>
          <t>NORRBOTTENS LÄN</t>
        </is>
      </c>
      <c r="G623" t="inlineStr">
        <is>
          <t>BODEN</t>
        </is>
      </c>
      <c r="I623" t="n">
        <v>7.2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32427-2026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46238</v>
      </c>
      <c r="E624" s="1" t="n">
        <v>46322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46322</v>
      </c>
      <c r="F625" t="inlineStr">
        <is>
          <t>NORRBOTTENS LÄN</t>
        </is>
      </c>
      <c r="G625" t="inlineStr">
        <is>
          <t>BODEN</t>
        </is>
      </c>
      <c r="H625" t="inlineStr">
        <is>
          <t>Övriga statliga verk och myndigheter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18173-2025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45761</v>
      </c>
      <c r="E626" s="1" t="n">
        <v>46322</v>
      </c>
      <c r="F626" t="inlineStr">
        <is>
          <t>NORRBOTTENS LÄN</t>
        </is>
      </c>
      <c r="G626" t="inlineStr">
        <is>
          <t>BODEN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46281</v>
      </c>
      <c r="E627" s="1" t="n">
        <v>46322</v>
      </c>
      <c r="F627" t="inlineStr">
        <is>
          <t>NORRBOTTENS LÄN</t>
        </is>
      </c>
      <c r="G627" t="inlineStr">
        <is>
          <t>BODEN</t>
        </is>
      </c>
      <c r="H627" t="inlineStr">
        <is>
          <t>Övriga Aktiebolag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45750</v>
      </c>
      <c r="E628" s="1" t="n">
        <v>46322</v>
      </c>
      <c r="F628" t="inlineStr">
        <is>
          <t>NORRBOTTENS LÄN</t>
        </is>
      </c>
      <c r="G628" t="inlineStr">
        <is>
          <t>BODEN</t>
        </is>
      </c>
      <c r="H628" t="inlineStr">
        <is>
          <t>Övriga Aktiebolag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45264</v>
      </c>
      <c r="E629" s="1" t="n">
        <v>46322</v>
      </c>
      <c r="F629" t="inlineStr">
        <is>
          <t>NORRBOTTENS LÄN</t>
        </is>
      </c>
      <c r="G629" t="inlineStr">
        <is>
          <t>BODEN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57575-2025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45980</v>
      </c>
      <c r="E630" s="1" t="n">
        <v>46322</v>
      </c>
      <c r="F630" t="inlineStr">
        <is>
          <t>NORRBOTTENS LÄN</t>
        </is>
      </c>
      <c r="G630" t="inlineStr">
        <is>
          <t>BODEN</t>
        </is>
      </c>
      <c r="I630" t="n">
        <v>19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38576-2026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46283</v>
      </c>
      <c r="E631" s="1" t="n">
        <v>46322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5452-2025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45692</v>
      </c>
      <c r="E632" s="1" t="n">
        <v>46322</v>
      </c>
      <c r="F632" t="inlineStr">
        <is>
          <t>NORRBOTTENS LÄN</t>
        </is>
      </c>
      <c r="G632" t="inlineStr">
        <is>
          <t>BODEN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17909-2026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46322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17810-2026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46122</v>
      </c>
      <c r="E634" s="1" t="n">
        <v>46322</v>
      </c>
      <c r="F634" t="inlineStr">
        <is>
          <t>NORRBOTTENS LÄN</t>
        </is>
      </c>
      <c r="G634" t="inlineStr">
        <is>
          <t>BODEN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18221-2026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46126</v>
      </c>
      <c r="E635" s="1" t="n">
        <v>46322</v>
      </c>
      <c r="F635" t="inlineStr">
        <is>
          <t>NORRBOTTENS LÄN</t>
        </is>
      </c>
      <c r="G635" t="inlineStr">
        <is>
          <t>BODEN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18401-2026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46126</v>
      </c>
      <c r="E636" s="1" t="n">
        <v>46322</v>
      </c>
      <c r="F636" t="inlineStr">
        <is>
          <t>NORRBOTTENS LÄN</t>
        </is>
      </c>
      <c r="G636" t="inlineStr">
        <is>
          <t>BODEN</t>
        </is>
      </c>
      <c r="I636" t="n">
        <v>7.8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46322</v>
      </c>
      <c r="F637" t="inlineStr">
        <is>
          <t>NORRBOTTENS LÄN</t>
        </is>
      </c>
      <c r="G637" t="inlineStr">
        <is>
          <t>BODEN</t>
        </is>
      </c>
      <c r="H637" t="inlineStr">
        <is>
          <t>Sveaskog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59029-2022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44903</v>
      </c>
      <c r="E638" s="1" t="n">
        <v>46322</v>
      </c>
      <c r="F638" t="inlineStr">
        <is>
          <t>NORRBOTTENS LÄN</t>
        </is>
      </c>
      <c r="G638" t="inlineStr">
        <is>
          <t>BODEN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46240</v>
      </c>
      <c r="E639" s="1" t="n">
        <v>46322</v>
      </c>
      <c r="F639" t="inlineStr">
        <is>
          <t>NORRBOTTENS LÄN</t>
        </is>
      </c>
      <c r="G639" t="inlineStr">
        <is>
          <t>BODEN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18448-2026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46127</v>
      </c>
      <c r="E640" s="1" t="n">
        <v>46322</v>
      </c>
      <c r="F640" t="inlineStr">
        <is>
          <t>NORRBOTTENS LÄN</t>
        </is>
      </c>
      <c r="G640" t="inlineStr">
        <is>
          <t>BODEN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19757-2025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45770</v>
      </c>
      <c r="E641" s="1" t="n">
        <v>46322</v>
      </c>
      <c r="F641" t="inlineStr">
        <is>
          <t>NORRBOTTENS LÄN</t>
        </is>
      </c>
      <c r="G641" t="inlineStr">
        <is>
          <t>BODEN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45672</v>
      </c>
      <c r="E642" s="1" t="n">
        <v>46322</v>
      </c>
      <c r="F642" t="inlineStr">
        <is>
          <t>NORRBOTTENS LÄN</t>
        </is>
      </c>
      <c r="G642" t="inlineStr">
        <is>
          <t>BODEN</t>
        </is>
      </c>
      <c r="I642" t="n">
        <v>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32678-2026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46240</v>
      </c>
      <c r="E643" s="1" t="n">
        <v>46322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38574-2026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46283</v>
      </c>
      <c r="E644" s="1" t="n">
        <v>46322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48415-2024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45590</v>
      </c>
      <c r="E645" s="1" t="n">
        <v>46322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48471-2024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45591</v>
      </c>
      <c r="E646" s="1" t="n">
        <v>46322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48472-2024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45591</v>
      </c>
      <c r="E647" s="1" t="n">
        <v>46322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46322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18569-2024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45425</v>
      </c>
      <c r="E649" s="1" t="n">
        <v>46322</v>
      </c>
      <c r="F649" t="inlineStr">
        <is>
          <t>NORRBOTTENS LÄN</t>
        </is>
      </c>
      <c r="G649" t="inlineStr">
        <is>
          <t>BODEN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46132</v>
      </c>
      <c r="E650" s="1" t="n">
        <v>46322</v>
      </c>
      <c r="F650" t="inlineStr">
        <is>
          <t>NORRBOTTENS LÄN</t>
        </is>
      </c>
      <c r="G650" t="inlineStr">
        <is>
          <t>BODEN</t>
        </is>
      </c>
      <c r="I650" t="n">
        <v>11.7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19200-2026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46132</v>
      </c>
      <c r="E651" s="1" t="n">
        <v>46322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46132</v>
      </c>
      <c r="E652" s="1" t="n">
        <v>46322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15017-2022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44657</v>
      </c>
      <c r="E653" s="1" t="n">
        <v>46322</v>
      </c>
      <c r="F653" t="inlineStr">
        <is>
          <t>NORRBOTTENS LÄN</t>
        </is>
      </c>
      <c r="G653" t="inlineStr">
        <is>
          <t>BODEN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62589-2025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46007</v>
      </c>
      <c r="E654" s="1" t="n">
        <v>46322</v>
      </c>
      <c r="F654" t="inlineStr">
        <is>
          <t>NORRBOTTENS LÄN</t>
        </is>
      </c>
      <c r="G654" t="inlineStr">
        <is>
          <t>BODEN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20069-2026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46136</v>
      </c>
      <c r="E655" s="1" t="n">
        <v>46322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46322</v>
      </c>
      <c r="F656" t="inlineStr">
        <is>
          <t>NORRBOTTENS LÄN</t>
        </is>
      </c>
      <c r="G656" t="inlineStr">
        <is>
          <t>BODEN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46564-2022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44847</v>
      </c>
      <c r="E657" s="1" t="n">
        <v>46322</v>
      </c>
      <c r="F657" t="inlineStr">
        <is>
          <t>NORRBOTTENS LÄN</t>
        </is>
      </c>
      <c r="G657" t="inlineStr">
        <is>
          <t>BODEN</t>
        </is>
      </c>
      <c r="I657" t="n">
        <v>28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49162-2023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45210</v>
      </c>
      <c r="E658" s="1" t="n">
        <v>46322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31203-2025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45832</v>
      </c>
      <c r="E659" s="1" t="n">
        <v>46322</v>
      </c>
      <c r="F659" t="inlineStr">
        <is>
          <t>NORRBOTTENS LÄN</t>
        </is>
      </c>
      <c r="G659" t="inlineStr">
        <is>
          <t>BODEN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62017-2025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46003</v>
      </c>
      <c r="E660" s="1" t="n">
        <v>46322</v>
      </c>
      <c r="F660" t="inlineStr">
        <is>
          <t>NORRBOTTENS LÄN</t>
        </is>
      </c>
      <c r="G660" t="inlineStr">
        <is>
          <t>BODEN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46322</v>
      </c>
      <c r="F661" t="inlineStr">
        <is>
          <t>NORRBOTTENS LÄN</t>
        </is>
      </c>
      <c r="G661" t="inlineStr">
        <is>
          <t>BODEN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44573</v>
      </c>
      <c r="E662" s="1" t="n">
        <v>46322</v>
      </c>
      <c r="F662" t="inlineStr">
        <is>
          <t>NORRBOTTENS LÄN</t>
        </is>
      </c>
      <c r="G662" t="inlineStr">
        <is>
          <t>BODEN</t>
        </is>
      </c>
      <c r="H662" t="inlineStr">
        <is>
          <t>Övriga statliga verk och myndigheter</t>
        </is>
      </c>
      <c r="I662" t="n">
        <v>9.9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48950-2022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44859</v>
      </c>
      <c r="E663" s="1" t="n">
        <v>46322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39220-2026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46287</v>
      </c>
      <c r="E664" s="1" t="n">
        <v>46322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46202</v>
      </c>
      <c r="E665" s="1" t="n">
        <v>46322</v>
      </c>
      <c r="F665" t="inlineStr">
        <is>
          <t>NORRBOTTENS LÄN</t>
        </is>
      </c>
      <c r="G665" t="inlineStr">
        <is>
          <t>BODEN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60776-2025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45999</v>
      </c>
      <c r="E666" s="1" t="n">
        <v>46322</v>
      </c>
      <c r="F666" t="inlineStr">
        <is>
          <t>NORRBOTTENS LÄN</t>
        </is>
      </c>
      <c r="G666" t="inlineStr">
        <is>
          <t>BODEN</t>
        </is>
      </c>
      <c r="I666" t="n">
        <v>9.6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37984-2024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45544</v>
      </c>
      <c r="E667" s="1" t="n">
        <v>46322</v>
      </c>
      <c r="F667" t="inlineStr">
        <is>
          <t>NORRBOTTENS LÄN</t>
        </is>
      </c>
      <c r="G667" t="inlineStr">
        <is>
          <t>BODEN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35561-2025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45856</v>
      </c>
      <c r="E668" s="1" t="n">
        <v>46322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46322</v>
      </c>
      <c r="F669" t="inlineStr">
        <is>
          <t>NORRBOTTENS LÄN</t>
        </is>
      </c>
      <c r="G669" t="inlineStr">
        <is>
          <t>BODEN</t>
        </is>
      </c>
      <c r="I669" t="n">
        <v>17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19563-2024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45429</v>
      </c>
      <c r="E670" s="1" t="n">
        <v>46322</v>
      </c>
      <c r="F670" t="inlineStr">
        <is>
          <t>NORRBOTTENS LÄN</t>
        </is>
      </c>
      <c r="G670" t="inlineStr">
        <is>
          <t>BODEN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61988-2025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46003</v>
      </c>
      <c r="E671" s="1" t="n">
        <v>46322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16700-2024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45408</v>
      </c>
      <c r="E672" s="1" t="n">
        <v>46322</v>
      </c>
      <c r="F672" t="inlineStr">
        <is>
          <t>NORRBOTTENS LÄN</t>
        </is>
      </c>
      <c r="G672" t="inlineStr">
        <is>
          <t>BODEN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28496-2026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46322</v>
      </c>
      <c r="F673" t="inlineStr">
        <is>
          <t>NORRBOTTENS LÄN</t>
        </is>
      </c>
      <c r="G673" t="inlineStr">
        <is>
          <t>BODEN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6693-2023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44963</v>
      </c>
      <c r="E674" s="1" t="n">
        <v>46322</v>
      </c>
      <c r="F674" t="inlineStr">
        <is>
          <t>NORRBOTTENS LÄN</t>
        </is>
      </c>
      <c r="G674" t="inlineStr">
        <is>
          <t>BODEN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39007-2026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46287</v>
      </c>
      <c r="E675" s="1" t="n">
        <v>46322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31456-2024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45505</v>
      </c>
      <c r="E676" s="1" t="n">
        <v>46322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50561-2025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45944</v>
      </c>
      <c r="E677" s="1" t="n">
        <v>46322</v>
      </c>
      <c r="F677" t="inlineStr">
        <is>
          <t>NORRBOTTENS LÄN</t>
        </is>
      </c>
      <c r="G677" t="inlineStr">
        <is>
          <t>BODEN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9969-2023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44979</v>
      </c>
      <c r="E678" s="1" t="n">
        <v>46322</v>
      </c>
      <c r="F678" t="inlineStr">
        <is>
          <t>NORRBOTTENS LÄN</t>
        </is>
      </c>
      <c r="G678" t="inlineStr">
        <is>
          <t>BODEN</t>
        </is>
      </c>
      <c r="H678" t="inlineStr">
        <is>
          <t>Övriga statliga verk och myndigheter</t>
        </is>
      </c>
      <c r="I678" t="n">
        <v>18.8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35755-2025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45860</v>
      </c>
      <c r="E679" s="1" t="n">
        <v>46322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26806-2024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45470</v>
      </c>
      <c r="E680" s="1" t="n">
        <v>46322</v>
      </c>
      <c r="F680" t="inlineStr">
        <is>
          <t>NORRBOTTENS LÄN</t>
        </is>
      </c>
      <c r="G680" t="inlineStr">
        <is>
          <t>BODEN</t>
        </is>
      </c>
      <c r="H680" t="inlineStr">
        <is>
          <t>Övriga Aktiebolag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46246</v>
      </c>
      <c r="E681" s="1" t="n">
        <v>46322</v>
      </c>
      <c r="F681" t="inlineStr">
        <is>
          <t>NORRBOTTENS LÄN</t>
        </is>
      </c>
      <c r="G681" t="inlineStr">
        <is>
          <t>BODEN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48459-2025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45935</v>
      </c>
      <c r="E682" s="1" t="n">
        <v>46322</v>
      </c>
      <c r="F682" t="inlineStr">
        <is>
          <t>NORRBOTTENS LÄN</t>
        </is>
      </c>
      <c r="G682" t="inlineStr">
        <is>
          <t>BODEN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68591-2021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44529</v>
      </c>
      <c r="E683" s="1" t="n">
        <v>46322</v>
      </c>
      <c r="F683" t="inlineStr">
        <is>
          <t>NORRBOTTENS LÄN</t>
        </is>
      </c>
      <c r="G683" t="inlineStr">
        <is>
          <t>BODEN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44567-2024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45574</v>
      </c>
      <c r="E684" s="1" t="n">
        <v>46322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32775-2025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45839</v>
      </c>
      <c r="E685" s="1" t="n">
        <v>46322</v>
      </c>
      <c r="F685" t="inlineStr">
        <is>
          <t>NORRBOTTENS LÄN</t>
        </is>
      </c>
      <c r="G685" t="inlineStr">
        <is>
          <t>BODEN</t>
        </is>
      </c>
      <c r="I685" t="n">
        <v>13.6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19051-2025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45764</v>
      </c>
      <c r="E686" s="1" t="n">
        <v>46322</v>
      </c>
      <c r="F686" t="inlineStr">
        <is>
          <t>NORRBOTTENS LÄN</t>
        </is>
      </c>
      <c r="G686" t="inlineStr">
        <is>
          <t>BODEN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39521-2026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46289</v>
      </c>
      <c r="E687" s="1" t="n">
        <v>46322</v>
      </c>
      <c r="F687" t="inlineStr">
        <is>
          <t>NORRBOTTENS LÄN</t>
        </is>
      </c>
      <c r="G687" t="inlineStr">
        <is>
          <t>BODEN</t>
        </is>
      </c>
      <c r="I687" t="n">
        <v>24.6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46322</v>
      </c>
      <c r="F688" t="inlineStr">
        <is>
          <t>NORRBOTTENS LÄN</t>
        </is>
      </c>
      <c r="G688" t="inlineStr">
        <is>
          <t>BODEN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14757-2023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45014</v>
      </c>
      <c r="E689" s="1" t="n">
        <v>46322</v>
      </c>
      <c r="F689" t="inlineStr">
        <is>
          <t>NORRBOTTENS LÄN</t>
        </is>
      </c>
      <c r="G689" t="inlineStr">
        <is>
          <t>BODEN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40028-2026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46322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47024-2024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45586</v>
      </c>
      <c r="E691" s="1" t="n">
        <v>46322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12.8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6244-2023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44964</v>
      </c>
      <c r="E692" s="1" t="n">
        <v>46322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19624-2025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46322</v>
      </c>
      <c r="F693" t="inlineStr">
        <is>
          <t>NORRBOTTENS LÄN</t>
        </is>
      </c>
      <c r="G693" t="inlineStr">
        <is>
          <t>BODEN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39943-2026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46290</v>
      </c>
      <c r="E694" s="1" t="n">
        <v>46322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11.1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46293</v>
      </c>
      <c r="E695" s="1" t="n">
        <v>46322</v>
      </c>
      <c r="F695" t="inlineStr">
        <is>
          <t>NORRBOTTENS LÄN</t>
        </is>
      </c>
      <c r="G695" t="inlineStr">
        <is>
          <t>BODEN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59893-2023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45254</v>
      </c>
      <c r="E696" s="1" t="n">
        <v>46322</v>
      </c>
      <c r="F696" t="inlineStr">
        <is>
          <t>NORRBOTTENS LÄN</t>
        </is>
      </c>
      <c r="G696" t="inlineStr">
        <is>
          <t>BODEN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35040-2022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44796</v>
      </c>
      <c r="E697" s="1" t="n">
        <v>46322</v>
      </c>
      <c r="F697" t="inlineStr">
        <is>
          <t>NORRBOTTENS LÄN</t>
        </is>
      </c>
      <c r="G697" t="inlineStr">
        <is>
          <t>BODEN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46322</v>
      </c>
      <c r="F698" t="inlineStr">
        <is>
          <t>NORRBOTTENS LÄN</t>
        </is>
      </c>
      <c r="G698" t="inlineStr">
        <is>
          <t>BODEN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10240-2026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46322</v>
      </c>
      <c r="F699" t="inlineStr">
        <is>
          <t>NORRBOTTENS LÄN</t>
        </is>
      </c>
      <c r="G699" t="inlineStr">
        <is>
          <t>BODEN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31195-2025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45832</v>
      </c>
      <c r="E700" s="1" t="n">
        <v>46322</v>
      </c>
      <c r="F700" t="inlineStr">
        <is>
          <t>NORRBOTTENS LÄN</t>
        </is>
      </c>
      <c r="G700" t="inlineStr">
        <is>
          <t>BODEN</t>
        </is>
      </c>
      <c r="I700" t="n">
        <v>8.9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28248-2025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45818</v>
      </c>
      <c r="E701" s="1" t="n">
        <v>46322</v>
      </c>
      <c r="F701" t="inlineStr">
        <is>
          <t>NORRBOTTENS LÄN</t>
        </is>
      </c>
      <c r="G701" t="inlineStr">
        <is>
          <t>BODEN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61214-2024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45645</v>
      </c>
      <c r="E702" s="1" t="n">
        <v>46322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40026-2026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46293</v>
      </c>
      <c r="E703" s="1" t="n">
        <v>46322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8.300000000000001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5792-2025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45694</v>
      </c>
      <c r="E704" s="1" t="n">
        <v>46322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33915-2024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45523</v>
      </c>
      <c r="E705" s="1" t="n">
        <v>46322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21279-2026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46147</v>
      </c>
      <c r="E706" s="1" t="n">
        <v>46322</v>
      </c>
      <c r="F706" t="inlineStr">
        <is>
          <t>NORRBOTTENS LÄN</t>
        </is>
      </c>
      <c r="G706" t="inlineStr">
        <is>
          <t>BODEN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40115-2025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45893</v>
      </c>
      <c r="E707" s="1" t="n">
        <v>46322</v>
      </c>
      <c r="F707" t="inlineStr">
        <is>
          <t>NORRBOTTENS LÄN</t>
        </is>
      </c>
      <c r="G707" t="inlineStr">
        <is>
          <t>BODEN</t>
        </is>
      </c>
      <c r="H707" t="inlineStr">
        <is>
          <t>Övriga statliga verk och myndigheter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36112-2023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45149</v>
      </c>
      <c r="E708" s="1" t="n">
        <v>46322</v>
      </c>
      <c r="F708" t="inlineStr">
        <is>
          <t>NORRBOTTENS LÄN</t>
        </is>
      </c>
      <c r="G708" t="inlineStr">
        <is>
          <t>BODEN</t>
        </is>
      </c>
      <c r="I708" t="n">
        <v>16.1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20505-2023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45054</v>
      </c>
      <c r="E709" s="1" t="n">
        <v>46322</v>
      </c>
      <c r="F709" t="inlineStr">
        <is>
          <t>NORRBOTTENS LÄN</t>
        </is>
      </c>
      <c r="G709" t="inlineStr">
        <is>
          <t>BODEN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21335-2024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45429</v>
      </c>
      <c r="E710" s="1" t="n">
        <v>46322</v>
      </c>
      <c r="F710" t="inlineStr">
        <is>
          <t>NORRBOTTENS LÄN</t>
        </is>
      </c>
      <c r="G710" t="inlineStr">
        <is>
          <t>BODEN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33511-2025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45841</v>
      </c>
      <c r="E711" s="1" t="n">
        <v>46322</v>
      </c>
      <c r="F711" t="inlineStr">
        <is>
          <t>NORRBOTTENS LÄN</t>
        </is>
      </c>
      <c r="G711" t="inlineStr">
        <is>
          <t>BODEN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21478-2026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46148</v>
      </c>
      <c r="E712" s="1" t="n">
        <v>46322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25916-2023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46322</v>
      </c>
      <c r="F713" t="inlineStr">
        <is>
          <t>NORRBOTTENS LÄN</t>
        </is>
      </c>
      <c r="G713" t="inlineStr">
        <is>
          <t>BODEN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21688-2026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46322</v>
      </c>
      <c r="F714" t="inlineStr">
        <is>
          <t>NORRBOTTENS LÄN</t>
        </is>
      </c>
      <c r="G714" t="inlineStr">
        <is>
          <t>BODEN</t>
        </is>
      </c>
      <c r="I714" t="n">
        <v>11.6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21703-2026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46149</v>
      </c>
      <c r="E715" s="1" t="n">
        <v>46322</v>
      </c>
      <c r="F715" t="inlineStr">
        <is>
          <t>NORRBOTTENS LÄN</t>
        </is>
      </c>
      <c r="G715" t="inlineStr">
        <is>
          <t>BODEN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46248</v>
      </c>
      <c r="E716" s="1" t="n">
        <v>46322</v>
      </c>
      <c r="F716" t="inlineStr">
        <is>
          <t>NORRBOTTENS LÄN</t>
        </is>
      </c>
      <c r="G716" t="inlineStr">
        <is>
          <t>BODEN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22264-2026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46150</v>
      </c>
      <c r="E717" s="1" t="n">
        <v>46322</v>
      </c>
      <c r="F717" t="inlineStr">
        <is>
          <t>NORRBOTTENS LÄN</t>
        </is>
      </c>
      <c r="G717" t="inlineStr">
        <is>
          <t>BODEN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22259-2026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46150</v>
      </c>
      <c r="E718" s="1" t="n">
        <v>46322</v>
      </c>
      <c r="F718" t="inlineStr">
        <is>
          <t>NORRBOTTENS LÄN</t>
        </is>
      </c>
      <c r="G718" t="inlineStr">
        <is>
          <t>BODEN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64649-2023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45281</v>
      </c>
      <c r="E719" s="1" t="n">
        <v>46322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21784-2026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46150</v>
      </c>
      <c r="E720" s="1" t="n">
        <v>46322</v>
      </c>
      <c r="F720" t="inlineStr">
        <is>
          <t>NORRBOTTENS LÄN</t>
        </is>
      </c>
      <c r="G720" t="inlineStr">
        <is>
          <t>BODEN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40151-2026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46293</v>
      </c>
      <c r="E721" s="1" t="n">
        <v>46322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16699-2024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45408</v>
      </c>
      <c r="E722" s="1" t="n">
        <v>46322</v>
      </c>
      <c r="F722" t="inlineStr">
        <is>
          <t>NORRBOTTENS LÄN</t>
        </is>
      </c>
      <c r="G722" t="inlineStr">
        <is>
          <t>BODEN</t>
        </is>
      </c>
      <c r="I722" t="n">
        <v>14.9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22373-2026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46154</v>
      </c>
      <c r="E723" s="1" t="n">
        <v>46322</v>
      </c>
      <c r="F723" t="inlineStr">
        <is>
          <t>NORRBOTTENS LÄN</t>
        </is>
      </c>
      <c r="G723" t="inlineStr">
        <is>
          <t>BODEN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61587-2024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45646</v>
      </c>
      <c r="E724" s="1" t="n">
        <v>46322</v>
      </c>
      <c r="F724" t="inlineStr">
        <is>
          <t>NORRBOTTENS LÄN</t>
        </is>
      </c>
      <c r="G724" t="inlineStr">
        <is>
          <t>BODEN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46322</v>
      </c>
      <c r="F725" t="inlineStr">
        <is>
          <t>NORRBOTTENS LÄN</t>
        </is>
      </c>
      <c r="G725" t="inlineStr">
        <is>
          <t>BODEN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60085-2024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45639</v>
      </c>
      <c r="E726" s="1" t="n">
        <v>46322</v>
      </c>
      <c r="F726" t="inlineStr">
        <is>
          <t>NORRBOTTENS LÄN</t>
        </is>
      </c>
      <c r="G726" t="inlineStr">
        <is>
          <t>BODEN</t>
        </is>
      </c>
      <c r="I726" t="n">
        <v>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22239-2026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46154</v>
      </c>
      <c r="E727" s="1" t="n">
        <v>46322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59028-2022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44903</v>
      </c>
      <c r="E728" s="1" t="n">
        <v>46322</v>
      </c>
      <c r="F728" t="inlineStr">
        <is>
          <t>NORRBOTTENS LÄN</t>
        </is>
      </c>
      <c r="G728" t="inlineStr">
        <is>
          <t>BODEN</t>
        </is>
      </c>
      <c r="I728" t="n">
        <v>16.1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59035-2025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45988</v>
      </c>
      <c r="E729" s="1" t="n">
        <v>46322</v>
      </c>
      <c r="F729" t="inlineStr">
        <is>
          <t>NORRBOTTENS LÄN</t>
        </is>
      </c>
      <c r="G729" t="inlineStr">
        <is>
          <t>BODEN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19068-2024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45427</v>
      </c>
      <c r="E730" s="1" t="n">
        <v>46322</v>
      </c>
      <c r="F730" t="inlineStr">
        <is>
          <t>NORRBOTTENS LÄN</t>
        </is>
      </c>
      <c r="G730" t="inlineStr">
        <is>
          <t>BODEN</t>
        </is>
      </c>
      <c r="I730" t="n">
        <v>22.1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21329-2024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45440</v>
      </c>
      <c r="E731" s="1" t="n">
        <v>46322</v>
      </c>
      <c r="F731" t="inlineStr">
        <is>
          <t>NORRBOTTENS LÄN</t>
        </is>
      </c>
      <c r="G731" t="inlineStr">
        <is>
          <t>BODEN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49127-2023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45210</v>
      </c>
      <c r="E732" s="1" t="n">
        <v>46322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34022-2026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46322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19.5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28139-2025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45818</v>
      </c>
      <c r="E734" s="1" t="n">
        <v>46322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11.3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15157-2025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45744</v>
      </c>
      <c r="E735" s="1" t="n">
        <v>46322</v>
      </c>
      <c r="F735" t="inlineStr">
        <is>
          <t>NORRBOTTENS LÄN</t>
        </is>
      </c>
      <c r="G735" t="inlineStr">
        <is>
          <t>BODEN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45691</v>
      </c>
      <c r="E736" s="1" t="n">
        <v>46322</v>
      </c>
      <c r="F736" t="inlineStr">
        <is>
          <t>NORRBOTTENS LÄN</t>
        </is>
      </c>
      <c r="G736" t="inlineStr">
        <is>
          <t>BODEN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67438-2021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44524</v>
      </c>
      <c r="E737" s="1" t="n">
        <v>46322</v>
      </c>
      <c r="F737" t="inlineStr">
        <is>
          <t>NORRBOTTENS LÄN</t>
        </is>
      </c>
      <c r="G737" t="inlineStr">
        <is>
          <t>BODEN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33790-2026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46322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49859-2023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45212</v>
      </c>
      <c r="E739" s="1" t="n">
        <v>46322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37212-2025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45875</v>
      </c>
      <c r="E740" s="1" t="n">
        <v>46322</v>
      </c>
      <c r="F740" t="inlineStr">
        <is>
          <t>NORRBOTTENS LÄN</t>
        </is>
      </c>
      <c r="G740" t="inlineStr">
        <is>
          <t>BODEN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21421-2022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44706</v>
      </c>
      <c r="E741" s="1" t="n">
        <v>46322</v>
      </c>
      <c r="F741" t="inlineStr">
        <is>
          <t>NORRBOTTENS LÄN</t>
        </is>
      </c>
      <c r="G741" t="inlineStr">
        <is>
          <t>BODEN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28432-2022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44747</v>
      </c>
      <c r="E742" s="1" t="n">
        <v>46322</v>
      </c>
      <c r="F742" t="inlineStr">
        <is>
          <t>NORRBOTTENS LÄN</t>
        </is>
      </c>
      <c r="G742" t="inlineStr">
        <is>
          <t>BODEN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16741-2022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44673</v>
      </c>
      <c r="E743" s="1" t="n">
        <v>46322</v>
      </c>
      <c r="F743" t="inlineStr">
        <is>
          <t>NORRBOTTENS LÄN</t>
        </is>
      </c>
      <c r="G743" t="inlineStr">
        <is>
          <t>BODEN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46322</v>
      </c>
      <c r="F744" t="inlineStr">
        <is>
          <t>NORRBOTTENS LÄN</t>
        </is>
      </c>
      <c r="G744" t="inlineStr">
        <is>
          <t>BODEN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45548</v>
      </c>
      <c r="E745" s="1" t="n">
        <v>46322</v>
      </c>
      <c r="F745" t="inlineStr">
        <is>
          <t>NORRBOTTENS LÄN</t>
        </is>
      </c>
      <c r="G745" t="inlineStr">
        <is>
          <t>BODEN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45894</v>
      </c>
      <c r="E746" s="1" t="n">
        <v>46322</v>
      </c>
      <c r="F746" t="inlineStr">
        <is>
          <t>NORRBOTTENS LÄN</t>
        </is>
      </c>
      <c r="G746" t="inlineStr">
        <is>
          <t>BODEN</t>
        </is>
      </c>
      <c r="H746" t="inlineStr">
        <is>
          <t>Övriga statliga verk och myndigheter</t>
        </is>
      </c>
      <c r="I746" t="n">
        <v>17.6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14995-2022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44657</v>
      </c>
      <c r="E747" s="1" t="n">
        <v>46322</v>
      </c>
      <c r="F747" t="inlineStr">
        <is>
          <t>NORRBOTTENS LÄN</t>
        </is>
      </c>
      <c r="G747" t="inlineStr">
        <is>
          <t>BODEN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15000-2022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44657</v>
      </c>
      <c r="E748" s="1" t="n">
        <v>46322</v>
      </c>
      <c r="F748" t="inlineStr">
        <is>
          <t>NORRBOTTENS LÄN</t>
        </is>
      </c>
      <c r="G748" t="inlineStr">
        <is>
          <t>BODEN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46294</v>
      </c>
      <c r="E749" s="1" t="n">
        <v>46322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46322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23792-2026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46164</v>
      </c>
      <c r="E751" s="1" t="n">
        <v>46322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46164</v>
      </c>
      <c r="E752" s="1" t="n">
        <v>46322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7.1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23789-2026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46164</v>
      </c>
      <c r="E753" s="1" t="n">
        <v>46322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24431-2026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46322</v>
      </c>
      <c r="F754" t="inlineStr">
        <is>
          <t>NORRBOTTENS LÄN</t>
        </is>
      </c>
      <c r="G754" t="inlineStr">
        <is>
          <t>BODEN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6776-2023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44966</v>
      </c>
      <c r="E755" s="1" t="n">
        <v>46322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46322</v>
      </c>
      <c r="F756" t="inlineStr">
        <is>
          <t>NORRBOTTENS LÄN</t>
        </is>
      </c>
      <c r="G756" t="inlineStr">
        <is>
          <t>BODEN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46322</v>
      </c>
      <c r="F757" t="inlineStr">
        <is>
          <t>NORRBOTTENS LÄN</t>
        </is>
      </c>
      <c r="G757" t="inlineStr">
        <is>
          <t>BODEN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24234-2026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46322</v>
      </c>
      <c r="F758" t="inlineStr">
        <is>
          <t>NORRBOTTENS LÄN</t>
        </is>
      </c>
      <c r="G758" t="inlineStr">
        <is>
          <t>BODEN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24221-2026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46322</v>
      </c>
      <c r="F759" t="inlineStr">
        <is>
          <t>NORRBOTTENS LÄN</t>
        </is>
      </c>
      <c r="G759" t="inlineStr">
        <is>
          <t>BODEN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34158-2026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46253</v>
      </c>
      <c r="E760" s="1" t="n">
        <v>46322</v>
      </c>
      <c r="F760" t="inlineStr">
        <is>
          <t>NORRBOTTENS LÄN</t>
        </is>
      </c>
      <c r="G760" t="inlineStr">
        <is>
          <t>BODEN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33864-2026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46251</v>
      </c>
      <c r="E761" s="1" t="n">
        <v>46322</v>
      </c>
      <c r="F761" t="inlineStr">
        <is>
          <t>NORRBOTTENS LÄN</t>
        </is>
      </c>
      <c r="G761" t="inlineStr">
        <is>
          <t>BODEN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24805-2026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46172</v>
      </c>
      <c r="E762" s="1" t="n">
        <v>46322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46322</v>
      </c>
      <c r="F763" t="inlineStr">
        <is>
          <t>NORRBOTTENS LÄN</t>
        </is>
      </c>
      <c r="G763" t="inlineStr">
        <is>
          <t>BODEN</t>
        </is>
      </c>
      <c r="I763" t="n">
        <v>6.1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25042-2026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46174</v>
      </c>
      <c r="E764" s="1" t="n">
        <v>46322</v>
      </c>
      <c r="F764" t="inlineStr">
        <is>
          <t>NORRBOTTENS LÄN</t>
        </is>
      </c>
      <c r="G764" t="inlineStr">
        <is>
          <t>BODEN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34462-2026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46254</v>
      </c>
      <c r="E765" s="1" t="n">
        <v>46322</v>
      </c>
      <c r="F765" t="inlineStr">
        <is>
          <t>NORRBOTTENS LÄN</t>
        </is>
      </c>
      <c r="G765" t="inlineStr">
        <is>
          <t>BODEN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34463-2026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46322</v>
      </c>
      <c r="F766" t="inlineStr">
        <is>
          <t>NORRBOTTENS LÄN</t>
        </is>
      </c>
      <c r="G766" t="inlineStr">
        <is>
          <t>BODEN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48592-2024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45593</v>
      </c>
      <c r="E767" s="1" t="n">
        <v>46322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27543-2025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45813</v>
      </c>
      <c r="E768" s="1" t="n">
        <v>46322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25240-2026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46175</v>
      </c>
      <c r="E769" s="1" t="n">
        <v>46322</v>
      </c>
      <c r="F769" t="inlineStr">
        <is>
          <t>NORRBOTTENS LÄN</t>
        </is>
      </c>
      <c r="G769" t="inlineStr">
        <is>
          <t>BODEN</t>
        </is>
      </c>
      <c r="I769" t="n">
        <v>6.4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40873-2026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46297</v>
      </c>
      <c r="E770" s="1" t="n">
        <v>46322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19528-2024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45429</v>
      </c>
      <c r="E771" s="1" t="n">
        <v>46322</v>
      </c>
      <c r="F771" t="inlineStr">
        <is>
          <t>NORRBOTTENS LÄN</t>
        </is>
      </c>
      <c r="G771" t="inlineStr">
        <is>
          <t>BODEN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19533-2024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45429</v>
      </c>
      <c r="E772" s="1" t="n">
        <v>46322</v>
      </c>
      <c r="F772" t="inlineStr">
        <is>
          <t>NORRBOTTENS LÄN</t>
        </is>
      </c>
      <c r="G772" t="inlineStr">
        <is>
          <t>BODEN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25920-2023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45085</v>
      </c>
      <c r="E773" s="1" t="n">
        <v>46322</v>
      </c>
      <c r="F773" t="inlineStr">
        <is>
          <t>NORRBOTTENS LÄN</t>
        </is>
      </c>
      <c r="G773" t="inlineStr">
        <is>
          <t>BODEN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34333-2026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46254</v>
      </c>
      <c r="E774" s="1" t="n">
        <v>46322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18.5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40708-2026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46296</v>
      </c>
      <c r="E775" s="1" t="n">
        <v>46322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40701-2026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46296</v>
      </c>
      <c r="E776" s="1" t="n">
        <v>46322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14.5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25817-2026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46322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46029</v>
      </c>
      <c r="E778" s="1" t="n">
        <v>46322</v>
      </c>
      <c r="F778" t="inlineStr">
        <is>
          <t>NORRBOTTENS LÄN</t>
        </is>
      </c>
      <c r="G778" t="inlineStr">
        <is>
          <t>BODEN</t>
        </is>
      </c>
      <c r="H778" t="inlineStr">
        <is>
          <t>Naturvårdsverket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8869-2024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46322</v>
      </c>
      <c r="F779" t="inlineStr">
        <is>
          <t>NORRBOTTENS LÄN</t>
        </is>
      </c>
      <c r="G779" t="inlineStr">
        <is>
          <t>BODEN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25536-2026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46177</v>
      </c>
      <c r="E780" s="1" t="n">
        <v>46322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25571-2026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46177</v>
      </c>
      <c r="E781" s="1" t="n">
        <v>46322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29377-2024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45483</v>
      </c>
      <c r="E782" s="1" t="n">
        <v>46322</v>
      </c>
      <c r="F782" t="inlineStr">
        <is>
          <t>NORRBOTTENS LÄN</t>
        </is>
      </c>
      <c r="G782" t="inlineStr">
        <is>
          <t>BODEN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36915-2023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45153</v>
      </c>
      <c r="E783" s="1" t="n">
        <v>46322</v>
      </c>
      <c r="F783" t="inlineStr">
        <is>
          <t>NORRBOTTENS LÄN</t>
        </is>
      </c>
      <c r="G783" t="inlineStr">
        <is>
          <t>BODEN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46322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31754-2024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45509</v>
      </c>
      <c r="E785" s="1" t="n">
        <v>46322</v>
      </c>
      <c r="F785" t="inlineStr">
        <is>
          <t>NORRBOTTENS LÄN</t>
        </is>
      </c>
      <c r="G785" t="inlineStr">
        <is>
          <t>BODEN</t>
        </is>
      </c>
      <c r="I785" t="n">
        <v>11.1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26122-2026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46181</v>
      </c>
      <c r="E786" s="1" t="n">
        <v>46322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26182-2026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46182</v>
      </c>
      <c r="E787" s="1" t="n">
        <v>46322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8.5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59688-2023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45256</v>
      </c>
      <c r="E788" s="1" t="n">
        <v>46322</v>
      </c>
      <c r="F788" t="inlineStr">
        <is>
          <t>NORRBOTTENS LÄN</t>
        </is>
      </c>
      <c r="G788" t="inlineStr">
        <is>
          <t>BODEN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42196-2024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45562</v>
      </c>
      <c r="E789" s="1" t="n">
        <v>46322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61932-2024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45653</v>
      </c>
      <c r="E790" s="1" t="n">
        <v>46322</v>
      </c>
      <c r="F790" t="inlineStr">
        <is>
          <t>NORRBOTTENS LÄN</t>
        </is>
      </c>
      <c r="G790" t="inlineStr">
        <is>
          <t>BODEN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41039-2026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46299</v>
      </c>
      <c r="E791" s="1" t="n">
        <v>46322</v>
      </c>
      <c r="F791" t="inlineStr">
        <is>
          <t>NORRBOTTENS LÄN</t>
        </is>
      </c>
      <c r="G791" t="inlineStr">
        <is>
          <t>BODEN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26448-2026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46183</v>
      </c>
      <c r="E792" s="1" t="n">
        <v>46322</v>
      </c>
      <c r="F792" t="inlineStr">
        <is>
          <t>NORRBOTTENS LÄN</t>
        </is>
      </c>
      <c r="G792" t="inlineStr">
        <is>
          <t>BODEN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26714-2026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46322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26776-2026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46184</v>
      </c>
      <c r="E794" s="1" t="n">
        <v>46322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  <c r="Z794">
        <f>HYPERLINK("https://klasma.github.io/Logging_2582/knärot/A 26776-2026 karta knärot.png", "A 26776-2026")</f>
        <v/>
      </c>
      <c r="AA794">
        <f>HYPERLINK("https://klasma.github.io/Logging_2582/klagomål/A 26776-2026 FSC-klagomål.docx", "A 26776-2026")</f>
        <v/>
      </c>
      <c r="AB794">
        <f>HYPERLINK("https://klasma.github.io/Logging_2582/klagomålsmail/A 26776-2026 FSC-klagomål mail.docx", "A 26776-2026")</f>
        <v/>
      </c>
      <c r="AC794">
        <f>HYPERLINK("https://klasma.github.io/Logging_2582/tillsyn/A 26776-2026 tillsynsbegäran.docx", "A 26776-2026")</f>
        <v/>
      </c>
      <c r="AD794">
        <f>HYPERLINK("https://klasma.github.io/Logging_2582/tillsynsmail/A 26776-2026 tillsynsbegäran mail.docx", "A 26776-2026")</f>
        <v/>
      </c>
    </row>
    <row r="795" ht="15" customHeight="1">
      <c r="A795" t="inlineStr">
        <is>
          <t>A 57968-2023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45247</v>
      </c>
      <c r="E795" s="1" t="n">
        <v>46322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46322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26662-2026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46184</v>
      </c>
      <c r="E797" s="1" t="n">
        <v>46322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42.2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31007-2024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45499</v>
      </c>
      <c r="E798" s="1" t="n">
        <v>46322</v>
      </c>
      <c r="F798" t="inlineStr">
        <is>
          <t>NORRBOTTENS LÄN</t>
        </is>
      </c>
      <c r="G798" t="inlineStr">
        <is>
          <t>BODEN</t>
        </is>
      </c>
      <c r="I798" t="n">
        <v>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37384-2023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46322</v>
      </c>
      <c r="F799" t="inlineStr">
        <is>
          <t>NORRBOTTENS LÄN</t>
        </is>
      </c>
      <c r="G799" t="inlineStr">
        <is>
          <t>BODEN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41099-2026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46322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41568-2026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46301</v>
      </c>
      <c r="E801" s="1" t="n">
        <v>46322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41302-2026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46300</v>
      </c>
      <c r="E802" s="1" t="n">
        <v>46322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12893-2022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44642</v>
      </c>
      <c r="E803" s="1" t="n">
        <v>46322</v>
      </c>
      <c r="F803" t="inlineStr">
        <is>
          <t>NORRBOTTENS LÄN</t>
        </is>
      </c>
      <c r="G803" t="inlineStr">
        <is>
          <t>BODEN</t>
        </is>
      </c>
      <c r="H803" t="inlineStr">
        <is>
          <t>Övriga statliga verk och myndigheter</t>
        </is>
      </c>
      <c r="I803" t="n">
        <v>15.8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22458-2023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46322</v>
      </c>
      <c r="F804" t="inlineStr">
        <is>
          <t>NORRBOTTENS LÄN</t>
        </is>
      </c>
      <c r="G804" t="inlineStr">
        <is>
          <t>BODEN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58373-2022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46322</v>
      </c>
      <c r="F805" t="inlineStr">
        <is>
          <t>NORRBOTTENS LÄN</t>
        </is>
      </c>
      <c r="G805" t="inlineStr">
        <is>
          <t>BODEN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41140-2026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46322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41096-2026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46322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34517-2026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46322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45929-2023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45195</v>
      </c>
      <c r="E809" s="1" t="n">
        <v>46322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35060-2026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46259</v>
      </c>
      <c r="E810" s="1" t="n">
        <v>46322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44.8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61750-2024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45649</v>
      </c>
      <c r="E811" s="1" t="n">
        <v>46322</v>
      </c>
      <c r="F811" t="inlineStr">
        <is>
          <t>NORRBOTTENS LÄN</t>
        </is>
      </c>
      <c r="G811" t="inlineStr">
        <is>
          <t>BODEN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34897-2026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46259</v>
      </c>
      <c r="E812" s="1" t="n">
        <v>46322</v>
      </c>
      <c r="F812" t="inlineStr">
        <is>
          <t>NORRBOTTENS LÄN</t>
        </is>
      </c>
      <c r="G812" t="inlineStr">
        <is>
          <t>BODEN</t>
        </is>
      </c>
      <c r="H812" t="inlineStr">
        <is>
          <t>Naturvårdsverket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47922-2024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45589</v>
      </c>
      <c r="E813" s="1" t="n">
        <v>46322</v>
      </c>
      <c r="F813" t="inlineStr">
        <is>
          <t>NORRBOTTENS LÄN</t>
        </is>
      </c>
      <c r="G813" t="inlineStr">
        <is>
          <t>BODEN</t>
        </is>
      </c>
      <c r="H813" t="inlineStr">
        <is>
          <t>Naturvårdsverket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47924-2024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45589</v>
      </c>
      <c r="E814" s="1" t="n">
        <v>46322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41706-2026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46302</v>
      </c>
      <c r="E815" s="1" t="n">
        <v>46322</v>
      </c>
      <c r="F815" t="inlineStr">
        <is>
          <t>NORRBOTTENS LÄN</t>
        </is>
      </c>
      <c r="G815" t="inlineStr">
        <is>
          <t>BODEN</t>
        </is>
      </c>
      <c r="I815" t="n">
        <v>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24744-2024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45460</v>
      </c>
      <c r="E816" s="1" t="n">
        <v>46322</v>
      </c>
      <c r="F816" t="inlineStr">
        <is>
          <t>NORRBOTTENS LÄN</t>
        </is>
      </c>
      <c r="G816" t="inlineStr">
        <is>
          <t>BODEN</t>
        </is>
      </c>
      <c r="H816" t="inlineStr">
        <is>
          <t>Övriga Aktiebolag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34898-2026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46259</v>
      </c>
      <c r="E817" s="1" t="n">
        <v>46322</v>
      </c>
      <c r="F817" t="inlineStr">
        <is>
          <t>NORRBOTTENS LÄN</t>
        </is>
      </c>
      <c r="G817" t="inlineStr">
        <is>
          <t>BODEN</t>
        </is>
      </c>
      <c r="H817" t="inlineStr">
        <is>
          <t>Naturvårdsverket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42203-2026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46305</v>
      </c>
      <c r="E818" s="1" t="n">
        <v>46322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46322</v>
      </c>
      <c r="F819" t="inlineStr">
        <is>
          <t>NORRBOTTENS LÄN</t>
        </is>
      </c>
      <c r="G819" t="inlineStr">
        <is>
          <t>BODEN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46322</v>
      </c>
      <c r="F820" t="inlineStr">
        <is>
          <t>NORRBOTTENS LÄN</t>
        </is>
      </c>
      <c r="G820" t="inlineStr">
        <is>
          <t>BODEN</t>
        </is>
      </c>
      <c r="I820" t="n">
        <v>10.9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8028-2024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45350</v>
      </c>
      <c r="E821" s="1" t="n">
        <v>46322</v>
      </c>
      <c r="F821" t="inlineStr">
        <is>
          <t>NORRBOTTENS LÄN</t>
        </is>
      </c>
      <c r="G821" t="inlineStr">
        <is>
          <t>BODEN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42204-2026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46305</v>
      </c>
      <c r="E822" s="1" t="n">
        <v>46322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25627-2022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44732</v>
      </c>
      <c r="E823" s="1" t="n">
        <v>46322</v>
      </c>
      <c r="F823" t="inlineStr">
        <is>
          <t>NORRBOTTENS LÄN</t>
        </is>
      </c>
      <c r="G823" t="inlineStr">
        <is>
          <t>BODEN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2732-2025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45677</v>
      </c>
      <c r="E824" s="1" t="n">
        <v>46322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61107-2022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44908</v>
      </c>
      <c r="E825" s="1" t="n">
        <v>46322</v>
      </c>
      <c r="F825" t="inlineStr">
        <is>
          <t>NORRBOTTENS LÄN</t>
        </is>
      </c>
      <c r="G825" t="inlineStr">
        <is>
          <t>BODEN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35295-2026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46261</v>
      </c>
      <c r="E826" s="1" t="n">
        <v>46322</v>
      </c>
      <c r="F826" t="inlineStr">
        <is>
          <t>NORRBOTTENS LÄN</t>
        </is>
      </c>
      <c r="G826" t="inlineStr">
        <is>
          <t>BODEN</t>
        </is>
      </c>
      <c r="I826" t="n">
        <v>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  <c r="Z826">
        <f>HYPERLINK("https://klasma.github.io/Logging_2582/knärot/A 35295-2026 karta knärot.png", "A 35295-2026")</f>
        <v/>
      </c>
      <c r="AA826">
        <f>HYPERLINK("https://klasma.github.io/Logging_2582/klagomål/A 35295-2026 FSC-klagomål.docx", "A 35295-2026")</f>
        <v/>
      </c>
      <c r="AB826">
        <f>HYPERLINK("https://klasma.github.io/Logging_2582/klagomålsmail/A 35295-2026 FSC-klagomål mail.docx", "A 35295-2026")</f>
        <v/>
      </c>
      <c r="AC826">
        <f>HYPERLINK("https://klasma.github.io/Logging_2582/tillsyn/A 35295-2026 tillsynsbegäran.docx", "A 35295-2026")</f>
        <v/>
      </c>
      <c r="AD826">
        <f>HYPERLINK("https://klasma.github.io/Logging_2582/tillsynsmail/A 35295-2026 tillsynsbegäran mail.docx", "A 35295-2026")</f>
        <v/>
      </c>
    </row>
    <row r="827" ht="15" customHeight="1">
      <c r="A827" t="inlineStr">
        <is>
          <t>A 42213-2026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46306</v>
      </c>
      <c r="E827" s="1" t="n">
        <v>46322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50327-2023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45216</v>
      </c>
      <c r="E828" s="1" t="n">
        <v>46322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42179-2026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46304</v>
      </c>
      <c r="E829" s="1" t="n">
        <v>46322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35372-2026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46322</v>
      </c>
      <c r="F830" t="inlineStr">
        <is>
          <t>NORRBOTTENS LÄN</t>
        </is>
      </c>
      <c r="G830" t="inlineStr">
        <is>
          <t>BODEN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24400-2022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44726</v>
      </c>
      <c r="E831" s="1" t="n">
        <v>46322</v>
      </c>
      <c r="F831" t="inlineStr">
        <is>
          <t>NORRBOTTENS LÄN</t>
        </is>
      </c>
      <c r="G831" t="inlineStr">
        <is>
          <t>BODEN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35407-2026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46322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706-2022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44566</v>
      </c>
      <c r="E833" s="1" t="n">
        <v>46322</v>
      </c>
      <c r="F833" t="inlineStr">
        <is>
          <t>NORRBOTTENS LÄN</t>
        </is>
      </c>
      <c r="G833" t="inlineStr">
        <is>
          <t>BODEN</t>
        </is>
      </c>
      <c r="I833" t="n">
        <v>12.4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42316-2026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46307</v>
      </c>
      <c r="E834" s="1" t="n">
        <v>46322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4.6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42312-2026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46307</v>
      </c>
      <c r="E835" s="1" t="n">
        <v>46322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45035-2022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44841</v>
      </c>
      <c r="E836" s="1" t="n">
        <v>46322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8873-2024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45356</v>
      </c>
      <c r="E837" s="1" t="n">
        <v>46322</v>
      </c>
      <c r="F837" t="inlineStr">
        <is>
          <t>NORRBOTTENS LÄN</t>
        </is>
      </c>
      <c r="G837" t="inlineStr">
        <is>
          <t>BODEN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8571-2025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45709</v>
      </c>
      <c r="E838" s="1" t="n">
        <v>46322</v>
      </c>
      <c r="F838" t="inlineStr">
        <is>
          <t>NORRBOTTENS LÄN</t>
        </is>
      </c>
      <c r="G838" t="inlineStr">
        <is>
          <t>BODEN</t>
        </is>
      </c>
      <c r="H838" t="inlineStr">
        <is>
          <t>Övriga Aktiebolag</t>
        </is>
      </c>
      <c r="I838" t="n">
        <v>14.3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26022-2022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44734</v>
      </c>
      <c r="E839" s="1" t="n">
        <v>46322</v>
      </c>
      <c r="F839" t="inlineStr">
        <is>
          <t>NORRBOTTENS LÄN</t>
        </is>
      </c>
      <c r="G839" t="inlineStr">
        <is>
          <t>BODEN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61969-2024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45653</v>
      </c>
      <c r="E840" s="1" t="n">
        <v>46322</v>
      </c>
      <c r="F840" t="inlineStr">
        <is>
          <t>NORRBOTTENS LÄN</t>
        </is>
      </c>
      <c r="G840" t="inlineStr">
        <is>
          <t>BODEN</t>
        </is>
      </c>
      <c r="I840" t="n">
        <v>9.699999999999999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35902-2026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46266</v>
      </c>
      <c r="E841" s="1" t="n">
        <v>46322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12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19584-2025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45770</v>
      </c>
      <c r="E842" s="1" t="n">
        <v>46322</v>
      </c>
      <c r="F842" t="inlineStr">
        <is>
          <t>NORRBOTTENS LÄN</t>
        </is>
      </c>
      <c r="G842" t="inlineStr">
        <is>
          <t>BODEN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37866-2024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45544</v>
      </c>
      <c r="E843" s="1" t="n">
        <v>46322</v>
      </c>
      <c r="F843" t="inlineStr">
        <is>
          <t>NORRBOTTENS LÄN</t>
        </is>
      </c>
      <c r="G843" t="inlineStr">
        <is>
          <t>BODEN</t>
        </is>
      </c>
      <c r="I843" t="n">
        <v>4.5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34760-2022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44795</v>
      </c>
      <c r="E844" s="1" t="n">
        <v>46322</v>
      </c>
      <c r="F844" t="inlineStr">
        <is>
          <t>NORRBOTTENS LÄN</t>
        </is>
      </c>
      <c r="G844" t="inlineStr">
        <is>
          <t>BODEN</t>
        </is>
      </c>
      <c r="I844" t="n">
        <v>4.9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42670-2026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46309</v>
      </c>
      <c r="E845" s="1" t="n">
        <v>46322</v>
      </c>
      <c r="F845" t="inlineStr">
        <is>
          <t>NORRBOTTENS LÄN</t>
        </is>
      </c>
      <c r="G845" t="inlineStr">
        <is>
          <t>BODEN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38874-2023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45161</v>
      </c>
      <c r="E846" s="1" t="n">
        <v>46322</v>
      </c>
      <c r="F846" t="inlineStr">
        <is>
          <t>NORRBOTTENS LÄN</t>
        </is>
      </c>
      <c r="G846" t="inlineStr">
        <is>
          <t>BODEN</t>
        </is>
      </c>
      <c r="I846" t="n">
        <v>15.5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36398-2026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46268</v>
      </c>
      <c r="E847" s="1" t="n">
        <v>46322</v>
      </c>
      <c r="F847" t="inlineStr">
        <is>
          <t>NORRBOTTENS LÄN</t>
        </is>
      </c>
      <c r="G847" t="inlineStr">
        <is>
          <t>BODEN</t>
        </is>
      </c>
      <c r="H847" t="inlineStr">
        <is>
          <t>Kommuner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46268</v>
      </c>
      <c r="E848" s="1" t="n">
        <v>46322</v>
      </c>
      <c r="F848" t="inlineStr">
        <is>
          <t>NORRBOTTENS LÄN</t>
        </is>
      </c>
      <c r="G848" t="inlineStr">
        <is>
          <t>BODEN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42214-2026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46306</v>
      </c>
      <c r="E849" s="1" t="n">
        <v>46322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36187-2026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46267</v>
      </c>
      <c r="E850" s="1" t="n">
        <v>46322</v>
      </c>
      <c r="F850" t="inlineStr">
        <is>
          <t>NORRBOTTENS LÄN</t>
        </is>
      </c>
      <c r="G850" t="inlineStr">
        <is>
          <t>BODEN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46310</v>
      </c>
      <c r="E851" s="1" t="n">
        <v>46322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22.1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36241-2026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46268</v>
      </c>
      <c r="E852" s="1" t="n">
        <v>46322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43105-2026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46311</v>
      </c>
      <c r="E853" s="1" t="n">
        <v>46322</v>
      </c>
      <c r="F853" t="inlineStr">
        <is>
          <t>NORRBOTTENS LÄN</t>
        </is>
      </c>
      <c r="G853" t="inlineStr">
        <is>
          <t>BODEN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43108-2026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46311</v>
      </c>
      <c r="E854" s="1" t="n">
        <v>46322</v>
      </c>
      <c r="F854" t="inlineStr">
        <is>
          <t>NORRBOTTENS LÄN</t>
        </is>
      </c>
      <c r="G854" t="inlineStr">
        <is>
          <t>BODEN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45448-2023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45194</v>
      </c>
      <c r="E855" s="1" t="n">
        <v>46322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61103-2022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44908</v>
      </c>
      <c r="E856" s="1" t="n">
        <v>46322</v>
      </c>
      <c r="F856" t="inlineStr">
        <is>
          <t>NORRBOTTENS LÄN</t>
        </is>
      </c>
      <c r="G856" t="inlineStr">
        <is>
          <t>BODEN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43097-2026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46311</v>
      </c>
      <c r="E857" s="1" t="n">
        <v>46322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43106-2026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46311</v>
      </c>
      <c r="E858" s="1" t="n">
        <v>46322</v>
      </c>
      <c r="F858" t="inlineStr">
        <is>
          <t>NORRBOTTENS LÄN</t>
        </is>
      </c>
      <c r="G858" t="inlineStr">
        <is>
          <t>BODEN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43109-2026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46311</v>
      </c>
      <c r="E859" s="1" t="n">
        <v>46322</v>
      </c>
      <c r="F859" t="inlineStr">
        <is>
          <t>NORRBOTTENS LÄN</t>
        </is>
      </c>
      <c r="G859" t="inlineStr">
        <is>
          <t>BODEN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9319-2024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45358</v>
      </c>
      <c r="E860" s="1" t="n">
        <v>46322</v>
      </c>
      <c r="F860" t="inlineStr">
        <is>
          <t>NORRBOTTENS LÄN</t>
        </is>
      </c>
      <c r="G860" t="inlineStr">
        <is>
          <t>BODEN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43485-2026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46315</v>
      </c>
      <c r="E861" s="1" t="n">
        <v>46322</v>
      </c>
      <c r="F861" t="inlineStr">
        <is>
          <t>NORRBOTTENS LÄN</t>
        </is>
      </c>
      <c r="G861" t="inlineStr">
        <is>
          <t>BODEN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3459-2025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45680</v>
      </c>
      <c r="E862" s="1" t="n">
        <v>46322</v>
      </c>
      <c r="F862" t="inlineStr">
        <is>
          <t>NORRBOTTENS LÄN</t>
        </is>
      </c>
      <c r="G862" t="inlineStr">
        <is>
          <t>BODEN</t>
        </is>
      </c>
      <c r="H862" t="inlineStr">
        <is>
          <t>Naturvårdsverket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36623-2026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46270</v>
      </c>
      <c r="E863" s="1" t="n">
        <v>46322</v>
      </c>
      <c r="F863" t="inlineStr">
        <is>
          <t>NORRBOTTENS LÄN</t>
        </is>
      </c>
      <c r="G863" t="inlineStr">
        <is>
          <t>BODEN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43200-2026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46314</v>
      </c>
      <c r="E864" s="1" t="n">
        <v>46322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43648-2023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45187</v>
      </c>
      <c r="E865" s="1" t="n">
        <v>46322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7.1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55540-2022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44887</v>
      </c>
      <c r="E866" s="1" t="n">
        <v>46322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39463-2023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45166</v>
      </c>
      <c r="E867" s="1" t="n">
        <v>46322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61921-2024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45653</v>
      </c>
      <c r="E868" s="1" t="n">
        <v>46322</v>
      </c>
      <c r="F868" t="inlineStr">
        <is>
          <t>NORRBOTTENS LÄN</t>
        </is>
      </c>
      <c r="G868" t="inlineStr">
        <is>
          <t>BODEN</t>
        </is>
      </c>
      <c r="I868" t="n">
        <v>47.3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41212-2023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45174</v>
      </c>
      <c r="E869" s="1" t="n">
        <v>46322</v>
      </c>
      <c r="F869" t="inlineStr">
        <is>
          <t>NORRBOTTENS LÄN</t>
        </is>
      </c>
      <c r="G869" t="inlineStr">
        <is>
          <t>BODEN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36792-2026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46272</v>
      </c>
      <c r="E870" s="1" t="n">
        <v>46322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4055-2024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45323</v>
      </c>
      <c r="E871" s="1" t="n">
        <v>46322</v>
      </c>
      <c r="F871" t="inlineStr">
        <is>
          <t>NORRBOTTENS LÄN</t>
        </is>
      </c>
      <c r="G871" t="inlineStr">
        <is>
          <t>BODEN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877-2023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44931</v>
      </c>
      <c r="E872" s="1" t="n">
        <v>46322</v>
      </c>
      <c r="F872" t="inlineStr">
        <is>
          <t>NORRBOTTENS LÄN</t>
        </is>
      </c>
      <c r="G872" t="inlineStr">
        <is>
          <t>BODEN</t>
        </is>
      </c>
      <c r="I872" t="n">
        <v>8.699999999999999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36430-2026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46269</v>
      </c>
      <c r="E873" s="1" t="n">
        <v>46322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43465-2026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46315</v>
      </c>
      <c r="E874" s="1" t="n">
        <v>46322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46274</v>
      </c>
      <c r="E875" s="1" t="n">
        <v>46322</v>
      </c>
      <c r="F875" t="inlineStr">
        <is>
          <t>NORRBOTTENS LÄN</t>
        </is>
      </c>
      <c r="G875" t="inlineStr">
        <is>
          <t>BODEN</t>
        </is>
      </c>
      <c r="I875" t="n">
        <v>12.3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37162-2026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46274</v>
      </c>
      <c r="E876" s="1" t="n">
        <v>46322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37103-2026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46274</v>
      </c>
      <c r="E877" s="1" t="n">
        <v>46322</v>
      </c>
      <c r="F877" t="inlineStr">
        <is>
          <t>NORRBOTTENS LÄN</t>
        </is>
      </c>
      <c r="G877" t="inlineStr">
        <is>
          <t>BODEN</t>
        </is>
      </c>
      <c r="I877" t="n">
        <v>6.4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37101-2026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46274</v>
      </c>
      <c r="E878" s="1" t="n">
        <v>46322</v>
      </c>
      <c r="F878" t="inlineStr">
        <is>
          <t>NORRBOTTENS LÄN</t>
        </is>
      </c>
      <c r="G878" t="inlineStr">
        <is>
          <t>BODEN</t>
        </is>
      </c>
      <c r="I878" t="n">
        <v>9.800000000000001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37029-2026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46273</v>
      </c>
      <c r="E879" s="1" t="n">
        <v>46322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11.8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43876-2026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46317</v>
      </c>
      <c r="E880" s="1" t="n">
        <v>46322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43747-2026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46316</v>
      </c>
      <c r="E881" s="1" t="n">
        <v>46322</v>
      </c>
      <c r="F881" t="inlineStr">
        <is>
          <t>NORRBOTTENS LÄN</t>
        </is>
      </c>
      <c r="G881" t="inlineStr">
        <is>
          <t>BODEN</t>
        </is>
      </c>
      <c r="H881" t="inlineStr">
        <is>
          <t>Övriga Aktiebolag</t>
        </is>
      </c>
      <c r="I881" t="n">
        <v>10.4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46029</v>
      </c>
      <c r="E882" s="1" t="n">
        <v>46322</v>
      </c>
      <c r="F882" t="inlineStr">
        <is>
          <t>NORRBOTTENS LÄN</t>
        </is>
      </c>
      <c r="G882" t="inlineStr">
        <is>
          <t>BODEN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43978-2026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46317</v>
      </c>
      <c r="E883" s="1" t="n">
        <v>46322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43989-2026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46317</v>
      </c>
      <c r="E884" s="1" t="n">
        <v>46322</v>
      </c>
      <c r="F884" t="inlineStr">
        <is>
          <t>NORRBOTTENS LÄN</t>
        </is>
      </c>
      <c r="G884" t="inlineStr">
        <is>
          <t>BODEN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37459-2026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46275</v>
      </c>
      <c r="E885" s="1" t="n">
        <v>46322</v>
      </c>
      <c r="F885" t="inlineStr">
        <is>
          <t>NORRBOTTENS LÄN</t>
        </is>
      </c>
      <c r="G885" t="inlineStr">
        <is>
          <t>BODEN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37475-2026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46275</v>
      </c>
      <c r="E886" s="1" t="n">
        <v>46322</v>
      </c>
      <c r="F886" t="inlineStr">
        <is>
          <t>NORRBOTTENS LÄN</t>
        </is>
      </c>
      <c r="G886" t="inlineStr">
        <is>
          <t>BODEN</t>
        </is>
      </c>
      <c r="I886" t="n">
        <v>23.1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37436-2026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46275</v>
      </c>
      <c r="E887" s="1" t="n">
        <v>46322</v>
      </c>
      <c r="F887" t="inlineStr">
        <is>
          <t>NORRBOTTENS LÄN</t>
        </is>
      </c>
      <c r="G887" t="inlineStr">
        <is>
          <t>BODEN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44511-2026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46321</v>
      </c>
      <c r="E888" s="1" t="n">
        <v>46322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44536-2026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46321</v>
      </c>
      <c r="E889" s="1" t="n">
        <v>46322</v>
      </c>
      <c r="F889" t="inlineStr">
        <is>
          <t>NORRBOTTENS LÄN</t>
        </is>
      </c>
      <c r="G889" t="inlineStr">
        <is>
          <t>BODEN</t>
        </is>
      </c>
      <c r="H889" t="inlineStr">
        <is>
          <t>SCA</t>
        </is>
      </c>
      <c r="I889" t="n">
        <v>4.5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37588-2026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46276</v>
      </c>
      <c r="E890" s="1" t="n">
        <v>46322</v>
      </c>
      <c r="F890" t="inlineStr">
        <is>
          <t>NORRBOTTENS LÄN</t>
        </is>
      </c>
      <c r="G890" t="inlineStr">
        <is>
          <t>BODEN</t>
        </is>
      </c>
      <c r="I890" t="n">
        <v>8.300000000000001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44421-2026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46321</v>
      </c>
      <c r="E891" s="1" t="n">
        <v>46322</v>
      </c>
      <c r="F891" t="inlineStr">
        <is>
          <t>NORRBOTTENS LÄN</t>
        </is>
      </c>
      <c r="G891" t="inlineStr">
        <is>
          <t>BODEN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44469-2026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46321</v>
      </c>
      <c r="E892" s="1" t="n">
        <v>46322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44436-2026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46321</v>
      </c>
      <c r="E893" s="1" t="n">
        <v>46322</v>
      </c>
      <c r="F893" t="inlineStr">
        <is>
          <t>NORRBOTTENS LÄN</t>
        </is>
      </c>
      <c r="G893" t="inlineStr">
        <is>
          <t>BODEN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44437-2026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46321</v>
      </c>
      <c r="E894" s="1" t="n">
        <v>46322</v>
      </c>
      <c r="F894" t="inlineStr">
        <is>
          <t>NORRBOTTENS LÄN</t>
        </is>
      </c>
      <c r="G894" t="inlineStr">
        <is>
          <t>BODEN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44443-2026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46321</v>
      </c>
      <c r="E895" s="1" t="n">
        <v>46322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22.8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37472-2026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46275</v>
      </c>
      <c r="E896" s="1" t="n">
        <v>46322</v>
      </c>
      <c r="F896" t="inlineStr">
        <is>
          <t>NORRBOTTENS LÄN</t>
        </is>
      </c>
      <c r="G896" t="inlineStr">
        <is>
          <t>BODEN</t>
        </is>
      </c>
      <c r="I896" t="n">
        <v>6.5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37478-2026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46275</v>
      </c>
      <c r="E897" s="1" t="n">
        <v>46322</v>
      </c>
      <c r="F897" t="inlineStr">
        <is>
          <t>NORRBOTTENS LÄN</t>
        </is>
      </c>
      <c r="G897" t="inlineStr">
        <is>
          <t>BODEN</t>
        </is>
      </c>
      <c r="H897" t="inlineStr">
        <is>
          <t>SCA</t>
        </is>
      </c>
      <c r="I897" t="n">
        <v>5.3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37589-2026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46276</v>
      </c>
      <c r="E898" s="1" t="n">
        <v>46322</v>
      </c>
      <c r="F898" t="inlineStr">
        <is>
          <t>NORRBOTTENS LÄN</t>
        </is>
      </c>
      <c r="G898" t="inlineStr">
        <is>
          <t>BODEN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885-2024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45376</v>
      </c>
      <c r="E899" s="1" t="n">
        <v>46322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5.7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1063-2023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45013</v>
      </c>
      <c r="E900" s="1" t="n">
        <v>46322</v>
      </c>
      <c r="F900" t="inlineStr">
        <is>
          <t>NORRBOTTENS LÄN</t>
        </is>
      </c>
      <c r="G900" t="inlineStr">
        <is>
          <t>BODEN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883-2024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45376</v>
      </c>
      <c r="E901" s="1" t="n">
        <v>46322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52-2025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45667</v>
      </c>
      <c r="E902" s="1" t="n">
        <v>46322</v>
      </c>
      <c r="F902" t="inlineStr">
        <is>
          <t>NORRBOTTENS LÄN</t>
        </is>
      </c>
      <c r="G902" t="inlineStr">
        <is>
          <t>BODEN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44945</v>
      </c>
      <c r="E903" s="1" t="n">
        <v>46322</v>
      </c>
      <c r="F903" t="inlineStr">
        <is>
          <t>NORRBOTTENS LÄN</t>
        </is>
      </c>
      <c r="G903" t="inlineStr">
        <is>
          <t>BODEN</t>
        </is>
      </c>
      <c r="H903" t="inlineStr">
        <is>
          <t>SCA</t>
        </is>
      </c>
      <c r="I903" t="n">
        <v>6.8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977-2025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45743</v>
      </c>
      <c r="E904" s="1" t="n">
        <v>46322</v>
      </c>
      <c r="F904" t="inlineStr">
        <is>
          <t>NORRBOTTENS LÄN</t>
        </is>
      </c>
      <c r="G904" t="inlineStr">
        <is>
          <t>BODEN</t>
        </is>
      </c>
      <c r="I904" t="n">
        <v>11.1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978-2025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45743</v>
      </c>
      <c r="E905" s="1" t="n">
        <v>46322</v>
      </c>
      <c r="F905" t="inlineStr">
        <is>
          <t>NORRBOTTENS LÄN</t>
        </is>
      </c>
      <c r="G905" t="inlineStr">
        <is>
          <t>BODEN</t>
        </is>
      </c>
      <c r="I905" t="n">
        <v>19.5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1498-2025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45789</v>
      </c>
      <c r="E906" s="1" t="n">
        <v>46322</v>
      </c>
      <c r="F906" t="inlineStr">
        <is>
          <t>NORRBOTTENS LÄN</t>
        </is>
      </c>
      <c r="G906" t="inlineStr">
        <is>
          <t>BODEN</t>
        </is>
      </c>
      <c r="H906" t="inlineStr">
        <is>
          <t>Övriga Aktiebolag</t>
        </is>
      </c>
      <c r="I906" t="n">
        <v>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1572-2025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45792</v>
      </c>
      <c r="E907" s="1" t="n">
        <v>46322</v>
      </c>
      <c r="F907" t="inlineStr">
        <is>
          <t>NORRBOTTENS LÄN</t>
        </is>
      </c>
      <c r="G907" t="inlineStr">
        <is>
          <t>BODEN</t>
        </is>
      </c>
      <c r="I907" t="n">
        <v>8.6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1631-2025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45799</v>
      </c>
      <c r="E908" s="1" t="n">
        <v>46322</v>
      </c>
      <c r="F908" t="inlineStr">
        <is>
          <t>NORRBOTTENS LÄN</t>
        </is>
      </c>
      <c r="G908" t="inlineStr">
        <is>
          <t>BODEN</t>
        </is>
      </c>
      <c r="H908" t="inlineStr">
        <is>
          <t>Sveaskog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1633-2025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45799</v>
      </c>
      <c r="E909" s="1" t="n">
        <v>46322</v>
      </c>
      <c r="F909" t="inlineStr">
        <is>
          <t>NORRBOTTENS LÄN</t>
        </is>
      </c>
      <c r="G909" t="inlineStr">
        <is>
          <t>BODEN</t>
        </is>
      </c>
      <c r="H909" t="inlineStr">
        <is>
          <t>Sveaskog</t>
        </is>
      </c>
      <c r="I909" t="n">
        <v>0.2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1632-2025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45799</v>
      </c>
      <c r="E910" s="1" t="n">
        <v>46322</v>
      </c>
      <c r="F910" t="inlineStr">
        <is>
          <t>NORRBOTTENS LÄN</t>
        </is>
      </c>
      <c r="G910" t="inlineStr">
        <is>
          <t>BODEN</t>
        </is>
      </c>
      <c r="H910" t="inlineStr">
        <is>
          <t>Sveaskog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1734-2025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45810</v>
      </c>
      <c r="E911" s="1" t="n">
        <v>46322</v>
      </c>
      <c r="F911" t="inlineStr">
        <is>
          <t>NORRBOTTENS LÄN</t>
        </is>
      </c>
      <c r="G911" t="inlineStr">
        <is>
          <t>BODEN</t>
        </is>
      </c>
      <c r="H911" t="inlineStr">
        <is>
          <t>Sveaskog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1811-2025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45818</v>
      </c>
      <c r="E912" s="1" t="n">
        <v>46322</v>
      </c>
      <c r="F912" t="inlineStr">
        <is>
          <t>NORRBOTTENS LÄN</t>
        </is>
      </c>
      <c r="G912" t="inlineStr">
        <is>
          <t>BODEN</t>
        </is>
      </c>
      <c r="H912" t="inlineStr">
        <is>
          <t>Sveaskog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2072-2025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45840</v>
      </c>
      <c r="E913" s="1" t="n">
        <v>46322</v>
      </c>
      <c r="F913" t="inlineStr">
        <is>
          <t>NORRBOTTENS LÄN</t>
        </is>
      </c>
      <c r="G913" t="inlineStr">
        <is>
          <t>BODEN</t>
        </is>
      </c>
      <c r="H913" t="inlineStr">
        <is>
          <t>Sveaskog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3580-2025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46018</v>
      </c>
      <c r="E914" s="1" t="n">
        <v>46322</v>
      </c>
      <c r="F914" t="inlineStr">
        <is>
          <t>NORRBOTTENS LÄN</t>
        </is>
      </c>
      <c r="G914" t="inlineStr">
        <is>
          <t>BODEN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1267-2026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46147</v>
      </c>
      <c r="E915" s="1" t="n">
        <v>46322</v>
      </c>
      <c r="F915" t="inlineStr">
        <is>
          <t>NORRBOTTENS LÄN</t>
        </is>
      </c>
      <c r="G915" t="inlineStr">
        <is>
          <t>BODEN</t>
        </is>
      </c>
      <c r="I915" t="n">
        <v>57.4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1261-2026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46147</v>
      </c>
      <c r="E916" s="1" t="n">
        <v>46322</v>
      </c>
      <c r="F916" t="inlineStr">
        <is>
          <t>NORRBOTTENS LÄN</t>
        </is>
      </c>
      <c r="G916" t="inlineStr">
        <is>
          <t>BODEN</t>
        </is>
      </c>
      <c r="I916" t="n">
        <v>16.9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1262-2026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46147</v>
      </c>
      <c r="E917" s="1" t="n">
        <v>46322</v>
      </c>
      <c r="F917" t="inlineStr">
        <is>
          <t>NORRBOTTENS LÄN</t>
        </is>
      </c>
      <c r="G917" t="inlineStr">
        <is>
          <t>BODEN</t>
        </is>
      </c>
      <c r="H917" t="inlineStr">
        <is>
          <t>Kommuner</t>
        </is>
      </c>
      <c r="I917" t="n">
        <v>16.2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1356-2026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46152</v>
      </c>
      <c r="E918" s="1" t="n">
        <v>46322</v>
      </c>
      <c r="F918" t="inlineStr">
        <is>
          <t>NORRBOTTENS LÄN</t>
        </is>
      </c>
      <c r="G918" t="inlineStr">
        <is>
          <t>BODEN</t>
        </is>
      </c>
      <c r="I918" t="n">
        <v>124.7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1357-2026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46152</v>
      </c>
      <c r="E919" s="1" t="n">
        <v>46322</v>
      </c>
      <c r="F919" t="inlineStr">
        <is>
          <t>NORRBOTTENS LÄN</t>
        </is>
      </c>
      <c r="G919" t="inlineStr">
        <is>
          <t>BODEN</t>
        </is>
      </c>
      <c r="I919" t="n">
        <v>38.2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>
      <c r="A920" t="inlineStr">
        <is>
          <t>S 1297-2026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46148</v>
      </c>
      <c r="E920" s="1" t="n">
        <v>46322</v>
      </c>
      <c r="F920" t="inlineStr">
        <is>
          <t>NORRBOTTENS LÄN</t>
        </is>
      </c>
      <c r="G920" t="inlineStr">
        <is>
          <t>BODEN</t>
        </is>
      </c>
      <c r="I920" t="n">
        <v>20.5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2026-10-27T03:11:49Z</dcterms:created>
  <dcterms:modified xmlns:dcterms="http://purl.org/dc/terms/" xmlns:xsi="http://www.w3.org/2001/XMLSchema-instance" xsi:type="dcterms:W3CDTF">2026-10-27T03:11:50Z</dcterms:modified>
</cp:coreProperties>
</file>