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43582-2026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46315</v>
      </c>
      <c r="E3" s="1" t="n">
        <v>46318</v>
      </c>
      <c r="F3" t="inlineStr">
        <is>
          <t>NORRBOTTENS LÄN</t>
        </is>
      </c>
      <c r="G3" t="inlineStr">
        <is>
          <t>BODEN</t>
        </is>
      </c>
      <c r="I3" t="n">
        <v>16.3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0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43582-2026 artfynd.xlsx", "A 43582-2026")</f>
        <v/>
      </c>
      <c r="X3">
        <f>HYPERLINK("https://klasma.github.io/Logging_2582/kartor/A 43582-2026 karta.png", "A 43582-2026")</f>
        <v/>
      </c>
      <c r="Y3">
        <f>HYPERLINK("https://klasma.github.io/Logging_2582/kartor_geotiff/A 43582-2026 georefererad karta.tif", "A 43582-2026")</f>
        <v/>
      </c>
      <c r="Z3">
        <f>HYPERLINK("https://klasma.github.io/Logging_2582/knärot/A 43582-2026 karta knärot.png", "A 43582-2026")</f>
        <v/>
      </c>
      <c r="AA3">
        <f>HYPERLINK("https://klasma.github.io/Logging_2582/klagomål/A 43582-2026 FSC-klagomål.docx", "A 43582-2026")</f>
        <v/>
      </c>
      <c r="AB3">
        <f>HYPERLINK("https://klasma.github.io/Logging_2582/klagomålsmail/A 43582-2026 FSC-klagomål mail.docx", "A 43582-2026")</f>
        <v/>
      </c>
      <c r="AC3">
        <f>HYPERLINK("https://klasma.github.io/Logging_2582/tillsyn/A 43582-2026 tillsynsbegäran.docx", "A 43582-2026")</f>
        <v/>
      </c>
      <c r="AD3">
        <f>HYPERLINK("https://klasma.github.io/Logging_2582/tillsynsmail/A 43582-2026 tillsynsbegäran mail.docx", "A 43582-2026")</f>
        <v/>
      </c>
      <c r="AE3">
        <f>HYPERLINK("https://klasma.github.io/Logging_2582/fåglar/A 43582-2026 prioriterade fågelarter.docx", "A 43582-2026")</f>
        <v/>
      </c>
    </row>
    <row r="4" ht="15" customHeight="1">
      <c r="A4" t="inlineStr">
        <is>
          <t>A 31635-2024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45506</v>
      </c>
      <c r="E4" s="1" t="n">
        <v>46318</v>
      </c>
      <c r="F4" t="inlineStr">
        <is>
          <t>NORRBOTTENS LÄN</t>
        </is>
      </c>
      <c r="G4" t="inlineStr">
        <is>
          <t>BODEN</t>
        </is>
      </c>
      <c r="I4" t="n">
        <v>15.9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95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31635-2024 artfynd.xlsx", "A 31635-2024")</f>
        <v/>
      </c>
      <c r="X4">
        <f>HYPERLINK("https://klasma.github.io/Logging_2582/kartor/A 31635-2024 karta.png", "A 31635-2024")</f>
        <v/>
      </c>
      <c r="Y4">
        <f>HYPERLINK("https://klasma.github.io/Logging_2582/kartor_geotiff/A 31635-2024 georefererad karta.tif", "A 31635-2024")</f>
        <v/>
      </c>
      <c r="Z4">
        <f>HYPERLINK("https://klasma.github.io/Logging_2582/knärot/A 31635-2024 karta knärot.png", "A 31635-2024")</f>
        <v/>
      </c>
      <c r="AA4">
        <f>HYPERLINK("https://klasma.github.io/Logging_2582/klagomål/A 31635-2024 FSC-klagomål.docx", "A 31635-2024")</f>
        <v/>
      </c>
      <c r="AB4">
        <f>HYPERLINK("https://klasma.github.io/Logging_2582/klagomålsmail/A 31635-2024 FSC-klagomål mail.docx", "A 31635-2024")</f>
        <v/>
      </c>
      <c r="AC4">
        <f>HYPERLINK("https://klasma.github.io/Logging_2582/tillsyn/A 31635-2024 tillsynsbegäran.docx", "A 31635-2024")</f>
        <v/>
      </c>
      <c r="AD4">
        <f>HYPERLINK("https://klasma.github.io/Logging_2582/tillsynsmail/A 31635-2024 tillsynsbegäran mail.docx", "A 31635-2024")</f>
        <v/>
      </c>
      <c r="AE4">
        <f>HYPERLINK("https://klasma.github.io/Logging_2582/fåglar/A 31635-2024 prioriterade fågelarter.docx", "A 31635-2024")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46318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46318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46318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36610-2023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45152</v>
      </c>
      <c r="E9" s="1" t="n">
        <v>46318</v>
      </c>
      <c r="F9" t="inlineStr">
        <is>
          <t>NORRBOTTENS LÄN</t>
        </is>
      </c>
      <c r="G9" t="inlineStr">
        <is>
          <t>BODEN</t>
        </is>
      </c>
      <c r="I9" t="n">
        <v>5.9</v>
      </c>
      <c r="J9" t="n">
        <v>3</v>
      </c>
      <c r="K9" t="n">
        <v>0</v>
      </c>
      <c r="L9" t="n">
        <v>8</v>
      </c>
      <c r="M9" t="n">
        <v>3</v>
      </c>
      <c r="N9" t="n">
        <v>0</v>
      </c>
      <c r="O9" t="n">
        <v>0</v>
      </c>
      <c r="P9" t="n">
        <v>0</v>
      </c>
      <c r="Q9" t="n">
        <v>11</v>
      </c>
      <c r="R9" t="n">
        <v>3</v>
      </c>
      <c r="S9" t="n">
        <v>13</v>
      </c>
      <c r="T9" t="n">
        <v>14</v>
      </c>
      <c r="U9" t="n">
        <v>14</v>
      </c>
      <c r="V9" s="2" t="inlineStr">
        <is>
          <t>Garnlav
Gräddporing
Knärot
Blanksvart spiklav
Blågrå svartspik
Dropptaggsvamp
Dvärgbägarlav
Kortskaftad ärgspik
Nordtagging
Ullticka
Vedflamlav
Järpe
Fläcknycklar</t>
        </is>
      </c>
      <c r="W9">
        <f>HYPERLINK("https://klasma.github.io/Logging_2582/artfynd/A 36610-2023 artfynd.xlsx", "A 36610-2023")</f>
        <v/>
      </c>
      <c r="X9">
        <f>HYPERLINK("https://klasma.github.io/Logging_2582/kartor/A 36610-2023 karta.png", "A 36610-2023")</f>
        <v/>
      </c>
      <c r="Y9">
        <f>HYPERLINK("https://klasma.github.io/Logging_2582/kartor_geotiff/A 36610-2023 georefererad karta.tif", "A 36610-2023")</f>
        <v/>
      </c>
      <c r="Z9">
        <f>HYPERLINK("https://klasma.github.io/Logging_2582/knärot/A 36610-2023 karta knärot.png", "A 36610-2023")</f>
        <v/>
      </c>
      <c r="AA9">
        <f>HYPERLINK("https://klasma.github.io/Logging_2582/klagomål/A 36610-2023 FSC-klagomål.docx", "A 36610-2023")</f>
        <v/>
      </c>
      <c r="AB9">
        <f>HYPERLINK("https://klasma.github.io/Logging_2582/klagomålsmail/A 36610-2023 FSC-klagomål mail.docx", "A 36610-2023")</f>
        <v/>
      </c>
      <c r="AC9">
        <f>HYPERLINK("https://klasma.github.io/Logging_2582/tillsyn/A 36610-2023 tillsynsbegäran.docx", "A 36610-2023")</f>
        <v/>
      </c>
      <c r="AD9">
        <f>HYPERLINK("https://klasma.github.io/Logging_2582/tillsynsmail/A 36610-2023 tillsynsbegäran mail.docx", "A 36610-2023")</f>
        <v/>
      </c>
      <c r="AE9">
        <f>HYPERLINK("https://klasma.github.io/Logging_2582/fåglar/A 36610-2023 prioriterade fågelarter.docx", "A 36610-2023")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46318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6</v>
      </c>
      <c r="K10" t="n">
        <v>1</v>
      </c>
      <c r="L10" t="n">
        <v>8</v>
      </c>
      <c r="M10" t="n">
        <v>2</v>
      </c>
      <c r="N10" t="n">
        <v>0</v>
      </c>
      <c r="O10" t="n">
        <v>0</v>
      </c>
      <c r="P10" t="n">
        <v>0</v>
      </c>
      <c r="Q10" t="n">
        <v>10</v>
      </c>
      <c r="R10" t="n">
        <v>2</v>
      </c>
      <c r="S10" t="n">
        <v>13</v>
      </c>
      <c r="T10" t="n">
        <v>61</v>
      </c>
      <c r="U10" t="n">
        <v>4</v>
      </c>
      <c r="V10" s="2" t="inlineStr">
        <is>
          <t>Garnlav
Knärot
Blå taggsvamp
Dropptaggsvamp
Orange taggsvamp
Skarp dropptaggsvamp
Tallriska
Tallticka
Talltita
Tretåig hackspett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46318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46318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29150-2023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45105</v>
      </c>
      <c r="E13" s="1" t="n">
        <v>46318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2.9</v>
      </c>
      <c r="J13" t="n">
        <v>3</v>
      </c>
      <c r="K13" t="n">
        <v>0</v>
      </c>
      <c r="L13" t="n">
        <v>4</v>
      </c>
      <c r="M13" t="n">
        <v>3</v>
      </c>
      <c r="N13" t="n">
        <v>0</v>
      </c>
      <c r="O13" t="n">
        <v>0</v>
      </c>
      <c r="P13" t="n">
        <v>0</v>
      </c>
      <c r="Q13" t="n">
        <v>7</v>
      </c>
      <c r="R13" t="n">
        <v>3</v>
      </c>
      <c r="S13" t="n">
        <v>11</v>
      </c>
      <c r="T13" t="n">
        <v>18</v>
      </c>
      <c r="U13" t="n">
        <v>16</v>
      </c>
      <c r="V13" s="2" t="inlineStr">
        <is>
          <t>Knärot
Urskogsänger
Vit aspticka
Björkplattnos
Månlåsbräken
Talltita
Ullticka
Brudborste
Ekbräken
Linnea
Revlummer</t>
        </is>
      </c>
      <c r="W13">
        <f>HYPERLINK("https://klasma.github.io/Logging_2582/artfynd/A 29150-2023 artfynd.xlsx", "A 29150-2023")</f>
        <v/>
      </c>
      <c r="X13">
        <f>HYPERLINK("https://klasma.github.io/Logging_2582/kartor/A 29150-2023 karta.png", "A 29150-2023")</f>
        <v/>
      </c>
      <c r="Y13">
        <f>HYPERLINK("https://klasma.github.io/Logging_2582/kartor_geotiff/A 29150-2023 georefererad karta.tif", "A 29150-2023")</f>
        <v/>
      </c>
      <c r="Z13">
        <f>HYPERLINK("https://klasma.github.io/Logging_2582/knärot/A 29150-2023 karta knärot.png", "A 29150-2023")</f>
        <v/>
      </c>
      <c r="AA13">
        <f>HYPERLINK("https://klasma.github.io/Logging_2582/klagomål/A 29150-2023 FSC-klagomål.docx", "A 29150-2023")</f>
        <v/>
      </c>
      <c r="AB13">
        <f>HYPERLINK("https://klasma.github.io/Logging_2582/klagomålsmail/A 29150-2023 FSC-klagomål mail.docx", "A 29150-2023")</f>
        <v/>
      </c>
      <c r="AC13">
        <f>HYPERLINK("https://klasma.github.io/Logging_2582/tillsyn/A 29150-2023 tillsynsbegäran.docx", "A 29150-2023")</f>
        <v/>
      </c>
      <c r="AD13">
        <f>HYPERLINK("https://klasma.github.io/Logging_2582/tillsynsmail/A 29150-2023 tillsynsbegäran mail.docx", "A 29150-2023")</f>
        <v/>
      </c>
      <c r="AE13">
        <f>HYPERLINK("https://klasma.github.io/Logging_2582/fåglar/A 29150-2023 prioriterade fågelarter.docx", "A 29150-2023")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46318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46318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A 23044-2025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46318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6.1</v>
      </c>
      <c r="J16" t="n">
        <v>3</v>
      </c>
      <c r="K16" t="n">
        <v>2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10</v>
      </c>
      <c r="T16" t="n">
        <v>21</v>
      </c>
      <c r="U16" t="n">
        <v>21</v>
      </c>
      <c r="V16" s="2" t="inlineStr">
        <is>
          <t>Blå taggsvamp
Dropptaggsvamp
Talltagel
Talltita
Vedflamlav
Vedskivlav
Violmussling
Bollvitmossa
Plattlummer
Tjäder</t>
        </is>
      </c>
      <c r="W16">
        <f>HYPERLINK("https://klasma.github.io/Logging_2582/artfynd/A 23044-2025 artfynd.xlsx", "A 23044-2025")</f>
        <v/>
      </c>
      <c r="X16">
        <f>HYPERLINK("https://klasma.github.io/Logging_2582/kartor/A 23044-2025 karta.png", "A 23044-2025")</f>
        <v/>
      </c>
      <c r="Y16">
        <f>HYPERLINK("https://klasma.github.io/Logging_2582/kartor_geotiff/A 23044-2025 georefererad karta.tif", "A 23044-2025")</f>
        <v/>
      </c>
      <c r="AA16">
        <f>HYPERLINK("https://klasma.github.io/Logging_2582/klagomål/A 23044-2025 FSC-klagomål.docx", "A 23044-2025")</f>
        <v/>
      </c>
      <c r="AB16">
        <f>HYPERLINK("https://klasma.github.io/Logging_2582/klagomålsmail/A 23044-2025 FSC-klagomål mail.docx", "A 23044-2025")</f>
        <v/>
      </c>
      <c r="AC16">
        <f>HYPERLINK("https://klasma.github.io/Logging_2582/tillsyn/A 23044-2025 tillsynsbegäran.docx", "A 23044-2025")</f>
        <v/>
      </c>
      <c r="AD16">
        <f>HYPERLINK("https://klasma.github.io/Logging_2582/tillsynsmail/A 23044-2025 tillsynsbegäran mail.docx", "A 23044-2025")</f>
        <v/>
      </c>
      <c r="AE16">
        <f>HYPERLINK("https://klasma.github.io/Logging_2582/fåglar/A 23044-2025 prioriterade fågelarter.docx", "A 23044-2025")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46318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46318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46318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46318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46318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46318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46318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30513-2026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46318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10.2</v>
      </c>
      <c r="J25" t="n">
        <v>1</v>
      </c>
      <c r="K25" t="n">
        <v>1</v>
      </c>
      <c r="L25" t="n">
        <v>4</v>
      </c>
      <c r="M25" t="n">
        <v>2</v>
      </c>
      <c r="N25" t="n">
        <v>0</v>
      </c>
      <c r="O25" t="n">
        <v>0</v>
      </c>
      <c r="P25" t="n">
        <v>0</v>
      </c>
      <c r="Q25" t="n">
        <v>6</v>
      </c>
      <c r="R25" t="n">
        <v>2</v>
      </c>
      <c r="S25" t="n">
        <v>7</v>
      </c>
      <c r="T25" t="n">
        <v>21</v>
      </c>
      <c r="U25" t="n">
        <v>12</v>
      </c>
      <c r="V25" s="2" t="inlineStr">
        <is>
          <t>Gräddporing
Knärot
Dropptaggsvamp
Nordtagging
Orange taggsvamp
Tallticka
Grönpyrola</t>
        </is>
      </c>
      <c r="W25">
        <f>HYPERLINK("https://klasma.github.io/Logging_2582/artfynd/A 30513-2026 artfynd.xlsx", "A 30513-2026")</f>
        <v/>
      </c>
      <c r="X25">
        <f>HYPERLINK("https://klasma.github.io/Logging_2582/kartor/A 30513-2026 karta.png", "A 30513-2026")</f>
        <v/>
      </c>
      <c r="Y25">
        <f>HYPERLINK("https://klasma.github.io/Logging_2582/kartor_geotiff/A 30513-2026 georefererad karta.tif", "A 30513-2026")</f>
        <v/>
      </c>
      <c r="Z25">
        <f>HYPERLINK("https://klasma.github.io/Logging_2582/knärot/A 30513-2026 karta knärot.png", "A 30513-2026")</f>
        <v/>
      </c>
      <c r="AA25">
        <f>HYPERLINK("https://klasma.github.io/Logging_2582/klagomål/A 30513-2026 FSC-klagomål.docx", "A 30513-2026")</f>
        <v/>
      </c>
      <c r="AB25">
        <f>HYPERLINK("https://klasma.github.io/Logging_2582/klagomålsmail/A 30513-2026 FSC-klagomål mail.docx", "A 30513-2026")</f>
        <v/>
      </c>
      <c r="AC25">
        <f>HYPERLINK("https://klasma.github.io/Logging_2582/tillsyn/A 30513-2026 tillsynsbegäran.docx", "A 30513-2026")</f>
        <v/>
      </c>
      <c r="AD25">
        <f>HYPERLINK("https://klasma.github.io/Logging_2582/tillsynsmail/A 30513-2026 tillsynsbegäran mail.docx", "A 30513-2026")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A 51389-2022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46318</v>
      </c>
      <c r="F27" t="inlineStr">
        <is>
          <t>NORRBOTTENS LÄN</t>
        </is>
      </c>
      <c r="G27" t="inlineStr">
        <is>
          <t>BODEN</t>
        </is>
      </c>
      <c r="H27" t="inlineStr">
        <is>
          <t>Övriga statliga verk och myndigheter</t>
        </is>
      </c>
      <c r="I27" t="n">
        <v>15.6</v>
      </c>
      <c r="J27" t="n">
        <v>6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3</v>
      </c>
      <c r="V27" s="2" t="inlineStr">
        <is>
          <t>Pärluggla
Grönsångare
Talltita
Järpe
Tallbit
Orre</t>
        </is>
      </c>
      <c r="W27">
        <f>HYPERLINK("https://klasma.github.io/Logging_2582/artfynd/A 51389-2022 artfynd.xlsx", "A 51389-2022")</f>
        <v/>
      </c>
      <c r="X27">
        <f>HYPERLINK("https://klasma.github.io/Logging_2582/kartor/A 51389-2022 karta.png", "A 51389-2022")</f>
        <v/>
      </c>
      <c r="Y27">
        <f>HYPERLINK("https://klasma.github.io/Logging_2582/kartor_geotiff/A 51389-2022 georefererad karta.tif", "A 51389-2022")</f>
        <v/>
      </c>
      <c r="AA27">
        <f>HYPERLINK("https://klasma.github.io/Logging_2582/klagomål/A 51389-2022 FSC-klagomål.docx", "A 51389-2022")</f>
        <v/>
      </c>
      <c r="AB27">
        <f>HYPERLINK("https://klasma.github.io/Logging_2582/klagomålsmail/A 51389-2022 FSC-klagomål mail.docx", "A 51389-2022")</f>
        <v/>
      </c>
      <c r="AC27">
        <f>HYPERLINK("https://klasma.github.io/Logging_2582/tillsyn/A 51389-2022 tillsynsbegäran.docx", "A 51389-2022")</f>
        <v/>
      </c>
      <c r="AD27">
        <f>HYPERLINK("https://klasma.github.io/Logging_2582/tillsynsmail/A 51389-2022 tillsynsbegäran mail.docx", "A 51389-2022")</f>
        <v/>
      </c>
      <c r="AE27">
        <f>HYPERLINK("https://klasma.github.io/Logging_2582/fåglar/A 51389-2022 prioriterade fågelarter.docx", "A 51389-2022")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46318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46318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46318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46318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46318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46318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Stare
Rosenfink
Rävticka
Sångsvan
Trana</t>
        </is>
      </c>
      <c r="W33">
        <f>HYPERLINK("https://klasma.github.io/Logging_2582/artfynd/A 59358-2022 artfynd.xlsx", "A 59358-2022")</f>
        <v/>
      </c>
      <c r="X33">
        <f>HYPERLINK("https://klasma.github.io/Logging_2582/kartor/A 59358-2022 karta.png", "A 59358-2022")</f>
        <v/>
      </c>
      <c r="Y33">
        <f>HYPERLINK("https://klasma.github.io/Logging_2582/kartor_geotiff/A 59358-2022 georefererad karta.tif", "A 59358-2022")</f>
        <v/>
      </c>
      <c r="AA33">
        <f>HYPERLINK("https://klasma.github.io/Logging_2582/klagomål/A 59358-2022 FSC-klagomål.docx", "A 59358-2022")</f>
        <v/>
      </c>
      <c r="AB33">
        <f>HYPERLINK("https://klasma.github.io/Logging_2582/klagomålsmail/A 59358-2022 FSC-klagomål mail.docx", "A 59358-2022")</f>
        <v/>
      </c>
      <c r="AC33">
        <f>HYPERLINK("https://klasma.github.io/Logging_2582/tillsyn/A 59358-2022 tillsynsbegäran.docx", "A 59358-2022")</f>
        <v/>
      </c>
      <c r="AD33">
        <f>HYPERLINK("https://klasma.github.io/Logging_2582/tillsynsmail/A 59358-2022 tillsynsbegäran mail.docx", "A 59358-2022")</f>
        <v/>
      </c>
      <c r="AE33">
        <f>HYPERLINK("https://klasma.github.io/Logging_2582/fåglar/A 59358-2022 prioriterade fågelarter.docx", "A 59358-2022")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46318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46318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46318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46318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46318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39868-2025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45893</v>
      </c>
      <c r="E39" s="1" t="n">
        <v>46318</v>
      </c>
      <c r="F39" t="inlineStr">
        <is>
          <t>NORRBOTTENS LÄN</t>
        </is>
      </c>
      <c r="G39" t="inlineStr">
        <is>
          <t>BODEN</t>
        </is>
      </c>
      <c r="H39" t="inlineStr">
        <is>
          <t>Övriga statliga verk och myndigheter</t>
        </is>
      </c>
      <c r="I39" t="n">
        <v>3.1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Nötkråka
Talltita
Gråspett
Järpe
Spillkråka</t>
        </is>
      </c>
      <c r="W39">
        <f>HYPERLINK("https://klasma.github.io/Logging_2582/artfynd/A 39868-2025 artfynd.xlsx", "A 39868-2025")</f>
        <v/>
      </c>
      <c r="X39">
        <f>HYPERLINK("https://klasma.github.io/Logging_2582/kartor/A 39868-2025 karta.png", "A 39868-2025")</f>
        <v/>
      </c>
      <c r="Y39">
        <f>HYPERLINK("https://klasma.github.io/Logging_2582/kartor_geotiff/A 39868-2025 georefererad karta.tif", "A 39868-2025")</f>
        <v/>
      </c>
      <c r="AA39">
        <f>HYPERLINK("https://klasma.github.io/Logging_2582/klagomål/A 39868-2025 FSC-klagomål.docx", "A 39868-2025")</f>
        <v/>
      </c>
      <c r="AB39">
        <f>HYPERLINK("https://klasma.github.io/Logging_2582/klagomålsmail/A 39868-2025 FSC-klagomål mail.docx", "A 39868-2025")</f>
        <v/>
      </c>
      <c r="AC39">
        <f>HYPERLINK("https://klasma.github.io/Logging_2582/tillsyn/A 39868-2025 tillsynsbegäran.docx", "A 39868-2025")</f>
        <v/>
      </c>
      <c r="AD39">
        <f>HYPERLINK("https://klasma.github.io/Logging_2582/tillsynsmail/A 39868-2025 tillsynsbegäran mail.docx", "A 39868-2025")</f>
        <v/>
      </c>
      <c r="AE39">
        <f>HYPERLINK("https://klasma.github.io/Logging_2582/fåglar/A 39868-2025 prioriterade fågelarter.docx", "A 39868-2025")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46318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46318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46318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59028-2025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46318</v>
      </c>
      <c r="F46" t="inlineStr">
        <is>
          <t>NORRBOTTENS LÄN</t>
        </is>
      </c>
      <c r="G46" t="inlineStr">
        <is>
          <t>BODEN</t>
        </is>
      </c>
      <c r="I46" t="n">
        <v>4.3</v>
      </c>
      <c r="J46" t="n">
        <v>0</v>
      </c>
      <c r="K46" t="n">
        <v>0</v>
      </c>
      <c r="L46" t="n">
        <v>2</v>
      </c>
      <c r="M46" t="n">
        <v>2</v>
      </c>
      <c r="N46" t="n">
        <v>0</v>
      </c>
      <c r="O46" t="n">
        <v>0</v>
      </c>
      <c r="P46" t="n">
        <v>0</v>
      </c>
      <c r="Q46" t="n">
        <v>4</v>
      </c>
      <c r="R46" t="n">
        <v>2</v>
      </c>
      <c r="S46" t="n">
        <v>4</v>
      </c>
      <c r="T46" t="n">
        <v>4</v>
      </c>
      <c r="U46" t="n">
        <v>0</v>
      </c>
      <c r="V46" s="2" t="inlineStr">
        <is>
          <t>Goliatmusseron
Skrovlig taggsvamp
Dvärgbägarlav
Skarp dropptaggsvamp</t>
        </is>
      </c>
      <c r="W46">
        <f>HYPERLINK("https://klasma.github.io/Logging_2582/artfynd/A 59028-2025 artfynd.xlsx", "A 59028-2025")</f>
        <v/>
      </c>
      <c r="X46">
        <f>HYPERLINK("https://klasma.github.io/Logging_2582/kartor/A 59028-2025 karta.png", "A 59028-2025")</f>
        <v/>
      </c>
      <c r="Y46">
        <f>HYPERLINK("https://klasma.github.io/Logging_2582/kartor_geotiff/A 59028-2025 georefererad karta.tif", "A 59028-2025")</f>
        <v/>
      </c>
      <c r="AA46">
        <f>HYPERLINK("https://klasma.github.io/Logging_2582/klagomål/A 59028-2025 FSC-klagomål.docx", "A 59028-2025")</f>
        <v/>
      </c>
      <c r="AB46">
        <f>HYPERLINK("https://klasma.github.io/Logging_2582/klagomålsmail/A 59028-2025 FSC-klagomål mail.docx", "A 59028-2025")</f>
        <v/>
      </c>
      <c r="AC46">
        <f>HYPERLINK("https://klasma.github.io/Logging_2582/tillsyn/A 59028-2025 tillsynsbegäran.docx", "A 59028-2025")</f>
        <v/>
      </c>
      <c r="AD46">
        <f>HYPERLINK("https://klasma.github.io/Logging_2582/tillsynsmail/A 59028-2025 tillsynsbegäran mail.docx", "A 59028-2025")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46318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43576-2026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46315</v>
      </c>
      <c r="E48" s="1" t="n">
        <v>46318</v>
      </c>
      <c r="F48" t="inlineStr">
        <is>
          <t>NORRBOTTENS LÄN</t>
        </is>
      </c>
      <c r="G48" t="inlineStr">
        <is>
          <t>BODEN</t>
        </is>
      </c>
      <c r="I48" t="n">
        <v>5.2</v>
      </c>
      <c r="J48" t="n">
        <v>3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Knärot
Luddfingersvamp
Spindelblomster
Spillkråka</t>
        </is>
      </c>
      <c r="W48">
        <f>HYPERLINK("https://klasma.github.io/Logging_2582/artfynd/A 43576-2026 artfynd.xlsx", "A 43576-2026")</f>
        <v/>
      </c>
      <c r="X48">
        <f>HYPERLINK("https://klasma.github.io/Logging_2582/kartor/A 43576-2026 karta.png", "A 43576-2026")</f>
        <v/>
      </c>
      <c r="Y48">
        <f>HYPERLINK("https://klasma.github.io/Logging_2582/kartor_geotiff/A 43576-2026 georefererad karta.tif", "A 43576-2026")</f>
        <v/>
      </c>
      <c r="Z48">
        <f>HYPERLINK("https://klasma.github.io/Logging_2582/knärot/A 43576-2026 karta knärot.png", "A 43576-2026")</f>
        <v/>
      </c>
      <c r="AA48">
        <f>HYPERLINK("https://klasma.github.io/Logging_2582/klagomål/A 43576-2026 FSC-klagomål.docx", "A 43576-2026")</f>
        <v/>
      </c>
      <c r="AB48">
        <f>HYPERLINK("https://klasma.github.io/Logging_2582/klagomålsmail/A 43576-2026 FSC-klagomål mail.docx", "A 43576-2026")</f>
        <v/>
      </c>
      <c r="AC48">
        <f>HYPERLINK("https://klasma.github.io/Logging_2582/tillsyn/A 43576-2026 tillsynsbegäran.docx", "A 43576-2026")</f>
        <v/>
      </c>
      <c r="AD48">
        <f>HYPERLINK("https://klasma.github.io/Logging_2582/tillsynsmail/A 43576-2026 tillsynsbegäran mail.docx", "A 43576-2026")</f>
        <v/>
      </c>
      <c r="AE48">
        <f>HYPERLINK("https://klasma.github.io/Logging_2582/fåglar/A 43576-2026 prioriterade fågelarter.docx", "A 43576-2026")</f>
        <v/>
      </c>
    </row>
    <row r="49" ht="15" customHeight="1">
      <c r="A49" t="inlineStr">
        <is>
          <t>A 35413-2026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1.7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16</v>
      </c>
      <c r="U49" t="n">
        <v>16</v>
      </c>
      <c r="V49" s="2" t="inlineStr">
        <is>
          <t>Knärot
Spindelblomster
Ögonpyrola
Ormbär</t>
        </is>
      </c>
      <c r="W49">
        <f>HYPERLINK("https://klasma.github.io/Logging_2582/artfynd/A 35413-2026 artfynd.xlsx", "A 35413-2026")</f>
        <v/>
      </c>
      <c r="X49">
        <f>HYPERLINK("https://klasma.github.io/Logging_2582/kartor/A 35413-2026 karta.png", "A 35413-2026")</f>
        <v/>
      </c>
      <c r="Y49">
        <f>HYPERLINK("https://klasma.github.io/Logging_2582/kartor_geotiff/A 35413-2026 georefererad karta.tif", "A 35413-2026")</f>
        <v/>
      </c>
      <c r="Z49">
        <f>HYPERLINK("https://klasma.github.io/Logging_2582/knärot/A 35413-2026 karta knärot.png", "A 35413-2026")</f>
        <v/>
      </c>
      <c r="AA49">
        <f>HYPERLINK("https://klasma.github.io/Logging_2582/klagomål/A 35413-2026 FSC-klagomål.docx", "A 35413-2026")</f>
        <v/>
      </c>
      <c r="AB49">
        <f>HYPERLINK("https://klasma.github.io/Logging_2582/klagomålsmail/A 35413-2026 FSC-klagomål mail.docx", "A 35413-2026")</f>
        <v/>
      </c>
      <c r="AC49">
        <f>HYPERLINK("https://klasma.github.io/Logging_2582/tillsyn/A 35413-2026 tillsynsbegäran.docx", "A 35413-2026")</f>
        <v/>
      </c>
      <c r="AD49">
        <f>HYPERLINK("https://klasma.github.io/Logging_2582/tillsynsmail/A 35413-2026 tillsynsbegäran mail.docx", "A 35413-2026")</f>
        <v/>
      </c>
    </row>
    <row r="50" ht="15" customHeight="1">
      <c r="A50" t="inlineStr">
        <is>
          <t>A 1879-2024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45307</v>
      </c>
      <c r="E50" s="1" t="n">
        <v>46318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4.5</v>
      </c>
      <c r="J50" t="n">
        <v>0</v>
      </c>
      <c r="K50" t="n">
        <v>1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4</v>
      </c>
      <c r="T50" t="n">
        <v>16</v>
      </c>
      <c r="U50" t="n">
        <v>16</v>
      </c>
      <c r="V50" s="2" t="inlineStr">
        <is>
          <t>Garnlav
Ringlav
Skogshare
Bårdlav</t>
        </is>
      </c>
      <c r="W50">
        <f>HYPERLINK("https://klasma.github.io/Logging_2582/artfynd/A 1879-2024 artfynd.xlsx", "A 1879-2024")</f>
        <v/>
      </c>
      <c r="X50">
        <f>HYPERLINK("https://klasma.github.io/Logging_2582/kartor/A 1879-2024 karta.png", "A 1879-2024")</f>
        <v/>
      </c>
      <c r="Y50">
        <f>HYPERLINK("https://klasma.github.io/Logging_2582/kartor_geotiff/A 1879-2024 georefererad karta.tif", "A 1879-2024")</f>
        <v/>
      </c>
      <c r="AA50">
        <f>HYPERLINK("https://klasma.github.io/Logging_2582/klagomål/A 1879-2024 FSC-klagomål.docx", "A 1879-2024")</f>
        <v/>
      </c>
      <c r="AB50">
        <f>HYPERLINK("https://klasma.github.io/Logging_2582/klagomålsmail/A 1879-2024 FSC-klagomål mail.docx", "A 1879-2024")</f>
        <v/>
      </c>
      <c r="AC50">
        <f>HYPERLINK("https://klasma.github.io/Logging_2582/tillsyn/A 1879-2024 tillsynsbegäran.docx", "A 1879-2024")</f>
        <v/>
      </c>
      <c r="AD50">
        <f>HYPERLINK("https://klasma.github.io/Logging_2582/tillsynsmail/A 1879-2024 tillsynsbegäran mail.docx", "A 1879-2024")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46318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43007-2022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46318</v>
      </c>
      <c r="F52" t="inlineStr">
        <is>
          <t>NORRBOTTENS LÄN</t>
        </is>
      </c>
      <c r="G52" t="inlineStr">
        <is>
          <t>BODEN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Kransmossa
Liljekonvalj
Nattviol</t>
        </is>
      </c>
      <c r="W52">
        <f>HYPERLINK("https://klasma.github.io/Logging_2582/artfynd/A 43007-2022 artfynd.xlsx", "A 43007-2022")</f>
        <v/>
      </c>
      <c r="X52">
        <f>HYPERLINK("https://klasma.github.io/Logging_2582/kartor/A 43007-2022 karta.png", "A 43007-2022")</f>
        <v/>
      </c>
      <c r="Y52">
        <f>HYPERLINK("https://klasma.github.io/Logging_2582/kartor_geotiff/A 43007-2022 georefererad karta.tif", "A 43007-2022")</f>
        <v/>
      </c>
      <c r="AA52">
        <f>HYPERLINK("https://klasma.github.io/Logging_2582/klagomål/A 43007-2022 FSC-klagomål.docx", "A 43007-2022")</f>
        <v/>
      </c>
      <c r="AB52">
        <f>HYPERLINK("https://klasma.github.io/Logging_2582/klagomålsmail/A 43007-2022 FSC-klagomål mail.docx", "A 43007-2022")</f>
        <v/>
      </c>
      <c r="AC52">
        <f>HYPERLINK("https://klasma.github.io/Logging_2582/tillsyn/A 43007-2022 tillsynsbegäran.docx", "A 43007-2022")</f>
        <v/>
      </c>
      <c r="AD52">
        <f>HYPERLINK("https://klasma.github.io/Logging_2582/tillsynsmail/A 43007-2022 tillsynsbegäran mail.docx", "A 43007-2022")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46318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46318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46318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Vanlig groda
Vanlig padda
Revlummer</t>
        </is>
      </c>
      <c r="W55">
        <f>HYPERLINK("https://klasma.github.io/Logging_2582/artfynd/A 29797-2022 artfynd.xlsx", "A 29797-2022")</f>
        <v/>
      </c>
      <c r="X55">
        <f>HYPERLINK("https://klasma.github.io/Logging_2582/kartor/A 29797-2022 karta.png", "A 29797-2022")</f>
        <v/>
      </c>
      <c r="Y55">
        <f>HYPERLINK("https://klasma.github.io/Logging_2582/kartor_geotiff/A 29797-2022 georefererad karta.tif", "A 29797-2022")</f>
        <v/>
      </c>
      <c r="AA55">
        <f>HYPERLINK("https://klasma.github.io/Logging_2582/klagomål/A 29797-2022 FSC-klagomål.docx", "A 29797-2022")</f>
        <v/>
      </c>
      <c r="AB55">
        <f>HYPERLINK("https://klasma.github.io/Logging_2582/klagomålsmail/A 29797-2022 FSC-klagomål mail.docx", "A 29797-2022")</f>
        <v/>
      </c>
      <c r="AC55">
        <f>HYPERLINK("https://klasma.github.io/Logging_2582/tillsyn/A 29797-2022 tillsynsbegäran.docx", "A 29797-2022")</f>
        <v/>
      </c>
      <c r="AD55">
        <f>HYPERLINK("https://klasma.github.io/Logging_2582/tillsynsmail/A 29797-2022 tillsynsbegäran mail.docx", "A 29797-2022")</f>
        <v/>
      </c>
    </row>
    <row r="56" ht="15" customHeight="1">
      <c r="A56" t="inlineStr">
        <is>
          <t>A 48220-2025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46318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Gammelgransskål
Spillkråka</t>
        </is>
      </c>
      <c r="W56">
        <f>HYPERLINK("https://klasma.github.io/Logging_2582/artfynd/A 48220-2025 artfynd.xlsx", "A 48220-2025")</f>
        <v/>
      </c>
      <c r="X56">
        <f>HYPERLINK("https://klasma.github.io/Logging_2582/kartor/A 48220-2025 karta.png", "A 48220-2025")</f>
        <v/>
      </c>
      <c r="Y56">
        <f>HYPERLINK("https://klasma.github.io/Logging_2582/kartor_geotiff/A 48220-2025 georefererad karta.tif", "A 48220-2025")</f>
        <v/>
      </c>
      <c r="AA56">
        <f>HYPERLINK("https://klasma.github.io/Logging_2582/klagomål/A 48220-2025 FSC-klagomål.docx", "A 48220-2025")</f>
        <v/>
      </c>
      <c r="AB56">
        <f>HYPERLINK("https://klasma.github.io/Logging_2582/klagomålsmail/A 48220-2025 FSC-klagomål mail.docx", "A 48220-2025")</f>
        <v/>
      </c>
      <c r="AC56">
        <f>HYPERLINK("https://klasma.github.io/Logging_2582/tillsyn/A 48220-2025 tillsynsbegäran.docx", "A 48220-2025")</f>
        <v/>
      </c>
      <c r="AD56">
        <f>HYPERLINK("https://klasma.github.io/Logging_2582/tillsynsmail/A 48220-2025 tillsynsbegäran mail.docx", "A 48220-2025")</f>
        <v/>
      </c>
      <c r="AE56">
        <f>HYPERLINK("https://klasma.github.io/Logging_2582/fåglar/A 48220-2025 prioriterade fågelarter.docx", "A 48220-2025")</f>
        <v/>
      </c>
    </row>
    <row r="57" ht="15" customHeight="1">
      <c r="A57" t="inlineStr">
        <is>
          <t>A 51957-2025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45952</v>
      </c>
      <c r="E57" s="1" t="n">
        <v>46318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8</v>
      </c>
      <c r="J57" t="n">
        <v>0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7</v>
      </c>
      <c r="U57" t="n">
        <v>1</v>
      </c>
      <c r="V57" s="2" t="inlineStr">
        <is>
          <t>Brunfläckig pärlemorfjäril
Garnlav
Harticka</t>
        </is>
      </c>
      <c r="W57">
        <f>HYPERLINK("https://klasma.github.io/Logging_2582/artfynd/A 51957-2025 artfynd.xlsx", "A 51957-2025")</f>
        <v/>
      </c>
      <c r="X57">
        <f>HYPERLINK("https://klasma.github.io/Logging_2582/kartor/A 51957-2025 karta.png", "A 51957-2025")</f>
        <v/>
      </c>
      <c r="Y57">
        <f>HYPERLINK("https://klasma.github.io/Logging_2582/kartor_geotiff/A 51957-2025 georefererad karta.tif", "A 51957-2025")</f>
        <v/>
      </c>
      <c r="AA57">
        <f>HYPERLINK("https://klasma.github.io/Logging_2582/klagomål/A 51957-2025 FSC-klagomål.docx", "A 51957-2025")</f>
        <v/>
      </c>
      <c r="AB57">
        <f>HYPERLINK("https://klasma.github.io/Logging_2582/klagomålsmail/A 51957-2025 FSC-klagomål mail.docx", "A 51957-2025")</f>
        <v/>
      </c>
      <c r="AC57">
        <f>HYPERLINK("https://klasma.github.io/Logging_2582/tillsyn/A 51957-2025 tillsynsbegäran.docx", "A 51957-2025")</f>
        <v/>
      </c>
      <c r="AD57">
        <f>HYPERLINK("https://klasma.github.io/Logging_2582/tillsynsmail/A 51957-2025 tillsynsbegäran mail.docx", "A 51957-2025")</f>
        <v/>
      </c>
    </row>
    <row r="58" ht="15" customHeight="1">
      <c r="A58" t="inlineStr">
        <is>
          <t>A 23323-2025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46318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21.8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Grönpyrola
Fläcknycklar
Nattviol</t>
        </is>
      </c>
      <c r="W58">
        <f>HYPERLINK("https://klasma.github.io/Logging_2582/artfynd/A 23323-2025 artfynd.xlsx", "A 23323-2025")</f>
        <v/>
      </c>
      <c r="X58">
        <f>HYPERLINK("https://klasma.github.io/Logging_2582/kartor/A 23323-2025 karta.png", "A 23323-2025")</f>
        <v/>
      </c>
      <c r="Y58">
        <f>HYPERLINK("https://klasma.github.io/Logging_2582/kartor_geotiff/A 23323-2025 georefererad karta.tif", "A 23323-2025")</f>
        <v/>
      </c>
      <c r="AA58">
        <f>HYPERLINK("https://klasma.github.io/Logging_2582/klagomål/A 23323-2025 FSC-klagomål.docx", "A 23323-2025")</f>
        <v/>
      </c>
      <c r="AB58">
        <f>HYPERLINK("https://klasma.github.io/Logging_2582/klagomålsmail/A 23323-2025 FSC-klagomål mail.docx", "A 23323-2025")</f>
        <v/>
      </c>
      <c r="AC58">
        <f>HYPERLINK("https://klasma.github.io/Logging_2582/tillsyn/A 23323-2025 tillsynsbegäran.docx", "A 23323-2025")</f>
        <v/>
      </c>
      <c r="AD58">
        <f>HYPERLINK("https://klasma.github.io/Logging_2582/tillsynsmail/A 23323-2025 tillsynsbegäran mail.docx", "A 23323-2025")</f>
        <v/>
      </c>
    </row>
    <row r="59" ht="15" customHeight="1">
      <c r="A59" t="inlineStr">
        <is>
          <t>A 57806-2025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45981</v>
      </c>
      <c r="E59" s="1" t="n">
        <v>46318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10.4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Dvärgbägarlav
Lunglav</t>
        </is>
      </c>
      <c r="W59">
        <f>HYPERLINK("https://klasma.github.io/Logging_2582/artfynd/A 57806-2025 artfynd.xlsx", "A 57806-2025")</f>
        <v/>
      </c>
      <c r="X59">
        <f>HYPERLINK("https://klasma.github.io/Logging_2582/kartor/A 57806-2025 karta.png", "A 57806-2025")</f>
        <v/>
      </c>
      <c r="Y59">
        <f>HYPERLINK("https://klasma.github.io/Logging_2582/kartor_geotiff/A 57806-2025 georefererad karta.tif", "A 57806-2025")</f>
        <v/>
      </c>
      <c r="AA59">
        <f>HYPERLINK("https://klasma.github.io/Logging_2582/klagomål/A 57806-2025 FSC-klagomål.docx", "A 57806-2025")</f>
        <v/>
      </c>
      <c r="AB59">
        <f>HYPERLINK("https://klasma.github.io/Logging_2582/klagomålsmail/A 57806-2025 FSC-klagomål mail.docx", "A 57806-2025")</f>
        <v/>
      </c>
      <c r="AC59">
        <f>HYPERLINK("https://klasma.github.io/Logging_2582/tillsyn/A 57806-2025 tillsynsbegäran.docx", "A 57806-2025")</f>
        <v/>
      </c>
      <c r="AD59">
        <f>HYPERLINK("https://klasma.github.io/Logging_2582/tillsynsmail/A 57806-2025 tillsynsbegäran mail.docx", "A 57806-2025")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46318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6118-2025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46318</v>
      </c>
      <c r="F61" t="inlineStr">
        <is>
          <t>NORRBOTTENS LÄN</t>
        </is>
      </c>
      <c r="G61" t="inlineStr">
        <is>
          <t>BODEN</t>
        </is>
      </c>
      <c r="H61" t="inlineStr">
        <is>
          <t>SCA</t>
        </is>
      </c>
      <c r="I61" t="n">
        <v>3.7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14</v>
      </c>
      <c r="U61" t="n">
        <v>14</v>
      </c>
      <c r="V61" s="2" t="inlineStr">
        <is>
          <t>Garnlav
Tretåig hackspett
Spillkråka</t>
        </is>
      </c>
      <c r="W61">
        <f>HYPERLINK("https://klasma.github.io/Logging_2582/artfynd/A 6118-2025 artfynd.xlsx", "A 6118-2025")</f>
        <v/>
      </c>
      <c r="X61">
        <f>HYPERLINK("https://klasma.github.io/Logging_2582/kartor/A 6118-2025 karta.png", "A 6118-2025")</f>
        <v/>
      </c>
      <c r="Y61">
        <f>HYPERLINK("https://klasma.github.io/Logging_2582/kartor_geotiff/A 6118-2025 georefererad karta.tif", "A 6118-2025")</f>
        <v/>
      </c>
      <c r="AA61">
        <f>HYPERLINK("https://klasma.github.io/Logging_2582/klagomål/A 6118-2025 FSC-klagomål.docx", "A 6118-2025")</f>
        <v/>
      </c>
      <c r="AB61">
        <f>HYPERLINK("https://klasma.github.io/Logging_2582/klagomålsmail/A 6118-2025 FSC-klagomål mail.docx", "A 6118-2025")</f>
        <v/>
      </c>
      <c r="AC61">
        <f>HYPERLINK("https://klasma.github.io/Logging_2582/tillsyn/A 6118-2025 tillsynsbegäran.docx", "A 6118-2025")</f>
        <v/>
      </c>
      <c r="AD61">
        <f>HYPERLINK("https://klasma.github.io/Logging_2582/tillsynsmail/A 6118-2025 tillsynsbegäran mail.docx", "A 6118-2025")</f>
        <v/>
      </c>
      <c r="AE61">
        <f>HYPERLINK("https://klasma.github.io/Logging_2582/fåglar/A 6118-2025 prioriterade fågelarter.docx", "A 6118-2025")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46318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10087-2026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46318</v>
      </c>
      <c r="F63" t="inlineStr">
        <is>
          <t>NORRBOTTENS LÄN</t>
        </is>
      </c>
      <c r="G63" t="inlineStr">
        <is>
          <t>BODEN</t>
        </is>
      </c>
      <c r="I63" t="n">
        <v>5.9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Korthornad vedstekel
Skogsödla
Vanlig padda</t>
        </is>
      </c>
      <c r="W63">
        <f>HYPERLINK("https://klasma.github.io/Logging_2582/artfynd/A 10087-2026 artfynd.xlsx", "A 10087-2026")</f>
        <v/>
      </c>
      <c r="X63">
        <f>HYPERLINK("https://klasma.github.io/Logging_2582/kartor/A 10087-2026 karta.png", "A 10087-2026")</f>
        <v/>
      </c>
      <c r="Y63">
        <f>HYPERLINK("https://klasma.github.io/Logging_2582/kartor_geotiff/A 10087-2026 georefererad karta.tif", "A 10087-2026")</f>
        <v/>
      </c>
      <c r="AA63">
        <f>HYPERLINK("https://klasma.github.io/Logging_2582/klagomål/A 10087-2026 FSC-klagomål.docx", "A 10087-2026")</f>
        <v/>
      </c>
      <c r="AB63">
        <f>HYPERLINK("https://klasma.github.io/Logging_2582/klagomålsmail/A 10087-2026 FSC-klagomål mail.docx", "A 10087-2026")</f>
        <v/>
      </c>
      <c r="AC63">
        <f>HYPERLINK("https://klasma.github.io/Logging_2582/tillsyn/A 10087-2026 tillsynsbegäran.docx", "A 10087-2026")</f>
        <v/>
      </c>
      <c r="AD63">
        <f>HYPERLINK("https://klasma.github.io/Logging_2582/tillsynsmail/A 10087-2026 tillsynsbegäran mail.docx", "A 10087-2026")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46318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43987-2026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46317</v>
      </c>
      <c r="E66" s="1" t="n">
        <v>46318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2.5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0</v>
      </c>
      <c r="V66" s="2" t="inlineStr">
        <is>
          <t>Lunglav
Luddlav
Stuplav</t>
        </is>
      </c>
      <c r="W66">
        <f>HYPERLINK("https://klasma.github.io/Logging_2582/artfynd/A 43987-2026 artfynd.xlsx", "A 43987-2026")</f>
        <v/>
      </c>
      <c r="X66">
        <f>HYPERLINK("https://klasma.github.io/Logging_2582/kartor/A 43987-2026 karta.png", "A 43987-2026")</f>
        <v/>
      </c>
      <c r="Y66">
        <f>HYPERLINK("https://klasma.github.io/Logging_2582/kartor_geotiff/A 43987-2026 georefererad karta.tif", "A 43987-2026")</f>
        <v/>
      </c>
      <c r="AA66">
        <f>HYPERLINK("https://klasma.github.io/Logging_2582/klagomål/A 43987-2026 FSC-klagomål.docx", "A 43987-2026")</f>
        <v/>
      </c>
      <c r="AB66">
        <f>HYPERLINK("https://klasma.github.io/Logging_2582/klagomålsmail/A 43987-2026 FSC-klagomål mail.docx", "A 43987-2026")</f>
        <v/>
      </c>
      <c r="AC66">
        <f>HYPERLINK("https://klasma.github.io/Logging_2582/tillsyn/A 43987-2026 tillsynsbegäran.docx", "A 43987-2026")</f>
        <v/>
      </c>
      <c r="AD66">
        <f>HYPERLINK("https://klasma.github.io/Logging_2582/tillsynsmail/A 43987-2026 tillsynsbegäran mail.docx", "A 43987-2026")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46318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34875-2026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46258</v>
      </c>
      <c r="E69" s="1" t="n">
        <v>46318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5.1</v>
      </c>
      <c r="J69" t="n">
        <v>2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Knärot
Tallticka
Fläcknycklar</t>
        </is>
      </c>
      <c r="W69">
        <f>HYPERLINK("https://klasma.github.io/Logging_2582/artfynd/A 34875-2026 artfynd.xlsx", "A 34875-2026")</f>
        <v/>
      </c>
      <c r="X69">
        <f>HYPERLINK("https://klasma.github.io/Logging_2582/kartor/A 34875-2026 karta.png", "A 34875-2026")</f>
        <v/>
      </c>
      <c r="Y69">
        <f>HYPERLINK("https://klasma.github.io/Logging_2582/kartor_geotiff/A 34875-2026 georefererad karta.tif", "A 34875-2026")</f>
        <v/>
      </c>
      <c r="Z69">
        <f>HYPERLINK("https://klasma.github.io/Logging_2582/knärot/A 34875-2026 karta knärot.png", "A 34875-2026")</f>
        <v/>
      </c>
      <c r="AA69">
        <f>HYPERLINK("https://klasma.github.io/Logging_2582/klagomål/A 34875-2026 FSC-klagomål.docx", "A 34875-2026")</f>
        <v/>
      </c>
      <c r="AB69">
        <f>HYPERLINK("https://klasma.github.io/Logging_2582/klagomålsmail/A 34875-2026 FSC-klagomål mail.docx", "A 34875-2026")</f>
        <v/>
      </c>
      <c r="AC69">
        <f>HYPERLINK("https://klasma.github.io/Logging_2582/tillsyn/A 34875-2026 tillsynsbegäran.docx", "A 34875-2026")</f>
        <v/>
      </c>
      <c r="AD69">
        <f>HYPERLINK("https://klasma.github.io/Logging_2582/tillsynsmail/A 34875-2026 tillsynsbegäran mail.docx", "A 34875-2026")</f>
        <v/>
      </c>
    </row>
    <row r="70" ht="15" customHeight="1">
      <c r="A70" t="inlineStr">
        <is>
          <t>A 32590-2026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46240</v>
      </c>
      <c r="E70" s="1" t="n">
        <v>46318</v>
      </c>
      <c r="F70" t="inlineStr">
        <is>
          <t>NORRBOTTENS LÄN</t>
        </is>
      </c>
      <c r="G70" t="inlineStr">
        <is>
          <t>BODEN</t>
        </is>
      </c>
      <c r="H70" t="inlineStr">
        <is>
          <t>SCA</t>
        </is>
      </c>
      <c r="I70" t="n">
        <v>5.9</v>
      </c>
      <c r="J70" t="n">
        <v>1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Tretåig hackspett
Vitgrynig nållav</t>
        </is>
      </c>
      <c r="W70">
        <f>HYPERLINK("https://klasma.github.io/Logging_2582/artfynd/A 32590-2026 artfynd.xlsx", "A 32590-2026")</f>
        <v/>
      </c>
      <c r="X70">
        <f>HYPERLINK("https://klasma.github.io/Logging_2582/kartor/A 32590-2026 karta.png", "A 32590-2026")</f>
        <v/>
      </c>
      <c r="Y70">
        <f>HYPERLINK("https://klasma.github.io/Logging_2582/kartor_geotiff/A 32590-2026 georefererad karta.tif", "A 32590-2026")</f>
        <v/>
      </c>
      <c r="AA70">
        <f>HYPERLINK("https://klasma.github.io/Logging_2582/klagomål/A 32590-2026 FSC-klagomål.docx", "A 32590-2026")</f>
        <v/>
      </c>
      <c r="AB70">
        <f>HYPERLINK("https://klasma.github.io/Logging_2582/klagomålsmail/A 32590-2026 FSC-klagomål mail.docx", "A 32590-2026")</f>
        <v/>
      </c>
      <c r="AC70">
        <f>HYPERLINK("https://klasma.github.io/Logging_2582/tillsyn/A 32590-2026 tillsynsbegäran.docx", "A 32590-2026")</f>
        <v/>
      </c>
      <c r="AD70">
        <f>HYPERLINK("https://klasma.github.io/Logging_2582/tillsynsmail/A 32590-2026 tillsynsbegäran mail.docx", "A 32590-2026")</f>
        <v/>
      </c>
      <c r="AE70">
        <f>HYPERLINK("https://klasma.github.io/Logging_2582/fåglar/A 32590-2026 prioriterade fågelarter.docx", "A 32590-2026")</f>
        <v/>
      </c>
    </row>
    <row r="71" ht="15" customHeight="1">
      <c r="A71" t="inlineStr">
        <is>
          <t>A 23575-2023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45077</v>
      </c>
      <c r="E71" s="1" t="n">
        <v>46318</v>
      </c>
      <c r="F71" t="inlineStr">
        <is>
          <t>NORRBOTTENS LÄN</t>
        </is>
      </c>
      <c r="G71" t="inlineStr">
        <is>
          <t>BODEN</t>
        </is>
      </c>
      <c r="I71" t="n">
        <v>7.9</v>
      </c>
      <c r="J71" t="n">
        <v>1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4</v>
      </c>
      <c r="U71" t="n">
        <v>1</v>
      </c>
      <c r="V71" s="2" t="inlineStr">
        <is>
          <t>Gammelgransskål
Nordfladdermus
Bollvitmossa</t>
        </is>
      </c>
      <c r="W71">
        <f>HYPERLINK("https://klasma.github.io/Logging_2582/artfynd/A 23575-2023 artfynd.xlsx", "A 23575-2023")</f>
        <v/>
      </c>
      <c r="X71">
        <f>HYPERLINK("https://klasma.github.io/Logging_2582/kartor/A 23575-2023 karta.png", "A 23575-2023")</f>
        <v/>
      </c>
      <c r="Y71">
        <f>HYPERLINK("https://klasma.github.io/Logging_2582/kartor_geotiff/A 23575-2023 georefererad karta.tif", "A 23575-2023")</f>
        <v/>
      </c>
      <c r="AA71">
        <f>HYPERLINK("https://klasma.github.io/Logging_2582/klagomål/A 23575-2023 FSC-klagomål.docx", "A 23575-2023")</f>
        <v/>
      </c>
      <c r="AB71">
        <f>HYPERLINK("https://klasma.github.io/Logging_2582/klagomålsmail/A 23575-2023 FSC-klagomål mail.docx", "A 23575-2023")</f>
        <v/>
      </c>
      <c r="AC71">
        <f>HYPERLINK("https://klasma.github.io/Logging_2582/tillsyn/A 23575-2023 tillsynsbegäran.docx", "A 23575-2023")</f>
        <v/>
      </c>
      <c r="AD71">
        <f>HYPERLINK("https://klasma.github.io/Logging_2582/tillsynsmail/A 23575-2023 tillsynsbegäran mail.docx", "A 23575-2023")</f>
        <v/>
      </c>
    </row>
    <row r="72" ht="15" customHeight="1">
      <c r="A72" t="inlineStr">
        <is>
          <t>A 13659-2022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46318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7.3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Bollvitmossa
Ögonpyrola</t>
        </is>
      </c>
      <c r="W72">
        <f>HYPERLINK("https://klasma.github.io/Logging_2582/artfynd/A 13659-2022 artfynd.xlsx", "A 13659-2022")</f>
        <v/>
      </c>
      <c r="X72">
        <f>HYPERLINK("https://klasma.github.io/Logging_2582/kartor/A 13659-2022 karta.png", "A 13659-2022")</f>
        <v/>
      </c>
      <c r="Y72">
        <f>HYPERLINK("https://klasma.github.io/Logging_2582/kartor_geotiff/A 13659-2022 georefererad karta.tif", "A 13659-2022")</f>
        <v/>
      </c>
      <c r="AA72">
        <f>HYPERLINK("https://klasma.github.io/Logging_2582/klagomål/A 13659-2022 FSC-klagomål.docx", "A 13659-2022")</f>
        <v/>
      </c>
      <c r="AB72">
        <f>HYPERLINK("https://klasma.github.io/Logging_2582/klagomålsmail/A 13659-2022 FSC-klagomål mail.docx", "A 13659-2022")</f>
        <v/>
      </c>
      <c r="AC72">
        <f>HYPERLINK("https://klasma.github.io/Logging_2582/tillsyn/A 13659-2022 tillsynsbegäran.docx", "A 13659-2022")</f>
        <v/>
      </c>
      <c r="AD72">
        <f>HYPERLINK("https://klasma.github.io/Logging_2582/tillsynsmail/A 13659-2022 tillsynsbegäran mail.docx", "A 13659-2022")</f>
        <v/>
      </c>
    </row>
    <row r="73" ht="15" customHeight="1">
      <c r="A73" t="inlineStr">
        <is>
          <t>A 36629-2022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46318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10</v>
      </c>
      <c r="U73" t="n">
        <v>10</v>
      </c>
      <c r="V73" s="2" t="inlineStr">
        <is>
          <t>Dropptaggsvamp
Skarp dropptaggsvamp</t>
        </is>
      </c>
      <c r="W73">
        <f>HYPERLINK("https://klasma.github.io/Logging_2582/artfynd/A 36629-2022 artfynd.xlsx", "A 36629-2022")</f>
        <v/>
      </c>
      <c r="X73">
        <f>HYPERLINK("https://klasma.github.io/Logging_2582/kartor/A 36629-2022 karta.png", "A 36629-2022")</f>
        <v/>
      </c>
      <c r="Y73">
        <f>HYPERLINK("https://klasma.github.io/Logging_2582/kartor_geotiff/A 36629-2022 georefererad karta.tif", "A 36629-2022")</f>
        <v/>
      </c>
      <c r="AA73">
        <f>HYPERLINK("https://klasma.github.io/Logging_2582/klagomål/A 36629-2022 FSC-klagomål.docx", "A 36629-2022")</f>
        <v/>
      </c>
      <c r="AB73">
        <f>HYPERLINK("https://klasma.github.io/Logging_2582/klagomålsmail/A 36629-2022 FSC-klagomål mail.docx", "A 36629-2022")</f>
        <v/>
      </c>
      <c r="AC73">
        <f>HYPERLINK("https://klasma.github.io/Logging_2582/tillsyn/A 36629-2022 tillsynsbegäran.docx", "A 36629-2022")</f>
        <v/>
      </c>
      <c r="AD73">
        <f>HYPERLINK("https://klasma.github.io/Logging_2582/tillsynsmail/A 36629-2022 tillsynsbegäran mail.docx", "A 36629-2022")</f>
        <v/>
      </c>
    </row>
    <row r="74" ht="15" customHeight="1">
      <c r="A74" t="inlineStr">
        <is>
          <t>A 35037-2022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46318</v>
      </c>
      <c r="F74" t="inlineStr">
        <is>
          <t>NORRBOTTENS LÄN</t>
        </is>
      </c>
      <c r="G74" t="inlineStr">
        <is>
          <t>BODEN</t>
        </is>
      </c>
      <c r="I74" t="n">
        <v>0.6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Rödvingetrast
Revlummer</t>
        </is>
      </c>
      <c r="W74">
        <f>HYPERLINK("https://klasma.github.io/Logging_2582/artfynd/A 35037-2022 artfynd.xlsx", "A 35037-2022")</f>
        <v/>
      </c>
      <c r="X74">
        <f>HYPERLINK("https://klasma.github.io/Logging_2582/kartor/A 35037-2022 karta.png", "A 35037-2022")</f>
        <v/>
      </c>
      <c r="Y74">
        <f>HYPERLINK("https://klasma.github.io/Logging_2582/kartor_geotiff/A 35037-2022 georefererad karta.tif", "A 35037-2022")</f>
        <v/>
      </c>
      <c r="AA74">
        <f>HYPERLINK("https://klasma.github.io/Logging_2582/klagomål/A 35037-2022 FSC-klagomål.docx", "A 35037-2022")</f>
        <v/>
      </c>
      <c r="AB74">
        <f>HYPERLINK("https://klasma.github.io/Logging_2582/klagomålsmail/A 35037-2022 FSC-klagomål mail.docx", "A 35037-2022")</f>
        <v/>
      </c>
      <c r="AC74">
        <f>HYPERLINK("https://klasma.github.io/Logging_2582/tillsyn/A 35037-2022 tillsynsbegäran.docx", "A 35037-2022")</f>
        <v/>
      </c>
      <c r="AD74">
        <f>HYPERLINK("https://klasma.github.io/Logging_2582/tillsynsmail/A 35037-2022 tillsynsbegäran mail.docx", "A 35037-2022")</f>
        <v/>
      </c>
      <c r="AE74">
        <f>HYPERLINK("https://klasma.github.io/Logging_2582/fåglar/A 35037-2022 prioriterade fågelarter.docx", "A 35037-2022")</f>
        <v/>
      </c>
    </row>
    <row r="75" ht="15" customHeight="1">
      <c r="A75" t="inlineStr">
        <is>
          <t>A 26346-2022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46318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 taggsvamp
Ullticka</t>
        </is>
      </c>
      <c r="W75">
        <f>HYPERLINK("https://klasma.github.io/Logging_2582/artfynd/A 26346-2022 artfynd.xlsx", "A 26346-2022")</f>
        <v/>
      </c>
      <c r="X75">
        <f>HYPERLINK("https://klasma.github.io/Logging_2582/kartor/A 26346-2022 karta.png", "A 26346-2022")</f>
        <v/>
      </c>
      <c r="Y75">
        <f>HYPERLINK("https://klasma.github.io/Logging_2582/kartor_geotiff/A 26346-2022 georefererad karta.tif", "A 26346-2022")</f>
        <v/>
      </c>
      <c r="AA75">
        <f>HYPERLINK("https://klasma.github.io/Logging_2582/klagomål/A 26346-2022 FSC-klagomål.docx", "A 26346-2022")</f>
        <v/>
      </c>
      <c r="AB75">
        <f>HYPERLINK("https://klasma.github.io/Logging_2582/klagomålsmail/A 26346-2022 FSC-klagomål mail.docx", "A 26346-2022")</f>
        <v/>
      </c>
      <c r="AC75">
        <f>HYPERLINK("https://klasma.github.io/Logging_2582/tillsyn/A 26346-2022 tillsynsbegäran.docx", "A 26346-2022")</f>
        <v/>
      </c>
      <c r="AD75">
        <f>HYPERLINK("https://klasma.github.io/Logging_2582/tillsynsmail/A 26346-2022 tillsynsbegäran mail.docx", "A 26346-2022")</f>
        <v/>
      </c>
    </row>
    <row r="76" ht="15" customHeight="1">
      <c r="A76" t="inlineStr">
        <is>
          <t>A 34164-2023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45137</v>
      </c>
      <c r="E76" s="1" t="n">
        <v>46318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2.2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Tretåig hackspett</t>
        </is>
      </c>
      <c r="W76">
        <f>HYPERLINK("https://klasma.github.io/Logging_2582/artfynd/A 34164-2023 artfynd.xlsx", "A 34164-2023")</f>
        <v/>
      </c>
      <c r="X76">
        <f>HYPERLINK("https://klasma.github.io/Logging_2582/kartor/A 34164-2023 karta.png", "A 34164-2023")</f>
        <v/>
      </c>
      <c r="Y76">
        <f>HYPERLINK("https://klasma.github.io/Logging_2582/kartor_geotiff/A 34164-2023 georefererad karta.tif", "A 34164-2023")</f>
        <v/>
      </c>
      <c r="AA76">
        <f>HYPERLINK("https://klasma.github.io/Logging_2582/klagomål/A 34164-2023 FSC-klagomål.docx", "A 34164-2023")</f>
        <v/>
      </c>
      <c r="AB76">
        <f>HYPERLINK("https://klasma.github.io/Logging_2582/klagomålsmail/A 34164-2023 FSC-klagomål mail.docx", "A 34164-2023")</f>
        <v/>
      </c>
      <c r="AC76">
        <f>HYPERLINK("https://klasma.github.io/Logging_2582/tillsyn/A 34164-2023 tillsynsbegäran.docx", "A 34164-2023")</f>
        <v/>
      </c>
      <c r="AD76">
        <f>HYPERLINK("https://klasma.github.io/Logging_2582/tillsynsmail/A 34164-2023 tillsynsbegäran mail.docx", "A 34164-2023")</f>
        <v/>
      </c>
      <c r="AE76">
        <f>HYPERLINK("https://klasma.github.io/Logging_2582/fåglar/A 34164-2023 prioriterade fågelarter.docx", "A 34164-2023")</f>
        <v/>
      </c>
    </row>
    <row r="77" ht="15" customHeight="1">
      <c r="A77" t="inlineStr">
        <is>
          <t>A 6639-2024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46318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23.8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Kungsfågel</t>
        </is>
      </c>
      <c r="W77">
        <f>HYPERLINK("https://klasma.github.io/Logging_2582/artfynd/A 6639-2024 artfynd.xlsx", "A 6639-2024")</f>
        <v/>
      </c>
      <c r="X77">
        <f>HYPERLINK("https://klasma.github.io/Logging_2582/kartor/A 6639-2024 karta.png", "A 6639-2024")</f>
        <v/>
      </c>
      <c r="Y77">
        <f>HYPERLINK("https://klasma.github.io/Logging_2582/kartor_geotiff/A 6639-2024 georefererad karta.tif", "A 6639-2024")</f>
        <v/>
      </c>
      <c r="AA77">
        <f>HYPERLINK("https://klasma.github.io/Logging_2582/klagomål/A 6639-2024 FSC-klagomål.docx", "A 6639-2024")</f>
        <v/>
      </c>
      <c r="AB77">
        <f>HYPERLINK("https://klasma.github.io/Logging_2582/klagomålsmail/A 6639-2024 FSC-klagomål mail.docx", "A 6639-2024")</f>
        <v/>
      </c>
      <c r="AC77">
        <f>HYPERLINK("https://klasma.github.io/Logging_2582/tillsyn/A 6639-2024 tillsynsbegäran.docx", "A 6639-2024")</f>
        <v/>
      </c>
      <c r="AD77">
        <f>HYPERLINK("https://klasma.github.io/Logging_2582/tillsynsmail/A 6639-2024 tillsynsbegäran mail.docx", "A 6639-2024")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46318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1507-2022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46318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15.4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Talltita
Gråspett</t>
        </is>
      </c>
      <c r="W79">
        <f>HYPERLINK("https://klasma.github.io/Logging_2582/artfynd/A 1507-2022 artfynd.xlsx", "A 1507-2022")</f>
        <v/>
      </c>
      <c r="X79">
        <f>HYPERLINK("https://klasma.github.io/Logging_2582/kartor/A 1507-2022 karta.png", "A 1507-2022")</f>
        <v/>
      </c>
      <c r="Y79">
        <f>HYPERLINK("https://klasma.github.io/Logging_2582/kartor_geotiff/A 1507-2022 georefererad karta.tif", "A 1507-2022")</f>
        <v/>
      </c>
      <c r="AA79">
        <f>HYPERLINK("https://klasma.github.io/Logging_2582/klagomål/A 1507-2022 FSC-klagomål.docx", "A 1507-2022")</f>
        <v/>
      </c>
      <c r="AB79">
        <f>HYPERLINK("https://klasma.github.io/Logging_2582/klagomålsmail/A 1507-2022 FSC-klagomål mail.docx", "A 1507-2022")</f>
        <v/>
      </c>
      <c r="AC79">
        <f>HYPERLINK("https://klasma.github.io/Logging_2582/tillsyn/A 1507-2022 tillsynsbegäran.docx", "A 1507-2022")</f>
        <v/>
      </c>
      <c r="AD79">
        <f>HYPERLINK("https://klasma.github.io/Logging_2582/tillsynsmail/A 1507-2022 tillsynsbegäran mail.docx", "A 1507-2022")</f>
        <v/>
      </c>
      <c r="AE79">
        <f>HYPERLINK("https://klasma.github.io/Logging_2582/fåglar/A 1507-2022 prioriterade fågelarter.docx", "A 1507-2022")</f>
        <v/>
      </c>
    </row>
    <row r="80" ht="15" customHeight="1">
      <c r="A80" t="inlineStr">
        <is>
          <t>A 32971-2024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45517</v>
      </c>
      <c r="E80" s="1" t="n">
        <v>46318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10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5</v>
      </c>
      <c r="U80" t="n">
        <v>4</v>
      </c>
      <c r="V80" s="2" t="inlineStr">
        <is>
          <t>Lunglav
Fläcknycklar</t>
        </is>
      </c>
      <c r="W80">
        <f>HYPERLINK("https://klasma.github.io/Logging_2582/artfynd/A 32971-2024 artfynd.xlsx", "A 32971-2024")</f>
        <v/>
      </c>
      <c r="X80">
        <f>HYPERLINK("https://klasma.github.io/Logging_2582/kartor/A 32971-2024 karta.png", "A 32971-2024")</f>
        <v/>
      </c>
      <c r="Y80">
        <f>HYPERLINK("https://klasma.github.io/Logging_2582/kartor_geotiff/A 32971-2024 georefererad karta.tif", "A 32971-2024")</f>
        <v/>
      </c>
      <c r="AA80">
        <f>HYPERLINK("https://klasma.github.io/Logging_2582/klagomål/A 32971-2024 FSC-klagomål.docx", "A 32971-2024")</f>
        <v/>
      </c>
      <c r="AB80">
        <f>HYPERLINK("https://klasma.github.io/Logging_2582/klagomålsmail/A 32971-2024 FSC-klagomål mail.docx", "A 32971-2024")</f>
        <v/>
      </c>
      <c r="AC80">
        <f>HYPERLINK("https://klasma.github.io/Logging_2582/tillsyn/A 32971-2024 tillsynsbegäran.docx", "A 32971-2024")</f>
        <v/>
      </c>
      <c r="AD80">
        <f>HYPERLINK("https://klasma.github.io/Logging_2582/tillsynsmail/A 32971-2024 tillsynsbegäran mail.docx", "A 32971-2024")</f>
        <v/>
      </c>
    </row>
    <row r="81" ht="15" customHeight="1">
      <c r="A81" t="inlineStr">
        <is>
          <t>A 25701-2025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46318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8.800000000000001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Lunglav
Öring</t>
        </is>
      </c>
      <c r="W81">
        <f>HYPERLINK("https://klasma.github.io/Logging_2582/artfynd/A 25701-2025 artfynd.xlsx", "A 25701-2025")</f>
        <v/>
      </c>
      <c r="X81">
        <f>HYPERLINK("https://klasma.github.io/Logging_2582/kartor/A 25701-2025 karta.png", "A 25701-2025")</f>
        <v/>
      </c>
      <c r="Y81">
        <f>HYPERLINK("https://klasma.github.io/Logging_2582/kartor_geotiff/A 25701-2025 georefererad karta.tif", "A 25701-2025")</f>
        <v/>
      </c>
      <c r="AA81">
        <f>HYPERLINK("https://klasma.github.io/Logging_2582/klagomål/A 25701-2025 FSC-klagomål.docx", "A 25701-2025")</f>
        <v/>
      </c>
      <c r="AB81">
        <f>HYPERLINK("https://klasma.github.io/Logging_2582/klagomålsmail/A 25701-2025 FSC-klagomål mail.docx", "A 25701-2025")</f>
        <v/>
      </c>
      <c r="AC81">
        <f>HYPERLINK("https://klasma.github.io/Logging_2582/tillsyn/A 25701-2025 tillsynsbegäran.docx", "A 25701-2025")</f>
        <v/>
      </c>
      <c r="AD81">
        <f>HYPERLINK("https://klasma.github.io/Logging_2582/tillsynsmail/A 25701-2025 tillsynsbegäran mail.docx", "A 25701-2025")</f>
        <v/>
      </c>
    </row>
    <row r="82" ht="15" customHeight="1">
      <c r="A82" t="inlineStr">
        <is>
          <t>A 43315-2025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46318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43315-2025 artfynd.xlsx", "A 43315-2025")</f>
        <v/>
      </c>
      <c r="X82">
        <f>HYPERLINK("https://klasma.github.io/Logging_2582/kartor/A 43315-2025 karta.png", "A 43315-2025")</f>
        <v/>
      </c>
      <c r="Y82">
        <f>HYPERLINK("https://klasma.github.io/Logging_2582/kartor_geotiff/A 43315-2025 georefererad karta.tif", "A 43315-2025")</f>
        <v/>
      </c>
      <c r="AA82">
        <f>HYPERLINK("https://klasma.github.io/Logging_2582/klagomål/A 43315-2025 FSC-klagomål.docx", "A 43315-2025")</f>
        <v/>
      </c>
      <c r="AB82">
        <f>HYPERLINK("https://klasma.github.io/Logging_2582/klagomålsmail/A 43315-2025 FSC-klagomål mail.docx", "A 43315-2025")</f>
        <v/>
      </c>
      <c r="AC82">
        <f>HYPERLINK("https://klasma.github.io/Logging_2582/tillsyn/A 43315-2025 tillsynsbegäran.docx", "A 43315-2025")</f>
        <v/>
      </c>
      <c r="AD82">
        <f>HYPERLINK("https://klasma.github.io/Logging_2582/tillsynsmail/A 43315-2025 tillsynsbegäran mail.docx", "A 43315-2025")</f>
        <v/>
      </c>
    </row>
    <row r="83" ht="15" customHeight="1">
      <c r="A83" t="inlineStr">
        <is>
          <t>A 37086-2025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46318</v>
      </c>
      <c r="F83" t="inlineStr">
        <is>
          <t>NORRBOTTENS LÄN</t>
        </is>
      </c>
      <c r="G83" t="inlineStr">
        <is>
          <t>BODEN</t>
        </is>
      </c>
      <c r="H83" t="inlineStr">
        <is>
          <t>Övriga Aktiebolag</t>
        </is>
      </c>
      <c r="I83" t="n">
        <v>22.8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37086-2025 artfynd.xlsx", "A 37086-2025")</f>
        <v/>
      </c>
      <c r="X83">
        <f>HYPERLINK("https://klasma.github.io/Logging_2582/kartor/A 37086-2025 karta.png", "A 37086-2025")</f>
        <v/>
      </c>
      <c r="Y83">
        <f>HYPERLINK("https://klasma.github.io/Logging_2582/kartor_geotiff/A 37086-2025 georefererad karta.tif", "A 37086-2025")</f>
        <v/>
      </c>
      <c r="AA83">
        <f>HYPERLINK("https://klasma.github.io/Logging_2582/klagomål/A 37086-2025 FSC-klagomål.docx", "A 37086-2025")</f>
        <v/>
      </c>
      <c r="AB83">
        <f>HYPERLINK("https://klasma.github.io/Logging_2582/klagomålsmail/A 37086-2025 FSC-klagomål mail.docx", "A 37086-2025")</f>
        <v/>
      </c>
      <c r="AC83">
        <f>HYPERLINK("https://klasma.github.io/Logging_2582/tillsyn/A 37086-2025 tillsynsbegäran.docx", "A 37086-2025")</f>
        <v/>
      </c>
      <c r="AD83">
        <f>HYPERLINK("https://klasma.github.io/Logging_2582/tillsynsmail/A 37086-2025 tillsynsbegäran mail.docx", "A 37086-2025")</f>
        <v/>
      </c>
    </row>
    <row r="84" ht="15" customHeight="1">
      <c r="A84" t="inlineStr">
        <is>
          <t>A 45477-2025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46318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9.1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Doftticka
Lunglav</t>
        </is>
      </c>
      <c r="W84">
        <f>HYPERLINK("https://klasma.github.io/Logging_2582/artfynd/A 45477-2025 artfynd.xlsx", "A 45477-2025")</f>
        <v/>
      </c>
      <c r="X84">
        <f>HYPERLINK("https://klasma.github.io/Logging_2582/kartor/A 45477-2025 karta.png", "A 45477-2025")</f>
        <v/>
      </c>
      <c r="Y84">
        <f>HYPERLINK("https://klasma.github.io/Logging_2582/kartor_geotiff/A 45477-2025 georefererad karta.tif", "A 45477-2025")</f>
        <v/>
      </c>
      <c r="AA84">
        <f>HYPERLINK("https://klasma.github.io/Logging_2582/klagomål/A 45477-2025 FSC-klagomål.docx", "A 45477-2025")</f>
        <v/>
      </c>
      <c r="AB84">
        <f>HYPERLINK("https://klasma.github.io/Logging_2582/klagomålsmail/A 45477-2025 FSC-klagomål mail.docx", "A 45477-2025")</f>
        <v/>
      </c>
      <c r="AC84">
        <f>HYPERLINK("https://klasma.github.io/Logging_2582/tillsyn/A 45477-2025 tillsynsbegäran.docx", "A 45477-2025")</f>
        <v/>
      </c>
      <c r="AD84">
        <f>HYPERLINK("https://klasma.github.io/Logging_2582/tillsynsmail/A 45477-2025 tillsynsbegäran mail.docx", "A 45477-2025")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46318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42233-2022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44830</v>
      </c>
      <c r="E86" s="1" t="n">
        <v>46318</v>
      </c>
      <c r="F86" t="inlineStr">
        <is>
          <t>NORRBOTTENS LÄN</t>
        </is>
      </c>
      <c r="G86" t="inlineStr">
        <is>
          <t>BODEN</t>
        </is>
      </c>
      <c r="I86" t="n">
        <v>3.6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Enkelbeckasin
Svartvit flugsnappare</t>
        </is>
      </c>
      <c r="W86">
        <f>HYPERLINK("https://klasma.github.io/Logging_2582/artfynd/A 42233-2022 artfynd.xlsx", "A 42233-2022")</f>
        <v/>
      </c>
      <c r="X86">
        <f>HYPERLINK("https://klasma.github.io/Logging_2582/kartor/A 42233-2022 karta.png", "A 42233-2022")</f>
        <v/>
      </c>
      <c r="Y86">
        <f>HYPERLINK("https://klasma.github.io/Logging_2582/kartor_geotiff/A 42233-2022 georefererad karta.tif", "A 42233-2022")</f>
        <v/>
      </c>
      <c r="AA86">
        <f>HYPERLINK("https://klasma.github.io/Logging_2582/klagomål/A 42233-2022 FSC-klagomål.docx", "A 42233-2022")</f>
        <v/>
      </c>
      <c r="AB86">
        <f>HYPERLINK("https://klasma.github.io/Logging_2582/klagomålsmail/A 42233-2022 FSC-klagomål mail.docx", "A 42233-2022")</f>
        <v/>
      </c>
      <c r="AC86">
        <f>HYPERLINK("https://klasma.github.io/Logging_2582/tillsyn/A 42233-2022 tillsynsbegäran.docx", "A 42233-2022")</f>
        <v/>
      </c>
      <c r="AD86">
        <f>HYPERLINK("https://klasma.github.io/Logging_2582/tillsynsmail/A 42233-2022 tillsynsbegäran mail.docx", "A 42233-2022")</f>
        <v/>
      </c>
      <c r="AE86">
        <f>HYPERLINK("https://klasma.github.io/Logging_2582/fåglar/A 42233-2022 prioriterade fågelarter.docx", "A 42233-2022")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46318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46318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46318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1507-2022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46318</v>
      </c>
      <c r="F90" t="inlineStr">
        <is>
          <t>NORRBOTTENS LÄN</t>
        </is>
      </c>
      <c r="G90" t="inlineStr">
        <is>
          <t>BODEN</t>
        </is>
      </c>
      <c r="H90" t="inlineStr">
        <is>
          <t>Övriga statliga verk och myndigheter</t>
        </is>
      </c>
      <c r="I90" t="n">
        <v>15.4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Talltita
Gråspett</t>
        </is>
      </c>
      <c r="W90">
        <f>HYPERLINK("https://klasma.github.io/Logging_2582/artfynd/A 1507-2022 artfynd.xlsx", "A 1507-2022")</f>
        <v/>
      </c>
      <c r="X90">
        <f>HYPERLINK("https://klasma.github.io/Logging_2582/kartor/A 1507-2022 karta.png", "A 1507-2022")</f>
        <v/>
      </c>
      <c r="Y90">
        <f>HYPERLINK("https://klasma.github.io/Logging_2582/kartor_geotiff/A 1507-2022 georefererad karta.tif", "A 1507-2022")</f>
        <v/>
      </c>
      <c r="AA90">
        <f>HYPERLINK("https://klasma.github.io/Logging_2582/klagomål/A 1507-2022 FSC-klagomål.docx", "A 1507-2022")</f>
        <v/>
      </c>
      <c r="AB90">
        <f>HYPERLINK("https://klasma.github.io/Logging_2582/klagomålsmail/A 1507-2022 FSC-klagomål mail.docx", "A 1507-2022")</f>
        <v/>
      </c>
      <c r="AC90">
        <f>HYPERLINK("https://klasma.github.io/Logging_2582/tillsyn/A 1507-2022 tillsynsbegäran.docx", "A 1507-2022")</f>
        <v/>
      </c>
      <c r="AD90">
        <f>HYPERLINK("https://klasma.github.io/Logging_2582/tillsynsmail/A 1507-2022 tillsynsbegäran mail.docx", "A 1507-2022")</f>
        <v/>
      </c>
      <c r="AE90">
        <f>HYPERLINK("https://klasma.github.io/Logging_2582/fåglar/A 1507-2022 prioriterade fågelarter.docx", "A 1507-2022")</f>
        <v/>
      </c>
    </row>
    <row r="91" ht="15" customHeight="1">
      <c r="A91" t="inlineStr">
        <is>
          <t>A 22906-2023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45072</v>
      </c>
      <c r="E91" s="1" t="n">
        <v>46318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3.5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Utter</t>
        </is>
      </c>
      <c r="W91">
        <f>HYPERLINK("https://klasma.github.io/Logging_2582/artfynd/A 22906-2023 artfynd.xlsx", "A 22906-2023")</f>
        <v/>
      </c>
      <c r="X91">
        <f>HYPERLINK("https://klasma.github.io/Logging_2582/kartor/A 22906-2023 karta.png", "A 22906-2023")</f>
        <v/>
      </c>
      <c r="Y91">
        <f>HYPERLINK("https://klasma.github.io/Logging_2582/kartor_geotiff/A 22906-2023 georefererad karta.tif", "A 22906-2023")</f>
        <v/>
      </c>
      <c r="AA91">
        <f>HYPERLINK("https://klasma.github.io/Logging_2582/klagomål/A 22906-2023 FSC-klagomål.docx", "A 22906-2023")</f>
        <v/>
      </c>
      <c r="AB91">
        <f>HYPERLINK("https://klasma.github.io/Logging_2582/klagomålsmail/A 22906-2023 FSC-klagomål mail.docx", "A 22906-2023")</f>
        <v/>
      </c>
      <c r="AC91">
        <f>HYPERLINK("https://klasma.github.io/Logging_2582/tillsyn/A 22906-2023 tillsynsbegäran.docx", "A 22906-2023")</f>
        <v/>
      </c>
      <c r="AD91">
        <f>HYPERLINK("https://klasma.github.io/Logging_2582/tillsynsmail/A 22906-2023 tillsynsbegäran mail.docx", "A 22906-2023")</f>
        <v/>
      </c>
      <c r="AE91">
        <f>HYPERLINK("https://klasma.github.io/Logging_2582/fåglar/A 22906-2023 prioriterade fågelarter.docx", "A 22906-2023")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46318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59435-2024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46318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Lappranunkel
Ögonpyrola</t>
        </is>
      </c>
      <c r="W93">
        <f>HYPERLINK("https://klasma.github.io/Logging_2582/artfynd/A 59435-2024 artfynd.xlsx", "A 59435-2024")</f>
        <v/>
      </c>
      <c r="X93">
        <f>HYPERLINK("https://klasma.github.io/Logging_2582/kartor/A 59435-2024 karta.png", "A 59435-2024")</f>
        <v/>
      </c>
      <c r="Y93">
        <f>HYPERLINK("https://klasma.github.io/Logging_2582/kartor_geotiff/A 59435-2024 georefererad karta.tif", "A 59435-2024")</f>
        <v/>
      </c>
      <c r="AA93">
        <f>HYPERLINK("https://klasma.github.io/Logging_2582/klagomål/A 59435-2024 FSC-klagomål.docx", "A 59435-2024")</f>
        <v/>
      </c>
      <c r="AB93">
        <f>HYPERLINK("https://klasma.github.io/Logging_2582/klagomålsmail/A 59435-2024 FSC-klagomål mail.docx", "A 59435-2024")</f>
        <v/>
      </c>
      <c r="AC93">
        <f>HYPERLINK("https://klasma.github.io/Logging_2582/tillsyn/A 59435-2024 tillsynsbegäran.docx", "A 59435-2024")</f>
        <v/>
      </c>
      <c r="AD93">
        <f>HYPERLINK("https://klasma.github.io/Logging_2582/tillsynsmail/A 59435-2024 tillsynsbegäran mail.docx", "A 59435-2024")</f>
        <v/>
      </c>
    </row>
    <row r="94" ht="15" customHeight="1">
      <c r="A94" t="inlineStr">
        <is>
          <t>A 8703-2026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46318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8703-2026 artfynd.xlsx", "A 8703-2026")</f>
        <v/>
      </c>
      <c r="X94">
        <f>HYPERLINK("https://klasma.github.io/Logging_2582/kartor/A 8703-2026 karta.png", "A 8703-2026")</f>
        <v/>
      </c>
      <c r="Y94">
        <f>HYPERLINK("https://klasma.github.io/Logging_2582/kartor_geotiff/A 8703-2026 georefererad karta.tif", "A 8703-2026")</f>
        <v/>
      </c>
      <c r="AA94">
        <f>HYPERLINK("https://klasma.github.io/Logging_2582/klagomål/A 8703-2026 FSC-klagomål.docx", "A 8703-2026")</f>
        <v/>
      </c>
      <c r="AB94">
        <f>HYPERLINK("https://klasma.github.io/Logging_2582/klagomålsmail/A 8703-2026 FSC-klagomål mail.docx", "A 8703-2026")</f>
        <v/>
      </c>
      <c r="AC94">
        <f>HYPERLINK("https://klasma.github.io/Logging_2582/tillsyn/A 8703-2026 tillsynsbegäran.docx", "A 8703-2026")</f>
        <v/>
      </c>
      <c r="AD94">
        <f>HYPERLINK("https://klasma.github.io/Logging_2582/tillsynsmail/A 8703-2026 tillsynsbegäran mail.docx", "A 8703-2026")</f>
        <v/>
      </c>
    </row>
    <row r="95" ht="15" customHeight="1">
      <c r="A95" t="inlineStr">
        <is>
          <t>A 8754-2026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46318</v>
      </c>
      <c r="F95" t="inlineStr">
        <is>
          <t>NORRBOTTENS LÄN</t>
        </is>
      </c>
      <c r="G95" t="inlineStr">
        <is>
          <t>BODEN</t>
        </is>
      </c>
      <c r="I95" t="n">
        <v>2.1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Ullticka</t>
        </is>
      </c>
      <c r="W95">
        <f>HYPERLINK("https://klasma.github.io/Logging_2582/artfynd/A 8754-2026 artfynd.xlsx", "A 8754-2026")</f>
        <v/>
      </c>
      <c r="X95">
        <f>HYPERLINK("https://klasma.github.io/Logging_2582/kartor/A 8754-2026 karta.png", "A 8754-2026")</f>
        <v/>
      </c>
      <c r="Y95">
        <f>HYPERLINK("https://klasma.github.io/Logging_2582/kartor_geotiff/A 8754-2026 georefererad karta.tif", "A 8754-2026")</f>
        <v/>
      </c>
      <c r="AA95">
        <f>HYPERLINK("https://klasma.github.io/Logging_2582/klagomål/A 8754-2026 FSC-klagomål.docx", "A 8754-2026")</f>
        <v/>
      </c>
      <c r="AB95">
        <f>HYPERLINK("https://klasma.github.io/Logging_2582/klagomålsmail/A 8754-2026 FSC-klagomål mail.docx", "A 8754-2026")</f>
        <v/>
      </c>
      <c r="AC95">
        <f>HYPERLINK("https://klasma.github.io/Logging_2582/tillsyn/A 8754-2026 tillsynsbegäran.docx", "A 8754-2026")</f>
        <v/>
      </c>
      <c r="AD95">
        <f>HYPERLINK("https://klasma.github.io/Logging_2582/tillsynsmail/A 8754-2026 tillsynsbegäran mail.docx", "A 8754-2026")</f>
        <v/>
      </c>
    </row>
    <row r="96" ht="15" customHeight="1">
      <c r="A96" t="inlineStr">
        <is>
          <t>A 17292-2022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46318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0.8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Revlummer</t>
        </is>
      </c>
      <c r="W96">
        <f>HYPERLINK("https://klasma.github.io/Logging_2582/artfynd/A 17292-2022 artfynd.xlsx", "A 17292-2022")</f>
        <v/>
      </c>
      <c r="X96">
        <f>HYPERLINK("https://klasma.github.io/Logging_2582/kartor/A 17292-2022 karta.png", "A 17292-2022")</f>
        <v/>
      </c>
      <c r="Y96">
        <f>HYPERLINK("https://klasma.github.io/Logging_2582/kartor_geotiff/A 17292-2022 georefererad karta.tif", "A 17292-2022")</f>
        <v/>
      </c>
      <c r="AA96">
        <f>HYPERLINK("https://klasma.github.io/Logging_2582/klagomål/A 17292-2022 FSC-klagomål.docx", "A 17292-2022")</f>
        <v/>
      </c>
      <c r="AB96">
        <f>HYPERLINK("https://klasma.github.io/Logging_2582/klagomålsmail/A 17292-2022 FSC-klagomål mail.docx", "A 17292-2022")</f>
        <v/>
      </c>
      <c r="AC96">
        <f>HYPERLINK("https://klasma.github.io/Logging_2582/tillsyn/A 17292-2022 tillsynsbegäran.docx", "A 17292-2022")</f>
        <v/>
      </c>
      <c r="AD96">
        <f>HYPERLINK("https://klasma.github.io/Logging_2582/tillsynsmail/A 17292-2022 tillsynsbegäran mail.docx", "A 17292-2022")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46318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6895-2025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45701</v>
      </c>
      <c r="E98" s="1" t="n">
        <v>46318</v>
      </c>
      <c r="F98" t="inlineStr">
        <is>
          <t>NORRBOTTENS LÄN</t>
        </is>
      </c>
      <c r="G98" t="inlineStr">
        <is>
          <t>BODEN</t>
        </is>
      </c>
      <c r="I98" t="n">
        <v>1.5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Plattlummer</t>
        </is>
      </c>
      <c r="W98">
        <f>HYPERLINK("https://klasma.github.io/Logging_2582/artfynd/A 6895-2025 artfynd.xlsx", "A 6895-2025")</f>
        <v/>
      </c>
      <c r="X98">
        <f>HYPERLINK("https://klasma.github.io/Logging_2582/kartor/A 6895-2025 karta.png", "A 6895-2025")</f>
        <v/>
      </c>
      <c r="Y98">
        <f>HYPERLINK("https://klasma.github.io/Logging_2582/kartor_geotiff/A 6895-2025 georefererad karta.tif", "A 6895-2025")</f>
        <v/>
      </c>
      <c r="AA98">
        <f>HYPERLINK("https://klasma.github.io/Logging_2582/klagomål/A 6895-2025 FSC-klagomål.docx", "A 6895-2025")</f>
        <v/>
      </c>
      <c r="AB98">
        <f>HYPERLINK("https://klasma.github.io/Logging_2582/klagomålsmail/A 6895-2025 FSC-klagomål mail.docx", "A 6895-2025")</f>
        <v/>
      </c>
      <c r="AC98">
        <f>HYPERLINK("https://klasma.github.io/Logging_2582/tillsyn/A 6895-2025 tillsynsbegäran.docx", "A 6895-2025")</f>
        <v/>
      </c>
      <c r="AD98">
        <f>HYPERLINK("https://klasma.github.io/Logging_2582/tillsynsmail/A 6895-2025 tillsynsbegäran mail.docx", "A 6895-2025")</f>
        <v/>
      </c>
    </row>
    <row r="99" ht="15" customHeight="1">
      <c r="A99" t="inlineStr">
        <is>
          <t>A 36622-2026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46270</v>
      </c>
      <c r="E99" s="1" t="n">
        <v>46318</v>
      </c>
      <c r="F99" t="inlineStr">
        <is>
          <t>NORRBOTTENS LÄN</t>
        </is>
      </c>
      <c r="G99" t="inlineStr">
        <is>
          <t>BODEN</t>
        </is>
      </c>
      <c r="I99" t="n">
        <v>11.7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Dropptaggsvamp
Revlummer</t>
        </is>
      </c>
      <c r="W99">
        <f>HYPERLINK("https://klasma.github.io/Logging_2582/artfynd/A 36622-2026 artfynd.xlsx", "A 36622-2026")</f>
        <v/>
      </c>
      <c r="X99">
        <f>HYPERLINK("https://klasma.github.io/Logging_2582/kartor/A 36622-2026 karta.png", "A 36622-2026")</f>
        <v/>
      </c>
      <c r="Y99">
        <f>HYPERLINK("https://klasma.github.io/Logging_2582/kartor_geotiff/A 36622-2026 georefererad karta.tif", "A 36622-2026")</f>
        <v/>
      </c>
      <c r="AA99">
        <f>HYPERLINK("https://klasma.github.io/Logging_2582/klagomål/A 36622-2026 FSC-klagomål.docx", "A 36622-2026")</f>
        <v/>
      </c>
      <c r="AB99">
        <f>HYPERLINK("https://klasma.github.io/Logging_2582/klagomålsmail/A 36622-2026 FSC-klagomål mail.docx", "A 36622-2026")</f>
        <v/>
      </c>
      <c r="AC99">
        <f>HYPERLINK("https://klasma.github.io/Logging_2582/tillsyn/A 36622-2026 tillsynsbegäran.docx", "A 36622-2026")</f>
        <v/>
      </c>
      <c r="AD99">
        <f>HYPERLINK("https://klasma.github.io/Logging_2582/tillsynsmail/A 36622-2026 tillsynsbegäran mail.docx", "A 36622-2026")</f>
        <v/>
      </c>
    </row>
    <row r="100" ht="15" customHeight="1">
      <c r="A100" t="inlineStr">
        <is>
          <t>A 36163-2026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46267</v>
      </c>
      <c r="E100" s="1" t="n">
        <v>46318</v>
      </c>
      <c r="F100" t="inlineStr">
        <is>
          <t>NORRBOTTENS LÄN</t>
        </is>
      </c>
      <c r="G100" t="inlineStr">
        <is>
          <t>BODEN</t>
        </is>
      </c>
      <c r="I100" t="n">
        <v>7.2</v>
      </c>
      <c r="J100" t="n">
        <v>2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Björktrast
Rödvingetrast</t>
        </is>
      </c>
      <c r="W100">
        <f>HYPERLINK("https://klasma.github.io/Logging_2582/artfynd/A 36163-2026 artfynd.xlsx", "A 36163-2026")</f>
        <v/>
      </c>
      <c r="X100">
        <f>HYPERLINK("https://klasma.github.io/Logging_2582/kartor/A 36163-2026 karta.png", "A 36163-2026")</f>
        <v/>
      </c>
      <c r="Y100">
        <f>HYPERLINK("https://klasma.github.io/Logging_2582/kartor_geotiff/A 36163-2026 georefererad karta.tif", "A 36163-2026")</f>
        <v/>
      </c>
      <c r="AA100">
        <f>HYPERLINK("https://klasma.github.io/Logging_2582/klagomål/A 36163-2026 FSC-klagomål.docx", "A 36163-2026")</f>
        <v/>
      </c>
      <c r="AB100">
        <f>HYPERLINK("https://klasma.github.io/Logging_2582/klagomålsmail/A 36163-2026 FSC-klagomål mail.docx", "A 36163-2026")</f>
        <v/>
      </c>
      <c r="AC100">
        <f>HYPERLINK("https://klasma.github.io/Logging_2582/tillsyn/A 36163-2026 tillsynsbegäran.docx", "A 36163-2026")</f>
        <v/>
      </c>
      <c r="AD100">
        <f>HYPERLINK("https://klasma.github.io/Logging_2582/tillsynsmail/A 36163-2026 tillsynsbegäran mail.docx", "A 36163-2026")</f>
        <v/>
      </c>
      <c r="AE100">
        <f>HYPERLINK("https://klasma.github.io/Logging_2582/fåglar/A 36163-2026 prioriterade fågelarter.docx", "A 36163-2026")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46318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46318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29860-2026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46318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Knottrig blåslav
Lunglav</t>
        </is>
      </c>
      <c r="W103">
        <f>HYPERLINK("https://klasma.github.io/Logging_2582/artfynd/A 29860-2026 artfynd.xlsx", "A 29860-2026")</f>
        <v/>
      </c>
      <c r="X103">
        <f>HYPERLINK("https://klasma.github.io/Logging_2582/kartor/A 29860-2026 karta.png", "A 29860-2026")</f>
        <v/>
      </c>
      <c r="Y103">
        <f>HYPERLINK("https://klasma.github.io/Logging_2582/kartor_geotiff/A 29860-2026 georefererad karta.tif", "A 29860-2026")</f>
        <v/>
      </c>
      <c r="AA103">
        <f>HYPERLINK("https://klasma.github.io/Logging_2582/klagomål/A 29860-2026 FSC-klagomål.docx", "A 29860-2026")</f>
        <v/>
      </c>
      <c r="AB103">
        <f>HYPERLINK("https://klasma.github.io/Logging_2582/klagomålsmail/A 29860-2026 FSC-klagomål mail.docx", "A 29860-2026")</f>
        <v/>
      </c>
      <c r="AC103">
        <f>HYPERLINK("https://klasma.github.io/Logging_2582/tillsyn/A 29860-2026 tillsynsbegäran.docx", "A 29860-2026")</f>
        <v/>
      </c>
      <c r="AD103">
        <f>HYPERLINK("https://klasma.github.io/Logging_2582/tillsynsmail/A 29860-2026 tillsynsbegäran mail.docx", "A 29860-2026")</f>
        <v/>
      </c>
    </row>
    <row r="104" ht="15" customHeight="1">
      <c r="A104" t="inlineStr">
        <is>
          <t>A 31233-2026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46318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18.5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Lunglav
Fläcknycklar</t>
        </is>
      </c>
      <c r="W104">
        <f>HYPERLINK("https://klasma.github.io/Logging_2582/artfynd/A 31233-2026 artfynd.xlsx", "A 31233-2026")</f>
        <v/>
      </c>
      <c r="X104">
        <f>HYPERLINK("https://klasma.github.io/Logging_2582/kartor/A 31233-2026 karta.png", "A 31233-2026")</f>
        <v/>
      </c>
      <c r="Y104">
        <f>HYPERLINK("https://klasma.github.io/Logging_2582/kartor_geotiff/A 31233-2026 georefererad karta.tif", "A 31233-2026")</f>
        <v/>
      </c>
      <c r="AA104">
        <f>HYPERLINK("https://klasma.github.io/Logging_2582/klagomål/A 31233-2026 FSC-klagomål.docx", "A 31233-2026")</f>
        <v/>
      </c>
      <c r="AB104">
        <f>HYPERLINK("https://klasma.github.io/Logging_2582/klagomålsmail/A 31233-2026 FSC-klagomål mail.docx", "A 31233-2026")</f>
        <v/>
      </c>
      <c r="AC104">
        <f>HYPERLINK("https://klasma.github.io/Logging_2582/tillsyn/A 31233-2026 tillsynsbegäran.docx", "A 31233-2026")</f>
        <v/>
      </c>
      <c r="AD104">
        <f>HYPERLINK("https://klasma.github.io/Logging_2582/tillsynsmail/A 31233-2026 tillsynsbegäran mail.docx", "A 31233-2026")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46318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46318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46318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46318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46318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48899-2024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46318</v>
      </c>
      <c r="F110" t="inlineStr">
        <is>
          <t>NORRBOTTENS LÄN</t>
        </is>
      </c>
      <c r="G110" t="inlineStr">
        <is>
          <t>BODEN</t>
        </is>
      </c>
      <c r="H110" t="inlineStr">
        <is>
          <t>SCA</t>
        </is>
      </c>
      <c r="I110" t="n">
        <v>18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Hässlebrodd
Fläcknycklar</t>
        </is>
      </c>
      <c r="W110">
        <f>HYPERLINK("https://klasma.github.io/Logging_2582/artfynd/A 48899-2024 artfynd.xlsx", "A 48899-2024")</f>
        <v/>
      </c>
      <c r="X110">
        <f>HYPERLINK("https://klasma.github.io/Logging_2582/kartor/A 48899-2024 karta.png", "A 48899-2024")</f>
        <v/>
      </c>
      <c r="Y110">
        <f>HYPERLINK("https://klasma.github.io/Logging_2582/kartor_geotiff/A 48899-2024 georefererad karta.tif", "A 48899-2024")</f>
        <v/>
      </c>
      <c r="AA110">
        <f>HYPERLINK("https://klasma.github.io/Logging_2582/klagomål/A 48899-2024 FSC-klagomål.docx", "A 48899-2024")</f>
        <v/>
      </c>
      <c r="AB110">
        <f>HYPERLINK("https://klasma.github.io/Logging_2582/klagomålsmail/A 48899-2024 FSC-klagomål mail.docx", "A 48899-2024")</f>
        <v/>
      </c>
      <c r="AC110">
        <f>HYPERLINK("https://klasma.github.io/Logging_2582/tillsyn/A 48899-2024 tillsynsbegäran.docx", "A 48899-2024")</f>
        <v/>
      </c>
      <c r="AD110">
        <f>HYPERLINK("https://klasma.github.io/Logging_2582/tillsynsmail/A 48899-2024 tillsynsbegäran mail.docx", "A 48899-2024")</f>
        <v/>
      </c>
    </row>
    <row r="111" ht="15" customHeight="1">
      <c r="A111" t="inlineStr">
        <is>
          <t>A 61210-2024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46318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4</v>
      </c>
      <c r="U111" t="n">
        <v>0</v>
      </c>
      <c r="V111" s="2" t="inlineStr">
        <is>
          <t>Skrovlig taggsvamp
Blå taggsvamp</t>
        </is>
      </c>
      <c r="W111">
        <f>HYPERLINK("https://klasma.github.io/Logging_2582/artfynd/A 61210-2024 artfynd.xlsx", "A 61210-2024")</f>
        <v/>
      </c>
      <c r="X111">
        <f>HYPERLINK("https://klasma.github.io/Logging_2582/kartor/A 61210-2024 karta.png", "A 61210-2024")</f>
        <v/>
      </c>
      <c r="Y111">
        <f>HYPERLINK("https://klasma.github.io/Logging_2582/kartor_geotiff/A 61210-2024 georefererad karta.tif", "A 61210-2024")</f>
        <v/>
      </c>
      <c r="AA111">
        <f>HYPERLINK("https://klasma.github.io/Logging_2582/klagomål/A 61210-2024 FSC-klagomål.docx", "A 61210-2024")</f>
        <v/>
      </c>
      <c r="AB111">
        <f>HYPERLINK("https://klasma.github.io/Logging_2582/klagomålsmail/A 61210-2024 FSC-klagomål mail.docx", "A 61210-2024")</f>
        <v/>
      </c>
      <c r="AC111">
        <f>HYPERLINK("https://klasma.github.io/Logging_2582/tillsyn/A 61210-2024 tillsynsbegäran.docx", "A 61210-2024")</f>
        <v/>
      </c>
      <c r="AD111">
        <f>HYPERLINK("https://klasma.github.io/Logging_2582/tillsynsmail/A 61210-2024 tillsynsbegäran mail.docx", "A 61210-2024")</f>
        <v/>
      </c>
    </row>
    <row r="112" ht="15" customHeight="1">
      <c r="A112" t="inlineStr">
        <is>
          <t>A 34874-2026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46258</v>
      </c>
      <c r="E112" s="1" t="n">
        <v>46318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0</v>
      </c>
      <c r="M112" t="n">
        <v>2</v>
      </c>
      <c r="N112" t="n">
        <v>0</v>
      </c>
      <c r="O112" t="n">
        <v>0</v>
      </c>
      <c r="P112" t="n">
        <v>0</v>
      </c>
      <c r="Q112" t="n">
        <v>2</v>
      </c>
      <c r="R112" t="n">
        <v>2</v>
      </c>
      <c r="S112" t="n">
        <v>2</v>
      </c>
      <c r="T112" t="n">
        <v>2</v>
      </c>
      <c r="U112" t="n">
        <v>0</v>
      </c>
      <c r="V112" s="2" t="inlineStr">
        <is>
          <t>Garnlav
Knärot</t>
        </is>
      </c>
      <c r="W112">
        <f>HYPERLINK("https://klasma.github.io/Logging_2582/artfynd/A 34874-2026 artfynd.xlsx", "A 34874-2026")</f>
        <v/>
      </c>
      <c r="X112">
        <f>HYPERLINK("https://klasma.github.io/Logging_2582/kartor/A 34874-2026 karta.png", "A 34874-2026")</f>
        <v/>
      </c>
      <c r="Y112">
        <f>HYPERLINK("https://klasma.github.io/Logging_2582/kartor_geotiff/A 34874-2026 georefererad karta.tif", "A 34874-2026")</f>
        <v/>
      </c>
      <c r="Z112">
        <f>HYPERLINK("https://klasma.github.io/Logging_2582/knärot/A 34874-2026 karta knärot.png", "A 34874-2026")</f>
        <v/>
      </c>
      <c r="AA112">
        <f>HYPERLINK("https://klasma.github.io/Logging_2582/klagomål/A 34874-2026 FSC-klagomål.docx", "A 34874-2026")</f>
        <v/>
      </c>
      <c r="AB112">
        <f>HYPERLINK("https://klasma.github.io/Logging_2582/klagomålsmail/A 34874-2026 FSC-klagomål mail.docx", "A 34874-2026")</f>
        <v/>
      </c>
      <c r="AC112">
        <f>HYPERLINK("https://klasma.github.io/Logging_2582/tillsyn/A 34874-2026 tillsynsbegäran.docx", "A 34874-2026")</f>
        <v/>
      </c>
      <c r="AD112">
        <f>HYPERLINK("https://klasma.github.io/Logging_2582/tillsynsmail/A 34874-2026 tillsynsbegäran mail.docx", "A 34874-2026")</f>
        <v/>
      </c>
    </row>
    <row r="113" ht="15" customHeight="1">
      <c r="A113" t="inlineStr">
        <is>
          <t>A 35300-2026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46318</v>
      </c>
      <c r="F113" t="inlineStr">
        <is>
          <t>NORRBOTTENS LÄN</t>
        </is>
      </c>
      <c r="G113" t="inlineStr">
        <is>
          <t>BODEN</t>
        </is>
      </c>
      <c r="I113" t="n">
        <v>3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Vitgrynig nållav</t>
        </is>
      </c>
      <c r="W113">
        <f>HYPERLINK("https://klasma.github.io/Logging_2582/artfynd/A 35300-2026 artfynd.xlsx", "A 35300-2026")</f>
        <v/>
      </c>
      <c r="X113">
        <f>HYPERLINK("https://klasma.github.io/Logging_2582/kartor/A 35300-2026 karta.png", "A 35300-2026")</f>
        <v/>
      </c>
      <c r="Y113">
        <f>HYPERLINK("https://klasma.github.io/Logging_2582/kartor_geotiff/A 35300-2026 georefererad karta.tif", "A 35300-2026")</f>
        <v/>
      </c>
      <c r="AA113">
        <f>HYPERLINK("https://klasma.github.io/Logging_2582/klagomål/A 35300-2026 FSC-klagomål.docx", "A 35300-2026")</f>
        <v/>
      </c>
      <c r="AB113">
        <f>HYPERLINK("https://klasma.github.io/Logging_2582/klagomålsmail/A 35300-2026 FSC-klagomål mail.docx", "A 35300-2026")</f>
        <v/>
      </c>
      <c r="AC113">
        <f>HYPERLINK("https://klasma.github.io/Logging_2582/tillsyn/A 35300-2026 tillsynsbegäran.docx", "A 35300-2026")</f>
        <v/>
      </c>
      <c r="AD113">
        <f>HYPERLINK("https://klasma.github.io/Logging_2582/tillsynsmail/A 35300-2026 tillsynsbegäran mail.docx", "A 35300-2026")</f>
        <v/>
      </c>
    </row>
    <row r="114" ht="15" customHeight="1">
      <c r="A114" t="inlineStr">
        <is>
          <t>A 42092-2026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46304</v>
      </c>
      <c r="E114" s="1" t="n">
        <v>46318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14.4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1</v>
      </c>
      <c r="V114" s="2" t="inlineStr">
        <is>
          <t>Dropptaggsvamp
Lunglav</t>
        </is>
      </c>
      <c r="W114">
        <f>HYPERLINK("https://klasma.github.io/Logging_2582/artfynd/A 42092-2026 artfynd.xlsx", "A 42092-2026")</f>
        <v/>
      </c>
      <c r="X114">
        <f>HYPERLINK("https://klasma.github.io/Logging_2582/kartor/A 42092-2026 karta.png", "A 42092-2026")</f>
        <v/>
      </c>
      <c r="Y114">
        <f>HYPERLINK("https://klasma.github.io/Logging_2582/kartor_geotiff/A 42092-2026 georefererad karta.tif", "A 42092-2026")</f>
        <v/>
      </c>
      <c r="AA114">
        <f>HYPERLINK("https://klasma.github.io/Logging_2582/klagomål/A 42092-2026 FSC-klagomål.docx", "A 42092-2026")</f>
        <v/>
      </c>
      <c r="AB114">
        <f>HYPERLINK("https://klasma.github.io/Logging_2582/klagomålsmail/A 42092-2026 FSC-klagomål mail.docx", "A 42092-2026")</f>
        <v/>
      </c>
      <c r="AC114">
        <f>HYPERLINK("https://klasma.github.io/Logging_2582/tillsyn/A 42092-2026 tillsynsbegäran.docx", "A 42092-2026")</f>
        <v/>
      </c>
      <c r="AD114">
        <f>HYPERLINK("https://klasma.github.io/Logging_2582/tillsynsmail/A 42092-2026 tillsynsbegäran mail.docx", "A 42092-2026")</f>
        <v/>
      </c>
    </row>
    <row r="115" ht="15" customHeight="1">
      <c r="A115" t="inlineStr">
        <is>
          <t>A 34737-2024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45526</v>
      </c>
      <c r="E115" s="1" t="n">
        <v>46318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1</v>
      </c>
      <c r="V115" s="2" t="inlineStr">
        <is>
          <t>Lunglav
Fläcknycklar</t>
        </is>
      </c>
      <c r="W115">
        <f>HYPERLINK("https://klasma.github.io/Logging_2582/artfynd/A 34737-2024 artfynd.xlsx", "A 34737-2024")</f>
        <v/>
      </c>
      <c r="X115">
        <f>HYPERLINK("https://klasma.github.io/Logging_2582/kartor/A 34737-2024 karta.png", "A 34737-2024")</f>
        <v/>
      </c>
      <c r="Y115">
        <f>HYPERLINK("https://klasma.github.io/Logging_2582/kartor_geotiff/A 34737-2024 georefererad karta.tif", "A 34737-2024")</f>
        <v/>
      </c>
      <c r="AA115">
        <f>HYPERLINK("https://klasma.github.io/Logging_2582/klagomål/A 34737-2024 FSC-klagomål.docx", "A 34737-2024")</f>
        <v/>
      </c>
      <c r="AB115">
        <f>HYPERLINK("https://klasma.github.io/Logging_2582/klagomålsmail/A 34737-2024 FSC-klagomål mail.docx", "A 34737-2024")</f>
        <v/>
      </c>
      <c r="AC115">
        <f>HYPERLINK("https://klasma.github.io/Logging_2582/tillsyn/A 34737-2024 tillsynsbegäran.docx", "A 34737-2024")</f>
        <v/>
      </c>
      <c r="AD115">
        <f>HYPERLINK("https://klasma.github.io/Logging_2582/tillsynsmail/A 34737-2024 tillsynsbegäran mail.docx", "A 34737-2024")</f>
        <v/>
      </c>
    </row>
    <row r="116" ht="15" customHeight="1">
      <c r="A116" t="inlineStr">
        <is>
          <t>A 35418-2026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46261</v>
      </c>
      <c r="E116" s="1" t="n">
        <v>46318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4.3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8</v>
      </c>
      <c r="U116" t="n">
        <v>8</v>
      </c>
      <c r="V116" s="2" t="inlineStr">
        <is>
          <t>Knärot
Dropptaggsvamp</t>
        </is>
      </c>
      <c r="W116">
        <f>HYPERLINK("https://klasma.github.io/Logging_2582/artfynd/A 35418-2026 artfynd.xlsx", "A 35418-2026")</f>
        <v/>
      </c>
      <c r="X116">
        <f>HYPERLINK("https://klasma.github.io/Logging_2582/kartor/A 35418-2026 karta.png", "A 35418-2026")</f>
        <v/>
      </c>
      <c r="Y116">
        <f>HYPERLINK("https://klasma.github.io/Logging_2582/kartor_geotiff/A 35418-2026 georefererad karta.tif", "A 35418-2026")</f>
        <v/>
      </c>
      <c r="Z116">
        <f>HYPERLINK("https://klasma.github.io/Logging_2582/knärot/A 35418-2026 karta knärot.png", "A 35418-2026")</f>
        <v/>
      </c>
      <c r="AA116">
        <f>HYPERLINK("https://klasma.github.io/Logging_2582/klagomål/A 35418-2026 FSC-klagomål.docx", "A 35418-2026")</f>
        <v/>
      </c>
      <c r="AB116">
        <f>HYPERLINK("https://klasma.github.io/Logging_2582/klagomålsmail/A 35418-2026 FSC-klagomål mail.docx", "A 35418-2026")</f>
        <v/>
      </c>
      <c r="AC116">
        <f>HYPERLINK("https://klasma.github.io/Logging_2582/tillsyn/A 35418-2026 tillsynsbegäran.docx", "A 35418-2026")</f>
        <v/>
      </c>
      <c r="AD116">
        <f>HYPERLINK("https://klasma.github.io/Logging_2582/tillsynsmail/A 35418-2026 tillsynsbegäran mail.docx", "A 35418-2026")</f>
        <v/>
      </c>
    </row>
    <row r="117" ht="15" customHeight="1">
      <c r="A117" t="inlineStr">
        <is>
          <t>A 26721-2026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46184</v>
      </c>
      <c r="E117" s="1" t="n">
        <v>46318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7.8</v>
      </c>
      <c r="J117" t="n">
        <v>1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Plattlummer
Tibast</t>
        </is>
      </c>
      <c r="W117">
        <f>HYPERLINK("https://klasma.github.io/Logging_2582/artfynd/A 26721-2026 artfynd.xlsx", "A 26721-2026")</f>
        <v/>
      </c>
      <c r="X117">
        <f>HYPERLINK("https://klasma.github.io/Logging_2582/kartor/A 26721-2026 karta.png", "A 26721-2026")</f>
        <v/>
      </c>
      <c r="Y117">
        <f>HYPERLINK("https://klasma.github.io/Logging_2582/kartor_geotiff/A 26721-2026 georefererad karta.tif", "A 26721-2026")</f>
        <v/>
      </c>
      <c r="AA117">
        <f>HYPERLINK("https://klasma.github.io/Logging_2582/klagomål/A 26721-2026 FSC-klagomål.docx", "A 26721-2026")</f>
        <v/>
      </c>
      <c r="AB117">
        <f>HYPERLINK("https://klasma.github.io/Logging_2582/klagomålsmail/A 26721-2026 FSC-klagomål mail.docx", "A 26721-2026")</f>
        <v/>
      </c>
      <c r="AC117">
        <f>HYPERLINK("https://klasma.github.io/Logging_2582/tillsyn/A 26721-2026 tillsynsbegäran.docx", "A 26721-2026")</f>
        <v/>
      </c>
      <c r="AD117">
        <f>HYPERLINK("https://klasma.github.io/Logging_2582/tillsynsmail/A 26721-2026 tillsynsbegäran mail.docx", "A 26721-2026")</f>
        <v/>
      </c>
    </row>
    <row r="118" ht="15" customHeight="1">
      <c r="A118" t="inlineStr">
        <is>
          <t>A 43163-2026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46311</v>
      </c>
      <c r="E118" s="1" t="n">
        <v>46318</v>
      </c>
      <c r="F118" t="inlineStr">
        <is>
          <t>NORRBOTTENS LÄN</t>
        </is>
      </c>
      <c r="G118" t="inlineStr">
        <is>
          <t>BODEN</t>
        </is>
      </c>
      <c r="I118" t="n">
        <v>5.6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4</v>
      </c>
      <c r="U118" t="n">
        <v>0</v>
      </c>
      <c r="V118" s="2" t="inlineStr">
        <is>
          <t>Knärot
Knottrig blåslav</t>
        </is>
      </c>
      <c r="W118">
        <f>HYPERLINK("https://klasma.github.io/Logging_2582/artfynd/A 43163-2026 artfynd.xlsx", "A 43163-2026")</f>
        <v/>
      </c>
      <c r="X118">
        <f>HYPERLINK("https://klasma.github.io/Logging_2582/kartor/A 43163-2026 karta.png", "A 43163-2026")</f>
        <v/>
      </c>
      <c r="Y118">
        <f>HYPERLINK("https://klasma.github.io/Logging_2582/kartor_geotiff/A 43163-2026 georefererad karta.tif", "A 43163-2026")</f>
        <v/>
      </c>
      <c r="Z118">
        <f>HYPERLINK("https://klasma.github.io/Logging_2582/knärot/A 43163-2026 karta knärot.png", "A 43163-2026")</f>
        <v/>
      </c>
      <c r="AA118">
        <f>HYPERLINK("https://klasma.github.io/Logging_2582/klagomål/A 43163-2026 FSC-klagomål.docx", "A 43163-2026")</f>
        <v/>
      </c>
      <c r="AB118">
        <f>HYPERLINK("https://klasma.github.io/Logging_2582/klagomålsmail/A 43163-2026 FSC-klagomål mail.docx", "A 43163-2026")</f>
        <v/>
      </c>
      <c r="AC118">
        <f>HYPERLINK("https://klasma.github.io/Logging_2582/tillsyn/A 43163-2026 tillsynsbegäran.docx", "A 43163-2026")</f>
        <v/>
      </c>
      <c r="AD118">
        <f>HYPERLINK("https://klasma.github.io/Logging_2582/tillsynsmail/A 43163-2026 tillsynsbegäran mail.docx", "A 43163-2026")</f>
        <v/>
      </c>
    </row>
    <row r="119" ht="15" customHeight="1">
      <c r="A119" t="inlineStr">
        <is>
          <t>S 884-2024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45376</v>
      </c>
      <c r="E119" s="1" t="n">
        <v>46318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1.6</v>
      </c>
      <c r="J119" t="n">
        <v>1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Spindelblomster
Ögonpyrola</t>
        </is>
      </c>
      <c r="W119">
        <f>HYPERLINK("https://klasma.github.io/Logging_2582/artfynd/S 884-2024 artfynd.xlsx", "S 884-2024")</f>
        <v/>
      </c>
      <c r="X119">
        <f>HYPERLINK("https://klasma.github.io/Logging_2582/kartor/S 884-2024 karta.png", "S 884-2024")</f>
        <v/>
      </c>
      <c r="Y119">
        <f>HYPERLINK("https://klasma.github.io/Logging_2582/kartor_geotiff/S 884-2024 georefererad karta.tif", "S 884-2024")</f>
        <v/>
      </c>
      <c r="Z119">
        <f>HYPERLINK("https://klasma.github.io/Logging_2582/knärot/S 884-2024 karta knärot.png", "S 884-2024")</f>
        <v/>
      </c>
      <c r="AA119">
        <f>HYPERLINK("https://klasma.github.io/Logging_2582/klagomål/S 884-2024 FSC-klagomål.docx", "S 884-2024")</f>
        <v/>
      </c>
      <c r="AB119">
        <f>HYPERLINK("https://klasma.github.io/Logging_2582/klagomålsmail/S 884-2024 FSC-klagomål mail.docx", "S 884-2024")</f>
        <v/>
      </c>
      <c r="AC119">
        <f>HYPERLINK("https://klasma.github.io/Logging_2582/tillsyn/S 884-2024 tillsynsbegäran.docx", "S 884-2024")</f>
        <v/>
      </c>
      <c r="AD119">
        <f>HYPERLINK("https://klasma.github.io/Logging_2582/tillsynsmail/S 884-2024 tillsynsbegäran mail.docx", "S 884-2024")</f>
        <v/>
      </c>
    </row>
    <row r="120" ht="15" customHeight="1">
      <c r="A120" t="inlineStr">
        <is>
          <t>A 13647-2022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46318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3</v>
      </c>
      <c r="U120" t="n">
        <v>0</v>
      </c>
      <c r="V120" s="2" t="inlineStr">
        <is>
          <t>Gammelgransskål</t>
        </is>
      </c>
      <c r="W120">
        <f>HYPERLINK("https://klasma.github.io/Logging_2582/artfynd/A 13647-2022 artfynd.xlsx", "A 13647-2022")</f>
        <v/>
      </c>
      <c r="X120">
        <f>HYPERLINK("https://klasma.github.io/Logging_2582/kartor/A 13647-2022 karta.png", "A 13647-2022")</f>
        <v/>
      </c>
      <c r="Y120">
        <f>HYPERLINK("https://klasma.github.io/Logging_2582/kartor_geotiff/A 13647-2022 georefererad karta.tif", "A 13647-2022")</f>
        <v/>
      </c>
      <c r="AA120">
        <f>HYPERLINK("https://klasma.github.io/Logging_2582/klagomål/A 13647-2022 FSC-klagomål.docx", "A 13647-2022")</f>
        <v/>
      </c>
      <c r="AB120">
        <f>HYPERLINK("https://klasma.github.io/Logging_2582/klagomålsmail/A 13647-2022 FSC-klagomål mail.docx", "A 13647-2022")</f>
        <v/>
      </c>
      <c r="AC120">
        <f>HYPERLINK("https://klasma.github.io/Logging_2582/tillsyn/A 13647-2022 tillsynsbegäran.docx", "A 13647-2022")</f>
        <v/>
      </c>
      <c r="AD120">
        <f>HYPERLINK("https://klasma.github.io/Logging_2582/tillsynsmail/A 13647-2022 tillsynsbegäran mail.docx", "A 13647-2022")</f>
        <v/>
      </c>
    </row>
    <row r="121" ht="15" customHeight="1">
      <c r="A121" t="inlineStr">
        <is>
          <t>A 44768-2022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46318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6.1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HYPERLINK("https://klasma.github.io/Logging_2582/artfynd/A 44768-2022 artfynd.xlsx", "A 44768-2022")</f>
        <v/>
      </c>
      <c r="X121">
        <f>HYPERLINK("https://klasma.github.io/Logging_2582/kartor/A 44768-2022 karta.png", "A 44768-2022")</f>
        <v/>
      </c>
      <c r="Y121">
        <f>HYPERLINK("https://klasma.github.io/Logging_2582/kartor_geotiff/A 44768-2022 georefererad karta.tif", "A 44768-2022")</f>
        <v/>
      </c>
      <c r="AA121">
        <f>HYPERLINK("https://klasma.github.io/Logging_2582/klagomål/A 44768-2022 FSC-klagomål.docx", "A 44768-2022")</f>
        <v/>
      </c>
      <c r="AB121">
        <f>HYPERLINK("https://klasma.github.io/Logging_2582/klagomålsmail/A 44768-2022 FSC-klagomål mail.docx", "A 44768-2022")</f>
        <v/>
      </c>
      <c r="AC121">
        <f>HYPERLINK("https://klasma.github.io/Logging_2582/tillsyn/A 44768-2022 tillsynsbegäran.docx", "A 44768-2022")</f>
        <v/>
      </c>
      <c r="AD121">
        <f>HYPERLINK("https://klasma.github.io/Logging_2582/tillsynsmail/A 44768-2022 tillsynsbegäran mail.docx", "A 44768-2022")</f>
        <v/>
      </c>
    </row>
    <row r="122" ht="15" customHeight="1">
      <c r="A122" t="inlineStr">
        <is>
          <t>A 18678-2025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46318</v>
      </c>
      <c r="F122" t="inlineStr">
        <is>
          <t>NORRBOTTENS LÄN</t>
        </is>
      </c>
      <c r="G122" t="inlineStr">
        <is>
          <t>BODEN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HYPERLINK("https://klasma.github.io/Logging_2582/artfynd/A 18678-2025 artfynd.xlsx", "A 18678-2025")</f>
        <v/>
      </c>
      <c r="X122">
        <f>HYPERLINK("https://klasma.github.io/Logging_2582/kartor/A 18678-2025 karta.png", "A 18678-2025")</f>
        <v/>
      </c>
      <c r="Y122">
        <f>HYPERLINK("https://klasma.github.io/Logging_2582/kartor_geotiff/A 18678-2025 georefererad karta.tif", "A 18678-2025")</f>
        <v/>
      </c>
      <c r="AA122">
        <f>HYPERLINK("https://klasma.github.io/Logging_2582/klagomål/A 18678-2025 FSC-klagomål.docx", "A 18678-2025")</f>
        <v/>
      </c>
      <c r="AB122">
        <f>HYPERLINK("https://klasma.github.io/Logging_2582/klagomålsmail/A 18678-2025 FSC-klagomål mail.docx", "A 18678-2025")</f>
        <v/>
      </c>
      <c r="AC122">
        <f>HYPERLINK("https://klasma.github.io/Logging_2582/tillsyn/A 18678-2025 tillsynsbegäran.docx", "A 18678-2025")</f>
        <v/>
      </c>
      <c r="AD122">
        <f>HYPERLINK("https://klasma.github.io/Logging_2582/tillsynsmail/A 18678-2025 tillsynsbegäran mail.docx", "A 18678-2025")</f>
        <v/>
      </c>
    </row>
    <row r="123" ht="15" customHeight="1">
      <c r="A123" t="inlineStr">
        <is>
          <t>A 2568-2024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46318</v>
      </c>
      <c r="F123" t="inlineStr">
        <is>
          <t>NORRBOTTENS LÄN</t>
        </is>
      </c>
      <c r="G123" t="inlineStr">
        <is>
          <t>BODEN</t>
        </is>
      </c>
      <c r="I123" t="n">
        <v>1.6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 taggsvamp</t>
        </is>
      </c>
      <c r="W123">
        <f>HYPERLINK("https://klasma.github.io/Logging_2582/artfynd/A 2568-2024 artfynd.xlsx", "A 2568-2024")</f>
        <v/>
      </c>
      <c r="X123">
        <f>HYPERLINK("https://klasma.github.io/Logging_2582/kartor/A 2568-2024 karta.png", "A 2568-2024")</f>
        <v/>
      </c>
      <c r="Y123">
        <f>HYPERLINK("https://klasma.github.io/Logging_2582/kartor_geotiff/A 2568-2024 georefererad karta.tif", "A 2568-2024")</f>
        <v/>
      </c>
      <c r="AA123">
        <f>HYPERLINK("https://klasma.github.io/Logging_2582/klagomål/A 2568-2024 FSC-klagomål.docx", "A 2568-2024")</f>
        <v/>
      </c>
      <c r="AB123">
        <f>HYPERLINK("https://klasma.github.io/Logging_2582/klagomålsmail/A 2568-2024 FSC-klagomål mail.docx", "A 2568-2024")</f>
        <v/>
      </c>
      <c r="AC123">
        <f>HYPERLINK("https://klasma.github.io/Logging_2582/tillsyn/A 2568-2024 tillsynsbegäran.docx", "A 2568-2024")</f>
        <v/>
      </c>
      <c r="AD123">
        <f>HYPERLINK("https://klasma.github.io/Logging_2582/tillsynsmail/A 2568-2024 tillsynsbegäran mail.docx", "A 2568-2024")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46318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41087-2024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45559</v>
      </c>
      <c r="E125" s="1" t="n">
        <v>46318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HYPERLINK("https://klasma.github.io/Logging_2582/artfynd/A 41087-2024 artfynd.xlsx", "A 41087-2024")</f>
        <v/>
      </c>
      <c r="X125">
        <f>HYPERLINK("https://klasma.github.io/Logging_2582/kartor/A 41087-2024 karta.png", "A 41087-2024")</f>
        <v/>
      </c>
      <c r="Y125">
        <f>HYPERLINK("https://klasma.github.io/Logging_2582/kartor_geotiff/A 41087-2024 georefererad karta.tif", "A 41087-2024")</f>
        <v/>
      </c>
      <c r="AA125">
        <f>HYPERLINK("https://klasma.github.io/Logging_2582/klagomål/A 41087-2024 FSC-klagomål.docx", "A 41087-2024")</f>
        <v/>
      </c>
      <c r="AB125">
        <f>HYPERLINK("https://klasma.github.io/Logging_2582/klagomålsmail/A 41087-2024 FSC-klagomål mail.docx", "A 41087-2024")</f>
        <v/>
      </c>
      <c r="AC125">
        <f>HYPERLINK("https://klasma.github.io/Logging_2582/tillsyn/A 41087-2024 tillsynsbegäran.docx", "A 41087-2024")</f>
        <v/>
      </c>
      <c r="AD125">
        <f>HYPERLINK("https://klasma.github.io/Logging_2582/tillsynsmail/A 41087-2024 tillsynsbegäran mail.docx", "A 41087-2024")</f>
        <v/>
      </c>
    </row>
    <row r="126" ht="15" customHeight="1">
      <c r="A126" t="inlineStr">
        <is>
          <t>A 41443-2025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45901</v>
      </c>
      <c r="E126" s="1" t="n">
        <v>46318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HYPERLINK("https://klasma.github.io/Logging_2582/artfynd/A 41443-2025 artfynd.xlsx", "A 41443-2025")</f>
        <v/>
      </c>
      <c r="X126">
        <f>HYPERLINK("https://klasma.github.io/Logging_2582/kartor/A 41443-2025 karta.png", "A 41443-2025")</f>
        <v/>
      </c>
      <c r="Y126">
        <f>HYPERLINK("https://klasma.github.io/Logging_2582/kartor_geotiff/A 41443-2025 georefererad karta.tif", "A 41443-2025")</f>
        <v/>
      </c>
      <c r="AA126">
        <f>HYPERLINK("https://klasma.github.io/Logging_2582/klagomål/A 41443-2025 FSC-klagomål.docx", "A 41443-2025")</f>
        <v/>
      </c>
      <c r="AB126">
        <f>HYPERLINK("https://klasma.github.io/Logging_2582/klagomålsmail/A 41443-2025 FSC-klagomål mail.docx", "A 41443-2025")</f>
        <v/>
      </c>
      <c r="AC126">
        <f>HYPERLINK("https://klasma.github.io/Logging_2582/tillsyn/A 41443-2025 tillsynsbegäran.docx", "A 41443-2025")</f>
        <v/>
      </c>
      <c r="AD126">
        <f>HYPERLINK("https://klasma.github.io/Logging_2582/tillsynsmail/A 41443-2025 tillsynsbegäran mail.docx", "A 41443-2025")</f>
        <v/>
      </c>
    </row>
    <row r="127" ht="15" customHeight="1">
      <c r="A127" t="inlineStr">
        <is>
          <t>A 42436-2025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46318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4.1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Skinnlav</t>
        </is>
      </c>
      <c r="W127">
        <f>HYPERLINK("https://klasma.github.io/Logging_2582/artfynd/A 42436-2025 artfynd.xlsx", "A 42436-2025")</f>
        <v/>
      </c>
      <c r="X127">
        <f>HYPERLINK("https://klasma.github.io/Logging_2582/kartor/A 42436-2025 karta.png", "A 42436-2025")</f>
        <v/>
      </c>
      <c r="Y127">
        <f>HYPERLINK("https://klasma.github.io/Logging_2582/kartor_geotiff/A 42436-2025 georefererad karta.tif", "A 42436-2025")</f>
        <v/>
      </c>
      <c r="AA127">
        <f>HYPERLINK("https://klasma.github.io/Logging_2582/klagomål/A 42436-2025 FSC-klagomål.docx", "A 42436-2025")</f>
        <v/>
      </c>
      <c r="AB127">
        <f>HYPERLINK("https://klasma.github.io/Logging_2582/klagomålsmail/A 42436-2025 FSC-klagomål mail.docx", "A 42436-2025")</f>
        <v/>
      </c>
      <c r="AC127">
        <f>HYPERLINK("https://klasma.github.io/Logging_2582/tillsyn/A 42436-2025 tillsynsbegäran.docx", "A 42436-2025")</f>
        <v/>
      </c>
      <c r="AD127">
        <f>HYPERLINK("https://klasma.github.io/Logging_2582/tillsynsmail/A 42436-2025 tillsynsbegäran mail.docx", "A 42436-2025")</f>
        <v/>
      </c>
    </row>
    <row r="128" ht="15" customHeight="1">
      <c r="A128" t="inlineStr">
        <is>
          <t>A 43710-2025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46318</v>
      </c>
      <c r="F128" t="inlineStr">
        <is>
          <t>NORRBOTTENS LÄN</t>
        </is>
      </c>
      <c r="G128" t="inlineStr">
        <is>
          <t>BODEN</t>
        </is>
      </c>
      <c r="I128" t="n">
        <v>4.8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Orre</t>
        </is>
      </c>
      <c r="W128">
        <f>HYPERLINK("https://klasma.github.io/Logging_2582/artfynd/A 43710-2025 artfynd.xlsx", "A 43710-2025")</f>
        <v/>
      </c>
      <c r="X128">
        <f>HYPERLINK("https://klasma.github.io/Logging_2582/kartor/A 43710-2025 karta.png", "A 43710-2025")</f>
        <v/>
      </c>
      <c r="Y128">
        <f>HYPERLINK("https://klasma.github.io/Logging_2582/kartor_geotiff/A 43710-2025 georefererad karta.tif", "A 43710-2025")</f>
        <v/>
      </c>
      <c r="AA128">
        <f>HYPERLINK("https://klasma.github.io/Logging_2582/klagomål/A 43710-2025 FSC-klagomål.docx", "A 43710-2025")</f>
        <v/>
      </c>
      <c r="AB128">
        <f>HYPERLINK("https://klasma.github.io/Logging_2582/klagomålsmail/A 43710-2025 FSC-klagomål mail.docx", "A 43710-2025")</f>
        <v/>
      </c>
      <c r="AC128">
        <f>HYPERLINK("https://klasma.github.io/Logging_2582/tillsyn/A 43710-2025 tillsynsbegäran.docx", "A 43710-2025")</f>
        <v/>
      </c>
      <c r="AD128">
        <f>HYPERLINK("https://klasma.github.io/Logging_2582/tillsynsmail/A 43710-2025 tillsynsbegäran mail.docx", "A 43710-2025")</f>
        <v/>
      </c>
      <c r="AE128">
        <f>HYPERLINK("https://klasma.github.io/Logging_2582/fåglar/A 43710-2025 prioriterade fågelarter.docx", "A 43710-2025")</f>
        <v/>
      </c>
    </row>
    <row r="129" ht="15" customHeight="1">
      <c r="A129" t="inlineStr">
        <is>
          <t>A 68560-2021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46318</v>
      </c>
      <c r="F129" t="inlineStr">
        <is>
          <t>NORRBOTTENS LÄN</t>
        </is>
      </c>
      <c r="G129" t="inlineStr">
        <is>
          <t>BODEN</t>
        </is>
      </c>
      <c r="I129" t="n">
        <v>3.5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4</v>
      </c>
      <c r="U129" t="n">
        <v>4</v>
      </c>
      <c r="V129" s="2" t="inlineStr">
        <is>
          <t>Småflikig brosklav</t>
        </is>
      </c>
      <c r="W129">
        <f>HYPERLINK("https://klasma.github.io/Logging_2582/artfynd/A 68560-2021 artfynd.xlsx", "A 68560-2021")</f>
        <v/>
      </c>
      <c r="X129">
        <f>HYPERLINK("https://klasma.github.io/Logging_2582/kartor/A 68560-2021 karta.png", "A 68560-2021")</f>
        <v/>
      </c>
      <c r="Y129">
        <f>HYPERLINK("https://klasma.github.io/Logging_2582/kartor_geotiff/A 68560-2021 georefererad karta.tif", "A 68560-2021")</f>
        <v/>
      </c>
      <c r="AA129">
        <f>HYPERLINK("https://klasma.github.io/Logging_2582/klagomål/A 68560-2021 FSC-klagomål.docx", "A 68560-2021")</f>
        <v/>
      </c>
      <c r="AB129">
        <f>HYPERLINK("https://klasma.github.io/Logging_2582/klagomålsmail/A 68560-2021 FSC-klagomål mail.docx", "A 68560-2021")</f>
        <v/>
      </c>
      <c r="AC129">
        <f>HYPERLINK("https://klasma.github.io/Logging_2582/tillsyn/A 68560-2021 tillsynsbegäran.docx", "A 68560-2021")</f>
        <v/>
      </c>
      <c r="AD129">
        <f>HYPERLINK("https://klasma.github.io/Logging_2582/tillsynsmail/A 68560-2021 tillsynsbegäran mail.docx", "A 68560-2021")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46318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19396-2022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44692</v>
      </c>
      <c r="E131" s="1" t="n">
        <v>46318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13.1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HYPERLINK("https://klasma.github.io/Logging_2582/artfynd/A 19396-2022 artfynd.xlsx", "A 19396-2022")</f>
        <v/>
      </c>
      <c r="X131">
        <f>HYPERLINK("https://klasma.github.io/Logging_2582/kartor/A 19396-2022 karta.png", "A 19396-2022")</f>
        <v/>
      </c>
      <c r="Y131">
        <f>HYPERLINK("https://klasma.github.io/Logging_2582/kartor_geotiff/A 19396-2022 georefererad karta.tif", "A 19396-2022")</f>
        <v/>
      </c>
      <c r="AA131">
        <f>HYPERLINK("https://klasma.github.io/Logging_2582/klagomål/A 19396-2022 FSC-klagomål.docx", "A 19396-2022")</f>
        <v/>
      </c>
      <c r="AB131">
        <f>HYPERLINK("https://klasma.github.io/Logging_2582/klagomålsmail/A 19396-2022 FSC-klagomål mail.docx", "A 19396-2022")</f>
        <v/>
      </c>
      <c r="AC131">
        <f>HYPERLINK("https://klasma.github.io/Logging_2582/tillsyn/A 19396-2022 tillsynsbegäran.docx", "A 19396-2022")</f>
        <v/>
      </c>
      <c r="AD131">
        <f>HYPERLINK("https://klasma.github.io/Logging_2582/tillsynsmail/A 19396-2022 tillsynsbegäran mail.docx", "A 19396-2022")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46318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46318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46318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Bollvitmossa</t>
        </is>
      </c>
      <c r="W134">
        <f>HYPERLINK("https://klasma.github.io/Logging_2582/artfynd/A 51304-2025 artfynd.xlsx", "A 51304-2025")</f>
        <v/>
      </c>
      <c r="X134">
        <f>HYPERLINK("https://klasma.github.io/Logging_2582/kartor/A 51304-2025 karta.png", "A 51304-2025")</f>
        <v/>
      </c>
      <c r="Y134">
        <f>HYPERLINK("https://klasma.github.io/Logging_2582/kartor_geotiff/A 51304-2025 georefererad karta.tif", "A 51304-2025")</f>
        <v/>
      </c>
      <c r="AA134">
        <f>HYPERLINK("https://klasma.github.io/Logging_2582/klagomål/A 51304-2025 FSC-klagomål.docx", "A 51304-2025")</f>
        <v/>
      </c>
      <c r="AB134">
        <f>HYPERLINK("https://klasma.github.io/Logging_2582/klagomålsmail/A 51304-2025 FSC-klagomål mail.docx", "A 51304-2025")</f>
        <v/>
      </c>
      <c r="AC134">
        <f>HYPERLINK("https://klasma.github.io/Logging_2582/tillsyn/A 51304-2025 tillsynsbegäran.docx", "A 51304-2025")</f>
        <v/>
      </c>
      <c r="AD134">
        <f>HYPERLINK("https://klasma.github.io/Logging_2582/tillsynsmail/A 51304-2025 tillsynsbegäran mail.docx", "A 51304-2025")</f>
        <v/>
      </c>
    </row>
    <row r="135" ht="15" customHeight="1">
      <c r="A135" t="inlineStr">
        <is>
          <t>A 51258-2025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46318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Sångsvan</t>
        </is>
      </c>
      <c r="W135">
        <f>HYPERLINK("https://klasma.github.io/Logging_2582/artfynd/A 51258-2025 artfynd.xlsx", "A 51258-2025")</f>
        <v/>
      </c>
      <c r="X135">
        <f>HYPERLINK("https://klasma.github.io/Logging_2582/kartor/A 51258-2025 karta.png", "A 51258-2025")</f>
        <v/>
      </c>
      <c r="Y135">
        <f>HYPERLINK("https://klasma.github.io/Logging_2582/kartor_geotiff/A 51258-2025 georefererad karta.tif", "A 51258-2025")</f>
        <v/>
      </c>
      <c r="AA135">
        <f>HYPERLINK("https://klasma.github.io/Logging_2582/klagomål/A 51258-2025 FSC-klagomål.docx", "A 51258-2025")</f>
        <v/>
      </c>
      <c r="AB135">
        <f>HYPERLINK("https://klasma.github.io/Logging_2582/klagomålsmail/A 51258-2025 FSC-klagomål mail.docx", "A 51258-2025")</f>
        <v/>
      </c>
      <c r="AC135">
        <f>HYPERLINK("https://klasma.github.io/Logging_2582/tillsyn/A 51258-2025 tillsynsbegäran.docx", "A 51258-2025")</f>
        <v/>
      </c>
      <c r="AD135">
        <f>HYPERLINK("https://klasma.github.io/Logging_2582/tillsynsmail/A 51258-2025 tillsynsbegäran mail.docx", "A 51258-2025")</f>
        <v/>
      </c>
      <c r="AE135">
        <f>HYPERLINK("https://klasma.github.io/Logging_2582/fåglar/A 51258-2025 prioriterade fågelarter.docx", "A 51258-2025")</f>
        <v/>
      </c>
    </row>
    <row r="136" ht="15" customHeight="1">
      <c r="A136" t="inlineStr">
        <is>
          <t>A 51874-2025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45952</v>
      </c>
      <c r="E136" s="1" t="n">
        <v>46318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HYPERLINK("https://klasma.github.io/Logging_2582/artfynd/A 51874-2025 artfynd.xlsx", "A 51874-2025")</f>
        <v/>
      </c>
      <c r="X136">
        <f>HYPERLINK("https://klasma.github.io/Logging_2582/kartor/A 51874-2025 karta.png", "A 51874-2025")</f>
        <v/>
      </c>
      <c r="Y136">
        <f>HYPERLINK("https://klasma.github.io/Logging_2582/kartor_geotiff/A 51874-2025 georefererad karta.tif", "A 51874-2025")</f>
        <v/>
      </c>
      <c r="AA136">
        <f>HYPERLINK("https://klasma.github.io/Logging_2582/klagomål/A 51874-2025 FSC-klagomål.docx", "A 51874-2025")</f>
        <v/>
      </c>
      <c r="AB136">
        <f>HYPERLINK("https://klasma.github.io/Logging_2582/klagomålsmail/A 51874-2025 FSC-klagomål mail.docx", "A 51874-2025")</f>
        <v/>
      </c>
      <c r="AC136">
        <f>HYPERLINK("https://klasma.github.io/Logging_2582/tillsyn/A 51874-2025 tillsynsbegäran.docx", "A 51874-2025")</f>
        <v/>
      </c>
      <c r="AD136">
        <f>HYPERLINK("https://klasma.github.io/Logging_2582/tillsynsmail/A 51874-2025 tillsynsbegäran mail.docx", "A 51874-2025")</f>
        <v/>
      </c>
    </row>
    <row r="137" ht="15" customHeight="1">
      <c r="A137" t="inlineStr">
        <is>
          <t>A 53180-2025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46318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13.2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3</v>
      </c>
      <c r="U137" t="n">
        <v>3</v>
      </c>
      <c r="V137" s="2" t="inlineStr">
        <is>
          <t>Lunglav</t>
        </is>
      </c>
      <c r="W137">
        <f>HYPERLINK("https://klasma.github.io/Logging_2582/artfynd/A 53180-2025 artfynd.xlsx", "A 53180-2025")</f>
        <v/>
      </c>
      <c r="X137">
        <f>HYPERLINK("https://klasma.github.io/Logging_2582/kartor/A 53180-2025 karta.png", "A 53180-2025")</f>
        <v/>
      </c>
      <c r="Y137">
        <f>HYPERLINK("https://klasma.github.io/Logging_2582/kartor_geotiff/A 53180-2025 georefererad karta.tif", "A 53180-2025")</f>
        <v/>
      </c>
      <c r="AA137">
        <f>HYPERLINK("https://klasma.github.io/Logging_2582/klagomål/A 53180-2025 FSC-klagomål.docx", "A 53180-2025")</f>
        <v/>
      </c>
      <c r="AB137">
        <f>HYPERLINK("https://klasma.github.io/Logging_2582/klagomålsmail/A 53180-2025 FSC-klagomål mail.docx", "A 53180-2025")</f>
        <v/>
      </c>
      <c r="AC137">
        <f>HYPERLINK("https://klasma.github.io/Logging_2582/tillsyn/A 53180-2025 tillsynsbegäran.docx", "A 53180-2025")</f>
        <v/>
      </c>
      <c r="AD137">
        <f>HYPERLINK("https://klasma.github.io/Logging_2582/tillsynsmail/A 53180-2025 tillsynsbegäran mail.docx", "A 53180-2025")</f>
        <v/>
      </c>
    </row>
    <row r="138" ht="15" customHeight="1">
      <c r="A138" t="inlineStr">
        <is>
          <t>A 53590-2025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46318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7.6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Gulskölding</t>
        </is>
      </c>
      <c r="W138">
        <f>HYPERLINK("https://klasma.github.io/Logging_2582/artfynd/A 53590-2025 artfynd.xlsx", "A 53590-2025")</f>
        <v/>
      </c>
      <c r="X138">
        <f>HYPERLINK("https://klasma.github.io/Logging_2582/kartor/A 53590-2025 karta.png", "A 53590-2025")</f>
        <v/>
      </c>
      <c r="Y138">
        <f>HYPERLINK("https://klasma.github.io/Logging_2582/kartor_geotiff/A 53590-2025 georefererad karta.tif", "A 53590-2025")</f>
        <v/>
      </c>
      <c r="AA138">
        <f>HYPERLINK("https://klasma.github.io/Logging_2582/klagomål/A 53590-2025 FSC-klagomål.docx", "A 53590-2025")</f>
        <v/>
      </c>
      <c r="AB138">
        <f>HYPERLINK("https://klasma.github.io/Logging_2582/klagomålsmail/A 53590-2025 FSC-klagomål mail.docx", "A 53590-2025")</f>
        <v/>
      </c>
      <c r="AC138">
        <f>HYPERLINK("https://klasma.github.io/Logging_2582/tillsyn/A 53590-2025 tillsynsbegäran.docx", "A 53590-2025")</f>
        <v/>
      </c>
      <c r="AD138">
        <f>HYPERLINK("https://klasma.github.io/Logging_2582/tillsynsmail/A 53590-2025 tillsynsbegäran mail.docx", "A 53590-2025")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46318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21310-2026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46147</v>
      </c>
      <c r="E140" s="1" t="n">
        <v>46318</v>
      </c>
      <c r="F140" t="inlineStr">
        <is>
          <t>NORRBOTTENS LÄN</t>
        </is>
      </c>
      <c r="G140" t="inlineStr">
        <is>
          <t>BODEN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21310-2026 artfynd.xlsx", "A 21310-2026")</f>
        <v/>
      </c>
      <c r="X140">
        <f>HYPERLINK("https://klasma.github.io/Logging_2582/kartor/A 21310-2026 karta.png", "A 21310-2026")</f>
        <v/>
      </c>
      <c r="Y140">
        <f>HYPERLINK("https://klasma.github.io/Logging_2582/kartor_geotiff/A 21310-2026 georefererad karta.tif", "A 21310-2026")</f>
        <v/>
      </c>
      <c r="AA140">
        <f>HYPERLINK("https://klasma.github.io/Logging_2582/klagomål/A 21310-2026 FSC-klagomål.docx", "A 21310-2026")</f>
        <v/>
      </c>
      <c r="AB140">
        <f>HYPERLINK("https://klasma.github.io/Logging_2582/klagomålsmail/A 21310-2026 FSC-klagomål mail.docx", "A 21310-2026")</f>
        <v/>
      </c>
      <c r="AC140">
        <f>HYPERLINK("https://klasma.github.io/Logging_2582/tillsyn/A 21310-2026 tillsynsbegäran.docx", "A 21310-2026")</f>
        <v/>
      </c>
      <c r="AD140">
        <f>HYPERLINK("https://klasma.github.io/Logging_2582/tillsynsmail/A 21310-2026 tillsynsbegäran mail.docx", "A 21310-2026")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46318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46318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46318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46318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25805-2026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46318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3.6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Plattlummer</t>
        </is>
      </c>
      <c r="W145">
        <f>HYPERLINK("https://klasma.github.io/Logging_2582/artfynd/A 25805-2026 artfynd.xlsx", "A 25805-2026")</f>
        <v/>
      </c>
      <c r="X145">
        <f>HYPERLINK("https://klasma.github.io/Logging_2582/kartor/A 25805-2026 karta.png", "A 25805-2026")</f>
        <v/>
      </c>
      <c r="Y145">
        <f>HYPERLINK("https://klasma.github.io/Logging_2582/kartor_geotiff/A 25805-2026 georefererad karta.tif", "A 25805-2026")</f>
        <v/>
      </c>
      <c r="AA145">
        <f>HYPERLINK("https://klasma.github.io/Logging_2582/klagomål/A 25805-2026 FSC-klagomål.docx", "A 25805-2026")</f>
        <v/>
      </c>
      <c r="AB145">
        <f>HYPERLINK("https://klasma.github.io/Logging_2582/klagomålsmail/A 25805-2026 FSC-klagomål mail.docx", "A 25805-2026")</f>
        <v/>
      </c>
      <c r="AC145">
        <f>HYPERLINK("https://klasma.github.io/Logging_2582/tillsyn/A 25805-2026 tillsynsbegäran.docx", "A 25805-2026")</f>
        <v/>
      </c>
      <c r="AD145">
        <f>HYPERLINK("https://klasma.github.io/Logging_2582/tillsynsmail/A 25805-2026 tillsynsbegäran mail.docx", "A 25805-2026")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46318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4878-2026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46318</v>
      </c>
      <c r="F147" t="inlineStr">
        <is>
          <t>NORRBOTTENS LÄN</t>
        </is>
      </c>
      <c r="G147" t="inlineStr">
        <is>
          <t>BODEN</t>
        </is>
      </c>
      <c r="I147" t="n">
        <v>1.8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4878-2026 artfynd.xlsx", "A 4878-2026")</f>
        <v/>
      </c>
      <c r="X147">
        <f>HYPERLINK("https://klasma.github.io/Logging_2582/kartor/A 4878-2026 karta.png", "A 4878-2026")</f>
        <v/>
      </c>
      <c r="Y147">
        <f>HYPERLINK("https://klasma.github.io/Logging_2582/kartor_geotiff/A 4878-2026 georefererad karta.tif", "A 4878-2026")</f>
        <v/>
      </c>
      <c r="AA147">
        <f>HYPERLINK("https://klasma.github.io/Logging_2582/klagomål/A 4878-2026 FSC-klagomål.docx", "A 4878-2026")</f>
        <v/>
      </c>
      <c r="AB147">
        <f>HYPERLINK("https://klasma.github.io/Logging_2582/klagomålsmail/A 4878-2026 FSC-klagomål mail.docx", "A 4878-2026")</f>
        <v/>
      </c>
      <c r="AC147">
        <f>HYPERLINK("https://klasma.github.io/Logging_2582/tillsyn/A 4878-2026 tillsynsbegäran.docx", "A 4878-2026")</f>
        <v/>
      </c>
      <c r="AD147">
        <f>HYPERLINK("https://klasma.github.io/Logging_2582/tillsynsmail/A 4878-2026 tillsynsbegäran mail.docx", "A 4878-2026")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46318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38511-2025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46318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5.3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Knärot</t>
        </is>
      </c>
      <c r="W149">
        <f>HYPERLINK("https://klasma.github.io/Logging_2582/artfynd/A 38511-2025 artfynd.xlsx", "A 38511-2025")</f>
        <v/>
      </c>
      <c r="X149">
        <f>HYPERLINK("https://klasma.github.io/Logging_2582/kartor/A 38511-2025 karta.png", "A 38511-2025")</f>
        <v/>
      </c>
      <c r="Y149">
        <f>HYPERLINK("https://klasma.github.io/Logging_2582/kartor_geotiff/A 38511-2025 georefererad karta.tif", "A 38511-2025")</f>
        <v/>
      </c>
      <c r="Z149">
        <f>HYPERLINK("https://klasma.github.io/Logging_2582/knärot/A 38511-2025 karta knärot.png", "A 38511-2025")</f>
        <v/>
      </c>
      <c r="AA149">
        <f>HYPERLINK("https://klasma.github.io/Logging_2582/klagomål/A 38511-2025 FSC-klagomål.docx", "A 38511-2025")</f>
        <v/>
      </c>
      <c r="AB149">
        <f>HYPERLINK("https://klasma.github.io/Logging_2582/klagomålsmail/A 38511-2025 FSC-klagomål mail.docx", "A 38511-2025")</f>
        <v/>
      </c>
      <c r="AC149">
        <f>HYPERLINK("https://klasma.github.io/Logging_2582/tillsyn/A 38511-2025 tillsynsbegäran.docx", "A 38511-2025")</f>
        <v/>
      </c>
      <c r="AD149">
        <f>HYPERLINK("https://klasma.github.io/Logging_2582/tillsynsmail/A 38511-2025 tillsynsbegäran mail.docx", "A 38511-2025")</f>
        <v/>
      </c>
    </row>
    <row r="150" ht="15" customHeight="1">
      <c r="A150" t="inlineStr">
        <is>
          <t>A 26438-2026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46318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Kolflarnlav</t>
        </is>
      </c>
      <c r="W150">
        <f>HYPERLINK("https://klasma.github.io/Logging_2582/artfynd/A 26438-2026 artfynd.xlsx", "A 26438-2026")</f>
        <v/>
      </c>
      <c r="X150">
        <f>HYPERLINK("https://klasma.github.io/Logging_2582/kartor/A 26438-2026 karta.png", "A 26438-2026")</f>
        <v/>
      </c>
      <c r="Y150">
        <f>HYPERLINK("https://klasma.github.io/Logging_2582/kartor_geotiff/A 26438-2026 georefererad karta.tif", "A 26438-2026")</f>
        <v/>
      </c>
      <c r="AA150">
        <f>HYPERLINK("https://klasma.github.io/Logging_2582/klagomål/A 26438-2026 FSC-klagomål.docx", "A 26438-2026")</f>
        <v/>
      </c>
      <c r="AB150">
        <f>HYPERLINK("https://klasma.github.io/Logging_2582/klagomålsmail/A 26438-2026 FSC-klagomål mail.docx", "A 26438-2026")</f>
        <v/>
      </c>
      <c r="AC150">
        <f>HYPERLINK("https://klasma.github.io/Logging_2582/tillsyn/A 26438-2026 tillsynsbegäran.docx", "A 26438-2026")</f>
        <v/>
      </c>
      <c r="AD150">
        <f>HYPERLINK("https://klasma.github.io/Logging_2582/tillsynsmail/A 26438-2026 tillsynsbegäran mail.docx", "A 26438-2026")</f>
        <v/>
      </c>
    </row>
    <row r="151" ht="15" customHeight="1">
      <c r="A151" t="inlineStr">
        <is>
          <t>A 68514-2021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44529</v>
      </c>
      <c r="E151" s="1" t="n">
        <v>46318</v>
      </c>
      <c r="F151" t="inlineStr">
        <is>
          <t>NORRBOTTENS LÄN</t>
        </is>
      </c>
      <c r="G151" t="inlineStr">
        <is>
          <t>BODEN</t>
        </is>
      </c>
      <c r="I151" t="n">
        <v>6.2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Spillkråka</t>
        </is>
      </c>
      <c r="W151">
        <f>HYPERLINK("https://klasma.github.io/Logging_2582/artfynd/A 68514-2021 artfynd.xlsx", "A 68514-2021")</f>
        <v/>
      </c>
      <c r="X151">
        <f>HYPERLINK("https://klasma.github.io/Logging_2582/kartor/A 68514-2021 karta.png", "A 68514-2021")</f>
        <v/>
      </c>
      <c r="Y151">
        <f>HYPERLINK("https://klasma.github.io/Logging_2582/kartor_geotiff/A 68514-2021 georefererad karta.tif", "A 68514-2021")</f>
        <v/>
      </c>
      <c r="Z151">
        <f>HYPERLINK("https://klasma.github.io/Logging_2582/knärot/A 68514-2021 karta knärot.png", "A 68514-2021")</f>
        <v/>
      </c>
      <c r="AA151">
        <f>HYPERLINK("https://klasma.github.io/Logging_2582/klagomål/A 68514-2021 FSC-klagomål.docx", "A 68514-2021")</f>
        <v/>
      </c>
      <c r="AB151">
        <f>HYPERLINK("https://klasma.github.io/Logging_2582/klagomålsmail/A 68514-2021 FSC-klagomål mail.docx", "A 68514-2021")</f>
        <v/>
      </c>
      <c r="AC151">
        <f>HYPERLINK("https://klasma.github.io/Logging_2582/tillsyn/A 68514-2021 tillsynsbegäran.docx", "A 68514-2021")</f>
        <v/>
      </c>
      <c r="AD151">
        <f>HYPERLINK("https://klasma.github.io/Logging_2582/tillsynsmail/A 68514-2021 tillsynsbegäran mail.docx", "A 68514-2021")</f>
        <v/>
      </c>
      <c r="AE151">
        <f>HYPERLINK("https://klasma.github.io/Logging_2582/fåglar/A 68514-2021 prioriterade fågelarter.docx", "A 68514-2021")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46318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22892-2024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46318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0.8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Bollvitmossa</t>
        </is>
      </c>
      <c r="W153">
        <f>HYPERLINK("https://klasma.github.io/Logging_2582/artfynd/A 22892-2024 artfynd.xlsx", "A 22892-2024")</f>
        <v/>
      </c>
      <c r="X153">
        <f>HYPERLINK("https://klasma.github.io/Logging_2582/kartor/A 22892-2024 karta.png", "A 22892-2024")</f>
        <v/>
      </c>
      <c r="Y153">
        <f>HYPERLINK("https://klasma.github.io/Logging_2582/kartor_geotiff/A 22892-2024 georefererad karta.tif", "A 22892-2024")</f>
        <v/>
      </c>
      <c r="AA153">
        <f>HYPERLINK("https://klasma.github.io/Logging_2582/klagomål/A 22892-2024 FSC-klagomål.docx", "A 22892-2024")</f>
        <v/>
      </c>
      <c r="AB153">
        <f>HYPERLINK("https://klasma.github.io/Logging_2582/klagomålsmail/A 22892-2024 FSC-klagomål mail.docx", "A 22892-2024")</f>
        <v/>
      </c>
      <c r="AC153">
        <f>HYPERLINK("https://klasma.github.io/Logging_2582/tillsyn/A 22892-2024 tillsynsbegäran.docx", "A 22892-2024")</f>
        <v/>
      </c>
      <c r="AD153">
        <f>HYPERLINK("https://klasma.github.io/Logging_2582/tillsynsmail/A 22892-2024 tillsynsbegäran mail.docx", "A 22892-2024")</f>
        <v/>
      </c>
    </row>
    <row r="154" ht="15" customHeight="1">
      <c r="A154" t="inlineStr">
        <is>
          <t>A 16217-2024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46318</v>
      </c>
      <c r="F154" t="inlineStr">
        <is>
          <t>NORRBOTTENS LÄN</t>
        </is>
      </c>
      <c r="G154" t="inlineStr">
        <is>
          <t>BODEN</t>
        </is>
      </c>
      <c r="I154" t="n">
        <v>7.2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Videsparv</t>
        </is>
      </c>
      <c r="W154">
        <f>HYPERLINK("https://klasma.github.io/Logging_2582/artfynd/A 16217-2024 artfynd.xlsx", "A 16217-2024")</f>
        <v/>
      </c>
      <c r="X154">
        <f>HYPERLINK("https://klasma.github.io/Logging_2582/kartor/A 16217-2024 karta.png", "A 16217-2024")</f>
        <v/>
      </c>
      <c r="Y154">
        <f>HYPERLINK("https://klasma.github.io/Logging_2582/kartor_geotiff/A 16217-2024 georefererad karta.tif", "A 16217-2024")</f>
        <v/>
      </c>
      <c r="AA154">
        <f>HYPERLINK("https://klasma.github.io/Logging_2582/klagomål/A 16217-2024 FSC-klagomål.docx", "A 16217-2024")</f>
        <v/>
      </c>
      <c r="AB154">
        <f>HYPERLINK("https://klasma.github.io/Logging_2582/klagomålsmail/A 16217-2024 FSC-klagomål mail.docx", "A 16217-2024")</f>
        <v/>
      </c>
      <c r="AC154">
        <f>HYPERLINK("https://klasma.github.io/Logging_2582/tillsyn/A 16217-2024 tillsynsbegäran.docx", "A 16217-2024")</f>
        <v/>
      </c>
      <c r="AD154">
        <f>HYPERLINK("https://klasma.github.io/Logging_2582/tillsynsmail/A 16217-2024 tillsynsbegäran mail.docx", "A 16217-2024")</f>
        <v/>
      </c>
      <c r="AE154">
        <f>HYPERLINK("https://klasma.github.io/Logging_2582/fåglar/A 16217-2024 prioriterade fågelarter.docx", "A 16217-2024")</f>
        <v/>
      </c>
    </row>
    <row r="155" ht="15" customHeight="1">
      <c r="A155" t="inlineStr">
        <is>
          <t>A 36130-2026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46267</v>
      </c>
      <c r="E155" s="1" t="n">
        <v>46318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Vedflamlav</t>
        </is>
      </c>
      <c r="W155">
        <f>HYPERLINK("https://klasma.github.io/Logging_2582/artfynd/A 36130-2026 artfynd.xlsx", "A 36130-2026")</f>
        <v/>
      </c>
      <c r="X155">
        <f>HYPERLINK("https://klasma.github.io/Logging_2582/kartor/A 36130-2026 karta.png", "A 36130-2026")</f>
        <v/>
      </c>
      <c r="Y155">
        <f>HYPERLINK("https://klasma.github.io/Logging_2582/kartor_geotiff/A 36130-2026 georefererad karta.tif", "A 36130-2026")</f>
        <v/>
      </c>
      <c r="AA155">
        <f>HYPERLINK("https://klasma.github.io/Logging_2582/klagomål/A 36130-2026 FSC-klagomål.docx", "A 36130-2026")</f>
        <v/>
      </c>
      <c r="AB155">
        <f>HYPERLINK("https://klasma.github.io/Logging_2582/klagomålsmail/A 36130-2026 FSC-klagomål mail.docx", "A 36130-2026")</f>
        <v/>
      </c>
      <c r="AC155">
        <f>HYPERLINK("https://klasma.github.io/Logging_2582/tillsyn/A 36130-2026 tillsynsbegäran.docx", "A 36130-2026")</f>
        <v/>
      </c>
      <c r="AD155">
        <f>HYPERLINK("https://klasma.github.io/Logging_2582/tillsynsmail/A 36130-2026 tillsynsbegäran mail.docx", "A 36130-2026")</f>
        <v/>
      </c>
    </row>
    <row r="156" ht="15" customHeight="1">
      <c r="A156" t="inlineStr">
        <is>
          <t>A 14329-2026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46318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HYPERLINK("https://klasma.github.io/Logging_2582/artfynd/A 14329-2026 artfynd.xlsx", "A 14329-2026")</f>
        <v/>
      </c>
      <c r="X156">
        <f>HYPERLINK("https://klasma.github.io/Logging_2582/kartor/A 14329-2026 karta.png", "A 14329-2026")</f>
        <v/>
      </c>
      <c r="Y156">
        <f>HYPERLINK("https://klasma.github.io/Logging_2582/kartor_geotiff/A 14329-2026 georefererad karta.tif", "A 14329-2026")</f>
        <v/>
      </c>
      <c r="AA156">
        <f>HYPERLINK("https://klasma.github.io/Logging_2582/klagomål/A 14329-2026 FSC-klagomål.docx", "A 14329-2026")</f>
        <v/>
      </c>
      <c r="AB156">
        <f>HYPERLINK("https://klasma.github.io/Logging_2582/klagomålsmail/A 14329-2026 FSC-klagomål mail.docx", "A 14329-2026")</f>
        <v/>
      </c>
      <c r="AC156">
        <f>HYPERLINK("https://klasma.github.io/Logging_2582/tillsyn/A 14329-2026 tillsynsbegäran.docx", "A 14329-2026")</f>
        <v/>
      </c>
      <c r="AD156">
        <f>HYPERLINK("https://klasma.github.io/Logging_2582/tillsynsmail/A 14329-2026 tillsynsbegäran mail.docx", "A 14329-2026")</f>
        <v/>
      </c>
      <c r="AE156">
        <f>HYPERLINK("https://klasma.github.io/Logging_2582/fåglar/A 14329-2026 prioriterade fågelarter.docx", "A 14329-2026")</f>
        <v/>
      </c>
    </row>
    <row r="157" ht="15" customHeight="1">
      <c r="A157" t="inlineStr">
        <is>
          <t>A 36734-2026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46318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Fläcknycklar</t>
        </is>
      </c>
      <c r="W157">
        <f>HYPERLINK("https://klasma.github.io/Logging_2582/artfynd/A 36734-2026 artfynd.xlsx", "A 36734-2026")</f>
        <v/>
      </c>
      <c r="X157">
        <f>HYPERLINK("https://klasma.github.io/Logging_2582/kartor/A 36734-2026 karta.png", "A 36734-2026")</f>
        <v/>
      </c>
      <c r="Y157">
        <f>HYPERLINK("https://klasma.github.io/Logging_2582/kartor_geotiff/A 36734-2026 georefererad karta.tif", "A 36734-2026")</f>
        <v/>
      </c>
      <c r="AA157">
        <f>HYPERLINK("https://klasma.github.io/Logging_2582/klagomål/A 36734-2026 FSC-klagomål.docx", "A 36734-2026")</f>
        <v/>
      </c>
      <c r="AB157">
        <f>HYPERLINK("https://klasma.github.io/Logging_2582/klagomålsmail/A 36734-2026 FSC-klagomål mail.docx", "A 36734-2026")</f>
        <v/>
      </c>
      <c r="AC157">
        <f>HYPERLINK("https://klasma.github.io/Logging_2582/tillsyn/A 36734-2026 tillsynsbegäran.docx", "A 36734-2026")</f>
        <v/>
      </c>
      <c r="AD157">
        <f>HYPERLINK("https://klasma.github.io/Logging_2582/tillsynsmail/A 36734-2026 tillsynsbegäran mail.docx", "A 36734-2026")</f>
        <v/>
      </c>
    </row>
    <row r="158" ht="15" customHeight="1">
      <c r="A158" t="inlineStr">
        <is>
          <t>A 36749-2026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46318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8.699999999999999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Vedflamlav</t>
        </is>
      </c>
      <c r="W158">
        <f>HYPERLINK("https://klasma.github.io/Logging_2582/artfynd/A 36749-2026 artfynd.xlsx", "A 36749-2026")</f>
        <v/>
      </c>
      <c r="X158">
        <f>HYPERLINK("https://klasma.github.io/Logging_2582/kartor/A 36749-2026 karta.png", "A 36749-2026")</f>
        <v/>
      </c>
      <c r="Y158">
        <f>HYPERLINK("https://klasma.github.io/Logging_2582/kartor_geotiff/A 36749-2026 georefererad karta.tif", "A 36749-2026")</f>
        <v/>
      </c>
      <c r="AA158">
        <f>HYPERLINK("https://klasma.github.io/Logging_2582/klagomål/A 36749-2026 FSC-klagomål.docx", "A 36749-2026")</f>
        <v/>
      </c>
      <c r="AB158">
        <f>HYPERLINK("https://klasma.github.io/Logging_2582/klagomålsmail/A 36749-2026 FSC-klagomål mail.docx", "A 36749-2026")</f>
        <v/>
      </c>
      <c r="AC158">
        <f>HYPERLINK("https://klasma.github.io/Logging_2582/tillsyn/A 36749-2026 tillsynsbegäran.docx", "A 36749-2026")</f>
        <v/>
      </c>
      <c r="AD158">
        <f>HYPERLINK("https://klasma.github.io/Logging_2582/tillsynsmail/A 36749-2026 tillsynsbegäran mail.docx", "A 36749-2026")</f>
        <v/>
      </c>
    </row>
    <row r="159" ht="15" customHeight="1">
      <c r="A159" t="inlineStr">
        <is>
          <t>A 29875-2026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46205</v>
      </c>
      <c r="E159" s="1" t="n">
        <v>46318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Tallticka</t>
        </is>
      </c>
      <c r="W159">
        <f>HYPERLINK("https://klasma.github.io/Logging_2582/artfynd/A 29875-2026 artfynd.xlsx", "A 29875-2026")</f>
        <v/>
      </c>
      <c r="X159">
        <f>HYPERLINK("https://klasma.github.io/Logging_2582/kartor/A 29875-2026 karta.png", "A 29875-2026")</f>
        <v/>
      </c>
      <c r="Y159">
        <f>HYPERLINK("https://klasma.github.io/Logging_2582/kartor_geotiff/A 29875-2026 georefererad karta.tif", "A 29875-2026")</f>
        <v/>
      </c>
      <c r="AA159">
        <f>HYPERLINK("https://klasma.github.io/Logging_2582/klagomål/A 29875-2026 FSC-klagomål.docx", "A 29875-2026")</f>
        <v/>
      </c>
      <c r="AB159">
        <f>HYPERLINK("https://klasma.github.io/Logging_2582/klagomålsmail/A 29875-2026 FSC-klagomål mail.docx", "A 29875-2026")</f>
        <v/>
      </c>
      <c r="AC159">
        <f>HYPERLINK("https://klasma.github.io/Logging_2582/tillsyn/A 29875-2026 tillsynsbegäran.docx", "A 29875-2026")</f>
        <v/>
      </c>
      <c r="AD159">
        <f>HYPERLINK("https://klasma.github.io/Logging_2582/tillsynsmail/A 29875-2026 tillsynsbegäran mail.docx", "A 29875-2026")</f>
        <v/>
      </c>
    </row>
    <row r="160" ht="15" customHeight="1">
      <c r="A160" t="inlineStr">
        <is>
          <t>A 13568-2022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46318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Lavskrika</t>
        </is>
      </c>
      <c r="W160">
        <f>HYPERLINK("https://klasma.github.io/Logging_2582/artfynd/A 13568-2022 artfynd.xlsx", "A 13568-2022")</f>
        <v/>
      </c>
      <c r="X160">
        <f>HYPERLINK("https://klasma.github.io/Logging_2582/kartor/A 13568-2022 karta.png", "A 13568-2022")</f>
        <v/>
      </c>
      <c r="Y160">
        <f>HYPERLINK("https://klasma.github.io/Logging_2582/kartor_geotiff/A 13568-2022 georefererad karta.tif", "A 13568-2022")</f>
        <v/>
      </c>
      <c r="AA160">
        <f>HYPERLINK("https://klasma.github.io/Logging_2582/klagomål/A 13568-2022 FSC-klagomål.docx", "A 13568-2022")</f>
        <v/>
      </c>
      <c r="AB160">
        <f>HYPERLINK("https://klasma.github.io/Logging_2582/klagomålsmail/A 13568-2022 FSC-klagomål mail.docx", "A 13568-2022")</f>
        <v/>
      </c>
      <c r="AC160">
        <f>HYPERLINK("https://klasma.github.io/Logging_2582/tillsyn/A 13568-2022 tillsynsbegäran.docx", "A 13568-2022")</f>
        <v/>
      </c>
      <c r="AD160">
        <f>HYPERLINK("https://klasma.github.io/Logging_2582/tillsynsmail/A 13568-2022 tillsynsbegäran mail.docx", "A 13568-2022")</f>
        <v/>
      </c>
      <c r="AE160">
        <f>HYPERLINK("https://klasma.github.io/Logging_2582/fåglar/A 13568-2022 prioriterade fågelarter.docx", "A 13568-2022")</f>
        <v/>
      </c>
    </row>
    <row r="161" ht="15" customHeight="1">
      <c r="A161" t="inlineStr">
        <is>
          <t>A 32159-2026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46236</v>
      </c>
      <c r="E161" s="1" t="n">
        <v>46318</v>
      </c>
      <c r="F161" t="inlineStr">
        <is>
          <t>NORRBOTTENS LÄN</t>
        </is>
      </c>
      <c r="G161" t="inlineStr">
        <is>
          <t>BODEN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HYPERLINK("https://klasma.github.io/Logging_2582/artfynd/A 32159-2026 artfynd.xlsx", "A 32159-2026")</f>
        <v/>
      </c>
      <c r="X161">
        <f>HYPERLINK("https://klasma.github.io/Logging_2582/kartor/A 32159-2026 karta.png", "A 32159-2026")</f>
        <v/>
      </c>
      <c r="Y161">
        <f>HYPERLINK("https://klasma.github.io/Logging_2582/kartor_geotiff/A 32159-2026 georefererad karta.tif", "A 32159-2026")</f>
        <v/>
      </c>
      <c r="AA161">
        <f>HYPERLINK("https://klasma.github.io/Logging_2582/klagomål/A 32159-2026 FSC-klagomål.docx", "A 32159-2026")</f>
        <v/>
      </c>
      <c r="AB161">
        <f>HYPERLINK("https://klasma.github.io/Logging_2582/klagomålsmail/A 32159-2026 FSC-klagomål mail.docx", "A 32159-2026")</f>
        <v/>
      </c>
      <c r="AC161">
        <f>HYPERLINK("https://klasma.github.io/Logging_2582/tillsyn/A 32159-2026 tillsynsbegäran.docx", "A 32159-2026")</f>
        <v/>
      </c>
      <c r="AD161">
        <f>HYPERLINK("https://klasma.github.io/Logging_2582/tillsynsmail/A 32159-2026 tillsynsbegäran mail.docx", "A 32159-2026")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46318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38395-2026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46318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HYPERLINK("https://klasma.github.io/Logging_2582/artfynd/A 38395-2026 artfynd.xlsx", "A 38395-2026")</f>
        <v/>
      </c>
      <c r="X163">
        <f>HYPERLINK("https://klasma.github.io/Logging_2582/kartor/A 38395-2026 karta.png", "A 38395-2026")</f>
        <v/>
      </c>
      <c r="Y163">
        <f>HYPERLINK("https://klasma.github.io/Logging_2582/kartor_geotiff/A 38395-2026 georefererad karta.tif", "A 38395-2026")</f>
        <v/>
      </c>
      <c r="AA163">
        <f>HYPERLINK("https://klasma.github.io/Logging_2582/klagomål/A 38395-2026 FSC-klagomål.docx", "A 38395-2026")</f>
        <v/>
      </c>
      <c r="AB163">
        <f>HYPERLINK("https://klasma.github.io/Logging_2582/klagomålsmail/A 38395-2026 FSC-klagomål mail.docx", "A 38395-2026")</f>
        <v/>
      </c>
      <c r="AC163">
        <f>HYPERLINK("https://klasma.github.io/Logging_2582/tillsyn/A 38395-2026 tillsynsbegäran.docx", "A 38395-2026")</f>
        <v/>
      </c>
      <c r="AD163">
        <f>HYPERLINK("https://klasma.github.io/Logging_2582/tillsynsmail/A 38395-2026 tillsynsbegäran mail.docx", "A 38395-2026")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46318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54833-2025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46318</v>
      </c>
      <c r="F165" t="inlineStr">
        <is>
          <t>NORRBOTTENS LÄN</t>
        </is>
      </c>
      <c r="G165" t="inlineStr">
        <is>
          <t>BODEN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Utter</t>
        </is>
      </c>
      <c r="W165">
        <f>HYPERLINK("https://klasma.github.io/Logging_2582/artfynd/A 54833-2025 artfynd.xlsx", "A 54833-2025")</f>
        <v/>
      </c>
      <c r="X165">
        <f>HYPERLINK("https://klasma.github.io/Logging_2582/kartor/A 54833-2025 karta.png", "A 54833-2025")</f>
        <v/>
      </c>
      <c r="Y165">
        <f>HYPERLINK("https://klasma.github.io/Logging_2582/kartor_geotiff/A 54833-2025 georefererad karta.tif", "A 54833-2025")</f>
        <v/>
      </c>
      <c r="AA165">
        <f>HYPERLINK("https://klasma.github.io/Logging_2582/klagomål/A 54833-2025 FSC-klagomål.docx", "A 54833-2025")</f>
        <v/>
      </c>
      <c r="AB165">
        <f>HYPERLINK("https://klasma.github.io/Logging_2582/klagomålsmail/A 54833-2025 FSC-klagomål mail.docx", "A 54833-2025")</f>
        <v/>
      </c>
      <c r="AC165">
        <f>HYPERLINK("https://klasma.github.io/Logging_2582/tillsyn/A 54833-2025 tillsynsbegäran.docx", "A 54833-2025")</f>
        <v/>
      </c>
      <c r="AD165">
        <f>HYPERLINK("https://klasma.github.io/Logging_2582/tillsynsmail/A 54833-2025 tillsynsbegäran mail.docx", "A 54833-2025")</f>
        <v/>
      </c>
    </row>
    <row r="166" ht="15" customHeight="1">
      <c r="A166" t="inlineStr">
        <is>
          <t>A 19580-2026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46318</v>
      </c>
      <c r="F166" t="inlineStr">
        <is>
          <t>NORRBOTTENS LÄN</t>
        </is>
      </c>
      <c r="G166" t="inlineStr">
        <is>
          <t>BODEN</t>
        </is>
      </c>
      <c r="I166" t="n">
        <v>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Dropptaggsvamp</t>
        </is>
      </c>
      <c r="W166">
        <f>HYPERLINK("https://klasma.github.io/Logging_2582/artfynd/A 19580-2026 artfynd.xlsx", "A 19580-2026")</f>
        <v/>
      </c>
      <c r="X166">
        <f>HYPERLINK("https://klasma.github.io/Logging_2582/kartor/A 19580-2026 karta.png", "A 19580-2026")</f>
        <v/>
      </c>
      <c r="Y166">
        <f>HYPERLINK("https://klasma.github.io/Logging_2582/kartor_geotiff/A 19580-2026 georefererad karta.tif", "A 19580-2026")</f>
        <v/>
      </c>
      <c r="AA166">
        <f>HYPERLINK("https://klasma.github.io/Logging_2582/klagomål/A 19580-2026 FSC-klagomål.docx", "A 19580-2026")</f>
        <v/>
      </c>
      <c r="AB166">
        <f>HYPERLINK("https://klasma.github.io/Logging_2582/klagomålsmail/A 19580-2026 FSC-klagomål mail.docx", "A 19580-2026")</f>
        <v/>
      </c>
      <c r="AC166">
        <f>HYPERLINK("https://klasma.github.io/Logging_2582/tillsyn/A 19580-2026 tillsynsbegäran.docx", "A 19580-2026")</f>
        <v/>
      </c>
      <c r="AD166">
        <f>HYPERLINK("https://klasma.github.io/Logging_2582/tillsynsmail/A 19580-2026 tillsynsbegäran mail.docx", "A 19580-2026")</f>
        <v/>
      </c>
    </row>
    <row r="167" ht="15" customHeight="1">
      <c r="A167" t="inlineStr">
        <is>
          <t>A 33756-2026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46318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Bollvitmossa</t>
        </is>
      </c>
      <c r="W167">
        <f>HYPERLINK("https://klasma.github.io/Logging_2582/artfynd/A 33756-2026 artfynd.xlsx", "A 33756-2026")</f>
        <v/>
      </c>
      <c r="X167">
        <f>HYPERLINK("https://klasma.github.io/Logging_2582/kartor/A 33756-2026 karta.png", "A 33756-2026")</f>
        <v/>
      </c>
      <c r="Y167">
        <f>HYPERLINK("https://klasma.github.io/Logging_2582/kartor_geotiff/A 33756-2026 georefererad karta.tif", "A 33756-2026")</f>
        <v/>
      </c>
      <c r="AA167">
        <f>HYPERLINK("https://klasma.github.io/Logging_2582/klagomål/A 33756-2026 FSC-klagomål.docx", "A 33756-2026")</f>
        <v/>
      </c>
      <c r="AB167">
        <f>HYPERLINK("https://klasma.github.io/Logging_2582/klagomålsmail/A 33756-2026 FSC-klagomål mail.docx", "A 33756-2026")</f>
        <v/>
      </c>
      <c r="AC167">
        <f>HYPERLINK("https://klasma.github.io/Logging_2582/tillsyn/A 33756-2026 tillsynsbegäran.docx", "A 33756-2026")</f>
        <v/>
      </c>
      <c r="AD167">
        <f>HYPERLINK("https://klasma.github.io/Logging_2582/tillsynsmail/A 33756-2026 tillsynsbegäran mail.docx", "A 33756-2026")</f>
        <v/>
      </c>
    </row>
    <row r="168" ht="15" customHeight="1">
      <c r="A168" t="inlineStr">
        <is>
          <t>A 2565-2026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46318</v>
      </c>
      <c r="F168" t="inlineStr">
        <is>
          <t>NORRBOTTENS LÄN</t>
        </is>
      </c>
      <c r="G168" t="inlineStr">
        <is>
          <t>BODEN</t>
        </is>
      </c>
      <c r="H168" t="inlineStr">
        <is>
          <t>Naturvårdsverket</t>
        </is>
      </c>
      <c r="I168" t="n">
        <v>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2</v>
      </c>
      <c r="U168" t="n">
        <v>2</v>
      </c>
      <c r="V168" s="2" t="inlineStr">
        <is>
          <t>Garnlav</t>
        </is>
      </c>
      <c r="W168">
        <f>HYPERLINK("https://klasma.github.io/Logging_2582/artfynd/A 2565-2026 artfynd.xlsx", "A 2565-2026")</f>
        <v/>
      </c>
      <c r="X168">
        <f>HYPERLINK("https://klasma.github.io/Logging_2582/kartor/A 2565-2026 karta.png", "A 2565-2026")</f>
        <v/>
      </c>
      <c r="Y168">
        <f>HYPERLINK("https://klasma.github.io/Logging_2582/kartor_geotiff/A 2565-2026 georefererad karta.tif", "A 2565-2026")</f>
        <v/>
      </c>
      <c r="AA168">
        <f>HYPERLINK("https://klasma.github.io/Logging_2582/klagomål/A 2565-2026 FSC-klagomål.docx", "A 2565-2026")</f>
        <v/>
      </c>
      <c r="AB168">
        <f>HYPERLINK("https://klasma.github.io/Logging_2582/klagomålsmail/A 2565-2026 FSC-klagomål mail.docx", "A 2565-2026")</f>
        <v/>
      </c>
      <c r="AC168">
        <f>HYPERLINK("https://klasma.github.io/Logging_2582/tillsyn/A 2565-2026 tillsynsbegäran.docx", "A 2565-2026")</f>
        <v/>
      </c>
      <c r="AD168">
        <f>HYPERLINK("https://klasma.github.io/Logging_2582/tillsynsmail/A 2565-2026 tillsynsbegäran mail.docx", "A 2565-2026")</f>
        <v/>
      </c>
    </row>
    <row r="169" ht="15" customHeight="1">
      <c r="A169" t="inlineStr">
        <is>
          <t>A 34512-2026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46318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Skarp dropptaggsvamp</t>
        </is>
      </c>
      <c r="W169">
        <f>HYPERLINK("https://klasma.github.io/Logging_2582/artfynd/A 34512-2026 artfynd.xlsx", "A 34512-2026")</f>
        <v/>
      </c>
      <c r="X169">
        <f>HYPERLINK("https://klasma.github.io/Logging_2582/kartor/A 34512-2026 karta.png", "A 34512-2026")</f>
        <v/>
      </c>
      <c r="Y169">
        <f>HYPERLINK("https://klasma.github.io/Logging_2582/kartor_geotiff/A 34512-2026 georefererad karta.tif", "A 34512-2026")</f>
        <v/>
      </c>
      <c r="AA169">
        <f>HYPERLINK("https://klasma.github.io/Logging_2582/klagomål/A 34512-2026 FSC-klagomål.docx", "A 34512-2026")</f>
        <v/>
      </c>
      <c r="AB169">
        <f>HYPERLINK("https://klasma.github.io/Logging_2582/klagomålsmail/A 34512-2026 FSC-klagomål mail.docx", "A 34512-2026")</f>
        <v/>
      </c>
      <c r="AC169">
        <f>HYPERLINK("https://klasma.github.io/Logging_2582/tillsyn/A 34512-2026 tillsynsbegäran.docx", "A 34512-2026")</f>
        <v/>
      </c>
      <c r="AD169">
        <f>HYPERLINK("https://klasma.github.io/Logging_2582/tillsynsmail/A 34512-2026 tillsynsbegäran mail.docx", "A 34512-2026")</f>
        <v/>
      </c>
    </row>
    <row r="170" ht="15" customHeight="1">
      <c r="A170" t="inlineStr">
        <is>
          <t>A 41589-2026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46318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Reliktbock</t>
        </is>
      </c>
      <c r="W170">
        <f>HYPERLINK("https://klasma.github.io/Logging_2582/artfynd/A 41589-2026 artfynd.xlsx", "A 41589-2026")</f>
        <v/>
      </c>
      <c r="X170">
        <f>HYPERLINK("https://klasma.github.io/Logging_2582/kartor/A 41589-2026 karta.png", "A 41589-2026")</f>
        <v/>
      </c>
      <c r="Y170">
        <f>HYPERLINK("https://klasma.github.io/Logging_2582/kartor_geotiff/A 41589-2026 georefererad karta.tif", "A 41589-2026")</f>
        <v/>
      </c>
      <c r="AA170">
        <f>HYPERLINK("https://klasma.github.io/Logging_2582/klagomål/A 41589-2026 FSC-klagomål.docx", "A 41589-2026")</f>
        <v/>
      </c>
      <c r="AB170">
        <f>HYPERLINK("https://klasma.github.io/Logging_2582/klagomålsmail/A 41589-2026 FSC-klagomål mail.docx", "A 41589-2026")</f>
        <v/>
      </c>
      <c r="AC170">
        <f>HYPERLINK("https://klasma.github.io/Logging_2582/tillsyn/A 41589-2026 tillsynsbegäran.docx", "A 41589-2026")</f>
        <v/>
      </c>
      <c r="AD170">
        <f>HYPERLINK("https://klasma.github.io/Logging_2582/tillsynsmail/A 41589-2026 tillsynsbegäran mail.docx", "A 41589-2026")</f>
        <v/>
      </c>
    </row>
    <row r="171" ht="15" customHeight="1">
      <c r="A171" t="inlineStr">
        <is>
          <t>A 36743-2024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46318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HYPERLINK("https://klasma.github.io/Logging_2582/artfynd/A 36743-2024 artfynd.xlsx", "A 36743-2024")</f>
        <v/>
      </c>
      <c r="X171">
        <f>HYPERLINK("https://klasma.github.io/Logging_2582/kartor/A 36743-2024 karta.png", "A 36743-2024")</f>
        <v/>
      </c>
      <c r="Y171">
        <f>HYPERLINK("https://klasma.github.io/Logging_2582/kartor_geotiff/A 36743-2024 georefererad karta.tif", "A 36743-2024")</f>
        <v/>
      </c>
      <c r="AA171">
        <f>HYPERLINK("https://klasma.github.io/Logging_2582/klagomål/A 36743-2024 FSC-klagomål.docx", "A 36743-2024")</f>
        <v/>
      </c>
      <c r="AB171">
        <f>HYPERLINK("https://klasma.github.io/Logging_2582/klagomålsmail/A 36743-2024 FSC-klagomål mail.docx", "A 36743-2024")</f>
        <v/>
      </c>
      <c r="AC171">
        <f>HYPERLINK("https://klasma.github.io/Logging_2582/tillsyn/A 36743-2024 tillsynsbegäran.docx", "A 36743-2024")</f>
        <v/>
      </c>
      <c r="AD171">
        <f>HYPERLINK("https://klasma.github.io/Logging_2582/tillsynsmail/A 36743-2024 tillsynsbegäran mail.docx", "A 36743-2024")</f>
        <v/>
      </c>
    </row>
    <row r="172" ht="15" customHeight="1">
      <c r="A172" t="inlineStr">
        <is>
          <t>A 35292-2026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46318</v>
      </c>
      <c r="F172" t="inlineStr">
        <is>
          <t>NORRBOTTENS LÄN</t>
        </is>
      </c>
      <c r="G172" t="inlineStr">
        <is>
          <t>BODEN</t>
        </is>
      </c>
      <c r="I172" t="n">
        <v>4.9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HYPERLINK("https://klasma.github.io/Logging_2582/artfynd/A 35292-2026 artfynd.xlsx", "A 35292-2026")</f>
        <v/>
      </c>
      <c r="X172">
        <f>HYPERLINK("https://klasma.github.io/Logging_2582/kartor/A 35292-2026 karta.png", "A 35292-2026")</f>
        <v/>
      </c>
      <c r="Y172">
        <f>HYPERLINK("https://klasma.github.io/Logging_2582/kartor_geotiff/A 35292-2026 georefererad karta.tif", "A 35292-2026")</f>
        <v/>
      </c>
      <c r="AA172">
        <f>HYPERLINK("https://klasma.github.io/Logging_2582/klagomål/A 35292-2026 FSC-klagomål.docx", "A 35292-2026")</f>
        <v/>
      </c>
      <c r="AB172">
        <f>HYPERLINK("https://klasma.github.io/Logging_2582/klagomålsmail/A 35292-2026 FSC-klagomål mail.docx", "A 35292-2026")</f>
        <v/>
      </c>
      <c r="AC172">
        <f>HYPERLINK("https://klasma.github.io/Logging_2582/tillsyn/A 35292-2026 tillsynsbegäran.docx", "A 35292-2026")</f>
        <v/>
      </c>
      <c r="AD172">
        <f>HYPERLINK("https://klasma.github.io/Logging_2582/tillsynsmail/A 35292-2026 tillsynsbegäran mail.docx", "A 35292-2026")</f>
        <v/>
      </c>
      <c r="AE172">
        <f>HYPERLINK("https://klasma.github.io/Logging_2582/fåglar/A 35292-2026 prioriterade fågelarter.docx", "A 35292-2026")</f>
        <v/>
      </c>
    </row>
    <row r="173" ht="15" customHeight="1">
      <c r="A173" t="inlineStr">
        <is>
          <t>A 32600-2024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46318</v>
      </c>
      <c r="F173" t="inlineStr">
        <is>
          <t>NORRBOTTENS LÄN</t>
        </is>
      </c>
      <c r="G173" t="inlineStr">
        <is>
          <t>BODEN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HYPERLINK("https://klasma.github.io/Logging_2582/artfynd/A 32600-2024 artfynd.xlsx", "A 32600-2024")</f>
        <v/>
      </c>
      <c r="X173">
        <f>HYPERLINK("https://klasma.github.io/Logging_2582/kartor/A 32600-2024 karta.png", "A 32600-2024")</f>
        <v/>
      </c>
      <c r="Y173">
        <f>HYPERLINK("https://klasma.github.io/Logging_2582/kartor_geotiff/A 32600-2024 georefererad karta.tif", "A 32600-2024")</f>
        <v/>
      </c>
      <c r="AA173">
        <f>HYPERLINK("https://klasma.github.io/Logging_2582/klagomål/A 32600-2024 FSC-klagomål.docx", "A 32600-2024")</f>
        <v/>
      </c>
      <c r="AB173">
        <f>HYPERLINK("https://klasma.github.io/Logging_2582/klagomålsmail/A 32600-2024 FSC-klagomål mail.docx", "A 32600-2024")</f>
        <v/>
      </c>
      <c r="AC173">
        <f>HYPERLINK("https://klasma.github.io/Logging_2582/tillsyn/A 32600-2024 tillsynsbegäran.docx", "A 32600-2024")</f>
        <v/>
      </c>
      <c r="AD173">
        <f>HYPERLINK("https://klasma.github.io/Logging_2582/tillsynsmail/A 32600-2024 tillsynsbegäran mail.docx", "A 32600-2024")</f>
        <v/>
      </c>
    </row>
    <row r="174" ht="15" customHeight="1">
      <c r="A174" t="inlineStr">
        <is>
          <t>A 35299-2026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46318</v>
      </c>
      <c r="F174" t="inlineStr">
        <is>
          <t>NORRBOTTENS LÄN</t>
        </is>
      </c>
      <c r="G174" t="inlineStr">
        <is>
          <t>BODEN</t>
        </is>
      </c>
      <c r="I174" t="n">
        <v>3.3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HYPERLINK("https://klasma.github.io/Logging_2582/artfynd/A 35299-2026 artfynd.xlsx", "A 35299-2026")</f>
        <v/>
      </c>
      <c r="X174">
        <f>HYPERLINK("https://klasma.github.io/Logging_2582/kartor/A 35299-2026 karta.png", "A 35299-2026")</f>
        <v/>
      </c>
      <c r="Y174">
        <f>HYPERLINK("https://klasma.github.io/Logging_2582/kartor_geotiff/A 35299-2026 georefererad karta.tif", "A 35299-2026")</f>
        <v/>
      </c>
      <c r="Z174">
        <f>HYPERLINK("https://klasma.github.io/Logging_2582/knärot/A 35299-2026 karta knärot.png", "A 35299-2026")</f>
        <v/>
      </c>
      <c r="AA174">
        <f>HYPERLINK("https://klasma.github.io/Logging_2582/klagomål/A 35299-2026 FSC-klagomål.docx", "A 35299-2026")</f>
        <v/>
      </c>
      <c r="AB174">
        <f>HYPERLINK("https://klasma.github.io/Logging_2582/klagomålsmail/A 35299-2026 FSC-klagomål mail.docx", "A 35299-2026")</f>
        <v/>
      </c>
      <c r="AC174">
        <f>HYPERLINK("https://klasma.github.io/Logging_2582/tillsyn/A 35299-2026 tillsynsbegäran.docx", "A 35299-2026")</f>
        <v/>
      </c>
      <c r="AD174">
        <f>HYPERLINK("https://klasma.github.io/Logging_2582/tillsynsmail/A 35299-2026 tillsynsbegäran mail.docx", "A 35299-2026")</f>
        <v/>
      </c>
    </row>
    <row r="175" ht="15" customHeight="1">
      <c r="A175" t="inlineStr">
        <is>
          <t>A 35415-2026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46261</v>
      </c>
      <c r="E175" s="1" t="n">
        <v>46318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2.6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2</v>
      </c>
      <c r="U175" t="n">
        <v>2</v>
      </c>
      <c r="V175" s="2" t="inlineStr">
        <is>
          <t>Knärot</t>
        </is>
      </c>
      <c r="W175">
        <f>HYPERLINK("https://klasma.github.io/Logging_2582/artfynd/A 35415-2026 artfynd.xlsx", "A 35415-2026")</f>
        <v/>
      </c>
      <c r="X175">
        <f>HYPERLINK("https://klasma.github.io/Logging_2582/kartor/A 35415-2026 karta.png", "A 35415-2026")</f>
        <v/>
      </c>
      <c r="Y175">
        <f>HYPERLINK("https://klasma.github.io/Logging_2582/kartor_geotiff/A 35415-2026 georefererad karta.tif", "A 35415-2026")</f>
        <v/>
      </c>
      <c r="Z175">
        <f>HYPERLINK("https://klasma.github.io/Logging_2582/knärot/A 35415-2026 karta knärot.png", "A 35415-2026")</f>
        <v/>
      </c>
      <c r="AA175">
        <f>HYPERLINK("https://klasma.github.io/Logging_2582/klagomål/A 35415-2026 FSC-klagomål.docx", "A 35415-2026")</f>
        <v/>
      </c>
      <c r="AB175">
        <f>HYPERLINK("https://klasma.github.io/Logging_2582/klagomålsmail/A 35415-2026 FSC-klagomål mail.docx", "A 35415-2026")</f>
        <v/>
      </c>
      <c r="AC175">
        <f>HYPERLINK("https://klasma.github.io/Logging_2582/tillsyn/A 35415-2026 tillsynsbegäran.docx", "A 35415-2026")</f>
        <v/>
      </c>
      <c r="AD175">
        <f>HYPERLINK("https://klasma.github.io/Logging_2582/tillsynsmail/A 35415-2026 tillsynsbegäran mail.docx", "A 35415-2026")</f>
        <v/>
      </c>
    </row>
    <row r="176" ht="15" customHeight="1">
      <c r="A176" t="inlineStr">
        <is>
          <t>A 35410-2026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46261</v>
      </c>
      <c r="E176" s="1" t="n">
        <v>46318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1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9</v>
      </c>
      <c r="U176" t="n">
        <v>9</v>
      </c>
      <c r="V176" s="2" t="inlineStr">
        <is>
          <t>Knärot</t>
        </is>
      </c>
      <c r="W176">
        <f>HYPERLINK("https://klasma.github.io/Logging_2582/artfynd/A 35410-2026 artfynd.xlsx", "A 35410-2026")</f>
        <v/>
      </c>
      <c r="X176">
        <f>HYPERLINK("https://klasma.github.io/Logging_2582/kartor/A 35410-2026 karta.png", "A 35410-2026")</f>
        <v/>
      </c>
      <c r="Y176">
        <f>HYPERLINK("https://klasma.github.io/Logging_2582/kartor_geotiff/A 35410-2026 georefererad karta.tif", "A 35410-2026")</f>
        <v/>
      </c>
      <c r="Z176">
        <f>HYPERLINK("https://klasma.github.io/Logging_2582/knärot/A 35410-2026 karta knärot.png", "A 35410-2026")</f>
        <v/>
      </c>
      <c r="AA176">
        <f>HYPERLINK("https://klasma.github.io/Logging_2582/klagomål/A 35410-2026 FSC-klagomål.docx", "A 35410-2026")</f>
        <v/>
      </c>
      <c r="AB176">
        <f>HYPERLINK("https://klasma.github.io/Logging_2582/klagomålsmail/A 35410-2026 FSC-klagomål mail.docx", "A 35410-2026")</f>
        <v/>
      </c>
      <c r="AC176">
        <f>HYPERLINK("https://klasma.github.io/Logging_2582/tillsyn/A 35410-2026 tillsynsbegäran.docx", "A 35410-2026")</f>
        <v/>
      </c>
      <c r="AD176">
        <f>HYPERLINK("https://klasma.github.io/Logging_2582/tillsynsmail/A 35410-2026 tillsynsbegäran mail.docx", "A 35410-2026")</f>
        <v/>
      </c>
    </row>
    <row r="177" ht="15" customHeight="1">
      <c r="A177" t="inlineStr">
        <is>
          <t>A 665-2023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44925</v>
      </c>
      <c r="E177" s="1" t="n">
        <v>46318</v>
      </c>
      <c r="F177" t="inlineStr">
        <is>
          <t>NORRBOTTENS LÄN</t>
        </is>
      </c>
      <c r="G177" t="inlineStr">
        <is>
          <t>BODEN</t>
        </is>
      </c>
      <c r="I177" t="n">
        <v>0.9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Duvhök</t>
        </is>
      </c>
      <c r="W177">
        <f>HYPERLINK("https://klasma.github.io/Logging_2582/artfynd/A 665-2023 artfynd.xlsx", "A 665-2023")</f>
        <v/>
      </c>
      <c r="X177">
        <f>HYPERLINK("https://klasma.github.io/Logging_2582/kartor/A 665-2023 karta.png", "A 665-2023")</f>
        <v/>
      </c>
      <c r="Y177">
        <f>HYPERLINK("https://klasma.github.io/Logging_2582/kartor_geotiff/A 665-2023 georefererad karta.tif", "A 665-2023")</f>
        <v/>
      </c>
      <c r="AA177">
        <f>HYPERLINK("https://klasma.github.io/Logging_2582/klagomål/A 665-2023 FSC-klagomål.docx", "A 665-2023")</f>
        <v/>
      </c>
      <c r="AB177">
        <f>HYPERLINK("https://klasma.github.io/Logging_2582/klagomålsmail/A 665-2023 FSC-klagomål mail.docx", "A 665-2023")</f>
        <v/>
      </c>
      <c r="AC177">
        <f>HYPERLINK("https://klasma.github.io/Logging_2582/tillsyn/A 665-2023 tillsynsbegäran.docx", "A 665-2023")</f>
        <v/>
      </c>
      <c r="AD177">
        <f>HYPERLINK("https://klasma.github.io/Logging_2582/tillsynsmail/A 665-2023 tillsynsbegäran mail.docx", "A 665-2023")</f>
        <v/>
      </c>
      <c r="AE177">
        <f>HYPERLINK("https://klasma.github.io/Logging_2582/fåglar/A 665-2023 prioriterade fågelarter.docx", "A 665-2023")</f>
        <v/>
      </c>
    </row>
    <row r="178" ht="15" customHeight="1">
      <c r="A178" t="inlineStr">
        <is>
          <t>A 43166-2026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46311</v>
      </c>
      <c r="E178" s="1" t="n">
        <v>46318</v>
      </c>
      <c r="F178" t="inlineStr">
        <is>
          <t>NORRBOTTENS LÄN</t>
        </is>
      </c>
      <c r="G178" t="inlineStr">
        <is>
          <t>BODEN</t>
        </is>
      </c>
      <c r="I178" t="n">
        <v>10.6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Tofsmes</t>
        </is>
      </c>
      <c r="W178">
        <f>HYPERLINK("https://klasma.github.io/Logging_2582/artfynd/A 43166-2026 artfynd.xlsx", "A 43166-2026")</f>
        <v/>
      </c>
      <c r="X178">
        <f>HYPERLINK("https://klasma.github.io/Logging_2582/kartor/A 43166-2026 karta.png", "A 43166-2026")</f>
        <v/>
      </c>
      <c r="Y178">
        <f>HYPERLINK("https://klasma.github.io/Logging_2582/kartor_geotiff/A 43166-2026 georefererad karta.tif", "A 43166-2026")</f>
        <v/>
      </c>
      <c r="AA178">
        <f>HYPERLINK("https://klasma.github.io/Logging_2582/klagomål/A 43166-2026 FSC-klagomål.docx", "A 43166-2026")</f>
        <v/>
      </c>
      <c r="AB178">
        <f>HYPERLINK("https://klasma.github.io/Logging_2582/klagomålsmail/A 43166-2026 FSC-klagomål mail.docx", "A 43166-2026")</f>
        <v/>
      </c>
      <c r="AC178">
        <f>HYPERLINK("https://klasma.github.io/Logging_2582/tillsyn/A 43166-2026 tillsynsbegäran.docx", "A 43166-2026")</f>
        <v/>
      </c>
      <c r="AD178">
        <f>HYPERLINK("https://klasma.github.io/Logging_2582/tillsynsmail/A 43166-2026 tillsynsbegäran mail.docx", "A 43166-2026")</f>
        <v/>
      </c>
    </row>
    <row r="179" ht="15" customHeight="1">
      <c r="A179" t="inlineStr">
        <is>
          <t>A 12832-2022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46318</v>
      </c>
      <c r="F179" t="inlineStr">
        <is>
          <t>NORRBOTTENS LÄN</t>
        </is>
      </c>
      <c r="G179" t="inlineStr">
        <is>
          <t>BODEN</t>
        </is>
      </c>
      <c r="I179" t="n">
        <v>6.6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Doftticka</t>
        </is>
      </c>
      <c r="W179">
        <f>HYPERLINK("https://klasma.github.io/Logging_2582/artfynd/A 12832-2022 artfynd.xlsx", "A 12832-2022")</f>
        <v/>
      </c>
      <c r="X179">
        <f>HYPERLINK("https://klasma.github.io/Logging_2582/kartor/A 12832-2022 karta.png", "A 12832-2022")</f>
        <v/>
      </c>
      <c r="Y179">
        <f>HYPERLINK("https://klasma.github.io/Logging_2582/kartor_geotiff/A 12832-2022 georefererad karta.tif", "A 12832-2022")</f>
        <v/>
      </c>
      <c r="AA179">
        <f>HYPERLINK("https://klasma.github.io/Logging_2582/klagomål/A 12832-2022 FSC-klagomål.docx", "A 12832-2022")</f>
        <v/>
      </c>
      <c r="AB179">
        <f>HYPERLINK("https://klasma.github.io/Logging_2582/klagomålsmail/A 12832-2022 FSC-klagomål mail.docx", "A 12832-2022")</f>
        <v/>
      </c>
      <c r="AC179">
        <f>HYPERLINK("https://klasma.github.io/Logging_2582/tillsyn/A 12832-2022 tillsynsbegäran.docx", "A 12832-2022")</f>
        <v/>
      </c>
      <c r="AD179">
        <f>HYPERLINK("https://klasma.github.io/Logging_2582/tillsynsmail/A 12832-2022 tillsynsbegäran mail.docx", "A 12832-2022")</f>
        <v/>
      </c>
    </row>
    <row r="180" ht="15" customHeight="1">
      <c r="A180" t="inlineStr">
        <is>
          <t>S 187-2023</t>
        </is>
      </c>
      <c r="B180" t="inlineStr">
        <is>
          <t>samrådsanmälan</t>
        </is>
      </c>
      <c r="C180" t="inlineStr">
        <is>
          <t>Skogsgödsling</t>
        </is>
      </c>
      <c r="D180" s="1" t="n">
        <v>44944</v>
      </c>
      <c r="E180" s="1" t="n">
        <v>46318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407.1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HYPERLINK("https://klasma.github.io/Logging_2582/artfynd/S 187-2023 artfynd.xlsx", "S 187-2023")</f>
        <v/>
      </c>
      <c r="X180">
        <f>HYPERLINK("https://klasma.github.io/Logging_2582/kartor/S 187-2023 karta.png", "S 187-2023")</f>
        <v/>
      </c>
      <c r="Y180">
        <f>HYPERLINK("https://klasma.github.io/Logging_2582/kartor_geotiff/S 187-2023 georefererad karta.tif", "S 187-2023")</f>
        <v/>
      </c>
      <c r="AA180">
        <f>HYPERLINK("https://klasma.github.io/Logging_2582/klagomål/S 187-2023 FSC-klagomål.docx", "S 187-2023")</f>
        <v/>
      </c>
      <c r="AB180">
        <f>HYPERLINK("https://klasma.github.io/Logging_2582/klagomålsmail/S 187-2023 FSC-klagomål mail.docx", "S 187-2023")</f>
        <v/>
      </c>
      <c r="AC180">
        <f>HYPERLINK("https://klasma.github.io/Logging_2582/tillsyn/S 187-2023 tillsynsbegäran.docx", "S 187-2023")</f>
        <v/>
      </c>
      <c r="AD180">
        <f>HYPERLINK("https://klasma.github.io/Logging_2582/tillsynsmail/S 187-2023 tillsynsbegäran mail.docx", "S 187-2023")</f>
        <v/>
      </c>
      <c r="AE180">
        <f>HYPERLINK("https://klasma.github.io/Logging_2582/fåglar/S 187-2023 prioriterade fågelarter.docx", "S 187-2023")</f>
        <v/>
      </c>
    </row>
    <row r="181" ht="15" customHeight="1">
      <c r="A181" t="inlineStr">
        <is>
          <t>S 1448-2024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45418</v>
      </c>
      <c r="E181" s="1" t="n">
        <v>46318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Tallticka</t>
        </is>
      </c>
      <c r="W181">
        <f>HYPERLINK("https://klasma.github.io/Logging_2582/artfynd/S 1448-2024 artfynd.xlsx", "S 1448-2024")</f>
        <v/>
      </c>
      <c r="X181">
        <f>HYPERLINK("https://klasma.github.io/Logging_2582/kartor/S 1448-2024 karta.png", "S 1448-2024")</f>
        <v/>
      </c>
      <c r="Y181">
        <f>HYPERLINK("https://klasma.github.io/Logging_2582/kartor_geotiff/S 1448-2024 georefererad karta.tif", "S 1448-2024")</f>
        <v/>
      </c>
      <c r="AA181">
        <f>HYPERLINK("https://klasma.github.io/Logging_2582/klagomål/S 1448-2024 FSC-klagomål.docx", "S 1448-2024")</f>
        <v/>
      </c>
      <c r="AB181">
        <f>HYPERLINK("https://klasma.github.io/Logging_2582/klagomålsmail/S 1448-2024 FSC-klagomål mail.docx", "S 1448-2024")</f>
        <v/>
      </c>
      <c r="AC181">
        <f>HYPERLINK("https://klasma.github.io/Logging_2582/tillsyn/S 1448-2024 tillsynsbegäran.docx", "S 1448-2024")</f>
        <v/>
      </c>
      <c r="AD181">
        <f>HYPERLINK("https://klasma.github.io/Logging_2582/tillsynsmail/S 1448-2024 tillsynsbegäran mail.docx", "S 1448-2024")</f>
        <v/>
      </c>
    </row>
    <row r="182" ht="15" customHeight="1">
      <c r="A182" t="inlineStr">
        <is>
          <t>S 1234-2023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45028</v>
      </c>
      <c r="E182" s="1" t="n">
        <v>46318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100.1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HYPERLINK("https://klasma.github.io/Logging_2582/artfynd/S 1234-2023 artfynd.xlsx", "S 1234-2023")</f>
        <v/>
      </c>
      <c r="X182">
        <f>HYPERLINK("https://klasma.github.io/Logging_2582/kartor/S 1234-2023 karta.png", "S 1234-2023")</f>
        <v/>
      </c>
      <c r="Y182">
        <f>HYPERLINK("https://klasma.github.io/Logging_2582/kartor_geotiff/S 1234-2023 georefererad karta.tif", "S 1234-2023")</f>
        <v/>
      </c>
      <c r="AA182">
        <f>HYPERLINK("https://klasma.github.io/Logging_2582/klagomål/S 1234-2023 FSC-klagomål.docx", "S 1234-2023")</f>
        <v/>
      </c>
      <c r="AB182">
        <f>HYPERLINK("https://klasma.github.io/Logging_2582/klagomålsmail/S 1234-2023 FSC-klagomål mail.docx", "S 1234-2023")</f>
        <v/>
      </c>
      <c r="AC182">
        <f>HYPERLINK("https://klasma.github.io/Logging_2582/tillsyn/S 1234-2023 tillsynsbegäran.docx", "S 1234-2023")</f>
        <v/>
      </c>
      <c r="AD182">
        <f>HYPERLINK("https://klasma.github.io/Logging_2582/tillsynsmail/S 1234-2023 tillsynsbegäran mail.docx", "S 1234-2023")</f>
        <v/>
      </c>
    </row>
    <row r="183" ht="15" customHeight="1">
      <c r="A183" t="inlineStr">
        <is>
          <t>S 5116-2024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45643</v>
      </c>
      <c r="E183" s="1" t="n">
        <v>46318</v>
      </c>
      <c r="F183" t="inlineStr">
        <is>
          <t>NORRBOTTENS LÄN</t>
        </is>
      </c>
      <c r="G183" t="inlineStr">
        <is>
          <t>BODEN</t>
        </is>
      </c>
      <c r="I183" t="n">
        <v>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Mattlummer</t>
        </is>
      </c>
      <c r="W183">
        <f>HYPERLINK("https://klasma.github.io/Logging_2582/artfynd/S 5116-2024 artfynd.xlsx", "S 5116-2024")</f>
        <v/>
      </c>
      <c r="X183">
        <f>HYPERLINK("https://klasma.github.io/Logging_2582/kartor/S 5116-2024 karta.png", "S 5116-2024")</f>
        <v/>
      </c>
      <c r="Y183">
        <f>HYPERLINK("https://klasma.github.io/Logging_2582/kartor_geotiff/S 5116-2024 georefererad karta.tif", "S 5116-2024")</f>
        <v/>
      </c>
      <c r="AA183">
        <f>HYPERLINK("https://klasma.github.io/Logging_2582/klagomål/S 5116-2024 FSC-klagomål.docx", "S 5116-2024")</f>
        <v/>
      </c>
      <c r="AB183">
        <f>HYPERLINK("https://klasma.github.io/Logging_2582/klagomålsmail/S 5116-2024 FSC-klagomål mail.docx", "S 5116-2024")</f>
        <v/>
      </c>
      <c r="AC183">
        <f>HYPERLINK("https://klasma.github.io/Logging_2582/tillsyn/S 5116-2024 tillsynsbegäran.docx", "S 5116-2024")</f>
        <v/>
      </c>
      <c r="AD183">
        <f>HYPERLINK("https://klasma.github.io/Logging_2582/tillsynsmail/S 5116-2024 tillsynsbegäran mail.docx", "S 5116-2024")</f>
        <v/>
      </c>
    </row>
    <row r="184" ht="15" customHeight="1">
      <c r="A184" t="inlineStr">
        <is>
          <t>S 1634-2025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45799</v>
      </c>
      <c r="E184" s="1" t="n">
        <v>46318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1.9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Knärot</t>
        </is>
      </c>
      <c r="W184">
        <f>HYPERLINK("https://klasma.github.io/Logging_2582/artfynd/S 1634-2025 artfynd.xlsx", "S 1634-2025")</f>
        <v/>
      </c>
      <c r="X184">
        <f>HYPERLINK("https://klasma.github.io/Logging_2582/kartor/S 1634-2025 karta.png", "S 1634-2025")</f>
        <v/>
      </c>
      <c r="Y184">
        <f>HYPERLINK("https://klasma.github.io/Logging_2582/kartor_geotiff/S 1634-2025 georefererad karta.tif", "S 1634-2025")</f>
        <v/>
      </c>
      <c r="Z184">
        <f>HYPERLINK("https://klasma.github.io/Logging_2582/knärot/S 1634-2025 karta knärot.png", "S 1634-2025")</f>
        <v/>
      </c>
      <c r="AA184">
        <f>HYPERLINK("https://klasma.github.io/Logging_2582/klagomål/S 1634-2025 FSC-klagomål.docx", "S 1634-2025")</f>
        <v/>
      </c>
      <c r="AB184">
        <f>HYPERLINK("https://klasma.github.io/Logging_2582/klagomålsmail/S 1634-2025 FSC-klagomål mail.docx", "S 1634-2025")</f>
        <v/>
      </c>
      <c r="AC184">
        <f>HYPERLINK("https://klasma.github.io/Logging_2582/tillsyn/S 1634-2025 tillsynsbegäran.docx", "S 1634-2025")</f>
        <v/>
      </c>
      <c r="AD184">
        <f>HYPERLINK("https://klasma.github.io/Logging_2582/tillsynsmail/S 1634-2025 tillsynsbegäran mail.docx", "S 1634-2025")</f>
        <v/>
      </c>
    </row>
    <row r="185" ht="15" customHeight="1">
      <c r="A185" t="inlineStr">
        <is>
          <t>S 2450-2025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45901</v>
      </c>
      <c r="E185" s="1" t="n">
        <v>46318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HYPERLINK("https://klasma.github.io/Logging_2582/artfynd/S 2450-2025 artfynd.xlsx", "S 2450-2025")</f>
        <v/>
      </c>
      <c r="X185">
        <f>HYPERLINK("https://klasma.github.io/Logging_2582/kartor/S 2450-2025 karta.png", "S 2450-2025")</f>
        <v/>
      </c>
      <c r="Y185">
        <f>HYPERLINK("https://klasma.github.io/Logging_2582/kartor_geotiff/S 2450-2025 georefererad karta.tif", "S 2450-2025")</f>
        <v/>
      </c>
      <c r="AA185">
        <f>HYPERLINK("https://klasma.github.io/Logging_2582/klagomål/S 2450-2025 FSC-klagomål.docx", "S 2450-2025")</f>
        <v/>
      </c>
      <c r="AB185">
        <f>HYPERLINK("https://klasma.github.io/Logging_2582/klagomålsmail/S 2450-2025 FSC-klagomål mail.docx", "S 2450-2025")</f>
        <v/>
      </c>
      <c r="AC185">
        <f>HYPERLINK("https://klasma.github.io/Logging_2582/tillsyn/S 2450-2025 tillsynsbegäran.docx", "S 2450-2025")</f>
        <v/>
      </c>
      <c r="AD185">
        <f>HYPERLINK("https://klasma.github.io/Logging_2582/tillsynsmail/S 2450-2025 tillsynsbegäran mail.docx", "S 2450-2025")</f>
        <v/>
      </c>
    </row>
    <row r="186" ht="15" customHeight="1">
      <c r="A186" t="inlineStr">
        <is>
          <t>S 2940-2025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45952</v>
      </c>
      <c r="E186" s="1" t="n">
        <v>46318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0.7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Skinnlav</t>
        </is>
      </c>
      <c r="W186">
        <f>HYPERLINK("https://klasma.github.io/Logging_2582/artfynd/S 2940-2025 artfynd.xlsx", "S 2940-2025")</f>
        <v/>
      </c>
      <c r="X186">
        <f>HYPERLINK("https://klasma.github.io/Logging_2582/kartor/S 2940-2025 karta.png", "S 2940-2025")</f>
        <v/>
      </c>
      <c r="Y186">
        <f>HYPERLINK("https://klasma.github.io/Logging_2582/kartor_geotiff/S 2940-2025 georefererad karta.tif", "S 2940-2025")</f>
        <v/>
      </c>
      <c r="AA186">
        <f>HYPERLINK("https://klasma.github.io/Logging_2582/klagomål/S 2940-2025 FSC-klagomål.docx", "S 2940-2025")</f>
        <v/>
      </c>
      <c r="AB186">
        <f>HYPERLINK("https://klasma.github.io/Logging_2582/klagomålsmail/S 2940-2025 FSC-klagomål mail.docx", "S 2940-2025")</f>
        <v/>
      </c>
      <c r="AC186">
        <f>HYPERLINK("https://klasma.github.io/Logging_2582/tillsyn/S 2940-2025 tillsynsbegäran.docx", "S 2940-2025")</f>
        <v/>
      </c>
      <c r="AD186">
        <f>HYPERLINK("https://klasma.github.io/Logging_2582/tillsynsmail/S 2940-2025 tillsynsbegäran mail.docx", "S 2940-2025")</f>
        <v/>
      </c>
    </row>
    <row r="187" ht="15" customHeight="1">
      <c r="A187" t="inlineStr">
        <is>
          <t>A 63790-2021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46318</v>
      </c>
      <c r="F187" t="inlineStr">
        <is>
          <t>NORRBOTTENS LÄN</t>
        </is>
      </c>
      <c r="G187" t="inlineStr">
        <is>
          <t>BODEN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46318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44577</v>
      </c>
      <c r="E189" s="1" t="n">
        <v>46318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46318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46318</v>
      </c>
      <c r="F191" t="inlineStr">
        <is>
          <t>NORRBOTTENS LÄN</t>
        </is>
      </c>
      <c r="G191" t="inlineStr">
        <is>
          <t>BODEN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46318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46318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46318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46318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46318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46318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46318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46318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46318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46318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71833-2021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46318</v>
      </c>
      <c r="F202" t="inlineStr">
        <is>
          <t>NORRBOTTENS LÄN</t>
        </is>
      </c>
      <c r="G202" t="inlineStr">
        <is>
          <t>BODEN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46318</v>
      </c>
      <c r="F203" t="inlineStr">
        <is>
          <t>NORRBOTTENS LÄN</t>
        </is>
      </c>
      <c r="G203" t="inlineStr">
        <is>
          <t>BODEN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46318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46318</v>
      </c>
      <c r="F205" t="inlineStr">
        <is>
          <t>NORRBOTTENS LÄN</t>
        </is>
      </c>
      <c r="G205" t="inlineStr">
        <is>
          <t>BODEN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46318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46318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710-2022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46318</v>
      </c>
      <c r="F208" t="inlineStr">
        <is>
          <t>NORRBOTTENS LÄN</t>
        </is>
      </c>
      <c r="G208" t="inlineStr">
        <is>
          <t>BODEN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714-2022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46318</v>
      </c>
      <c r="F209" t="inlineStr">
        <is>
          <t>NORRBOTTENS LÄN</t>
        </is>
      </c>
      <c r="G209" t="inlineStr">
        <is>
          <t>BODEN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44600</v>
      </c>
      <c r="E210" s="1" t="n">
        <v>46318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44797</v>
      </c>
      <c r="E211" s="1" t="n">
        <v>46318</v>
      </c>
      <c r="F211" t="inlineStr">
        <is>
          <t>NORRBOTTENS LÄN</t>
        </is>
      </c>
      <c r="G211" t="inlineStr">
        <is>
          <t>BODEN</t>
        </is>
      </c>
      <c r="I211" t="n">
        <v>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46318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46318</v>
      </c>
      <c r="F213" t="inlineStr">
        <is>
          <t>NORRBOTTENS LÄN</t>
        </is>
      </c>
      <c r="G213" t="inlineStr">
        <is>
          <t>BODEN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44799</v>
      </c>
      <c r="E214" s="1" t="n">
        <v>46318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46318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46318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29119-2022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44749</v>
      </c>
      <c r="E217" s="1" t="n">
        <v>46318</v>
      </c>
      <c r="F217" t="inlineStr">
        <is>
          <t>NORRBOTTENS LÄN</t>
        </is>
      </c>
      <c r="G217" t="inlineStr">
        <is>
          <t>BODEN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46318</v>
      </c>
      <c r="F218" t="inlineStr">
        <is>
          <t>NORRBOTTENS LÄN</t>
        </is>
      </c>
      <c r="G218" t="inlineStr">
        <is>
          <t>BODEN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46318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46318</v>
      </c>
      <c r="F220" t="inlineStr">
        <is>
          <t>NORRBOTTENS LÄN</t>
        </is>
      </c>
      <c r="G220" t="inlineStr">
        <is>
          <t>BODEN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69124-2021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44530</v>
      </c>
      <c r="E221" s="1" t="n">
        <v>46318</v>
      </c>
      <c r="F221" t="inlineStr">
        <is>
          <t>NORRBOTTENS LÄN</t>
        </is>
      </c>
      <c r="G221" t="inlineStr">
        <is>
          <t>BODEN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46318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46318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44565</v>
      </c>
      <c r="E224" s="1" t="n">
        <v>46318</v>
      </c>
      <c r="F224" t="inlineStr">
        <is>
          <t>NORRBOTTENS LÄN</t>
        </is>
      </c>
      <c r="G224" t="inlineStr">
        <is>
          <t>BODEN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44573</v>
      </c>
      <c r="E225" s="1" t="n">
        <v>46318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711-2022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44566</v>
      </c>
      <c r="E226" s="1" t="n">
        <v>46318</v>
      </c>
      <c r="F226" t="inlineStr">
        <is>
          <t>NORRBOTTENS LÄN</t>
        </is>
      </c>
      <c r="G226" t="inlineStr">
        <is>
          <t>BODEN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46318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46318</v>
      </c>
      <c r="F228" t="inlineStr">
        <is>
          <t>NORRBOTTENS LÄN</t>
        </is>
      </c>
      <c r="G228" t="inlineStr">
        <is>
          <t>BODEN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46318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11.3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46318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46318</v>
      </c>
      <c r="F231" t="inlineStr">
        <is>
          <t>NORRBOTTENS LÄN</t>
        </is>
      </c>
      <c r="G231" t="inlineStr">
        <is>
          <t>BODEN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46318</v>
      </c>
      <c r="F232" t="inlineStr">
        <is>
          <t>NORRBOTTENS LÄN</t>
        </is>
      </c>
      <c r="G232" t="inlineStr">
        <is>
          <t>BODEN</t>
        </is>
      </c>
      <c r="H232" t="inlineStr">
        <is>
          <t>Övriga statliga verk och myndigheter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44671</v>
      </c>
      <c r="E233" s="1" t="n">
        <v>46318</v>
      </c>
      <c r="F233" t="inlineStr">
        <is>
          <t>NORRBOTTENS LÄN</t>
        </is>
      </c>
      <c r="G233" t="inlineStr">
        <is>
          <t>BODEN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45523</v>
      </c>
      <c r="E234" s="1" t="n">
        <v>46318</v>
      </c>
      <c r="F234" t="inlineStr">
        <is>
          <t>NORRBOTTENS LÄN</t>
        </is>
      </c>
      <c r="G234" t="inlineStr">
        <is>
          <t>BODEN</t>
        </is>
      </c>
      <c r="H234" t="inlineStr">
        <is>
          <t>SCA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46318</v>
      </c>
      <c r="F235" t="inlineStr">
        <is>
          <t>NORRBOTTENS LÄN</t>
        </is>
      </c>
      <c r="G235" t="inlineStr">
        <is>
          <t>BODEN</t>
        </is>
      </c>
      <c r="H235" t="inlineStr">
        <is>
          <t>Sveaskog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46318</v>
      </c>
      <c r="F236" t="inlineStr">
        <is>
          <t>NORRBOTTENS LÄN</t>
        </is>
      </c>
      <c r="G236" t="inlineStr">
        <is>
          <t>BODEN</t>
        </is>
      </c>
      <c r="I236" t="n">
        <v>16.1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45310</v>
      </c>
      <c r="E237" s="1" t="n">
        <v>46318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46318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15.8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46318</v>
      </c>
      <c r="F239" t="inlineStr">
        <is>
          <t>NORRBOTTENS LÄN</t>
        </is>
      </c>
      <c r="G239" t="inlineStr">
        <is>
          <t>BODEN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45429</v>
      </c>
      <c r="E240" s="1" t="n">
        <v>46318</v>
      </c>
      <c r="F240" t="inlineStr">
        <is>
          <t>NORRBOTTENS LÄN</t>
        </is>
      </c>
      <c r="G240" t="inlineStr">
        <is>
          <t>BODEN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46318</v>
      </c>
      <c r="F241" t="inlineStr">
        <is>
          <t>NORRBOTTENS LÄN</t>
        </is>
      </c>
      <c r="G241" t="inlineStr">
        <is>
          <t>BODEN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46318</v>
      </c>
      <c r="F242" t="inlineStr">
        <is>
          <t>NORRBOTTENS LÄN</t>
        </is>
      </c>
      <c r="G242" t="inlineStr">
        <is>
          <t>BODEN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49806-2022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44862</v>
      </c>
      <c r="E243" s="1" t="n">
        <v>46318</v>
      </c>
      <c r="F243" t="inlineStr">
        <is>
          <t>NORRBOTTENS LÄN</t>
        </is>
      </c>
      <c r="G243" t="inlineStr">
        <is>
          <t>BODEN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46318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11.8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73910-2021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46318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45763</v>
      </c>
      <c r="E246" s="1" t="n">
        <v>46318</v>
      </c>
      <c r="F246" t="inlineStr">
        <is>
          <t>NORRBOTTENS LÄN</t>
        </is>
      </c>
      <c r="G246" t="inlineStr">
        <is>
          <t>BODEN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46318</v>
      </c>
      <c r="F247" t="inlineStr">
        <is>
          <t>NORRBOTTENS LÄN</t>
        </is>
      </c>
      <c r="G247" t="inlineStr">
        <is>
          <t>BODEN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45803</v>
      </c>
      <c r="E248" s="1" t="n">
        <v>46318</v>
      </c>
      <c r="F248" t="inlineStr">
        <is>
          <t>NORRBOTTENS LÄN</t>
        </is>
      </c>
      <c r="G248" t="inlineStr">
        <is>
          <t>BODEN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44880</v>
      </c>
      <c r="E249" s="1" t="n">
        <v>46318</v>
      </c>
      <c r="F249" t="inlineStr">
        <is>
          <t>NORRBOTTENS LÄN</t>
        </is>
      </c>
      <c r="G249" t="inlineStr">
        <is>
          <t>BODEN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46318</v>
      </c>
      <c r="F250" t="inlineStr">
        <is>
          <t>NORRBOTTENS LÄN</t>
        </is>
      </c>
      <c r="G250" t="inlineStr">
        <is>
          <t>BODEN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46318</v>
      </c>
      <c r="F251" t="inlineStr">
        <is>
          <t>NORRBOTTENS LÄN</t>
        </is>
      </c>
      <c r="G251" t="inlineStr">
        <is>
          <t>BODEN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46318</v>
      </c>
      <c r="F252" t="inlineStr">
        <is>
          <t>NORRBOTTENS LÄN</t>
        </is>
      </c>
      <c r="G252" t="inlineStr">
        <is>
          <t>BODEN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45762</v>
      </c>
      <c r="E253" s="1" t="n">
        <v>46318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46318</v>
      </c>
      <c r="F254" t="inlineStr">
        <is>
          <t>NORRBOTTENS LÄN</t>
        </is>
      </c>
      <c r="G254" t="inlineStr">
        <is>
          <t>BODEN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64649-2023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46318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45429</v>
      </c>
      <c r="E256" s="1" t="n">
        <v>46318</v>
      </c>
      <c r="F256" t="inlineStr">
        <is>
          <t>NORRBOTTENS LÄN</t>
        </is>
      </c>
      <c r="G256" t="inlineStr">
        <is>
          <t>BODEN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44609</v>
      </c>
      <c r="E257" s="1" t="n">
        <v>46318</v>
      </c>
      <c r="F257" t="inlineStr">
        <is>
          <t>NORRBOTTENS LÄN</t>
        </is>
      </c>
      <c r="G257" t="inlineStr">
        <is>
          <t>BODEN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45464</v>
      </c>
      <c r="E258" s="1" t="n">
        <v>46318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45645</v>
      </c>
      <c r="E259" s="1" t="n">
        <v>46318</v>
      </c>
      <c r="F259" t="inlineStr">
        <is>
          <t>NORRBOTTENS LÄN</t>
        </is>
      </c>
      <c r="G259" t="inlineStr">
        <is>
          <t>BODEN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46318</v>
      </c>
      <c r="F260" t="inlineStr">
        <is>
          <t>NORRBOTTENS LÄN</t>
        </is>
      </c>
      <c r="G260" t="inlineStr">
        <is>
          <t>BODEN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45238</v>
      </c>
      <c r="E261" s="1" t="n">
        <v>46318</v>
      </c>
      <c r="F261" t="inlineStr">
        <is>
          <t>NORRBOTTENS LÄN</t>
        </is>
      </c>
      <c r="G261" t="inlineStr">
        <is>
          <t>BODEN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46318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45125</v>
      </c>
      <c r="E263" s="1" t="n">
        <v>46318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46318</v>
      </c>
      <c r="F264" t="inlineStr">
        <is>
          <t>NORRBOTTENS LÄN</t>
        </is>
      </c>
      <c r="G264" t="inlineStr">
        <is>
          <t>BODEN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46318</v>
      </c>
      <c r="F265" t="inlineStr">
        <is>
          <t>NORRBOTTENS LÄN</t>
        </is>
      </c>
      <c r="G265" t="inlineStr">
        <is>
          <t>BODEN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45813</v>
      </c>
      <c r="E266" s="1" t="n">
        <v>46318</v>
      </c>
      <c r="F266" t="inlineStr">
        <is>
          <t>NORRBOTTENS LÄN</t>
        </is>
      </c>
      <c r="G266" t="inlineStr">
        <is>
          <t>BODEN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44903</v>
      </c>
      <c r="E267" s="1" t="n">
        <v>46318</v>
      </c>
      <c r="F267" t="inlineStr">
        <is>
          <t>NORRBOTTENS LÄN</t>
        </is>
      </c>
      <c r="G267" t="inlineStr">
        <is>
          <t>BODEN</t>
        </is>
      </c>
      <c r="I267" t="n">
        <v>16.1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46318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45316</v>
      </c>
      <c r="E269" s="1" t="n">
        <v>46318</v>
      </c>
      <c r="F269" t="inlineStr">
        <is>
          <t>NORRBOTTENS LÄN</t>
        </is>
      </c>
      <c r="G269" t="inlineStr">
        <is>
          <t>BODEN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46318</v>
      </c>
      <c r="F270" t="inlineStr">
        <is>
          <t>NORRBOTTENS LÄN</t>
        </is>
      </c>
      <c r="G270" t="inlineStr">
        <is>
          <t>BODEN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46318</v>
      </c>
      <c r="F271" t="inlineStr">
        <is>
          <t>NORRBOTTENS LÄN</t>
        </is>
      </c>
      <c r="G271" t="inlineStr">
        <is>
          <t>BODEN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58504-2024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45635</v>
      </c>
      <c r="E272" s="1" t="n">
        <v>46318</v>
      </c>
      <c r="F272" t="inlineStr">
        <is>
          <t>NORRBOTTENS LÄN</t>
        </is>
      </c>
      <c r="G272" t="inlineStr">
        <is>
          <t>BODEN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49127-2023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45210</v>
      </c>
      <c r="E273" s="1" t="n">
        <v>46318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46318</v>
      </c>
      <c r="F274" t="inlineStr">
        <is>
          <t>NORRBOTTENS LÄN</t>
        </is>
      </c>
      <c r="G274" t="inlineStr">
        <is>
          <t>BODEN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46318</v>
      </c>
      <c r="F275" t="inlineStr">
        <is>
          <t>NORRBOTTENS LÄN</t>
        </is>
      </c>
      <c r="G275" t="inlineStr">
        <is>
          <t>BODEN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67438-2021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44524</v>
      </c>
      <c r="E276" s="1" t="n">
        <v>46318</v>
      </c>
      <c r="F276" t="inlineStr">
        <is>
          <t>NORRBOTTENS LÄN</t>
        </is>
      </c>
      <c r="G276" t="inlineStr">
        <is>
          <t>BODEN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46318</v>
      </c>
      <c r="F277" t="inlineStr">
        <is>
          <t>NORRBOTTENS LÄN</t>
        </is>
      </c>
      <c r="G277" t="inlineStr">
        <is>
          <t>BODEN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44881</v>
      </c>
      <c r="E278" s="1" t="n">
        <v>46318</v>
      </c>
      <c r="F278" t="inlineStr">
        <is>
          <t>NORRBOTTENS LÄN</t>
        </is>
      </c>
      <c r="G278" t="inlineStr">
        <is>
          <t>BODEN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46318</v>
      </c>
      <c r="F279" t="inlineStr">
        <is>
          <t>NORRBOTTENS LÄN</t>
        </is>
      </c>
      <c r="G279" t="inlineStr">
        <is>
          <t>BODEN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46318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46318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45766</v>
      </c>
      <c r="E282" s="1" t="n">
        <v>46318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46318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46318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21421-2022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44706</v>
      </c>
      <c r="E285" s="1" t="n">
        <v>46318</v>
      </c>
      <c r="F285" t="inlineStr">
        <is>
          <t>NORRBOTTENS LÄN</t>
        </is>
      </c>
      <c r="G285" t="inlineStr">
        <is>
          <t>BODEN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46318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19060-2024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45427</v>
      </c>
      <c r="E287" s="1" t="n">
        <v>46318</v>
      </c>
      <c r="F287" t="inlineStr">
        <is>
          <t>NORRBOTTENS LÄN</t>
        </is>
      </c>
      <c r="G287" t="inlineStr">
        <is>
          <t>BODEN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44747</v>
      </c>
      <c r="E288" s="1" t="n">
        <v>46318</v>
      </c>
      <c r="F288" t="inlineStr">
        <is>
          <t>NORRBOTTENS LÄN</t>
        </is>
      </c>
      <c r="G288" t="inlineStr">
        <is>
          <t>BODEN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46318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44673</v>
      </c>
      <c r="E290" s="1" t="n">
        <v>46318</v>
      </c>
      <c r="F290" t="inlineStr">
        <is>
          <t>NORRBOTTENS LÄN</t>
        </is>
      </c>
      <c r="G290" t="inlineStr">
        <is>
          <t>BODEN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44625-2024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46318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28270-2025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45818</v>
      </c>
      <c r="E292" s="1" t="n">
        <v>46318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45548</v>
      </c>
      <c r="E293" s="1" t="n">
        <v>46318</v>
      </c>
      <c r="F293" t="inlineStr">
        <is>
          <t>NORRBOTTENS LÄN</t>
        </is>
      </c>
      <c r="G293" t="inlineStr">
        <is>
          <t>BODEN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44657</v>
      </c>
      <c r="E294" s="1" t="n">
        <v>46318</v>
      </c>
      <c r="F294" t="inlineStr">
        <is>
          <t>NORRBOTTENS LÄN</t>
        </is>
      </c>
      <c r="G294" t="inlineStr">
        <is>
          <t>BODEN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44657</v>
      </c>
      <c r="E295" s="1" t="n">
        <v>46318</v>
      </c>
      <c r="F295" t="inlineStr">
        <is>
          <t>NORRBOTTENS LÄN</t>
        </is>
      </c>
      <c r="G295" t="inlineStr">
        <is>
          <t>BODEN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45643</v>
      </c>
      <c r="E296" s="1" t="n">
        <v>46318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46318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46318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46318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46318</v>
      </c>
      <c r="F300" t="inlineStr">
        <is>
          <t>NORRBOTTENS LÄN</t>
        </is>
      </c>
      <c r="G300" t="inlineStr">
        <is>
          <t>BODEN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45833</v>
      </c>
      <c r="E301" s="1" t="n">
        <v>46318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Aktiebolag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46318</v>
      </c>
      <c r="F302" t="inlineStr">
        <is>
          <t>NORRBOTTENS LÄN</t>
        </is>
      </c>
      <c r="G302" t="inlineStr">
        <is>
          <t>BODEN</t>
        </is>
      </c>
      <c r="H302" t="inlineStr">
        <is>
          <t>Övriga Aktiebolag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46318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45345</v>
      </c>
      <c r="E304" s="1" t="n">
        <v>46318</v>
      </c>
      <c r="F304" t="inlineStr">
        <is>
          <t>NORRBOTTENS LÄN</t>
        </is>
      </c>
      <c r="G304" t="inlineStr">
        <is>
          <t>BODEN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48592-2024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45593</v>
      </c>
      <c r="E305" s="1" t="n">
        <v>46318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46318</v>
      </c>
      <c r="F306" t="inlineStr">
        <is>
          <t>NORRBOTTENS LÄN</t>
        </is>
      </c>
      <c r="G306" t="inlineStr">
        <is>
          <t>BODEN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46318</v>
      </c>
      <c r="F307" t="inlineStr">
        <is>
          <t>NORRBOTTENS LÄN</t>
        </is>
      </c>
      <c r="G307" t="inlineStr">
        <is>
          <t>BODEN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46318</v>
      </c>
      <c r="F308" t="inlineStr">
        <is>
          <t>NORRBOTTENS LÄN</t>
        </is>
      </c>
      <c r="G308" t="inlineStr">
        <is>
          <t>BODEN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33130-2025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45840</v>
      </c>
      <c r="E309" s="1" t="n">
        <v>46318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46318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46318</v>
      </c>
      <c r="F311" t="inlineStr">
        <is>
          <t>NORRBOTTENS LÄN</t>
        </is>
      </c>
      <c r="G311" t="inlineStr">
        <is>
          <t>BODEN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45747</v>
      </c>
      <c r="E312" s="1" t="n">
        <v>46318</v>
      </c>
      <c r="F312" t="inlineStr">
        <is>
          <t>NORRBOTTENS LÄN</t>
        </is>
      </c>
      <c r="G312" t="inlineStr">
        <is>
          <t>BODEN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19528-2024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45429</v>
      </c>
      <c r="E313" s="1" t="n">
        <v>46318</v>
      </c>
      <c r="F313" t="inlineStr">
        <is>
          <t>NORRBOTTENS LÄN</t>
        </is>
      </c>
      <c r="G313" t="inlineStr">
        <is>
          <t>BODEN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46318</v>
      </c>
      <c r="F314" t="inlineStr">
        <is>
          <t>NORRBOTTENS LÄN</t>
        </is>
      </c>
      <c r="G314" t="inlineStr">
        <is>
          <t>BODEN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45843</v>
      </c>
      <c r="E315" s="1" t="n">
        <v>46318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46318</v>
      </c>
      <c r="F316" t="inlineStr">
        <is>
          <t>NORRBOTTENS LÄN</t>
        </is>
      </c>
      <c r="G316" t="inlineStr">
        <is>
          <t>BODEN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46318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46318</v>
      </c>
      <c r="F318" t="inlineStr">
        <is>
          <t>NORRBOTTENS LÄN</t>
        </is>
      </c>
      <c r="G318" t="inlineStr">
        <is>
          <t>BODEN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46318</v>
      </c>
      <c r="F319" t="inlineStr">
        <is>
          <t>NORRBOTTENS LÄN</t>
        </is>
      </c>
      <c r="G319" t="inlineStr">
        <is>
          <t>BODEN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45512</v>
      </c>
      <c r="E320" s="1" t="n">
        <v>46318</v>
      </c>
      <c r="F320" t="inlineStr">
        <is>
          <t>NORRBOTTENS LÄN</t>
        </is>
      </c>
      <c r="G320" t="inlineStr">
        <is>
          <t>BODEN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45483</v>
      </c>
      <c r="E321" s="1" t="n">
        <v>46318</v>
      </c>
      <c r="F321" t="inlineStr">
        <is>
          <t>NORRBOTTENS LÄN</t>
        </is>
      </c>
      <c r="G321" t="inlineStr">
        <is>
          <t>BODEN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46318</v>
      </c>
      <c r="F322" t="inlineStr">
        <is>
          <t>NORRBOTTENS LÄN</t>
        </is>
      </c>
      <c r="G322" t="inlineStr">
        <is>
          <t>BODEN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74264-2021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44558</v>
      </c>
      <c r="E323" s="1" t="n">
        <v>46318</v>
      </c>
      <c r="F323" t="inlineStr">
        <is>
          <t>NORRBOTTENS LÄN</t>
        </is>
      </c>
      <c r="G323" t="inlineStr">
        <is>
          <t>BODEN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45509</v>
      </c>
      <c r="E324" s="1" t="n">
        <v>46318</v>
      </c>
      <c r="F324" t="inlineStr">
        <is>
          <t>NORRBOTTENS LÄN</t>
        </is>
      </c>
      <c r="G324" t="inlineStr">
        <is>
          <t>BODEN</t>
        </is>
      </c>
      <c r="I324" t="n">
        <v>11.1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46318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46318</v>
      </c>
      <c r="F326" t="inlineStr">
        <is>
          <t>NORRBOTTENS LÄN</t>
        </is>
      </c>
      <c r="G326" t="inlineStr">
        <is>
          <t>BODEN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45766</v>
      </c>
      <c r="E327" s="1" t="n">
        <v>46318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45256</v>
      </c>
      <c r="E328" s="1" t="n">
        <v>46318</v>
      </c>
      <c r="F328" t="inlineStr">
        <is>
          <t>NORRBOTTENS LÄN</t>
        </is>
      </c>
      <c r="G328" t="inlineStr">
        <is>
          <t>BODEN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46318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41691-2025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45902</v>
      </c>
      <c r="E330" s="1" t="n">
        <v>46318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45653</v>
      </c>
      <c r="E331" s="1" t="n">
        <v>46318</v>
      </c>
      <c r="F331" t="inlineStr">
        <is>
          <t>NORRBOTTENS LÄN</t>
        </is>
      </c>
      <c r="G331" t="inlineStr">
        <is>
          <t>BODEN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46318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45674</v>
      </c>
      <c r="E333" s="1" t="n">
        <v>46318</v>
      </c>
      <c r="F333" t="inlineStr">
        <is>
          <t>NORRBOTTENS LÄN</t>
        </is>
      </c>
      <c r="G333" t="inlineStr">
        <is>
          <t>BODEN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46318</v>
      </c>
      <c r="F334" t="inlineStr">
        <is>
          <t>NORRBOTTENS LÄN</t>
        </is>
      </c>
      <c r="G334" t="inlineStr">
        <is>
          <t>BODEN</t>
        </is>
      </c>
      <c r="I334" t="n">
        <v>22.7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45247</v>
      </c>
      <c r="E335" s="1" t="n">
        <v>46318</v>
      </c>
      <c r="F335" t="inlineStr">
        <is>
          <t>NORRBOTTENS LÄN</t>
        </is>
      </c>
      <c r="G335" t="inlineStr">
        <is>
          <t>BODEN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45863</v>
      </c>
      <c r="E336" s="1" t="n">
        <v>46318</v>
      </c>
      <c r="F336" t="inlineStr">
        <is>
          <t>NORRBOTTENS LÄN</t>
        </is>
      </c>
      <c r="G336" t="inlineStr">
        <is>
          <t>BODEN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45907</v>
      </c>
      <c r="E337" s="1" t="n">
        <v>46318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46318</v>
      </c>
      <c r="F338" t="inlineStr">
        <is>
          <t>NORRBOTTENS LÄN</t>
        </is>
      </c>
      <c r="G338" t="inlineStr">
        <is>
          <t>BODEN</t>
        </is>
      </c>
      <c r="I338" t="n">
        <v>9.699999999999999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46318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46318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46318</v>
      </c>
      <c r="F341" t="inlineStr">
        <is>
          <t>NORRBOTTENS LÄN</t>
        </is>
      </c>
      <c r="G341" t="inlineStr">
        <is>
          <t>BODEN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46318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45499</v>
      </c>
      <c r="E343" s="1" t="n">
        <v>46318</v>
      </c>
      <c r="F343" t="inlineStr">
        <is>
          <t>NORRBOTTENS LÄN</t>
        </is>
      </c>
      <c r="G343" t="inlineStr">
        <is>
          <t>BODEN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46318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46318</v>
      </c>
      <c r="F345" t="inlineStr">
        <is>
          <t>NORRBOTTENS LÄN</t>
        </is>
      </c>
      <c r="G345" t="inlineStr">
        <is>
          <t>BODEN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45369</v>
      </c>
      <c r="E346" s="1" t="n">
        <v>46318</v>
      </c>
      <c r="F346" t="inlineStr">
        <is>
          <t>NORRBOTTENS LÄN</t>
        </is>
      </c>
      <c r="G346" t="inlineStr">
        <is>
          <t>BODEN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46318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45156</v>
      </c>
      <c r="E348" s="1" t="n">
        <v>46318</v>
      </c>
      <c r="F348" t="inlineStr">
        <is>
          <t>NORRBOTTENS LÄN</t>
        </is>
      </c>
      <c r="G348" t="inlineStr">
        <is>
          <t>BODEN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46318</v>
      </c>
      <c r="F349" t="inlineStr">
        <is>
          <t>NORRBOTTENS LÄN</t>
        </is>
      </c>
      <c r="G349" t="inlineStr">
        <is>
          <t>BODEN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45868</v>
      </c>
      <c r="E350" s="1" t="n">
        <v>46318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44642</v>
      </c>
      <c r="E351" s="1" t="n">
        <v>46318</v>
      </c>
      <c r="F351" t="inlineStr">
        <is>
          <t>NORRBOTTENS LÄN</t>
        </is>
      </c>
      <c r="G351" t="inlineStr">
        <is>
          <t>BODEN</t>
        </is>
      </c>
      <c r="H351" t="inlineStr">
        <is>
          <t>Övriga statliga verk och myndigheter</t>
        </is>
      </c>
      <c r="I351" t="n">
        <v>15.8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46318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46318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45070</v>
      </c>
      <c r="E354" s="1" t="n">
        <v>46318</v>
      </c>
      <c r="F354" t="inlineStr">
        <is>
          <t>NORRBOTTENS LÄN</t>
        </is>
      </c>
      <c r="G354" t="inlineStr">
        <is>
          <t>BODEN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58373-2022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44901</v>
      </c>
      <c r="E355" s="1" t="n">
        <v>46318</v>
      </c>
      <c r="F355" t="inlineStr">
        <is>
          <t>NORRBOTTENS LÄN</t>
        </is>
      </c>
      <c r="G355" t="inlineStr">
        <is>
          <t>BODEN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46318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46318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46318</v>
      </c>
      <c r="F358" t="inlineStr">
        <is>
          <t>NORRBOTTENS LÄN</t>
        </is>
      </c>
      <c r="G358" t="inlineStr">
        <is>
          <t>BODEN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46318</v>
      </c>
      <c r="F359" t="inlineStr">
        <is>
          <t>NORRBOTTENS LÄN</t>
        </is>
      </c>
      <c r="G359" t="inlineStr">
        <is>
          <t>BODEN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45617-2025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46318</v>
      </c>
      <c r="F360" t="inlineStr">
        <is>
          <t>NORRBOTTENS LÄN</t>
        </is>
      </c>
      <c r="G360" t="inlineStr">
        <is>
          <t>BODEN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45195</v>
      </c>
      <c r="E361" s="1" t="n">
        <v>46318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45881</v>
      </c>
      <c r="E362" s="1" t="n">
        <v>46318</v>
      </c>
      <c r="F362" t="inlineStr">
        <is>
          <t>NORRBOTTENS LÄN</t>
        </is>
      </c>
      <c r="G362" t="inlineStr">
        <is>
          <t>BODEN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46318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46318</v>
      </c>
      <c r="F364" t="inlineStr">
        <is>
          <t>NORRBOTTENS LÄN</t>
        </is>
      </c>
      <c r="G364" t="inlineStr">
        <is>
          <t>BODEN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46318</v>
      </c>
      <c r="F365" t="inlineStr">
        <is>
          <t>NORRBOTTENS LÄN</t>
        </is>
      </c>
      <c r="G365" t="inlineStr">
        <is>
          <t>BODEN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46318</v>
      </c>
      <c r="F366" t="inlineStr">
        <is>
          <t>NORRBOTTENS LÄN</t>
        </is>
      </c>
      <c r="G366" t="inlineStr">
        <is>
          <t>BODEN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45969-2025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45924</v>
      </c>
      <c r="E367" s="1" t="n">
        <v>46318</v>
      </c>
      <c r="F367" t="inlineStr">
        <is>
          <t>NORRBOTTENS LÄN</t>
        </is>
      </c>
      <c r="G367" t="inlineStr">
        <is>
          <t>BODEN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18900-2025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46318</v>
      </c>
      <c r="F368" t="inlineStr">
        <is>
          <t>NORRBOTTENS LÄN</t>
        </is>
      </c>
      <c r="G368" t="inlineStr">
        <is>
          <t>BODEN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46318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46770-2025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46318</v>
      </c>
      <c r="F370" t="inlineStr">
        <is>
          <t>NORRBOTTENS LÄN</t>
        </is>
      </c>
      <c r="G370" t="inlineStr">
        <is>
          <t>BODEN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46318</v>
      </c>
      <c r="F371" t="inlineStr">
        <is>
          <t>NORRBOTTENS LÄN</t>
        </is>
      </c>
      <c r="G371" t="inlineStr">
        <is>
          <t>BODEN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46318</v>
      </c>
      <c r="F372" t="inlineStr">
        <is>
          <t>NORRBOTTENS LÄN</t>
        </is>
      </c>
      <c r="G372" t="inlineStr">
        <is>
          <t>BODEN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45649</v>
      </c>
      <c r="E373" s="1" t="n">
        <v>46318</v>
      </c>
      <c r="F373" t="inlineStr">
        <is>
          <t>NORRBOTTENS LÄN</t>
        </is>
      </c>
      <c r="G373" t="inlineStr">
        <is>
          <t>BODEN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45884</v>
      </c>
      <c r="E374" s="1" t="n">
        <v>46318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46318</v>
      </c>
      <c r="F375" t="inlineStr">
        <is>
          <t>NORRBOTTENS LÄN</t>
        </is>
      </c>
      <c r="G375" t="inlineStr">
        <is>
          <t>BODEN</t>
        </is>
      </c>
      <c r="H375" t="inlineStr">
        <is>
          <t>Naturvårdsverket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45589</v>
      </c>
      <c r="E376" s="1" t="n">
        <v>46318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46318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46318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46318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47483-2025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46318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48091-2025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45933</v>
      </c>
      <c r="E381" s="1" t="n">
        <v>46318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46318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68565-2021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44529</v>
      </c>
      <c r="E383" s="1" t="n">
        <v>46318</v>
      </c>
      <c r="F383" t="inlineStr">
        <is>
          <t>NORRBOTTENS LÄN</t>
        </is>
      </c>
      <c r="G383" t="inlineStr">
        <is>
          <t>BODEN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45906</v>
      </c>
      <c r="E384" s="1" t="n">
        <v>46318</v>
      </c>
      <c r="F384" t="inlineStr">
        <is>
          <t>NORRBOTTENS LÄN</t>
        </is>
      </c>
      <c r="G384" t="inlineStr">
        <is>
          <t>BODEN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46318</v>
      </c>
      <c r="F385" t="inlineStr">
        <is>
          <t>NORRBOTTENS LÄN</t>
        </is>
      </c>
      <c r="G385" t="inlineStr">
        <is>
          <t>BODEN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46318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45933</v>
      </c>
      <c r="E387" s="1" t="n">
        <v>46318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8028-2024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45350</v>
      </c>
      <c r="E388" s="1" t="n">
        <v>46318</v>
      </c>
      <c r="F388" t="inlineStr">
        <is>
          <t>NORRBOTTENS LÄN</t>
        </is>
      </c>
      <c r="G388" t="inlineStr">
        <is>
          <t>BODEN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46318</v>
      </c>
      <c r="F389" t="inlineStr">
        <is>
          <t>NORRBOTTENS LÄN</t>
        </is>
      </c>
      <c r="G389" t="inlineStr">
        <is>
          <t>BODEN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46318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49357-2025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46318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46318</v>
      </c>
      <c r="F392" t="inlineStr">
        <is>
          <t>NORRBOTTENS LÄN</t>
        </is>
      </c>
      <c r="G392" t="inlineStr">
        <is>
          <t>BODEN</t>
        </is>
      </c>
      <c r="I392" t="n">
        <v>10.2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44732</v>
      </c>
      <c r="E393" s="1" t="n">
        <v>46318</v>
      </c>
      <c r="F393" t="inlineStr">
        <is>
          <t>NORRBOTTENS LÄN</t>
        </is>
      </c>
      <c r="G393" t="inlineStr">
        <is>
          <t>BODEN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46318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44908</v>
      </c>
      <c r="E395" s="1" t="n">
        <v>46318</v>
      </c>
      <c r="F395" t="inlineStr">
        <is>
          <t>NORRBOTTENS LÄN</t>
        </is>
      </c>
      <c r="G395" t="inlineStr">
        <is>
          <t>BODEN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46318</v>
      </c>
      <c r="F396" t="inlineStr">
        <is>
          <t>NORRBOTTENS LÄN</t>
        </is>
      </c>
      <c r="G396" t="inlineStr">
        <is>
          <t>BODEN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46318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46318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50327-2023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45216</v>
      </c>
      <c r="E399" s="1" t="n">
        <v>46318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24400-2022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44726</v>
      </c>
      <c r="E400" s="1" t="n">
        <v>46318</v>
      </c>
      <c r="F400" t="inlineStr">
        <is>
          <t>NORRBOTTENS LÄN</t>
        </is>
      </c>
      <c r="G400" t="inlineStr">
        <is>
          <t>BODEN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46318</v>
      </c>
      <c r="F401" t="inlineStr">
        <is>
          <t>NORRBOTTENS LÄN</t>
        </is>
      </c>
      <c r="G401" t="inlineStr">
        <is>
          <t>BODEN</t>
        </is>
      </c>
      <c r="I401" t="n">
        <v>9.6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44566</v>
      </c>
      <c r="E402" s="1" t="n">
        <v>46318</v>
      </c>
      <c r="F402" t="inlineStr">
        <is>
          <t>NORRBOTTENS LÄN</t>
        </is>
      </c>
      <c r="G402" t="inlineStr">
        <is>
          <t>BODEN</t>
        </is>
      </c>
      <c r="I402" t="n">
        <v>12.4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50147-2025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45943</v>
      </c>
      <c r="E403" s="1" t="n">
        <v>46318</v>
      </c>
      <c r="F403" t="inlineStr">
        <is>
          <t>NORRBOTTENS LÄN</t>
        </is>
      </c>
      <c r="G403" t="inlineStr">
        <is>
          <t>BODEN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46318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45035-2022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44841</v>
      </c>
      <c r="E405" s="1" t="n">
        <v>46318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46318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46318</v>
      </c>
      <c r="F407" t="inlineStr">
        <is>
          <t>NORRBOTTENS LÄN</t>
        </is>
      </c>
      <c r="G407" t="inlineStr">
        <is>
          <t>BODEN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46318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46318</v>
      </c>
      <c r="F409" t="inlineStr">
        <is>
          <t>NORRBOTTENS LÄN</t>
        </is>
      </c>
      <c r="G409" t="inlineStr">
        <is>
          <t>BODEN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46318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46318</v>
      </c>
      <c r="F411" t="inlineStr">
        <is>
          <t>NORRBOTTENS LÄN</t>
        </is>
      </c>
      <c r="G411" t="inlineStr">
        <is>
          <t>BODEN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46318</v>
      </c>
      <c r="F412" t="inlineStr">
        <is>
          <t>NORRBOTTENS LÄN</t>
        </is>
      </c>
      <c r="G412" t="inlineStr">
        <is>
          <t>BODEN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45408</v>
      </c>
      <c r="E413" s="1" t="n">
        <v>46318</v>
      </c>
      <c r="F413" t="inlineStr">
        <is>
          <t>NORRBOTTENS LÄN</t>
        </is>
      </c>
      <c r="G413" t="inlineStr">
        <is>
          <t>BODEN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8873-2024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45356</v>
      </c>
      <c r="E414" s="1" t="n">
        <v>46318</v>
      </c>
      <c r="F414" t="inlineStr">
        <is>
          <t>NORRBOTTENS LÄN</t>
        </is>
      </c>
      <c r="G414" t="inlineStr">
        <is>
          <t>BODEN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46318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44970</v>
      </c>
      <c r="E416" s="1" t="n">
        <v>46318</v>
      </c>
      <c r="F416" t="inlineStr">
        <is>
          <t>NORRBOTTENS LÄN</t>
        </is>
      </c>
      <c r="G416" t="inlineStr">
        <is>
          <t>BODEN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46318</v>
      </c>
      <c r="F417" t="inlineStr">
        <is>
          <t>NORRBOTTENS LÄN</t>
        </is>
      </c>
      <c r="G417" t="inlineStr">
        <is>
          <t>BODEN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45947</v>
      </c>
      <c r="E418" s="1" t="n">
        <v>46318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46318</v>
      </c>
      <c r="F419" t="inlineStr">
        <is>
          <t>NORRBOTTENS LÄN</t>
        </is>
      </c>
      <c r="G419" t="inlineStr">
        <is>
          <t>BODEN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45860</v>
      </c>
      <c r="E420" s="1" t="n">
        <v>46318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46318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46318</v>
      </c>
      <c r="F422" t="inlineStr">
        <is>
          <t>NORRBOTTENS LÄN</t>
        </is>
      </c>
      <c r="G422" t="inlineStr">
        <is>
          <t>BODEN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44734</v>
      </c>
      <c r="E423" s="1" t="n">
        <v>46318</v>
      </c>
      <c r="F423" t="inlineStr">
        <is>
          <t>NORRBOTTENS LÄN</t>
        </is>
      </c>
      <c r="G423" t="inlineStr">
        <is>
          <t>BODEN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45653</v>
      </c>
      <c r="E424" s="1" t="n">
        <v>46318</v>
      </c>
      <c r="F424" t="inlineStr">
        <is>
          <t>NORRBOTTENS LÄN</t>
        </is>
      </c>
      <c r="G424" t="inlineStr">
        <is>
          <t>BODEN</t>
        </is>
      </c>
      <c r="I424" t="n">
        <v>9.699999999999999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46318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45770</v>
      </c>
      <c r="E426" s="1" t="n">
        <v>46318</v>
      </c>
      <c r="F426" t="inlineStr">
        <is>
          <t>NORRBOTTENS LÄN</t>
        </is>
      </c>
      <c r="G426" t="inlineStr">
        <is>
          <t>BODEN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37866-2024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46318</v>
      </c>
      <c r="F427" t="inlineStr">
        <is>
          <t>NORRBOTTENS LÄN</t>
        </is>
      </c>
      <c r="G427" t="inlineStr">
        <is>
          <t>BODEN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45935</v>
      </c>
      <c r="E428" s="1" t="n">
        <v>46318</v>
      </c>
      <c r="F428" t="inlineStr">
        <is>
          <t>NORRBOTTENS LÄN</t>
        </is>
      </c>
      <c r="G428" t="inlineStr">
        <is>
          <t>BODEN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44795</v>
      </c>
      <c r="E429" s="1" t="n">
        <v>46318</v>
      </c>
      <c r="F429" t="inlineStr">
        <is>
          <t>NORRBOTTENS LÄN</t>
        </is>
      </c>
      <c r="G429" t="inlineStr">
        <is>
          <t>BODEN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51525-2025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45950</v>
      </c>
      <c r="E430" s="1" t="n">
        <v>46318</v>
      </c>
      <c r="F430" t="inlineStr">
        <is>
          <t>NORRBOTTENS LÄN</t>
        </is>
      </c>
      <c r="G430" t="inlineStr">
        <is>
          <t>BODEN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45955</v>
      </c>
      <c r="E431" s="1" t="n">
        <v>46318</v>
      </c>
      <c r="F431" t="inlineStr">
        <is>
          <t>NORRBOTTENS LÄN</t>
        </is>
      </c>
      <c r="G431" t="inlineStr">
        <is>
          <t>BODEN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45955</v>
      </c>
      <c r="E432" s="1" t="n">
        <v>46318</v>
      </c>
      <c r="F432" t="inlineStr">
        <is>
          <t>NORRBOTTENS LÄN</t>
        </is>
      </c>
      <c r="G432" t="inlineStr">
        <is>
          <t>BODEN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46318</v>
      </c>
      <c r="F433" t="inlineStr">
        <is>
          <t>NORRBOTTENS LÄN</t>
        </is>
      </c>
      <c r="G433" t="inlineStr">
        <is>
          <t>BODEN</t>
        </is>
      </c>
      <c r="I433" t="n">
        <v>15.5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32775-2025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45839</v>
      </c>
      <c r="E434" s="1" t="n">
        <v>46318</v>
      </c>
      <c r="F434" t="inlineStr">
        <is>
          <t>NORRBOTTENS LÄN</t>
        </is>
      </c>
      <c r="G434" t="inlineStr">
        <is>
          <t>BODEN</t>
        </is>
      </c>
      <c r="I434" t="n">
        <v>13.6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53623-2025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45960</v>
      </c>
      <c r="E435" s="1" t="n">
        <v>46318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53893-2025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46318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46318</v>
      </c>
      <c r="F437" t="inlineStr">
        <is>
          <t>NORRBOTTENS LÄN</t>
        </is>
      </c>
      <c r="G437" t="inlineStr">
        <is>
          <t>BODEN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46318</v>
      </c>
      <c r="F438" t="inlineStr">
        <is>
          <t>NORRBOTTENS LÄN</t>
        </is>
      </c>
      <c r="G438" t="inlineStr">
        <is>
          <t>BODEN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46318</v>
      </c>
      <c r="F439" t="inlineStr">
        <is>
          <t>NORRBOTTENS LÄN</t>
        </is>
      </c>
      <c r="G439" t="inlineStr">
        <is>
          <t>BODEN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46318</v>
      </c>
      <c r="F440" t="inlineStr">
        <is>
          <t>NORRBOTTENS LÄN</t>
        </is>
      </c>
      <c r="G440" t="inlineStr">
        <is>
          <t>BODEN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46318</v>
      </c>
      <c r="F441" t="inlineStr">
        <is>
          <t>NORRBOTTENS LÄN</t>
        </is>
      </c>
      <c r="G441" t="inlineStr">
        <is>
          <t>BODEN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46318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54172-2025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45964</v>
      </c>
      <c r="E443" s="1" t="n">
        <v>46318</v>
      </c>
      <c r="F443" t="inlineStr">
        <is>
          <t>NORRBOTTENS LÄN</t>
        </is>
      </c>
      <c r="G443" t="inlineStr">
        <is>
          <t>BODEN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46318</v>
      </c>
      <c r="F444" t="inlineStr">
        <is>
          <t>NORRBOTTENS LÄN</t>
        </is>
      </c>
      <c r="G444" t="inlineStr">
        <is>
          <t>BODEN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45194</v>
      </c>
      <c r="E445" s="1" t="n">
        <v>46318</v>
      </c>
      <c r="F445" t="inlineStr">
        <is>
          <t>NORRBOTTENS LÄN</t>
        </is>
      </c>
      <c r="G445" t="inlineStr">
        <is>
          <t>BODEN</t>
        </is>
      </c>
      <c r="H445" t="inlineStr">
        <is>
          <t>Sveaskog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44908</v>
      </c>
      <c r="E446" s="1" t="n">
        <v>46318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46318</v>
      </c>
      <c r="F447" t="inlineStr">
        <is>
          <t>NORRBOTTENS LÄN</t>
        </is>
      </c>
      <c r="G447" t="inlineStr">
        <is>
          <t>BODEN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64975-2023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45285</v>
      </c>
      <c r="E448" s="1" t="n">
        <v>46318</v>
      </c>
      <c r="F448" t="inlineStr">
        <is>
          <t>NORRBOTTENS LÄN</t>
        </is>
      </c>
      <c r="G448" t="inlineStr">
        <is>
          <t>BODEN</t>
        </is>
      </c>
      <c r="I448" t="n">
        <v>9.4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46318</v>
      </c>
      <c r="F449" t="inlineStr">
        <is>
          <t>NORRBOTTENS LÄN</t>
        </is>
      </c>
      <c r="G449" t="inlineStr">
        <is>
          <t>BODEN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45680</v>
      </c>
      <c r="E450" s="1" t="n">
        <v>46318</v>
      </c>
      <c r="F450" t="inlineStr">
        <is>
          <t>NORRBOTTENS LÄN</t>
        </is>
      </c>
      <c r="G450" t="inlineStr">
        <is>
          <t>BODEN</t>
        </is>
      </c>
      <c r="H450" t="inlineStr">
        <is>
          <t>Naturvårdsverket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46318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46318</v>
      </c>
      <c r="F452" t="inlineStr">
        <is>
          <t>NORRBOTTENS LÄN</t>
        </is>
      </c>
      <c r="G452" t="inlineStr">
        <is>
          <t>BODEN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11634-2026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46084</v>
      </c>
      <c r="E453" s="1" t="n">
        <v>46318</v>
      </c>
      <c r="F453" t="inlineStr">
        <is>
          <t>NORRBOTTENS LÄN</t>
        </is>
      </c>
      <c r="G453" t="inlineStr">
        <is>
          <t>BODEN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46318</v>
      </c>
      <c r="F454" t="inlineStr">
        <is>
          <t>NORRBOTTENS LÄN</t>
        </is>
      </c>
      <c r="G454" t="inlineStr">
        <is>
          <t>BODEN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31195-2025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45832</v>
      </c>
      <c r="E455" s="1" t="n">
        <v>46318</v>
      </c>
      <c r="F455" t="inlineStr">
        <is>
          <t>NORRBOTTENS LÄN</t>
        </is>
      </c>
      <c r="G455" t="inlineStr">
        <is>
          <t>BODEN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46318</v>
      </c>
      <c r="F456" t="inlineStr">
        <is>
          <t>NORRBOTTENS LÄN</t>
        </is>
      </c>
      <c r="G456" t="inlineStr">
        <is>
          <t>BODEN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46318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44887</v>
      </c>
      <c r="E458" s="1" t="n">
        <v>46318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56439-2025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46318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46318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46318</v>
      </c>
      <c r="F461" t="inlineStr">
        <is>
          <t>NORRBOTTENS LÄN</t>
        </is>
      </c>
      <c r="G461" t="inlineStr">
        <is>
          <t>BODEN</t>
        </is>
      </c>
      <c r="H461" t="inlineStr">
        <is>
          <t>Naturvårdsverket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46318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45653</v>
      </c>
      <c r="E463" s="1" t="n">
        <v>46318</v>
      </c>
      <c r="F463" t="inlineStr">
        <is>
          <t>NORRBOTTENS LÄN</t>
        </is>
      </c>
      <c r="G463" t="inlineStr">
        <is>
          <t>BODEN</t>
        </is>
      </c>
      <c r="I463" t="n">
        <v>47.3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45174</v>
      </c>
      <c r="E464" s="1" t="n">
        <v>46318</v>
      </c>
      <c r="F464" t="inlineStr">
        <is>
          <t>NORRBOTTENS LÄN</t>
        </is>
      </c>
      <c r="G464" t="inlineStr">
        <is>
          <t>BODEN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46318</v>
      </c>
      <c r="F465" t="inlineStr">
        <is>
          <t>NORRBOTTENS LÄN</t>
        </is>
      </c>
      <c r="G465" t="inlineStr">
        <is>
          <t>BODEN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46318</v>
      </c>
      <c r="F466" t="inlineStr">
        <is>
          <t>NORRBOTTENS LÄN</t>
        </is>
      </c>
      <c r="G466" t="inlineStr">
        <is>
          <t>BODEN</t>
        </is>
      </c>
      <c r="H466" t="inlineStr">
        <is>
          <t>Naturvårdsverket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46318</v>
      </c>
      <c r="F467" t="inlineStr">
        <is>
          <t>NORRBOTTENS LÄN</t>
        </is>
      </c>
      <c r="G467" t="inlineStr">
        <is>
          <t>BODEN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46318</v>
      </c>
      <c r="F468" t="inlineStr">
        <is>
          <t>NORRBOTTENS LÄN</t>
        </is>
      </c>
      <c r="G468" t="inlineStr">
        <is>
          <t>BODEN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877-2023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44931</v>
      </c>
      <c r="E469" s="1" t="n">
        <v>46318</v>
      </c>
      <c r="F469" t="inlineStr">
        <is>
          <t>NORRBOTTENS LÄN</t>
        </is>
      </c>
      <c r="G469" t="inlineStr">
        <is>
          <t>BODEN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40115-2025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45893</v>
      </c>
      <c r="E470" s="1" t="n">
        <v>46318</v>
      </c>
      <c r="F470" t="inlineStr">
        <is>
          <t>NORRBOTTENS LÄN</t>
        </is>
      </c>
      <c r="G470" t="inlineStr">
        <is>
          <t>BODEN</t>
        </is>
      </c>
      <c r="H470" t="inlineStr">
        <is>
          <t>Övriga statliga verk och myndigheter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46318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57778-2025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45981</v>
      </c>
      <c r="E472" s="1" t="n">
        <v>46318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45001</v>
      </c>
      <c r="E473" s="1" t="n">
        <v>46318</v>
      </c>
      <c r="F473" t="inlineStr">
        <is>
          <t>NORRBOTTENS LÄN</t>
        </is>
      </c>
      <c r="G473" t="inlineStr">
        <is>
          <t>BODEN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45841</v>
      </c>
      <c r="E474" s="1" t="n">
        <v>46318</v>
      </c>
      <c r="F474" t="inlineStr">
        <is>
          <t>NORRBOTTENS LÄN</t>
        </is>
      </c>
      <c r="G474" t="inlineStr">
        <is>
          <t>BODEN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45984</v>
      </c>
      <c r="E475" s="1" t="n">
        <v>46318</v>
      </c>
      <c r="F475" t="inlineStr">
        <is>
          <t>NORRBOTTENS LÄN</t>
        </is>
      </c>
      <c r="G475" t="inlineStr">
        <is>
          <t>BODEN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46318</v>
      </c>
      <c r="F476" t="inlineStr">
        <is>
          <t>NORRBOTTENS LÄN</t>
        </is>
      </c>
      <c r="G476" t="inlineStr">
        <is>
          <t>BODEN</t>
        </is>
      </c>
      <c r="H476" t="inlineStr">
        <is>
          <t>Sveaskog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46318</v>
      </c>
      <c r="F477" t="inlineStr">
        <is>
          <t>NORRBOTTENS LÄN</t>
        </is>
      </c>
      <c r="G477" t="inlineStr">
        <is>
          <t>BODEN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46318</v>
      </c>
      <c r="F478" t="inlineStr">
        <is>
          <t>NORRBOTTENS LÄN</t>
        </is>
      </c>
      <c r="G478" t="inlineStr">
        <is>
          <t>BODEN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46318</v>
      </c>
      <c r="F479" t="inlineStr">
        <is>
          <t>NORRBOTTENS LÄN</t>
        </is>
      </c>
      <c r="G479" t="inlineStr">
        <is>
          <t>BODEN</t>
        </is>
      </c>
      <c r="I479" t="n">
        <v>11.6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46318</v>
      </c>
      <c r="F480" t="inlineStr">
        <is>
          <t>NORRBOTTENS LÄN</t>
        </is>
      </c>
      <c r="G480" t="inlineStr">
        <is>
          <t>BODEN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51614-2024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46318</v>
      </c>
      <c r="F481" t="inlineStr">
        <is>
          <t>NORRBOTTENS LÄN</t>
        </is>
      </c>
      <c r="G481" t="inlineStr">
        <is>
          <t>BODEN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46318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46318</v>
      </c>
      <c r="F483" t="inlineStr">
        <is>
          <t>NORRBOTTENS LÄN</t>
        </is>
      </c>
      <c r="G483" t="inlineStr">
        <is>
          <t>BODEN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46318</v>
      </c>
      <c r="F484" t="inlineStr">
        <is>
          <t>NORRBOTTENS LÄN</t>
        </is>
      </c>
      <c r="G484" t="inlineStr">
        <is>
          <t>BODEN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22259-2026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46318</v>
      </c>
      <c r="F485" t="inlineStr">
        <is>
          <t>NORRBOTTENS LÄN</t>
        </is>
      </c>
      <c r="G485" t="inlineStr">
        <is>
          <t>BODEN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45397</v>
      </c>
      <c r="E486" s="1" t="n">
        <v>46318</v>
      </c>
      <c r="F486" t="inlineStr">
        <is>
          <t>NORRBOTTENS LÄN</t>
        </is>
      </c>
      <c r="G486" t="inlineStr">
        <is>
          <t>BODEN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45397</v>
      </c>
      <c r="E487" s="1" t="n">
        <v>46318</v>
      </c>
      <c r="F487" t="inlineStr">
        <is>
          <t>NORRBOTTENS LÄN</t>
        </is>
      </c>
      <c r="G487" t="inlineStr">
        <is>
          <t>BODEN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46318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45988</v>
      </c>
      <c r="E489" s="1" t="n">
        <v>46318</v>
      </c>
      <c r="F489" t="inlineStr">
        <is>
          <t>NORRBOTTENS LÄN</t>
        </is>
      </c>
      <c r="G489" t="inlineStr">
        <is>
          <t>BODEN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45035</v>
      </c>
      <c r="E490" s="1" t="n">
        <v>46318</v>
      </c>
      <c r="F490" t="inlineStr">
        <is>
          <t>NORRBOTTENS LÄN</t>
        </is>
      </c>
      <c r="G490" t="inlineStr">
        <is>
          <t>BODEN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45476</v>
      </c>
      <c r="E491" s="1" t="n">
        <v>46318</v>
      </c>
      <c r="F491" t="inlineStr">
        <is>
          <t>NORRBOTTENS LÄN</t>
        </is>
      </c>
      <c r="G491" t="inlineStr">
        <is>
          <t>BODEN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45093</v>
      </c>
      <c r="E492" s="1" t="n">
        <v>46318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46318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46318</v>
      </c>
      <c r="F494" t="inlineStr">
        <is>
          <t>NORRBOTTENS LÄN</t>
        </is>
      </c>
      <c r="G494" t="inlineStr">
        <is>
          <t>BODEN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54590-2022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44883</v>
      </c>
      <c r="E495" s="1" t="n">
        <v>46318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46318</v>
      </c>
      <c r="F496" t="inlineStr">
        <is>
          <t>NORRBOTTENS LÄN</t>
        </is>
      </c>
      <c r="G496" t="inlineStr">
        <is>
          <t>BODEN</t>
        </is>
      </c>
      <c r="I496" t="n">
        <v>14.9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35115-2024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45529</v>
      </c>
      <c r="E497" s="1" t="n">
        <v>46318</v>
      </c>
      <c r="F497" t="inlineStr">
        <is>
          <t>NORRBOTTENS LÄN</t>
        </is>
      </c>
      <c r="G497" t="inlineStr">
        <is>
          <t>BODEN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45099</v>
      </c>
      <c r="E498" s="1" t="n">
        <v>46318</v>
      </c>
      <c r="F498" t="inlineStr">
        <is>
          <t>NORRBOTTENS LÄN</t>
        </is>
      </c>
      <c r="G498" t="inlineStr">
        <is>
          <t>BODEN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46318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45646</v>
      </c>
      <c r="E500" s="1" t="n">
        <v>46318</v>
      </c>
      <c r="F500" t="inlineStr">
        <is>
          <t>NORRBOTTENS LÄN</t>
        </is>
      </c>
      <c r="G500" t="inlineStr">
        <is>
          <t>BODEN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46318</v>
      </c>
      <c r="F501" t="inlineStr">
        <is>
          <t>NORRBOTTENS LÄN</t>
        </is>
      </c>
      <c r="G501" t="inlineStr">
        <is>
          <t>BODEN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46318</v>
      </c>
      <c r="F502" t="inlineStr">
        <is>
          <t>NORRBOTTENS LÄN</t>
        </is>
      </c>
      <c r="G502" t="inlineStr">
        <is>
          <t>BODEN</t>
        </is>
      </c>
      <c r="I502" t="n">
        <v>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22239-2026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46154</v>
      </c>
      <c r="E503" s="1" t="n">
        <v>46318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46318</v>
      </c>
      <c r="F504" t="inlineStr">
        <is>
          <t>NORRBOTTENS LÄN</t>
        </is>
      </c>
      <c r="G504" t="inlineStr">
        <is>
          <t>BODEN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46318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46318</v>
      </c>
      <c r="F506" t="inlineStr">
        <is>
          <t>NORRBOTTENS LÄN</t>
        </is>
      </c>
      <c r="G506" t="inlineStr">
        <is>
          <t>BODEN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46318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46318</v>
      </c>
      <c r="F508" t="inlineStr">
        <is>
          <t>NORRBOTTENS LÄN</t>
        </is>
      </c>
      <c r="G508" t="inlineStr">
        <is>
          <t>BODEN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23706-2024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45454</v>
      </c>
      <c r="E509" s="1" t="n">
        <v>46318</v>
      </c>
      <c r="F509" t="inlineStr">
        <is>
          <t>NORRBOTTENS LÄN</t>
        </is>
      </c>
      <c r="G509" t="inlineStr">
        <is>
          <t>BODEN</t>
        </is>
      </c>
      <c r="I509" t="n">
        <v>10.9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44614</v>
      </c>
      <c r="E510" s="1" t="n">
        <v>46318</v>
      </c>
      <c r="F510" t="inlineStr">
        <is>
          <t>NORRBOTTENS LÄN</t>
        </is>
      </c>
      <c r="G510" t="inlineStr">
        <is>
          <t>BODEN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45427</v>
      </c>
      <c r="E511" s="1" t="n">
        <v>46318</v>
      </c>
      <c r="F511" t="inlineStr">
        <is>
          <t>NORRBOTTENS LÄN</t>
        </is>
      </c>
      <c r="G511" t="inlineStr">
        <is>
          <t>BODEN</t>
        </is>
      </c>
      <c r="I511" t="n">
        <v>22.1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60395-2025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46318</v>
      </c>
      <c r="F512" t="inlineStr">
        <is>
          <t>NORRBOTTENS LÄN</t>
        </is>
      </c>
      <c r="G512" t="inlineStr">
        <is>
          <t>BODEN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46318</v>
      </c>
      <c r="F513" t="inlineStr">
        <is>
          <t>NORRBOTTENS LÄN</t>
        </is>
      </c>
      <c r="G513" t="inlineStr">
        <is>
          <t>BODEN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46318</v>
      </c>
      <c r="F514" t="inlineStr">
        <is>
          <t>NORRBOTTENS LÄN</t>
        </is>
      </c>
      <c r="G514" t="inlineStr">
        <is>
          <t>BODEN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46318</v>
      </c>
      <c r="F515" t="inlineStr">
        <is>
          <t>NORRBOTTENS LÄN</t>
        </is>
      </c>
      <c r="G515" t="inlineStr">
        <is>
          <t>BODEN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46318</v>
      </c>
      <c r="F516" t="inlineStr">
        <is>
          <t>NORRBOTTENS LÄN</t>
        </is>
      </c>
      <c r="G516" t="inlineStr">
        <is>
          <t>BODEN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46318</v>
      </c>
      <c r="F517" t="inlineStr">
        <is>
          <t>NORRBOTTENS LÄN</t>
        </is>
      </c>
      <c r="G517" t="inlineStr">
        <is>
          <t>BODEN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46318</v>
      </c>
      <c r="F518" t="inlineStr">
        <is>
          <t>NORRBOTTENS LÄN</t>
        </is>
      </c>
      <c r="G518" t="inlineStr">
        <is>
          <t>BODEN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21329-2024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45440</v>
      </c>
      <c r="E519" s="1" t="n">
        <v>46318</v>
      </c>
      <c r="F519" t="inlineStr">
        <is>
          <t>NORRBOTTENS LÄN</t>
        </is>
      </c>
      <c r="G519" t="inlineStr">
        <is>
          <t>BODEN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45996</v>
      </c>
      <c r="E520" s="1" t="n">
        <v>46318</v>
      </c>
      <c r="F520" t="inlineStr">
        <is>
          <t>NORRBOTTENS LÄN</t>
        </is>
      </c>
      <c r="G520" t="inlineStr">
        <is>
          <t>BODEN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46318</v>
      </c>
      <c r="F521" t="inlineStr">
        <is>
          <t>NORRBOTTENS LÄN</t>
        </is>
      </c>
      <c r="G521" t="inlineStr">
        <is>
          <t>BODEN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45646</v>
      </c>
      <c r="E522" s="1" t="n">
        <v>46318</v>
      </c>
      <c r="F522" t="inlineStr">
        <is>
          <t>NORRBOTTENS LÄN</t>
        </is>
      </c>
      <c r="G522" t="inlineStr">
        <is>
          <t>BODEN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45205</v>
      </c>
      <c r="E523" s="1" t="n">
        <v>46318</v>
      </c>
      <c r="F523" t="inlineStr">
        <is>
          <t>NORRBOTTENS LÄN</t>
        </is>
      </c>
      <c r="G523" t="inlineStr">
        <is>
          <t>BODEN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46318</v>
      </c>
      <c r="F524" t="inlineStr">
        <is>
          <t>NORRBOTTENS LÄN</t>
        </is>
      </c>
      <c r="G524" t="inlineStr">
        <is>
          <t>BODEN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46318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46318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61227-2025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46318</v>
      </c>
      <c r="F527" t="inlineStr">
        <is>
          <t>NORRBOTTENS LÄN</t>
        </is>
      </c>
      <c r="G527" t="inlineStr">
        <is>
          <t>BODEN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61384-2025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46001</v>
      </c>
      <c r="E528" s="1" t="n">
        <v>46318</v>
      </c>
      <c r="F528" t="inlineStr">
        <is>
          <t>NORRBOTTENS LÄN</t>
        </is>
      </c>
      <c r="G528" t="inlineStr">
        <is>
          <t>BODEN</t>
        </is>
      </c>
      <c r="I528" t="n">
        <v>17.1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46318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15157-2025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46318</v>
      </c>
      <c r="F530" t="inlineStr">
        <is>
          <t>NORRBOTTENS LÄN</t>
        </is>
      </c>
      <c r="G530" t="inlineStr">
        <is>
          <t>BODEN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46318</v>
      </c>
      <c r="F531" t="inlineStr">
        <is>
          <t>NORRBOTTENS LÄN</t>
        </is>
      </c>
      <c r="G531" t="inlineStr">
        <is>
          <t>BODEN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45691</v>
      </c>
      <c r="E532" s="1" t="n">
        <v>46318</v>
      </c>
      <c r="F532" t="inlineStr">
        <is>
          <t>NORRBOTTENS LÄN</t>
        </is>
      </c>
      <c r="G532" t="inlineStr">
        <is>
          <t>BODEN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46003</v>
      </c>
      <c r="E533" s="1" t="n">
        <v>46318</v>
      </c>
      <c r="F533" t="inlineStr">
        <is>
          <t>NORRBOTTENS LÄN</t>
        </is>
      </c>
      <c r="G533" t="inlineStr">
        <is>
          <t>BODEN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46318</v>
      </c>
      <c r="F534" t="inlineStr">
        <is>
          <t>NORRBOTTENS LÄN</t>
        </is>
      </c>
      <c r="G534" t="inlineStr">
        <is>
          <t>BODEN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46318</v>
      </c>
      <c r="F535" t="inlineStr">
        <is>
          <t>NORRBOTTENS LÄN</t>
        </is>
      </c>
      <c r="G535" t="inlineStr">
        <is>
          <t>BODEN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12562-2024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45379</v>
      </c>
      <c r="E536" s="1" t="n">
        <v>46318</v>
      </c>
      <c r="F536" t="inlineStr">
        <is>
          <t>NORRBOTTENS LÄN</t>
        </is>
      </c>
      <c r="G536" t="inlineStr">
        <is>
          <t>BODEN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20260-2025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45773</v>
      </c>
      <c r="E537" s="1" t="n">
        <v>46318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37212-2025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45875</v>
      </c>
      <c r="E538" s="1" t="n">
        <v>46318</v>
      </c>
      <c r="F538" t="inlineStr">
        <is>
          <t>NORRBOTTENS LÄN</t>
        </is>
      </c>
      <c r="G538" t="inlineStr">
        <is>
          <t>BODEN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46318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46318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46008</v>
      </c>
      <c r="E541" s="1" t="n">
        <v>46318</v>
      </c>
      <c r="F541" t="inlineStr">
        <is>
          <t>NORRBOTTENS LÄN</t>
        </is>
      </c>
      <c r="G541" t="inlineStr">
        <is>
          <t>BODEN</t>
        </is>
      </c>
      <c r="I541" t="n">
        <v>10.1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11651-2023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44994</v>
      </c>
      <c r="E542" s="1" t="n">
        <v>46318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46318</v>
      </c>
      <c r="F543" t="inlineStr">
        <is>
          <t>NORRBOTTENS LÄN</t>
        </is>
      </c>
      <c r="G543" t="inlineStr">
        <is>
          <t>BODEN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46318</v>
      </c>
      <c r="F544" t="inlineStr">
        <is>
          <t>NORRBOTTENS LÄN</t>
        </is>
      </c>
      <c r="G544" t="inlineStr">
        <is>
          <t>BODEN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718-2022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44568</v>
      </c>
      <c r="E545" s="1" t="n">
        <v>46318</v>
      </c>
      <c r="F545" t="inlineStr">
        <is>
          <t>NORRBOTTENS LÄN</t>
        </is>
      </c>
      <c r="G545" t="inlineStr">
        <is>
          <t>BODEN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62992-2025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46318</v>
      </c>
      <c r="F546" t="inlineStr">
        <is>
          <t>NORRBOTTENS LÄN</t>
        </is>
      </c>
      <c r="G546" t="inlineStr">
        <is>
          <t>BODEN</t>
        </is>
      </c>
      <c r="I546" t="n">
        <v>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43969-2024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45572</v>
      </c>
      <c r="E547" s="1" t="n">
        <v>46318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42173-2025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46318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statliga verk och myndigheter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45764</v>
      </c>
      <c r="E549" s="1" t="n">
        <v>46318</v>
      </c>
      <c r="F549" t="inlineStr">
        <is>
          <t>NORRBOTTENS LÄN</t>
        </is>
      </c>
      <c r="G549" t="inlineStr">
        <is>
          <t>BODEN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19050-2025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46318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63399-2025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46012</v>
      </c>
      <c r="E551" s="1" t="n">
        <v>46318</v>
      </c>
      <c r="F551" t="inlineStr">
        <is>
          <t>NORRBOTTENS LÄN</t>
        </is>
      </c>
      <c r="G551" t="inlineStr">
        <is>
          <t>BODEN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46012</v>
      </c>
      <c r="E552" s="1" t="n">
        <v>46318</v>
      </c>
      <c r="F552" t="inlineStr">
        <is>
          <t>NORRBOTTENS LÄN</t>
        </is>
      </c>
      <c r="G552" t="inlineStr">
        <is>
          <t>BODEN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54718-2024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45618</v>
      </c>
      <c r="E553" s="1" t="n">
        <v>46318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45674</v>
      </c>
      <c r="E554" s="1" t="n">
        <v>46318</v>
      </c>
      <c r="F554" t="inlineStr">
        <is>
          <t>NORRBOTTENS LÄN</t>
        </is>
      </c>
      <c r="G554" t="inlineStr">
        <is>
          <t>BODEN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40157-2025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45894</v>
      </c>
      <c r="E555" s="1" t="n">
        <v>46318</v>
      </c>
      <c r="F555" t="inlineStr">
        <is>
          <t>NORRBOTTENS LÄN</t>
        </is>
      </c>
      <c r="G555" t="inlineStr">
        <is>
          <t>BODEN</t>
        </is>
      </c>
      <c r="H555" t="inlineStr">
        <is>
          <t>Övriga statliga verk och myndigheter</t>
        </is>
      </c>
      <c r="I555" t="n">
        <v>17.6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28357-2023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45099</v>
      </c>
      <c r="E556" s="1" t="n">
        <v>46318</v>
      </c>
      <c r="F556" t="inlineStr">
        <is>
          <t>NORRBOTTENS LÄN</t>
        </is>
      </c>
      <c r="G556" t="inlineStr">
        <is>
          <t>BODEN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23790-2026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46164</v>
      </c>
      <c r="E557" s="1" t="n">
        <v>46318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46164</v>
      </c>
      <c r="E558" s="1" t="n">
        <v>46318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46164</v>
      </c>
      <c r="E559" s="1" t="n">
        <v>46318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46318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38219-2022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44812</v>
      </c>
      <c r="E561" s="1" t="n">
        <v>46318</v>
      </c>
      <c r="F561" t="inlineStr">
        <is>
          <t>NORRBOTTENS LÄN</t>
        </is>
      </c>
      <c r="G561" t="inlineStr">
        <is>
          <t>BODEN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63891-2025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46318</v>
      </c>
      <c r="F562" t="inlineStr">
        <is>
          <t>NORRBOTTENS LÄN</t>
        </is>
      </c>
      <c r="G562" t="inlineStr">
        <is>
          <t>BODEN</t>
        </is>
      </c>
      <c r="I562" t="n">
        <v>12.5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9596-2023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44983</v>
      </c>
      <c r="E563" s="1" t="n">
        <v>46318</v>
      </c>
      <c r="F563" t="inlineStr">
        <is>
          <t>NORRBOTTENS LÄN</t>
        </is>
      </c>
      <c r="G563" t="inlineStr">
        <is>
          <t>BODEN</t>
        </is>
      </c>
      <c r="I563" t="n">
        <v>37.1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46318</v>
      </c>
      <c r="F564" t="inlineStr">
        <is>
          <t>NORRBOTTENS LÄN</t>
        </is>
      </c>
      <c r="G564" t="inlineStr">
        <is>
          <t>BODEN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46168</v>
      </c>
      <c r="E565" s="1" t="n">
        <v>46318</v>
      </c>
      <c r="F565" t="inlineStr">
        <is>
          <t>NORRBOTTENS LÄN</t>
        </is>
      </c>
      <c r="G565" t="inlineStr">
        <is>
          <t>BODEN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40624-2022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44823</v>
      </c>
      <c r="E566" s="1" t="n">
        <v>46318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46318</v>
      </c>
      <c r="F567" t="inlineStr">
        <is>
          <t>NORRBOTTENS LÄN</t>
        </is>
      </c>
      <c r="G567" t="inlineStr">
        <is>
          <t>BODEN</t>
        </is>
      </c>
      <c r="I567" t="n">
        <v>9.6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46318</v>
      </c>
      <c r="F568" t="inlineStr">
        <is>
          <t>NORRBOTTENS LÄN</t>
        </is>
      </c>
      <c r="G568" t="inlineStr">
        <is>
          <t>BODEN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46318</v>
      </c>
      <c r="F569" t="inlineStr">
        <is>
          <t>NORRBOTTENS LÄN</t>
        </is>
      </c>
      <c r="G569" t="inlineStr">
        <is>
          <t>BODEN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24234-2026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46318</v>
      </c>
      <c r="F570" t="inlineStr">
        <is>
          <t>NORRBOTTENS LÄN</t>
        </is>
      </c>
      <c r="G570" t="inlineStr">
        <is>
          <t>BODEN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46318</v>
      </c>
      <c r="F571" t="inlineStr">
        <is>
          <t>NORRBOTTENS LÄN</t>
        </is>
      </c>
      <c r="G571" t="inlineStr">
        <is>
          <t>BODEN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56457-2024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45625</v>
      </c>
      <c r="E572" s="1" t="n">
        <v>46318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46318</v>
      </c>
      <c r="F573" t="inlineStr">
        <is>
          <t>NORRBOTTENS LÄN</t>
        </is>
      </c>
      <c r="G573" t="inlineStr">
        <is>
          <t>BODEN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48107-2022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44856</v>
      </c>
      <c r="E574" s="1" t="n">
        <v>46318</v>
      </c>
      <c r="F574" t="inlineStr">
        <is>
          <t>NORRBOTTENS LÄN</t>
        </is>
      </c>
      <c r="G574" t="inlineStr">
        <is>
          <t>BODEN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46318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31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45013</v>
      </c>
      <c r="E576" s="1" t="n">
        <v>46318</v>
      </c>
      <c r="F576" t="inlineStr">
        <is>
          <t>NORRBOTTENS LÄN</t>
        </is>
      </c>
      <c r="G576" t="inlineStr">
        <is>
          <t>BODEN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46030</v>
      </c>
      <c r="E577" s="1" t="n">
        <v>46318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10.3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3462-2022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44585</v>
      </c>
      <c r="E578" s="1" t="n">
        <v>46318</v>
      </c>
      <c r="F578" t="inlineStr">
        <is>
          <t>NORRBOTTENS LÄN</t>
        </is>
      </c>
      <c r="G578" t="inlineStr">
        <is>
          <t>BODEN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46172</v>
      </c>
      <c r="E579" s="1" t="n">
        <v>46318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46318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46171</v>
      </c>
      <c r="E581" s="1" t="n">
        <v>46318</v>
      </c>
      <c r="F581" t="inlineStr">
        <is>
          <t>NORRBOTTENS LÄN</t>
        </is>
      </c>
      <c r="G581" t="inlineStr">
        <is>
          <t>BODEN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46020</v>
      </c>
      <c r="E582" s="1" t="n">
        <v>46318</v>
      </c>
      <c r="F582" t="inlineStr">
        <is>
          <t>NORRBOTTENS LÄN</t>
        </is>
      </c>
      <c r="G582" t="inlineStr">
        <is>
          <t>BODEN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46174</v>
      </c>
      <c r="E583" s="1" t="n">
        <v>46318</v>
      </c>
      <c r="F583" t="inlineStr">
        <is>
          <t>NORRBOTTENS LÄN</t>
        </is>
      </c>
      <c r="G583" t="inlineStr">
        <is>
          <t>BODEN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49113-2023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46318</v>
      </c>
      <c r="F584" t="inlineStr">
        <is>
          <t>NORRBOTTENS LÄN</t>
        </is>
      </c>
      <c r="G584" t="inlineStr">
        <is>
          <t>BODEN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45687</v>
      </c>
      <c r="E585" s="1" t="n">
        <v>46318</v>
      </c>
      <c r="F585" t="inlineStr">
        <is>
          <t>NORRBOTTENS LÄN</t>
        </is>
      </c>
      <c r="G585" t="inlineStr">
        <is>
          <t>BODEN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25240-2026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46175</v>
      </c>
      <c r="E586" s="1" t="n">
        <v>46318</v>
      </c>
      <c r="F586" t="inlineStr">
        <is>
          <t>NORRBOTTENS LÄN</t>
        </is>
      </c>
      <c r="G586" t="inlineStr">
        <is>
          <t>BODEN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46318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46318</v>
      </c>
      <c r="F588" t="inlineStr">
        <is>
          <t>NORRBOTTENS LÄN</t>
        </is>
      </c>
      <c r="G588" t="inlineStr">
        <is>
          <t>BODEN</t>
        </is>
      </c>
      <c r="I588" t="n">
        <v>7.8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45758</v>
      </c>
      <c r="E589" s="1" t="n">
        <v>46318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44935</v>
      </c>
      <c r="E590" s="1" t="n">
        <v>46318</v>
      </c>
      <c r="F590" t="inlineStr">
        <is>
          <t>NORRBOTTENS LÄN</t>
        </is>
      </c>
      <c r="G590" t="inlineStr">
        <is>
          <t>BODEN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46318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8869-2024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45356</v>
      </c>
      <c r="E592" s="1" t="n">
        <v>46318</v>
      </c>
      <c r="F592" t="inlineStr">
        <is>
          <t>NORRBOTTENS LÄN</t>
        </is>
      </c>
      <c r="G592" t="inlineStr">
        <is>
          <t>BODEN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23232-2024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45453</v>
      </c>
      <c r="E593" s="1" t="n">
        <v>46318</v>
      </c>
      <c r="F593" t="inlineStr">
        <is>
          <t>NORRBOTTENS LÄN</t>
        </is>
      </c>
      <c r="G593" t="inlineStr">
        <is>
          <t>BODEN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61588-2024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45646</v>
      </c>
      <c r="E594" s="1" t="n">
        <v>46318</v>
      </c>
      <c r="F594" t="inlineStr">
        <is>
          <t>NORRBOTTENS LÄN</t>
        </is>
      </c>
      <c r="G594" t="inlineStr">
        <is>
          <t>BODEN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46318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45478</v>
      </c>
      <c r="E596" s="1" t="n">
        <v>46318</v>
      </c>
      <c r="F596" t="inlineStr">
        <is>
          <t>NORRBOTTENS LÄN</t>
        </is>
      </c>
      <c r="G596" t="inlineStr">
        <is>
          <t>BODEN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46318</v>
      </c>
      <c r="F597" t="inlineStr">
        <is>
          <t>NORRBOTTENS LÄN</t>
        </is>
      </c>
      <c r="G597" t="inlineStr">
        <is>
          <t>BODEN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46318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13925-2024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46318</v>
      </c>
      <c r="F599" t="inlineStr">
        <is>
          <t>NORRBOTTENS LÄN</t>
        </is>
      </c>
      <c r="G599" t="inlineStr">
        <is>
          <t>BODEN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46318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24498-2026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46170</v>
      </c>
      <c r="E601" s="1" t="n">
        <v>46318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26122-2026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46318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46318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21128-2025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45778</v>
      </c>
      <c r="E604" s="1" t="n">
        <v>46318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46318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45782</v>
      </c>
      <c r="E606" s="1" t="n">
        <v>46318</v>
      </c>
      <c r="F606" t="inlineStr">
        <is>
          <t>NORRBOTTENS LÄN</t>
        </is>
      </c>
      <c r="G606" t="inlineStr">
        <is>
          <t>BODEN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6516-2026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46318</v>
      </c>
      <c r="F607" t="inlineStr">
        <is>
          <t>NORRBOTTENS LÄN</t>
        </is>
      </c>
      <c r="G607" t="inlineStr">
        <is>
          <t>BODEN</t>
        </is>
      </c>
      <c r="I607" t="n">
        <v>9.800000000000001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46056</v>
      </c>
      <c r="E608" s="1" t="n">
        <v>46318</v>
      </c>
      <c r="F608" t="inlineStr">
        <is>
          <t>NORRBOTTENS LÄN</t>
        </is>
      </c>
      <c r="G608" t="inlineStr">
        <is>
          <t>BODEN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46318</v>
      </c>
      <c r="F609" t="inlineStr">
        <is>
          <t>NORRBOTTENS LÄN</t>
        </is>
      </c>
      <c r="G609" t="inlineStr">
        <is>
          <t>BODEN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46318</v>
      </c>
      <c r="F610" t="inlineStr">
        <is>
          <t>NORRBOTTENS LÄN</t>
        </is>
      </c>
      <c r="G610" t="inlineStr">
        <is>
          <t>BODEN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45260</v>
      </c>
      <c r="E611" s="1" t="n">
        <v>46318</v>
      </c>
      <c r="F611" t="inlineStr">
        <is>
          <t>NORRBOTTENS LÄN</t>
        </is>
      </c>
      <c r="G611" t="inlineStr">
        <is>
          <t>BODEN</t>
        </is>
      </c>
      <c r="I611" t="n">
        <v>33.9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34969-2024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46318</v>
      </c>
      <c r="F612" t="inlineStr">
        <is>
          <t>NORRBOTTENS LÄN</t>
        </is>
      </c>
      <c r="G612" t="inlineStr">
        <is>
          <t>BODEN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46058</v>
      </c>
      <c r="E613" s="1" t="n">
        <v>46318</v>
      </c>
      <c r="F613" t="inlineStr">
        <is>
          <t>NORRBOTTENS LÄN</t>
        </is>
      </c>
      <c r="G613" t="inlineStr">
        <is>
          <t>BODEN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61487-2023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46318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61488-2023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46318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7669-2026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46062</v>
      </c>
      <c r="E616" s="1" t="n">
        <v>46318</v>
      </c>
      <c r="F616" t="inlineStr">
        <is>
          <t>NORRBOTTENS LÄN</t>
        </is>
      </c>
      <c r="G616" t="inlineStr">
        <is>
          <t>BODEN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46318</v>
      </c>
      <c r="F617" t="inlineStr">
        <is>
          <t>NORRBOTTENS LÄN</t>
        </is>
      </c>
      <c r="G617" t="inlineStr">
        <is>
          <t>BODEN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7923-2026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46063</v>
      </c>
      <c r="E618" s="1" t="n">
        <v>46318</v>
      </c>
      <c r="F618" t="inlineStr">
        <is>
          <t>NORRBOTTENS LÄN</t>
        </is>
      </c>
      <c r="G618" t="inlineStr">
        <is>
          <t>BODEN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46318</v>
      </c>
      <c r="F619" t="inlineStr">
        <is>
          <t>NORRBOTTENS LÄN</t>
        </is>
      </c>
      <c r="G619" t="inlineStr">
        <is>
          <t>BODEN</t>
        </is>
      </c>
      <c r="I619" t="n">
        <v>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8433-2026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46318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32906-2024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45516</v>
      </c>
      <c r="E621" s="1" t="n">
        <v>46318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32913-2024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45516</v>
      </c>
      <c r="E622" s="1" t="n">
        <v>46318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44935</v>
      </c>
      <c r="E623" s="1" t="n">
        <v>46318</v>
      </c>
      <c r="F623" t="inlineStr">
        <is>
          <t>NORRBOTTENS LÄN</t>
        </is>
      </c>
      <c r="G623" t="inlineStr">
        <is>
          <t>BODEN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46318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46318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  <c r="Z625">
        <f>HYPERLINK("https://klasma.github.io/Logging_2582/knärot/A 26776-2026 karta knärot.png", "A 26776-2026")</f>
        <v/>
      </c>
      <c r="AA625">
        <f>HYPERLINK("https://klasma.github.io/Logging_2582/klagomål/A 26776-2026 FSC-klagomål.docx", "A 26776-2026")</f>
        <v/>
      </c>
      <c r="AB625">
        <f>HYPERLINK("https://klasma.github.io/Logging_2582/klagomålsmail/A 26776-2026 FSC-klagomål mail.docx", "A 26776-2026")</f>
        <v/>
      </c>
      <c r="AC625">
        <f>HYPERLINK("https://klasma.github.io/Logging_2582/tillsyn/A 26776-2026 tillsynsbegäran.docx", "A 26776-2026")</f>
        <v/>
      </c>
      <c r="AD625">
        <f>HYPERLINK("https://klasma.github.io/Logging_2582/tillsynsmail/A 26776-2026 tillsynsbegäran mail.docx", "A 26776-2026")</f>
        <v/>
      </c>
    </row>
    <row r="626" ht="15" customHeight="1">
      <c r="A626" t="inlineStr">
        <is>
          <t>A 26386-2026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46318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46318</v>
      </c>
      <c r="F627" t="inlineStr">
        <is>
          <t>NORRBOTTENS LÄN</t>
        </is>
      </c>
      <c r="G627" t="inlineStr">
        <is>
          <t>BODEN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47920-2024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45589</v>
      </c>
      <c r="E628" s="1" t="n">
        <v>46318</v>
      </c>
      <c r="F628" t="inlineStr">
        <is>
          <t>NORRBOTTENS LÄN</t>
        </is>
      </c>
      <c r="G628" t="inlineStr">
        <is>
          <t>BODEN</t>
        </is>
      </c>
      <c r="H628" t="inlineStr">
        <is>
          <t>Naturvårdsverket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26662-2026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46318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42.2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22372-2025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45786</v>
      </c>
      <c r="E630" s="1" t="n">
        <v>46318</v>
      </c>
      <c r="F630" t="inlineStr">
        <is>
          <t>NORRBOTTENS LÄN</t>
        </is>
      </c>
      <c r="G630" t="inlineStr">
        <is>
          <t>BODEN</t>
        </is>
      </c>
      <c r="H630" t="inlineStr">
        <is>
          <t>Kommuner</t>
        </is>
      </c>
      <c r="I630" t="n">
        <v>16.3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26996-2026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46318</v>
      </c>
      <c r="F631" t="inlineStr">
        <is>
          <t>NORRBOTTENS LÄN</t>
        </is>
      </c>
      <c r="G631" t="inlineStr">
        <is>
          <t>BODEN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37791-2024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45543</v>
      </c>
      <c r="E632" s="1" t="n">
        <v>46318</v>
      </c>
      <c r="F632" t="inlineStr">
        <is>
          <t>NORRBOTTENS LÄN</t>
        </is>
      </c>
      <c r="G632" t="inlineStr">
        <is>
          <t>BODEN</t>
        </is>
      </c>
      <c r="I632" t="n">
        <v>9.1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46318</v>
      </c>
      <c r="F633" t="inlineStr">
        <is>
          <t>NORRBOTTENS LÄN</t>
        </is>
      </c>
      <c r="G633" t="inlineStr">
        <is>
          <t>BODEN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46076</v>
      </c>
      <c r="E634" s="1" t="n">
        <v>46318</v>
      </c>
      <c r="F634" t="inlineStr">
        <is>
          <t>NORRBOTTENS LÄN</t>
        </is>
      </c>
      <c r="G634" t="inlineStr">
        <is>
          <t>BODEN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46318</v>
      </c>
      <c r="F635" t="inlineStr">
        <is>
          <t>NORRBOTTENS LÄN</t>
        </is>
      </c>
      <c r="G635" t="inlineStr">
        <is>
          <t>BODEN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23321-2025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46318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10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12558-2024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46318</v>
      </c>
      <c r="F637" t="inlineStr">
        <is>
          <t>NORRBOTTENS LÄN</t>
        </is>
      </c>
      <c r="G637" t="inlineStr">
        <is>
          <t>BODEN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10234-2026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46318</v>
      </c>
      <c r="F638" t="inlineStr">
        <is>
          <t>NORRBOTTENS LÄN</t>
        </is>
      </c>
      <c r="G638" t="inlineStr">
        <is>
          <t>BODEN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41487-2024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46318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23724-2025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45793</v>
      </c>
      <c r="E640" s="1" t="n">
        <v>46318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57563-2023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46318</v>
      </c>
      <c r="F641" t="inlineStr">
        <is>
          <t>NORRBOTTENS LÄN</t>
        </is>
      </c>
      <c r="G641" t="inlineStr">
        <is>
          <t>BODEN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46084</v>
      </c>
      <c r="E642" s="1" t="n">
        <v>46318</v>
      </c>
      <c r="F642" t="inlineStr">
        <is>
          <t>NORRBOTTENS LÄN</t>
        </is>
      </c>
      <c r="G642" t="inlineStr">
        <is>
          <t>BODEN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46084</v>
      </c>
      <c r="E643" s="1" t="n">
        <v>46318</v>
      </c>
      <c r="F643" t="inlineStr">
        <is>
          <t>NORRBOTTENS LÄN</t>
        </is>
      </c>
      <c r="G643" t="inlineStr">
        <is>
          <t>BODEN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48420-2024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45590</v>
      </c>
      <c r="E644" s="1" t="n">
        <v>46318</v>
      </c>
      <c r="F644" t="inlineStr">
        <is>
          <t>NORRBOTTENS LÄN</t>
        </is>
      </c>
      <c r="G644" t="inlineStr">
        <is>
          <t>BODEN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48427-2024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46318</v>
      </c>
      <c r="F645" t="inlineStr">
        <is>
          <t>NORRBOTTENS LÄN</t>
        </is>
      </c>
      <c r="G645" t="inlineStr">
        <is>
          <t>BODEN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11569-2026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46084</v>
      </c>
      <c r="E646" s="1" t="n">
        <v>46318</v>
      </c>
      <c r="F646" t="inlineStr">
        <is>
          <t>NORRBOTTENS LÄN</t>
        </is>
      </c>
      <c r="G646" t="inlineStr">
        <is>
          <t>BODEN</t>
        </is>
      </c>
      <c r="I646" t="n">
        <v>9.199999999999999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27749-2026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46191</v>
      </c>
      <c r="E647" s="1" t="n">
        <v>46318</v>
      </c>
      <c r="F647" t="inlineStr">
        <is>
          <t>NORRBOTTENS LÄN</t>
        </is>
      </c>
      <c r="G647" t="inlineStr">
        <is>
          <t>BODEN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28241-2026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46318</v>
      </c>
      <c r="F648" t="inlineStr">
        <is>
          <t>NORRBOTTENS LÄN</t>
        </is>
      </c>
      <c r="G648" t="inlineStr">
        <is>
          <t>BODEN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46084</v>
      </c>
      <c r="E649" s="1" t="n">
        <v>46318</v>
      </c>
      <c r="F649" t="inlineStr">
        <is>
          <t>NORRBOTTENS LÄN</t>
        </is>
      </c>
      <c r="G649" t="inlineStr">
        <is>
          <t>BODEN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46318</v>
      </c>
      <c r="F650" t="inlineStr">
        <is>
          <t>NORRBOTTENS LÄN</t>
        </is>
      </c>
      <c r="G650" t="inlineStr">
        <is>
          <t>BODEN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46318</v>
      </c>
      <c r="F651" t="inlineStr">
        <is>
          <t>NORRBOTTENS LÄN</t>
        </is>
      </c>
      <c r="G651" t="inlineStr">
        <is>
          <t>BODEN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45797</v>
      </c>
      <c r="E652" s="1" t="n">
        <v>46318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12338-2026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46087</v>
      </c>
      <c r="E653" s="1" t="n">
        <v>46318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6.4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24733-2025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45799</v>
      </c>
      <c r="E654" s="1" t="n">
        <v>46318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24545-2025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45798</v>
      </c>
      <c r="E655" s="1" t="n">
        <v>46318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60337-2024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45643</v>
      </c>
      <c r="E656" s="1" t="n">
        <v>46318</v>
      </c>
      <c r="F656" t="inlineStr">
        <is>
          <t>NORRBOTTENS LÄN</t>
        </is>
      </c>
      <c r="G656" t="inlineStr">
        <is>
          <t>BODEN</t>
        </is>
      </c>
      <c r="I656" t="n">
        <v>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43105-2026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46311</v>
      </c>
      <c r="E657" s="1" t="n">
        <v>46318</v>
      </c>
      <c r="F657" t="inlineStr">
        <is>
          <t>NORRBOTTENS LÄN</t>
        </is>
      </c>
      <c r="G657" t="inlineStr">
        <is>
          <t>BODEN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43108-2026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46311</v>
      </c>
      <c r="E658" s="1" t="n">
        <v>46318</v>
      </c>
      <c r="F658" t="inlineStr">
        <is>
          <t>NORRBOTTENS LÄN</t>
        </is>
      </c>
      <c r="G658" t="inlineStr">
        <is>
          <t>BODEN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28566-2026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46197</v>
      </c>
      <c r="E659" s="1" t="n">
        <v>46318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43097-2026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46311</v>
      </c>
      <c r="E660" s="1" t="n">
        <v>46318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43106-2026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46311</v>
      </c>
      <c r="E661" s="1" t="n">
        <v>46318</v>
      </c>
      <c r="F661" t="inlineStr">
        <is>
          <t>NORRBOTTENS LÄN</t>
        </is>
      </c>
      <c r="G661" t="inlineStr">
        <is>
          <t>BODEN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43109-2026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46311</v>
      </c>
      <c r="E662" s="1" t="n">
        <v>46318</v>
      </c>
      <c r="F662" t="inlineStr">
        <is>
          <t>NORRBOTTENS LÄN</t>
        </is>
      </c>
      <c r="G662" t="inlineStr">
        <is>
          <t>BODEN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46318</v>
      </c>
      <c r="F663" t="inlineStr">
        <is>
          <t>NORRBOTTENS LÄN</t>
        </is>
      </c>
      <c r="G663" t="inlineStr">
        <is>
          <t>BODEN</t>
        </is>
      </c>
      <c r="I663" t="n">
        <v>14.5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28509-2026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46318</v>
      </c>
      <c r="F664" t="inlineStr">
        <is>
          <t>NORRBOTTENS LÄN</t>
        </is>
      </c>
      <c r="G664" t="inlineStr">
        <is>
          <t>BODEN</t>
        </is>
      </c>
      <c r="I664" t="n">
        <v>8.9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43485-2026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46315</v>
      </c>
      <c r="E665" s="1" t="n">
        <v>46318</v>
      </c>
      <c r="F665" t="inlineStr">
        <is>
          <t>NORRBOTTENS LÄN</t>
        </is>
      </c>
      <c r="G665" t="inlineStr">
        <is>
          <t>BODEN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45446-2023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45194</v>
      </c>
      <c r="E666" s="1" t="n">
        <v>46318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36623-2026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46270</v>
      </c>
      <c r="E667" s="1" t="n">
        <v>46318</v>
      </c>
      <c r="F667" t="inlineStr">
        <is>
          <t>NORRBOTTENS LÄN</t>
        </is>
      </c>
      <c r="G667" t="inlineStr">
        <is>
          <t>BODEN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46197</v>
      </c>
      <c r="E668" s="1" t="n">
        <v>46318</v>
      </c>
      <c r="F668" t="inlineStr">
        <is>
          <t>NORRBOTTENS LÄN</t>
        </is>
      </c>
      <c r="G668" t="inlineStr">
        <is>
          <t>BODEN</t>
        </is>
      </c>
      <c r="I668" t="n">
        <v>10.8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43200-2026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46314</v>
      </c>
      <c r="E669" s="1" t="n">
        <v>46318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46197</v>
      </c>
      <c r="E670" s="1" t="n">
        <v>46318</v>
      </c>
      <c r="F670" t="inlineStr">
        <is>
          <t>NORRBOTTENS LÄN</t>
        </is>
      </c>
      <c r="G670" t="inlineStr">
        <is>
          <t>BODEN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46318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29152-2026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46202</v>
      </c>
      <c r="E672" s="1" t="n">
        <v>46318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46318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56837-2023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46318</v>
      </c>
      <c r="F674" t="inlineStr">
        <is>
          <t>NORRBOTTENS LÄN</t>
        </is>
      </c>
      <c r="G674" t="inlineStr">
        <is>
          <t>BODEN</t>
        </is>
      </c>
      <c r="H674" t="inlineStr">
        <is>
          <t>Övriga statliga verk och myndigheter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45376-2025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45922</v>
      </c>
      <c r="E675" s="1" t="n">
        <v>46318</v>
      </c>
      <c r="F675" t="inlineStr">
        <is>
          <t>NORRBOTTENS LÄN</t>
        </is>
      </c>
      <c r="G675" t="inlineStr">
        <is>
          <t>BODEN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46318</v>
      </c>
      <c r="F676" t="inlineStr">
        <is>
          <t>NORRBOTTENS LÄN</t>
        </is>
      </c>
      <c r="G676" t="inlineStr">
        <is>
          <t>BODEN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18002-2025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45761</v>
      </c>
      <c r="E677" s="1" t="n">
        <v>46318</v>
      </c>
      <c r="F677" t="inlineStr">
        <is>
          <t>NORRBOTTENS LÄN</t>
        </is>
      </c>
      <c r="G677" t="inlineStr">
        <is>
          <t>BODEN</t>
        </is>
      </c>
      <c r="H677" t="inlineStr">
        <is>
          <t>Övriga statliga verk och myndigheter</t>
        </is>
      </c>
      <c r="I677" t="n">
        <v>11.5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46318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14245-2026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46099</v>
      </c>
      <c r="E679" s="1" t="n">
        <v>46318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46318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46318</v>
      </c>
      <c r="F681" t="inlineStr">
        <is>
          <t>NORRBOTTENS LÄN</t>
        </is>
      </c>
      <c r="G681" t="inlineStr">
        <is>
          <t>BODEN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46318</v>
      </c>
      <c r="F682" t="inlineStr">
        <is>
          <t>NORRBOTTENS LÄN</t>
        </is>
      </c>
      <c r="G682" t="inlineStr">
        <is>
          <t>BODEN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46318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46318</v>
      </c>
      <c r="F684" t="inlineStr">
        <is>
          <t>NORRBOTTENS LÄN</t>
        </is>
      </c>
      <c r="G684" t="inlineStr">
        <is>
          <t>BODEN</t>
        </is>
      </c>
      <c r="I684" t="n">
        <v>38.7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29555-2026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46318</v>
      </c>
      <c r="F685" t="inlineStr">
        <is>
          <t>NORRBOTTENS LÄN</t>
        </is>
      </c>
      <c r="G685" t="inlineStr">
        <is>
          <t>BODEN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15342-2026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46318</v>
      </c>
      <c r="F686" t="inlineStr">
        <is>
          <t>NORRBOTTENS LÄN</t>
        </is>
      </c>
      <c r="G686" t="inlineStr">
        <is>
          <t>BODEN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43465-2026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46315</v>
      </c>
      <c r="E687" s="1" t="n">
        <v>46318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16020-2025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45748</v>
      </c>
      <c r="E688" s="1" t="n">
        <v>46318</v>
      </c>
      <c r="F688" t="inlineStr">
        <is>
          <t>NORRBOTTENS LÄN</t>
        </is>
      </c>
      <c r="G688" t="inlineStr">
        <is>
          <t>BODEN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46318</v>
      </c>
      <c r="F689" t="inlineStr">
        <is>
          <t>NORRBOTTENS LÄN</t>
        </is>
      </c>
      <c r="G689" t="inlineStr">
        <is>
          <t>BODEN</t>
        </is>
      </c>
      <c r="I689" t="n">
        <v>12.3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37436-2026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46275</v>
      </c>
      <c r="E690" s="1" t="n">
        <v>46318</v>
      </c>
      <c r="F690" t="inlineStr">
        <is>
          <t>NORRBOTTENS LÄN</t>
        </is>
      </c>
      <c r="G690" t="inlineStr">
        <is>
          <t>BODEN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37162-2026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46274</v>
      </c>
      <c r="E691" s="1" t="n">
        <v>46318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30077-2026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46206</v>
      </c>
      <c r="E692" s="1" t="n">
        <v>46318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37103-2026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46274</v>
      </c>
      <c r="E693" s="1" t="n">
        <v>46318</v>
      </c>
      <c r="F693" t="inlineStr">
        <is>
          <t>NORRBOTTENS LÄN</t>
        </is>
      </c>
      <c r="G693" t="inlineStr">
        <is>
          <t>BODEN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46318</v>
      </c>
      <c r="F694" t="inlineStr">
        <is>
          <t>NORRBOTTENS LÄN</t>
        </is>
      </c>
      <c r="G694" t="inlineStr">
        <is>
          <t>BODEN</t>
        </is>
      </c>
      <c r="I694" t="n">
        <v>9.800000000000001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30025-2026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46318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37029-2026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46273</v>
      </c>
      <c r="E696" s="1" t="n">
        <v>46318</v>
      </c>
      <c r="F696" t="inlineStr">
        <is>
          <t>NORRBOTTENS LÄN</t>
        </is>
      </c>
      <c r="G696" t="inlineStr">
        <is>
          <t>BODEN</t>
        </is>
      </c>
      <c r="H696" t="inlineStr">
        <is>
          <t>Sveaskog</t>
        </is>
      </c>
      <c r="I696" t="n">
        <v>11.8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46317</v>
      </c>
      <c r="E697" s="1" t="n">
        <v>46318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46318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57575-2025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45980</v>
      </c>
      <c r="E699" s="1" t="n">
        <v>46318</v>
      </c>
      <c r="F699" t="inlineStr">
        <is>
          <t>NORRBOTTENS LÄN</t>
        </is>
      </c>
      <c r="G699" t="inlineStr">
        <is>
          <t>BODEN</t>
        </is>
      </c>
      <c r="I699" t="n">
        <v>19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43747-2026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46316</v>
      </c>
      <c r="E700" s="1" t="n">
        <v>46318</v>
      </c>
      <c r="F700" t="inlineStr">
        <is>
          <t>NORRBOTTENS LÄN</t>
        </is>
      </c>
      <c r="G700" t="inlineStr">
        <is>
          <t>BODEN</t>
        </is>
      </c>
      <c r="H700" t="inlineStr">
        <is>
          <t>Övriga Aktiebolag</t>
        </is>
      </c>
      <c r="I700" t="n">
        <v>10.4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46275</v>
      </c>
      <c r="E701" s="1" t="n">
        <v>46318</v>
      </c>
      <c r="F701" t="inlineStr">
        <is>
          <t>NORRBOTTENS LÄN</t>
        </is>
      </c>
      <c r="G701" t="inlineStr">
        <is>
          <t>BODEN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46029</v>
      </c>
      <c r="E702" s="1" t="n">
        <v>46318</v>
      </c>
      <c r="F702" t="inlineStr">
        <is>
          <t>NORRBOTTENS LÄN</t>
        </is>
      </c>
      <c r="G702" t="inlineStr">
        <is>
          <t>BODEN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17909-2026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46318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46208</v>
      </c>
      <c r="E704" s="1" t="n">
        <v>46318</v>
      </c>
      <c r="F704" t="inlineStr">
        <is>
          <t>NORRBOTTENS LÄN</t>
        </is>
      </c>
      <c r="G704" t="inlineStr">
        <is>
          <t>BODEN</t>
        </is>
      </c>
      <c r="I704" t="n">
        <v>9.800000000000001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46206</v>
      </c>
      <c r="E705" s="1" t="n">
        <v>46318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46122</v>
      </c>
      <c r="E706" s="1" t="n">
        <v>46318</v>
      </c>
      <c r="F706" t="inlineStr">
        <is>
          <t>NORRBOTTENS LÄN</t>
        </is>
      </c>
      <c r="G706" t="inlineStr">
        <is>
          <t>BODEN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43978-2026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46317</v>
      </c>
      <c r="E707" s="1" t="n">
        <v>46318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30745-2026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46211</v>
      </c>
      <c r="E708" s="1" t="n">
        <v>46318</v>
      </c>
      <c r="F708" t="inlineStr">
        <is>
          <t>NORRBOTTENS LÄN</t>
        </is>
      </c>
      <c r="G708" t="inlineStr">
        <is>
          <t>BODEN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46318</v>
      </c>
      <c r="F709" t="inlineStr">
        <is>
          <t>NORRBOTTENS LÄN</t>
        </is>
      </c>
      <c r="G709" t="inlineStr">
        <is>
          <t>BODEN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46126</v>
      </c>
      <c r="E710" s="1" t="n">
        <v>46318</v>
      </c>
      <c r="F710" t="inlineStr">
        <is>
          <t>NORRBOTTENS LÄN</t>
        </is>
      </c>
      <c r="G710" t="inlineStr">
        <is>
          <t>BODEN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37459-2026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46275</v>
      </c>
      <c r="E711" s="1" t="n">
        <v>46318</v>
      </c>
      <c r="F711" t="inlineStr">
        <is>
          <t>NORRBOTTENS LÄN</t>
        </is>
      </c>
      <c r="G711" t="inlineStr">
        <is>
          <t>BODEN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37475-2026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46318</v>
      </c>
      <c r="F712" t="inlineStr">
        <is>
          <t>NORRBOTTENS LÄN</t>
        </is>
      </c>
      <c r="G712" t="inlineStr">
        <is>
          <t>BODEN</t>
        </is>
      </c>
      <c r="I712" t="n">
        <v>23.1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30299-2023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45110</v>
      </c>
      <c r="E713" s="1" t="n">
        <v>46318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30426-2026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46209</v>
      </c>
      <c r="E714" s="1" t="n">
        <v>46318</v>
      </c>
      <c r="F714" t="inlineStr">
        <is>
          <t>NORRBOTTENS LÄN</t>
        </is>
      </c>
      <c r="G714" t="inlineStr">
        <is>
          <t>BODEN</t>
        </is>
      </c>
      <c r="H714" t="inlineStr">
        <is>
          <t>Kommuner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46318</v>
      </c>
      <c r="F715" t="inlineStr">
        <is>
          <t>NORRBOTTENS LÄN</t>
        </is>
      </c>
      <c r="G715" t="inlineStr">
        <is>
          <t>BODEN</t>
        </is>
      </c>
      <c r="H715" t="inlineStr">
        <is>
          <t>Kommuner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43989-2026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46317</v>
      </c>
      <c r="E716" s="1" t="n">
        <v>46318</v>
      </c>
      <c r="F716" t="inlineStr">
        <is>
          <t>NORRBOTTENS LÄN</t>
        </is>
      </c>
      <c r="G716" t="inlineStr">
        <is>
          <t>BODEN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46127</v>
      </c>
      <c r="E717" s="1" t="n">
        <v>46318</v>
      </c>
      <c r="F717" t="inlineStr">
        <is>
          <t>NORRBOTTENS LÄN</t>
        </is>
      </c>
      <c r="G717" t="inlineStr">
        <is>
          <t>BODEN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30432-2026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46209</v>
      </c>
      <c r="E718" s="1" t="n">
        <v>46318</v>
      </c>
      <c r="F718" t="inlineStr">
        <is>
          <t>NORRBOTTENS LÄN</t>
        </is>
      </c>
      <c r="G718" t="inlineStr">
        <is>
          <t>BODEN</t>
        </is>
      </c>
      <c r="H718" t="inlineStr">
        <is>
          <t>Kommuner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28745-2023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45103</v>
      </c>
      <c r="E719" s="1" t="n">
        <v>46318</v>
      </c>
      <c r="F719" t="inlineStr">
        <is>
          <t>NORRBOTTENS LÄN</t>
        </is>
      </c>
      <c r="G719" t="inlineStr">
        <is>
          <t>BODEN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19050-2026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46318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19091-2026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46318</v>
      </c>
      <c r="F721" t="inlineStr">
        <is>
          <t>NORRBOTTENS LÄN</t>
        </is>
      </c>
      <c r="G721" t="inlineStr">
        <is>
          <t>BODEN</t>
        </is>
      </c>
      <c r="I721" t="n">
        <v>11.7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19200-2026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46318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19049-2026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46132</v>
      </c>
      <c r="E723" s="1" t="n">
        <v>46318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46318</v>
      </c>
      <c r="F724" t="inlineStr">
        <is>
          <t>NORRBOTTENS LÄN</t>
        </is>
      </c>
      <c r="G724" t="inlineStr">
        <is>
          <t>BODEN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46052-2025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45924</v>
      </c>
      <c r="E725" s="1" t="n">
        <v>46318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46217</v>
      </c>
      <c r="E726" s="1" t="n">
        <v>46318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40117-2025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45894</v>
      </c>
      <c r="E727" s="1" t="n">
        <v>46318</v>
      </c>
      <c r="F727" t="inlineStr">
        <is>
          <t>NORRBOTTENS LÄN</t>
        </is>
      </c>
      <c r="G727" t="inlineStr">
        <is>
          <t>BODEN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46217</v>
      </c>
      <c r="E728" s="1" t="n">
        <v>46318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31211-2026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46318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31217-2026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46217</v>
      </c>
      <c r="E730" s="1" t="n">
        <v>46318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46168</v>
      </c>
      <c r="E731" s="1" t="n">
        <v>46318</v>
      </c>
      <c r="F731" t="inlineStr">
        <is>
          <t>NORRBOTTENS LÄN</t>
        </is>
      </c>
      <c r="G731" t="inlineStr">
        <is>
          <t>BODEN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22460-2023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45070</v>
      </c>
      <c r="E732" s="1" t="n">
        <v>46318</v>
      </c>
      <c r="F732" t="inlineStr">
        <is>
          <t>NORRBOTTENS LÄN</t>
        </is>
      </c>
      <c r="G732" t="inlineStr">
        <is>
          <t>BODEN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46318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46318</v>
      </c>
      <c r="F734" t="inlineStr">
        <is>
          <t>NORRBOTTENS LÄN</t>
        </is>
      </c>
      <c r="G734" t="inlineStr">
        <is>
          <t>BODEN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45764</v>
      </c>
      <c r="E735" s="1" t="n">
        <v>46318</v>
      </c>
      <c r="F735" t="inlineStr">
        <is>
          <t>NORRBOTTENS LÄN</t>
        </is>
      </c>
      <c r="G735" t="inlineStr">
        <is>
          <t>BODEN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59890-2023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45254</v>
      </c>
      <c r="E736" s="1" t="n">
        <v>46318</v>
      </c>
      <c r="F736" t="inlineStr">
        <is>
          <t>NORRBOTTENS LÄN</t>
        </is>
      </c>
      <c r="G736" t="inlineStr">
        <is>
          <t>BODEN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32086-2026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46234</v>
      </c>
      <c r="E737" s="1" t="n">
        <v>46318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46276</v>
      </c>
      <c r="E738" s="1" t="n">
        <v>46318</v>
      </c>
      <c r="F738" t="inlineStr">
        <is>
          <t>NORRBOTTENS LÄN</t>
        </is>
      </c>
      <c r="G738" t="inlineStr">
        <is>
          <t>BODEN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37589-2026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46276</v>
      </c>
      <c r="E739" s="1" t="n">
        <v>46318</v>
      </c>
      <c r="F739" t="inlineStr">
        <is>
          <t>NORRBOTTENS LÄN</t>
        </is>
      </c>
      <c r="G739" t="inlineStr">
        <is>
          <t>BODEN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32088-2026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46234</v>
      </c>
      <c r="E740" s="1" t="n">
        <v>46318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25575-2024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45463</v>
      </c>
      <c r="E741" s="1" t="n">
        <v>46318</v>
      </c>
      <c r="F741" t="inlineStr">
        <is>
          <t>NORRBOTTENS LÄN</t>
        </is>
      </c>
      <c r="G741" t="inlineStr">
        <is>
          <t>BODEN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46234</v>
      </c>
      <c r="E742" s="1" t="n">
        <v>46318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38259-2026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46281</v>
      </c>
      <c r="E743" s="1" t="n">
        <v>46318</v>
      </c>
      <c r="F743" t="inlineStr">
        <is>
          <t>NORRBOTTENS LÄN</t>
        </is>
      </c>
      <c r="G743" t="inlineStr">
        <is>
          <t>BODEN</t>
        </is>
      </c>
      <c r="H743" t="inlineStr">
        <is>
          <t>Övriga Aktiebolag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45667</v>
      </c>
      <c r="E744" s="1" t="n">
        <v>46318</v>
      </c>
      <c r="F744" t="inlineStr">
        <is>
          <t>NORRBOTTENS LÄN</t>
        </is>
      </c>
      <c r="G744" t="inlineStr">
        <is>
          <t>BODEN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38212-2026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46281</v>
      </c>
      <c r="E745" s="1" t="n">
        <v>46318</v>
      </c>
      <c r="F745" t="inlineStr">
        <is>
          <t>NORRBOTTENS LÄN</t>
        </is>
      </c>
      <c r="G745" t="inlineStr">
        <is>
          <t>BODEN</t>
        </is>
      </c>
      <c r="H745" t="inlineStr">
        <is>
          <t>Övriga Aktiebolag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32426-2026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46238</v>
      </c>
      <c r="E746" s="1" t="n">
        <v>46318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38280-2026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46281</v>
      </c>
      <c r="E747" s="1" t="n">
        <v>46318</v>
      </c>
      <c r="F747" t="inlineStr">
        <is>
          <t>NORRBOTTENS LÄN</t>
        </is>
      </c>
      <c r="G747" t="inlineStr">
        <is>
          <t>BODEN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32427-2026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46238</v>
      </c>
      <c r="E748" s="1" t="n">
        <v>46318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38272-2026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46281</v>
      </c>
      <c r="E749" s="1" t="n">
        <v>46318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Aktiebolag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38576-2026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46283</v>
      </c>
      <c r="E750" s="1" t="n">
        <v>46318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11092-2022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44628</v>
      </c>
      <c r="E751" s="1" t="n">
        <v>46318</v>
      </c>
      <c r="F751" t="inlineStr">
        <is>
          <t>NORRBOTTENS LÄN</t>
        </is>
      </c>
      <c r="G751" t="inlineStr">
        <is>
          <t>BODEN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46318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26.6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46240</v>
      </c>
      <c r="E753" s="1" t="n">
        <v>46318</v>
      </c>
      <c r="F753" t="inlineStr">
        <is>
          <t>NORRBOTTENS LÄN</t>
        </is>
      </c>
      <c r="G753" t="inlineStr">
        <is>
          <t>BODEN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38371-2023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45161</v>
      </c>
      <c r="E754" s="1" t="n">
        <v>46318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38372-2023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45161</v>
      </c>
      <c r="E755" s="1" t="n">
        <v>46318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7.9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45718</v>
      </c>
      <c r="E756" s="1" t="n">
        <v>46318</v>
      </c>
      <c r="F756" t="inlineStr">
        <is>
          <t>NORRBOTTENS LÄN</t>
        </is>
      </c>
      <c r="G756" t="inlineStr">
        <is>
          <t>BODEN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57579-2023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45246</v>
      </c>
      <c r="E757" s="1" t="n">
        <v>46318</v>
      </c>
      <c r="F757" t="inlineStr">
        <is>
          <t>NORRBOTTENS LÄN</t>
        </is>
      </c>
      <c r="G757" t="inlineStr">
        <is>
          <t>BODEN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32678-2026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46240</v>
      </c>
      <c r="E758" s="1" t="n">
        <v>46318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38574-2026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46283</v>
      </c>
      <c r="E759" s="1" t="n">
        <v>46318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8782-2024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46318</v>
      </c>
      <c r="F760" t="inlineStr">
        <is>
          <t>NORRBOTTENS LÄN</t>
        </is>
      </c>
      <c r="G760" t="inlineStr">
        <is>
          <t>BODEN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9322-2024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45358</v>
      </c>
      <c r="E761" s="1" t="n">
        <v>46318</v>
      </c>
      <c r="F761" t="inlineStr">
        <is>
          <t>NORRBOTTENS LÄN</t>
        </is>
      </c>
      <c r="G761" t="inlineStr">
        <is>
          <t>BODEN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28444-2023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45102</v>
      </c>
      <c r="E762" s="1" t="n">
        <v>46318</v>
      </c>
      <c r="F762" t="inlineStr">
        <is>
          <t>NORRBOTTENS LÄN</t>
        </is>
      </c>
      <c r="G762" t="inlineStr">
        <is>
          <t>BODEN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3146-2024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45316</v>
      </c>
      <c r="E763" s="1" t="n">
        <v>46318</v>
      </c>
      <c r="F763" t="inlineStr">
        <is>
          <t>NORRBOTTENS LÄN</t>
        </is>
      </c>
      <c r="G763" t="inlineStr">
        <is>
          <t>BODEN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31203-2025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45832</v>
      </c>
      <c r="E764" s="1" t="n">
        <v>46318</v>
      </c>
      <c r="F764" t="inlineStr">
        <is>
          <t>NORRBOTTENS LÄN</t>
        </is>
      </c>
      <c r="G764" t="inlineStr">
        <is>
          <t>BODEN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19590-2025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45770</v>
      </c>
      <c r="E765" s="1" t="n">
        <v>46318</v>
      </c>
      <c r="F765" t="inlineStr">
        <is>
          <t>NORRBOTTENS LÄN</t>
        </is>
      </c>
      <c r="G765" t="inlineStr">
        <is>
          <t>BODEN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68611-2021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44529</v>
      </c>
      <c r="E766" s="1" t="n">
        <v>46318</v>
      </c>
      <c r="F766" t="inlineStr">
        <is>
          <t>NORRBOTTENS LÄN</t>
        </is>
      </c>
      <c r="G766" t="inlineStr">
        <is>
          <t>BODEN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44648</v>
      </c>
      <c r="E767" s="1" t="n">
        <v>46318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51193-2023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45212</v>
      </c>
      <c r="E768" s="1" t="n">
        <v>46318</v>
      </c>
      <c r="F768" t="inlineStr">
        <is>
          <t>NORRBOTTENS LÄN</t>
        </is>
      </c>
      <c r="G768" t="inlineStr">
        <is>
          <t>BODEN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39220-2026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46287</v>
      </c>
      <c r="E769" s="1" t="n">
        <v>46318</v>
      </c>
      <c r="F769" t="inlineStr">
        <is>
          <t>NORRBOTTENS LÄN</t>
        </is>
      </c>
      <c r="G769" t="inlineStr">
        <is>
          <t>BODEN</t>
        </is>
      </c>
      <c r="H769" t="inlineStr">
        <is>
          <t>Övriga Aktiebolag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29183-2026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46202</v>
      </c>
      <c r="E770" s="1" t="n">
        <v>46318</v>
      </c>
      <c r="F770" t="inlineStr">
        <is>
          <t>NORRBOTTENS LÄN</t>
        </is>
      </c>
      <c r="G770" t="inlineStr">
        <is>
          <t>BODEN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35561-2025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45856</v>
      </c>
      <c r="E771" s="1" t="n">
        <v>46318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10.8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28079-2024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45476</v>
      </c>
      <c r="E772" s="1" t="n">
        <v>46318</v>
      </c>
      <c r="F772" t="inlineStr">
        <is>
          <t>NORRBOTTENS LÄN</t>
        </is>
      </c>
      <c r="G772" t="inlineStr">
        <is>
          <t>BODEN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708-2022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44566</v>
      </c>
      <c r="E773" s="1" t="n">
        <v>46318</v>
      </c>
      <c r="F773" t="inlineStr">
        <is>
          <t>NORRBOTTENS LÄN</t>
        </is>
      </c>
      <c r="G773" t="inlineStr">
        <is>
          <t>BODEN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28496-2026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46318</v>
      </c>
      <c r="F774" t="inlineStr">
        <is>
          <t>NORRBOTTENS LÄN</t>
        </is>
      </c>
      <c r="G774" t="inlineStr">
        <is>
          <t>BODEN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39272-2024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45551</v>
      </c>
      <c r="E775" s="1" t="n">
        <v>46318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46287</v>
      </c>
      <c r="E776" s="1" t="n">
        <v>46318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46318</v>
      </c>
      <c r="F777" t="inlineStr">
        <is>
          <t>NORRBOTTENS LÄN</t>
        </is>
      </c>
      <c r="G777" t="inlineStr">
        <is>
          <t>BODEN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33697-2023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45132</v>
      </c>
      <c r="E778" s="1" t="n">
        <v>46318</v>
      </c>
      <c r="F778" t="inlineStr">
        <is>
          <t>NORRBOTTENS LÄN</t>
        </is>
      </c>
      <c r="G778" t="inlineStr">
        <is>
          <t>BODEN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61748-2024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45649</v>
      </c>
      <c r="E779" s="1" t="n">
        <v>46318</v>
      </c>
      <c r="F779" t="inlineStr">
        <is>
          <t>NORRBOTTENS LÄN</t>
        </is>
      </c>
      <c r="G779" t="inlineStr">
        <is>
          <t>BODEN</t>
        </is>
      </c>
      <c r="I779" t="n">
        <v>7.3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61757-2024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45649</v>
      </c>
      <c r="E780" s="1" t="n">
        <v>46318</v>
      </c>
      <c r="F780" t="inlineStr">
        <is>
          <t>NORRBOTTENS LÄN</t>
        </is>
      </c>
      <c r="G780" t="inlineStr">
        <is>
          <t>BODEN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39521-2026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46318</v>
      </c>
      <c r="F781" t="inlineStr">
        <is>
          <t>NORRBOTTENS LÄN</t>
        </is>
      </c>
      <c r="G781" t="inlineStr">
        <is>
          <t>BODEN</t>
        </is>
      </c>
      <c r="I781" t="n">
        <v>24.6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40028-2026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46293</v>
      </c>
      <c r="E782" s="1" t="n">
        <v>46318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29309-2023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45105</v>
      </c>
      <c r="E783" s="1" t="n">
        <v>46318</v>
      </c>
      <c r="F783" t="inlineStr">
        <is>
          <t>NORRBOTTENS LÄN</t>
        </is>
      </c>
      <c r="G783" t="inlineStr">
        <is>
          <t>BODEN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39943-2026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46318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40100-2026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46293</v>
      </c>
      <c r="E785" s="1" t="n">
        <v>46318</v>
      </c>
      <c r="F785" t="inlineStr">
        <is>
          <t>NORRBOTTENS LÄN</t>
        </is>
      </c>
      <c r="G785" t="inlineStr">
        <is>
          <t>BODEN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47097-2023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45201</v>
      </c>
      <c r="E786" s="1" t="n">
        <v>46318</v>
      </c>
      <c r="F786" t="inlineStr">
        <is>
          <t>NORRBOTTENS LÄN</t>
        </is>
      </c>
      <c r="G786" t="inlineStr">
        <is>
          <t>BODEN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28359-2023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45099</v>
      </c>
      <c r="E787" s="1" t="n">
        <v>46318</v>
      </c>
      <c r="F787" t="inlineStr">
        <is>
          <t>NORRBOTTENS LÄN</t>
        </is>
      </c>
      <c r="G787" t="inlineStr">
        <is>
          <t>BODEN</t>
        </is>
      </c>
      <c r="I787" t="n">
        <v>7.6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11647-2023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44994</v>
      </c>
      <c r="E788" s="1" t="n">
        <v>46318</v>
      </c>
      <c r="F788" t="inlineStr">
        <is>
          <t>NORRBOTTENS LÄN</t>
        </is>
      </c>
      <c r="G788" t="inlineStr">
        <is>
          <t>BODEN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11865-2025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45728</v>
      </c>
      <c r="E789" s="1" t="n">
        <v>46318</v>
      </c>
      <c r="F789" t="inlineStr">
        <is>
          <t>NORRBOTTENS LÄN</t>
        </is>
      </c>
      <c r="G789" t="inlineStr">
        <is>
          <t>BODEN</t>
        </is>
      </c>
      <c r="H789" t="inlineStr">
        <is>
          <t>Övriga Aktiebolag</t>
        </is>
      </c>
      <c r="I789" t="n">
        <v>10.6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40026-2026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46293</v>
      </c>
      <c r="E790" s="1" t="n">
        <v>46318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8.300000000000001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46901-2024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45583</v>
      </c>
      <c r="E791" s="1" t="n">
        <v>46318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4.4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33671-2026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46248</v>
      </c>
      <c r="E792" s="1" t="n">
        <v>46318</v>
      </c>
      <c r="F792" t="inlineStr">
        <is>
          <t>NORRBOTTENS LÄN</t>
        </is>
      </c>
      <c r="G792" t="inlineStr">
        <is>
          <t>BODEN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40151-2026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46293</v>
      </c>
      <c r="E793" s="1" t="n">
        <v>46318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6638-2024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45341</v>
      </c>
      <c r="E794" s="1" t="n">
        <v>46318</v>
      </c>
      <c r="F794" t="inlineStr">
        <is>
          <t>NORRBOTTENS LÄN</t>
        </is>
      </c>
      <c r="G794" t="inlineStr">
        <is>
          <t>BODEN</t>
        </is>
      </c>
      <c r="H794" t="inlineStr">
        <is>
          <t>Övriga statliga verk och myndigheter</t>
        </is>
      </c>
      <c r="I794" t="n">
        <v>12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41957-2024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45561</v>
      </c>
      <c r="E795" s="1" t="n">
        <v>46318</v>
      </c>
      <c r="F795" t="inlineStr">
        <is>
          <t>NORRBOTTENS LÄN</t>
        </is>
      </c>
      <c r="G795" t="inlineStr">
        <is>
          <t>BODEN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46252</v>
      </c>
      <c r="E796" s="1" t="n">
        <v>46318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19.5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33790-2026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46318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59983-2023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46318</v>
      </c>
      <c r="F798" t="inlineStr">
        <is>
          <t>NORRBOTTENS LÄN</t>
        </is>
      </c>
      <c r="G798" t="inlineStr">
        <is>
          <t>BODEN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67068-2021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44522</v>
      </c>
      <c r="E799" s="1" t="n">
        <v>46318</v>
      </c>
      <c r="F799" t="inlineStr">
        <is>
          <t>NORRBOTTENS LÄN</t>
        </is>
      </c>
      <c r="G799" t="inlineStr">
        <is>
          <t>BODEN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49730-2024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45596</v>
      </c>
      <c r="E800" s="1" t="n">
        <v>46318</v>
      </c>
      <c r="F800" t="inlineStr">
        <is>
          <t>NORRBOTTENS LÄN</t>
        </is>
      </c>
      <c r="G800" t="inlineStr">
        <is>
          <t>BODEN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40434-2026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46294</v>
      </c>
      <c r="E801" s="1" t="n">
        <v>46318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47424-2024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46318</v>
      </c>
      <c r="F802" t="inlineStr">
        <is>
          <t>NORRBOTTENS LÄN</t>
        </is>
      </c>
      <c r="G802" t="inlineStr">
        <is>
          <t>BODEN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34158-2026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46253</v>
      </c>
      <c r="E803" s="1" t="n">
        <v>46318</v>
      </c>
      <c r="F803" t="inlineStr">
        <is>
          <t>NORRBOTTENS LÄN</t>
        </is>
      </c>
      <c r="G803" t="inlineStr">
        <is>
          <t>BODEN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46251</v>
      </c>
      <c r="E804" s="1" t="n">
        <v>46318</v>
      </c>
      <c r="F804" t="inlineStr">
        <is>
          <t>NORRBOTTENS LÄN</t>
        </is>
      </c>
      <c r="G804" t="inlineStr">
        <is>
          <t>BODEN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45685</v>
      </c>
      <c r="E805" s="1" t="n">
        <v>46318</v>
      </c>
      <c r="F805" t="inlineStr">
        <is>
          <t>NORRBOTTENS LÄN</t>
        </is>
      </c>
      <c r="G805" t="inlineStr">
        <is>
          <t>BODEN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34462-2026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46318</v>
      </c>
      <c r="F806" t="inlineStr">
        <is>
          <t>NORRBOTTENS LÄN</t>
        </is>
      </c>
      <c r="G806" t="inlineStr">
        <is>
          <t>BODEN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46254</v>
      </c>
      <c r="E807" s="1" t="n">
        <v>46318</v>
      </c>
      <c r="F807" t="inlineStr">
        <is>
          <t>NORRBOTTENS LÄN</t>
        </is>
      </c>
      <c r="G807" t="inlineStr">
        <is>
          <t>BODEN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27543-2025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45813</v>
      </c>
      <c r="E808" s="1" t="n">
        <v>46318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40873-2026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46297</v>
      </c>
      <c r="E809" s="1" t="n">
        <v>46318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11930-2023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44994</v>
      </c>
      <c r="E810" s="1" t="n">
        <v>46318</v>
      </c>
      <c r="F810" t="inlineStr">
        <is>
          <t>NORRBOTTENS LÄN</t>
        </is>
      </c>
      <c r="G810" t="inlineStr">
        <is>
          <t>BODEN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46254</v>
      </c>
      <c r="E811" s="1" t="n">
        <v>46318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18.5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40708-2026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46296</v>
      </c>
      <c r="E812" s="1" t="n">
        <v>46318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40701-2026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46296</v>
      </c>
      <c r="E813" s="1" t="n">
        <v>46318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14.5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46029</v>
      </c>
      <c r="E814" s="1" t="n">
        <v>46318</v>
      </c>
      <c r="F814" t="inlineStr">
        <is>
          <t>NORRBOTTENS LÄN</t>
        </is>
      </c>
      <c r="G814" t="inlineStr">
        <is>
          <t>BODEN</t>
        </is>
      </c>
      <c r="H814" t="inlineStr">
        <is>
          <t>Naturvårdsverket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32276-2024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45512</v>
      </c>
      <c r="E815" s="1" t="n">
        <v>46318</v>
      </c>
      <c r="F815" t="inlineStr">
        <is>
          <t>NORRBOTTENS LÄN</t>
        </is>
      </c>
      <c r="G815" t="inlineStr">
        <is>
          <t>BODEN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41039-2026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46299</v>
      </c>
      <c r="E816" s="1" t="n">
        <v>46318</v>
      </c>
      <c r="F816" t="inlineStr">
        <is>
          <t>NORRBOTTENS LÄN</t>
        </is>
      </c>
      <c r="G816" t="inlineStr">
        <is>
          <t>BODEN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56163-2022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44889</v>
      </c>
      <c r="E817" s="1" t="n">
        <v>46318</v>
      </c>
      <c r="F817" t="inlineStr">
        <is>
          <t>NORRBOTTENS LÄN</t>
        </is>
      </c>
      <c r="G817" t="inlineStr">
        <is>
          <t>BODEN</t>
        </is>
      </c>
      <c r="I817" t="n">
        <v>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16222-2024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45406</v>
      </c>
      <c r="E818" s="1" t="n">
        <v>46318</v>
      </c>
      <c r="F818" t="inlineStr">
        <is>
          <t>NORRBOTTENS LÄN</t>
        </is>
      </c>
      <c r="G818" t="inlineStr">
        <is>
          <t>BODEN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19968-2025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45771</v>
      </c>
      <c r="E819" s="1" t="n">
        <v>46318</v>
      </c>
      <c r="F819" t="inlineStr">
        <is>
          <t>NORRBOTTENS LÄN</t>
        </is>
      </c>
      <c r="G819" t="inlineStr">
        <is>
          <t>BODEN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54104-2022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44881</v>
      </c>
      <c r="E820" s="1" t="n">
        <v>46318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47423-2024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45587</v>
      </c>
      <c r="E821" s="1" t="n">
        <v>46318</v>
      </c>
      <c r="F821" t="inlineStr">
        <is>
          <t>NORRBOTTENS LÄN</t>
        </is>
      </c>
      <c r="G821" t="inlineStr">
        <is>
          <t>BODEN</t>
        </is>
      </c>
      <c r="I821" t="n">
        <v>17.2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58099-2023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45248</v>
      </c>
      <c r="E822" s="1" t="n">
        <v>46318</v>
      </c>
      <c r="F822" t="inlineStr">
        <is>
          <t>NORRBOTTENS LÄN</t>
        </is>
      </c>
      <c r="G822" t="inlineStr">
        <is>
          <t>BODEN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5071-2025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45691</v>
      </c>
      <c r="E823" s="1" t="n">
        <v>46318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13714-2022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44648</v>
      </c>
      <c r="E824" s="1" t="n">
        <v>46318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41099-2026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46300</v>
      </c>
      <c r="E825" s="1" t="n">
        <v>46318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6.6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467-2022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44565</v>
      </c>
      <c r="E826" s="1" t="n">
        <v>46318</v>
      </c>
      <c r="F826" t="inlineStr">
        <is>
          <t>NORRBOTTENS LÄN</t>
        </is>
      </c>
      <c r="G826" t="inlineStr">
        <is>
          <t>BODEN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41568-2026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46301</v>
      </c>
      <c r="E827" s="1" t="n">
        <v>46318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41302-2026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46300</v>
      </c>
      <c r="E828" s="1" t="n">
        <v>46318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61743-2024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45649</v>
      </c>
      <c r="E829" s="1" t="n">
        <v>46318</v>
      </c>
      <c r="F829" t="inlineStr">
        <is>
          <t>NORRBOTTENS LÄN</t>
        </is>
      </c>
      <c r="G829" t="inlineStr">
        <is>
          <t>BODEN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44553-2024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45574</v>
      </c>
      <c r="E830" s="1" t="n">
        <v>46318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1081-2024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45301</v>
      </c>
      <c r="E831" s="1" t="n">
        <v>46318</v>
      </c>
      <c r="F831" t="inlineStr">
        <is>
          <t>NORRBOTTENS LÄN</t>
        </is>
      </c>
      <c r="G831" t="inlineStr">
        <is>
          <t>BODEN</t>
        </is>
      </c>
      <c r="H831" t="inlineStr">
        <is>
          <t>Övriga statliga verk och myndigheter</t>
        </is>
      </c>
      <c r="I831" t="n">
        <v>10.4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46300</v>
      </c>
      <c r="E832" s="1" t="n">
        <v>46318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41096-2026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46300</v>
      </c>
      <c r="E833" s="1" t="n">
        <v>46318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34517-2026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46255</v>
      </c>
      <c r="E834" s="1" t="n">
        <v>46318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18173-2025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45761</v>
      </c>
      <c r="E835" s="1" t="n">
        <v>46318</v>
      </c>
      <c r="F835" t="inlineStr">
        <is>
          <t>NORRBOTTENS LÄN</t>
        </is>
      </c>
      <c r="G835" t="inlineStr">
        <is>
          <t>BODEN</t>
        </is>
      </c>
      <c r="I835" t="n">
        <v>7.2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16180-2025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45750</v>
      </c>
      <c r="E836" s="1" t="n">
        <v>46318</v>
      </c>
      <c r="F836" t="inlineStr">
        <is>
          <t>NORRBOTTENS LÄN</t>
        </is>
      </c>
      <c r="G836" t="inlineStr">
        <is>
          <t>BODEN</t>
        </is>
      </c>
      <c r="H836" t="inlineStr">
        <is>
          <t>Övriga Aktiebolag</t>
        </is>
      </c>
      <c r="I836" t="n">
        <v>7.1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35060-2026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46259</v>
      </c>
      <c r="E837" s="1" t="n">
        <v>46318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44.8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34897-2026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46259</v>
      </c>
      <c r="E838" s="1" t="n">
        <v>46318</v>
      </c>
      <c r="F838" t="inlineStr">
        <is>
          <t>NORRBOTTENS LÄN</t>
        </is>
      </c>
      <c r="G838" t="inlineStr">
        <is>
          <t>BODEN</t>
        </is>
      </c>
      <c r="H838" t="inlineStr">
        <is>
          <t>Naturvårdsverket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61260-2023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45264</v>
      </c>
      <c r="E839" s="1" t="n">
        <v>46318</v>
      </c>
      <c r="F839" t="inlineStr">
        <is>
          <t>NORRBOTTENS LÄN</t>
        </is>
      </c>
      <c r="G839" t="inlineStr">
        <is>
          <t>BODEN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41706-2026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46302</v>
      </c>
      <c r="E840" s="1" t="n">
        <v>46318</v>
      </c>
      <c r="F840" t="inlineStr">
        <is>
          <t>NORRBOTTENS LÄN</t>
        </is>
      </c>
      <c r="G840" t="inlineStr">
        <is>
          <t>BODEN</t>
        </is>
      </c>
      <c r="I840" t="n">
        <v>8.4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34898-2026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46259</v>
      </c>
      <c r="E841" s="1" t="n">
        <v>46318</v>
      </c>
      <c r="F841" t="inlineStr">
        <is>
          <t>NORRBOTTENS LÄN</t>
        </is>
      </c>
      <c r="G841" t="inlineStr">
        <is>
          <t>BODEN</t>
        </is>
      </c>
      <c r="H841" t="inlineStr">
        <is>
          <t>Naturvårdsverket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5452-2025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45692</v>
      </c>
      <c r="E842" s="1" t="n">
        <v>46318</v>
      </c>
      <c r="F842" t="inlineStr">
        <is>
          <t>NORRBOTTENS LÄN</t>
        </is>
      </c>
      <c r="G842" t="inlineStr">
        <is>
          <t>BODEN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42203-2026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46305</v>
      </c>
      <c r="E843" s="1" t="n">
        <v>46318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46318</v>
      </c>
      <c r="F844" t="inlineStr">
        <is>
          <t>NORRBOTTENS LÄN</t>
        </is>
      </c>
      <c r="G844" t="inlineStr">
        <is>
          <t>BODEN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35381-2026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46318</v>
      </c>
      <c r="F845" t="inlineStr">
        <is>
          <t>NORRBOTTENS LÄN</t>
        </is>
      </c>
      <c r="G845" t="inlineStr">
        <is>
          <t>BODEN</t>
        </is>
      </c>
      <c r="I845" t="n">
        <v>10.9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42204-2026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46305</v>
      </c>
      <c r="E846" s="1" t="n">
        <v>46318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59029-2022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44903</v>
      </c>
      <c r="E847" s="1" t="n">
        <v>46318</v>
      </c>
      <c r="F847" t="inlineStr">
        <is>
          <t>NORRBOTTENS LÄN</t>
        </is>
      </c>
      <c r="G847" t="inlineStr">
        <is>
          <t>BODEN</t>
        </is>
      </c>
      <c r="I847" t="n">
        <v>7.3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19757-2025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45770</v>
      </c>
      <c r="E848" s="1" t="n">
        <v>46318</v>
      </c>
      <c r="F848" t="inlineStr">
        <is>
          <t>NORRBOTTENS LÄN</t>
        </is>
      </c>
      <c r="G848" t="inlineStr">
        <is>
          <t>BODEN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35295-2026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46318</v>
      </c>
      <c r="F849" t="inlineStr">
        <is>
          <t>NORRBOTTENS LÄN</t>
        </is>
      </c>
      <c r="G849" t="inlineStr">
        <is>
          <t>BODEN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  <c r="Z849">
        <f>HYPERLINK("https://klasma.github.io/Logging_2582/knärot/A 35295-2026 karta knärot.png", "A 35295-2026")</f>
        <v/>
      </c>
      <c r="AA849">
        <f>HYPERLINK("https://klasma.github.io/Logging_2582/klagomål/A 35295-2026 FSC-klagomål.docx", "A 35295-2026")</f>
        <v/>
      </c>
      <c r="AB849">
        <f>HYPERLINK("https://klasma.github.io/Logging_2582/klagomålsmail/A 35295-2026 FSC-klagomål mail.docx", "A 35295-2026")</f>
        <v/>
      </c>
      <c r="AC849">
        <f>HYPERLINK("https://klasma.github.io/Logging_2582/tillsyn/A 35295-2026 tillsynsbegäran.docx", "A 35295-2026")</f>
        <v/>
      </c>
      <c r="AD849">
        <f>HYPERLINK("https://klasma.github.io/Logging_2582/tillsynsmail/A 35295-2026 tillsynsbegäran mail.docx", "A 35295-2026")</f>
        <v/>
      </c>
    </row>
    <row r="850" ht="15" customHeight="1">
      <c r="A850" t="inlineStr">
        <is>
          <t>A 42213-2026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46306</v>
      </c>
      <c r="E850" s="1" t="n">
        <v>46318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42179-2026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46304</v>
      </c>
      <c r="E851" s="1" t="n">
        <v>46318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45672</v>
      </c>
      <c r="E852" s="1" t="n">
        <v>46318</v>
      </c>
      <c r="F852" t="inlineStr">
        <is>
          <t>NORRBOTTENS LÄN</t>
        </is>
      </c>
      <c r="G852" t="inlineStr">
        <is>
          <t>BODEN</t>
        </is>
      </c>
      <c r="I852" t="n">
        <v>0.1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46318</v>
      </c>
      <c r="F853" t="inlineStr">
        <is>
          <t>NORRBOTTENS LÄN</t>
        </is>
      </c>
      <c r="G853" t="inlineStr">
        <is>
          <t>BODEN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46318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42316-2026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46307</v>
      </c>
      <c r="E855" s="1" t="n">
        <v>46318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4.6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42312-2026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46307</v>
      </c>
      <c r="E856" s="1" t="n">
        <v>46318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48415-2024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45590</v>
      </c>
      <c r="E857" s="1" t="n">
        <v>46318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0.1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48471-2024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45591</v>
      </c>
      <c r="E858" s="1" t="n">
        <v>46318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48472-2024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45591</v>
      </c>
      <c r="E859" s="1" t="n">
        <v>46318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7.7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18569-2024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45425</v>
      </c>
      <c r="E860" s="1" t="n">
        <v>46318</v>
      </c>
      <c r="F860" t="inlineStr">
        <is>
          <t>NORRBOTTENS LÄN</t>
        </is>
      </c>
      <c r="G860" t="inlineStr">
        <is>
          <t>BODEN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8571-2025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45709</v>
      </c>
      <c r="E861" s="1" t="n">
        <v>46318</v>
      </c>
      <c r="F861" t="inlineStr">
        <is>
          <t>NORRBOTTENS LÄN</t>
        </is>
      </c>
      <c r="G861" t="inlineStr">
        <is>
          <t>BODEN</t>
        </is>
      </c>
      <c r="H861" t="inlineStr">
        <is>
          <t>Övriga Aktiebolag</t>
        </is>
      </c>
      <c r="I861" t="n">
        <v>14.3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15017-2022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44657</v>
      </c>
      <c r="E862" s="1" t="n">
        <v>46318</v>
      </c>
      <c r="F862" t="inlineStr">
        <is>
          <t>NORRBOTTENS LÄN</t>
        </is>
      </c>
      <c r="G862" t="inlineStr">
        <is>
          <t>BODEN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35902-2026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46266</v>
      </c>
      <c r="E863" s="1" t="n">
        <v>46318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46564-2022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44847</v>
      </c>
      <c r="E864" s="1" t="n">
        <v>46318</v>
      </c>
      <c r="F864" t="inlineStr">
        <is>
          <t>NORRBOTTENS LÄN</t>
        </is>
      </c>
      <c r="G864" t="inlineStr">
        <is>
          <t>BODEN</t>
        </is>
      </c>
      <c r="I864" t="n">
        <v>28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49162-2023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45210</v>
      </c>
      <c r="E865" s="1" t="n">
        <v>46318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42670-2026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46309</v>
      </c>
      <c r="E866" s="1" t="n">
        <v>46318</v>
      </c>
      <c r="F866" t="inlineStr">
        <is>
          <t>NORRBOTTENS LÄN</t>
        </is>
      </c>
      <c r="G866" t="inlineStr">
        <is>
          <t>BODEN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1497-2022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44573</v>
      </c>
      <c r="E867" s="1" t="n">
        <v>46318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statliga verk och myndigheter</t>
        </is>
      </c>
      <c r="I867" t="n">
        <v>9.9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36398-2026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46268</v>
      </c>
      <c r="E868" s="1" t="n">
        <v>46318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48950-2022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44859</v>
      </c>
      <c r="E869" s="1" t="n">
        <v>46318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37984-2024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45544</v>
      </c>
      <c r="E870" s="1" t="n">
        <v>46318</v>
      </c>
      <c r="F870" t="inlineStr">
        <is>
          <t>NORRBOTTENS LÄN</t>
        </is>
      </c>
      <c r="G870" t="inlineStr">
        <is>
          <t>BODEN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36406-2026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46268</v>
      </c>
      <c r="E871" s="1" t="n">
        <v>46318</v>
      </c>
      <c r="F871" t="inlineStr">
        <is>
          <t>NORRBOTTENS LÄN</t>
        </is>
      </c>
      <c r="G871" t="inlineStr">
        <is>
          <t>BODEN</t>
        </is>
      </c>
      <c r="I871" t="n">
        <v>6.4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42214-2026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46306</v>
      </c>
      <c r="E872" s="1" t="n">
        <v>46318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36187-2026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46267</v>
      </c>
      <c r="E873" s="1" t="n">
        <v>46318</v>
      </c>
      <c r="F873" t="inlineStr">
        <is>
          <t>NORRBOTTENS LÄN</t>
        </is>
      </c>
      <c r="G873" t="inlineStr">
        <is>
          <t>BODEN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45314</v>
      </c>
      <c r="E874" s="1" t="n">
        <v>46318</v>
      </c>
      <c r="F874" t="inlineStr">
        <is>
          <t>NORRBOTTENS LÄN</t>
        </is>
      </c>
      <c r="G874" t="inlineStr">
        <is>
          <t>BODEN</t>
        </is>
      </c>
      <c r="I874" t="n">
        <v>17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19563-2024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45429</v>
      </c>
      <c r="E875" s="1" t="n">
        <v>46318</v>
      </c>
      <c r="F875" t="inlineStr">
        <is>
          <t>NORRBOTTENS LÄN</t>
        </is>
      </c>
      <c r="G875" t="inlineStr">
        <is>
          <t>BODEN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42978-2026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46310</v>
      </c>
      <c r="E876" s="1" t="n">
        <v>46318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22.1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36241-2026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46268</v>
      </c>
      <c r="E877" s="1" t="n">
        <v>46318</v>
      </c>
      <c r="F877" t="inlineStr">
        <is>
          <t>NORRBOTTENS LÄN</t>
        </is>
      </c>
      <c r="G877" t="inlineStr">
        <is>
          <t>BODEN</t>
        </is>
      </c>
      <c r="H877" t="inlineStr">
        <is>
          <t>SCA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6693-2023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44963</v>
      </c>
      <c r="E878" s="1" t="n">
        <v>46318</v>
      </c>
      <c r="F878" t="inlineStr">
        <is>
          <t>NORRBOTTENS LÄN</t>
        </is>
      </c>
      <c r="G878" t="inlineStr">
        <is>
          <t>BODEN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31456-2024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45505</v>
      </c>
      <c r="E879" s="1" t="n">
        <v>46318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9969-2023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44979</v>
      </c>
      <c r="E880" s="1" t="n">
        <v>46318</v>
      </c>
      <c r="F880" t="inlineStr">
        <is>
          <t>NORRBOTTENS LÄN</t>
        </is>
      </c>
      <c r="G880" t="inlineStr">
        <is>
          <t>BODEN</t>
        </is>
      </c>
      <c r="H880" t="inlineStr">
        <is>
          <t>Övriga statliga verk och myndigheter</t>
        </is>
      </c>
      <c r="I880" t="n">
        <v>18.8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26806-2024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45470</v>
      </c>
      <c r="E881" s="1" t="n">
        <v>46318</v>
      </c>
      <c r="F881" t="inlineStr">
        <is>
          <t>NORRBOTTENS LÄN</t>
        </is>
      </c>
      <c r="G881" t="inlineStr">
        <is>
          <t>BODEN</t>
        </is>
      </c>
      <c r="H881" t="inlineStr">
        <is>
          <t>Övriga Aktiebolag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68591-2021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44529</v>
      </c>
      <c r="E882" s="1" t="n">
        <v>46318</v>
      </c>
      <c r="F882" t="inlineStr">
        <is>
          <t>NORRBOTTENS LÄN</t>
        </is>
      </c>
      <c r="G882" t="inlineStr">
        <is>
          <t>BODEN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44567-2024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45574</v>
      </c>
      <c r="E883" s="1" t="n">
        <v>46318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19051-2025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45764</v>
      </c>
      <c r="E884" s="1" t="n">
        <v>46318</v>
      </c>
      <c r="F884" t="inlineStr">
        <is>
          <t>NORRBOTTENS LÄN</t>
        </is>
      </c>
      <c r="G884" t="inlineStr">
        <is>
          <t>BODEN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14757-2023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45014</v>
      </c>
      <c r="E885" s="1" t="n">
        <v>46318</v>
      </c>
      <c r="F885" t="inlineStr">
        <is>
          <t>NORRBOTTENS LÄN</t>
        </is>
      </c>
      <c r="G885" t="inlineStr">
        <is>
          <t>BODEN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44964</v>
      </c>
      <c r="E886" s="1" t="n">
        <v>46318</v>
      </c>
      <c r="F886" t="inlineStr">
        <is>
          <t>NORRBOTTENS LÄN</t>
        </is>
      </c>
      <c r="G886" t="inlineStr">
        <is>
          <t>BODEN</t>
        </is>
      </c>
      <c r="H886" t="inlineStr">
        <is>
          <t>SCA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19624-2025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45770</v>
      </c>
      <c r="E887" s="1" t="n">
        <v>46318</v>
      </c>
      <c r="F887" t="inlineStr">
        <is>
          <t>NORRBOTTENS LÄN</t>
        </is>
      </c>
      <c r="G887" t="inlineStr">
        <is>
          <t>BODEN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59893-2023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45254</v>
      </c>
      <c r="E888" s="1" t="n">
        <v>46318</v>
      </c>
      <c r="F888" t="inlineStr">
        <is>
          <t>NORRBOTTENS LÄN</t>
        </is>
      </c>
      <c r="G888" t="inlineStr">
        <is>
          <t>BODEN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35040-2022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44796</v>
      </c>
      <c r="E889" s="1" t="n">
        <v>46318</v>
      </c>
      <c r="F889" t="inlineStr">
        <is>
          <t>NORRBOTTENS LÄN</t>
        </is>
      </c>
      <c r="G889" t="inlineStr">
        <is>
          <t>BODEN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5792-2025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45694</v>
      </c>
      <c r="E890" s="1" t="n">
        <v>46318</v>
      </c>
      <c r="F890" t="inlineStr">
        <is>
          <t>NORRBOTTENS LÄN</t>
        </is>
      </c>
      <c r="G890" t="inlineStr">
        <is>
          <t>BODEN</t>
        </is>
      </c>
      <c r="H890" t="inlineStr">
        <is>
          <t>SCA</t>
        </is>
      </c>
      <c r="I890" t="n">
        <v>4.4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885-2024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45376</v>
      </c>
      <c r="E891" s="1" t="n">
        <v>46318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1063-2023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45013</v>
      </c>
      <c r="E892" s="1" t="n">
        <v>46318</v>
      </c>
      <c r="F892" t="inlineStr">
        <is>
          <t>NORRBOTTENS LÄN</t>
        </is>
      </c>
      <c r="G892" t="inlineStr">
        <is>
          <t>BODEN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883-2024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45376</v>
      </c>
      <c r="E893" s="1" t="n">
        <v>46318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52-2025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45667</v>
      </c>
      <c r="E894" s="1" t="n">
        <v>46318</v>
      </c>
      <c r="F894" t="inlineStr">
        <is>
          <t>NORRBOTTENS LÄN</t>
        </is>
      </c>
      <c r="G894" t="inlineStr">
        <is>
          <t>BODEN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190-2023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44945</v>
      </c>
      <c r="E895" s="1" t="n">
        <v>46318</v>
      </c>
      <c r="F895" t="inlineStr">
        <is>
          <t>NORRBOTTENS LÄN</t>
        </is>
      </c>
      <c r="G895" t="inlineStr">
        <is>
          <t>BODEN</t>
        </is>
      </c>
      <c r="H895" t="inlineStr">
        <is>
          <t>SCA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977-2025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45743</v>
      </c>
      <c r="E896" s="1" t="n">
        <v>46318</v>
      </c>
      <c r="F896" t="inlineStr">
        <is>
          <t>NORRBOTTENS LÄN</t>
        </is>
      </c>
      <c r="G896" t="inlineStr">
        <is>
          <t>BODEN</t>
        </is>
      </c>
      <c r="I896" t="n">
        <v>11.1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978-2025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45743</v>
      </c>
      <c r="E897" s="1" t="n">
        <v>46318</v>
      </c>
      <c r="F897" t="inlineStr">
        <is>
          <t>NORRBOTTENS LÄN</t>
        </is>
      </c>
      <c r="G897" t="inlineStr">
        <is>
          <t>BODEN</t>
        </is>
      </c>
      <c r="I897" t="n">
        <v>19.5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1498-2025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45789</v>
      </c>
      <c r="E898" s="1" t="n">
        <v>46318</v>
      </c>
      <c r="F898" t="inlineStr">
        <is>
          <t>NORRBOTTENS LÄN</t>
        </is>
      </c>
      <c r="G898" t="inlineStr">
        <is>
          <t>BODEN</t>
        </is>
      </c>
      <c r="H898" t="inlineStr">
        <is>
          <t>Övriga Aktiebolag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1572-2025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45792</v>
      </c>
      <c r="E899" s="1" t="n">
        <v>46318</v>
      </c>
      <c r="F899" t="inlineStr">
        <is>
          <t>NORRBOTTENS LÄN</t>
        </is>
      </c>
      <c r="G899" t="inlineStr">
        <is>
          <t>BODEN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1631-2025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45799</v>
      </c>
      <c r="E900" s="1" t="n">
        <v>46318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1633-2025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45799</v>
      </c>
      <c r="E901" s="1" t="n">
        <v>46318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1632-2025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45799</v>
      </c>
      <c r="E902" s="1" t="n">
        <v>46318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1734-2025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45810</v>
      </c>
      <c r="E903" s="1" t="n">
        <v>46318</v>
      </c>
      <c r="F903" t="inlineStr">
        <is>
          <t>NORRBOTTENS LÄN</t>
        </is>
      </c>
      <c r="G903" t="inlineStr">
        <is>
          <t>BODEN</t>
        </is>
      </c>
      <c r="H903" t="inlineStr">
        <is>
          <t>Sveaskog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1811-2025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45818</v>
      </c>
      <c r="E904" s="1" t="n">
        <v>46318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2072-2025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45840</v>
      </c>
      <c r="E905" s="1" t="n">
        <v>46318</v>
      </c>
      <c r="F905" t="inlineStr">
        <is>
          <t>NORRBOTTENS LÄN</t>
        </is>
      </c>
      <c r="G905" t="inlineStr">
        <is>
          <t>BODEN</t>
        </is>
      </c>
      <c r="H905" t="inlineStr">
        <is>
          <t>Sveaskog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3580-2025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46018</v>
      </c>
      <c r="E906" s="1" t="n">
        <v>46318</v>
      </c>
      <c r="F906" t="inlineStr">
        <is>
          <t>NORRBOTTENS LÄN</t>
        </is>
      </c>
      <c r="G906" t="inlineStr">
        <is>
          <t>BODEN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1267-2026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46147</v>
      </c>
      <c r="E907" s="1" t="n">
        <v>46318</v>
      </c>
      <c r="F907" t="inlineStr">
        <is>
          <t>NORRBOTTENS LÄN</t>
        </is>
      </c>
      <c r="G907" t="inlineStr">
        <is>
          <t>BODEN</t>
        </is>
      </c>
      <c r="I907" t="n">
        <v>57.4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1261-2026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46147</v>
      </c>
      <c r="E908" s="1" t="n">
        <v>46318</v>
      </c>
      <c r="F908" t="inlineStr">
        <is>
          <t>NORRBOTTENS LÄN</t>
        </is>
      </c>
      <c r="G908" t="inlineStr">
        <is>
          <t>BODEN</t>
        </is>
      </c>
      <c r="I908" t="n">
        <v>16.9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1262-2026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46147</v>
      </c>
      <c r="E909" s="1" t="n">
        <v>46318</v>
      </c>
      <c r="F909" t="inlineStr">
        <is>
          <t>NORRBOTTENS LÄN</t>
        </is>
      </c>
      <c r="G909" t="inlineStr">
        <is>
          <t>BODEN</t>
        </is>
      </c>
      <c r="H909" t="inlineStr">
        <is>
          <t>Kommuner</t>
        </is>
      </c>
      <c r="I909" t="n">
        <v>16.2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1356-2026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46152</v>
      </c>
      <c r="E910" s="1" t="n">
        <v>46318</v>
      </c>
      <c r="F910" t="inlineStr">
        <is>
          <t>NORRBOTTENS LÄN</t>
        </is>
      </c>
      <c r="G910" t="inlineStr">
        <is>
          <t>BODEN</t>
        </is>
      </c>
      <c r="I910" t="n">
        <v>124.7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1357-2026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46152</v>
      </c>
      <c r="E911" s="1" t="n">
        <v>46318</v>
      </c>
      <c r="F911" t="inlineStr">
        <is>
          <t>NORRBOTTENS LÄN</t>
        </is>
      </c>
      <c r="G911" t="inlineStr">
        <is>
          <t>BODEN</t>
        </is>
      </c>
      <c r="I911" t="n">
        <v>38.2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1297-2026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46148</v>
      </c>
      <c r="E912" s="1" t="n">
        <v>46318</v>
      </c>
      <c r="F912" t="inlineStr">
        <is>
          <t>NORRBOTTENS LÄN</t>
        </is>
      </c>
      <c r="G912" t="inlineStr">
        <is>
          <t>BODEN</t>
        </is>
      </c>
      <c r="I912" t="n">
        <v>20.5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2026-10-23T02:03:05Z</dcterms:created>
  <dcterms:modified xmlns:dcterms="http://purl.org/dc/terms/" xmlns:xsi="http://www.w3.org/2001/XMLSchema-instance" xsi:type="dcterms:W3CDTF">2026-10-23T02:03:06Z</dcterms:modified>
</cp:coreProperties>
</file>