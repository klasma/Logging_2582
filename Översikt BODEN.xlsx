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45565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45565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45565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45565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45565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45565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45565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45565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45565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45565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45565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45565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45565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45565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45565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45565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45565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45565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45565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45565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45565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45565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45565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45565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45565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45565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45565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45565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56355-2019</t>
        </is>
      </c>
      <c r="B30" s="1" t="n">
        <v>43762</v>
      </c>
      <c r="C30" s="1" t="n">
        <v>45565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34.5</v>
      </c>
      <c r="H30" t="n">
        <v>4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Spillkråka
Talltita
Kungsfågel</t>
        </is>
      </c>
      <c r="S30">
        <f>HYPERLINK("https://klasma.github.io/Logging_2582/artfynd/A 56355-2019 artfynd.xlsx", "A 56355-2019")</f>
        <v/>
      </c>
      <c r="T30">
        <f>HYPERLINK("https://klasma.github.io/Logging_2582/kartor/A 56355-2019 karta.png", "A 56355-2019")</f>
        <v/>
      </c>
      <c r="V30">
        <f>HYPERLINK("https://klasma.github.io/Logging_2582/klagomål/A 56355-2019 FSC-klagomål.docx", "A 56355-2019")</f>
        <v/>
      </c>
      <c r="W30">
        <f>HYPERLINK("https://klasma.github.io/Logging_2582/klagomålsmail/A 56355-2019 FSC-klagomål mail.docx", "A 56355-2019")</f>
        <v/>
      </c>
      <c r="X30">
        <f>HYPERLINK("https://klasma.github.io/Logging_2582/tillsyn/A 56355-2019 tillsynsbegäran.docx", "A 56355-2019")</f>
        <v/>
      </c>
      <c r="Y30">
        <f>HYPERLINK("https://klasma.github.io/Logging_2582/tillsynsmail/A 56355-2019 tillsynsbegäran mail.docx", "A 56355-2019")</f>
        <v/>
      </c>
      <c r="Z30">
        <f>HYPERLINK("https://klasma.github.io/Logging_2582/fåglar/A 56355-2019 prioriterade fågelarter.docx", "A 56355-2019")</f>
        <v/>
      </c>
    </row>
    <row r="31" ht="15" customHeight="1">
      <c r="A31" t="inlineStr">
        <is>
          <t>A 56916-2019</t>
        </is>
      </c>
      <c r="B31" s="1" t="n">
        <v>43766</v>
      </c>
      <c r="C31" s="1" t="n">
        <v>45565</v>
      </c>
      <c r="D31" t="inlineStr">
        <is>
          <t>NORRBOTTENS LÄN</t>
        </is>
      </c>
      <c r="E31" t="inlineStr">
        <is>
          <t>BODEN</t>
        </is>
      </c>
      <c r="G31" t="n">
        <v>43.9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Buskskvätta
Gulsparv
Ärtsångare
Korallrot</t>
        </is>
      </c>
      <c r="S31">
        <f>HYPERLINK("https://klasma.github.io/Logging_2582/artfynd/A 56916-2019 artfynd.xlsx", "A 56916-2019")</f>
        <v/>
      </c>
      <c r="T31">
        <f>HYPERLINK("https://klasma.github.io/Logging_2582/kartor/A 56916-2019 karta.png", "A 56916-2019")</f>
        <v/>
      </c>
      <c r="V31">
        <f>HYPERLINK("https://klasma.github.io/Logging_2582/klagomål/A 56916-2019 FSC-klagomål.docx", "A 56916-2019")</f>
        <v/>
      </c>
      <c r="W31">
        <f>HYPERLINK("https://klasma.github.io/Logging_2582/klagomålsmail/A 56916-2019 FSC-klagomål mail.docx", "A 56916-2019")</f>
        <v/>
      </c>
      <c r="X31">
        <f>HYPERLINK("https://klasma.github.io/Logging_2582/tillsyn/A 56916-2019 tillsynsbegäran.docx", "A 56916-2019")</f>
        <v/>
      </c>
      <c r="Y31">
        <f>HYPERLINK("https://klasma.github.io/Logging_2582/tillsynsmail/A 56916-2019 tillsynsbegäran mail.docx", "A 56916-2019")</f>
        <v/>
      </c>
      <c r="Z31">
        <f>HYPERLINK("https://klasma.github.io/Logging_2582/fåglar/A 56916-2019 prioriterade fågelarter.docx", "A 56916-2019")</f>
        <v/>
      </c>
    </row>
    <row r="32" ht="15" customHeight="1">
      <c r="A32" t="inlineStr">
        <is>
          <t>A 27084-2020</t>
        </is>
      </c>
      <c r="B32" s="1" t="n">
        <v>43991</v>
      </c>
      <c r="C32" s="1" t="n">
        <v>45565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Knottrig blåslav
Vedskivlav
Vedticka</t>
        </is>
      </c>
      <c r="S32">
        <f>HYPERLINK("https://klasma.github.io/Logging_2582/artfynd/A 27084-2020 artfynd.xlsx", "A 27084-2020")</f>
        <v/>
      </c>
      <c r="T32">
        <f>HYPERLINK("https://klasma.github.io/Logging_2582/kartor/A 27084-2020 karta.png", "A 27084-2020")</f>
        <v/>
      </c>
      <c r="V32">
        <f>HYPERLINK("https://klasma.github.io/Logging_2582/klagomål/A 27084-2020 FSC-klagomål.docx", "A 27084-2020")</f>
        <v/>
      </c>
      <c r="W32">
        <f>HYPERLINK("https://klasma.github.io/Logging_2582/klagomålsmail/A 27084-2020 FSC-klagomål mail.docx", "A 27084-2020")</f>
        <v/>
      </c>
      <c r="X32">
        <f>HYPERLINK("https://klasma.github.io/Logging_2582/tillsyn/A 27084-2020 tillsynsbegäran.docx", "A 27084-2020")</f>
        <v/>
      </c>
      <c r="Y32">
        <f>HYPERLINK("https://klasma.github.io/Logging_2582/tillsynsmail/A 27084-2020 tillsynsbegäran mail.docx", "A 27084-2020")</f>
        <v/>
      </c>
    </row>
    <row r="33" ht="15" customHeight="1">
      <c r="A33" t="inlineStr">
        <is>
          <t>A 30786-2020</t>
        </is>
      </c>
      <c r="B33" s="1" t="n">
        <v>44010</v>
      </c>
      <c r="C33" s="1" t="n">
        <v>45565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Rynkskinn
Rosenticka
Ullticka
Stuplav</t>
        </is>
      </c>
      <c r="S33">
        <f>HYPERLINK("https://klasma.github.io/Logging_2582/artfynd/A 30786-2020 artfynd.xlsx", "A 30786-2020")</f>
        <v/>
      </c>
      <c r="T33">
        <f>HYPERLINK("https://klasma.github.io/Logging_2582/kartor/A 30786-2020 karta.png", "A 30786-2020")</f>
        <v/>
      </c>
      <c r="V33">
        <f>HYPERLINK("https://klasma.github.io/Logging_2582/klagomål/A 30786-2020 FSC-klagomål.docx", "A 30786-2020")</f>
        <v/>
      </c>
      <c r="W33">
        <f>HYPERLINK("https://klasma.github.io/Logging_2582/klagomålsmail/A 30786-2020 FSC-klagomål mail.docx", "A 30786-2020")</f>
        <v/>
      </c>
      <c r="X33">
        <f>HYPERLINK("https://klasma.github.io/Logging_2582/tillsyn/A 30786-2020 tillsynsbegäran.docx", "A 30786-2020")</f>
        <v/>
      </c>
      <c r="Y33">
        <f>HYPERLINK("https://klasma.github.io/Logging_2582/tillsynsmail/A 30786-2020 tillsynsbegäran mail.docx", "A 30786-2020")</f>
        <v/>
      </c>
    </row>
    <row r="34" ht="15" customHeight="1">
      <c r="A34" t="inlineStr">
        <is>
          <t>A 62075-2020</t>
        </is>
      </c>
      <c r="B34" s="1" t="n">
        <v>44158</v>
      </c>
      <c r="C34" s="1" t="n">
        <v>45565</v>
      </c>
      <c r="D34" t="inlineStr">
        <is>
          <t>NORRBOTTENS LÄN</t>
        </is>
      </c>
      <c r="E34" t="inlineStr">
        <is>
          <t>BODEN</t>
        </is>
      </c>
      <c r="G34" t="n">
        <v>6.9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Liten hornflikmossa
Veckticka
Vedflikmossa
Vedtrappmossa</t>
        </is>
      </c>
      <c r="S34">
        <f>HYPERLINK("https://klasma.github.io/Logging_2582/artfynd/A 62075-2020 artfynd.xlsx", "A 62075-2020")</f>
        <v/>
      </c>
      <c r="T34">
        <f>HYPERLINK("https://klasma.github.io/Logging_2582/kartor/A 62075-2020 karta.png", "A 62075-2020")</f>
        <v/>
      </c>
      <c r="V34">
        <f>HYPERLINK("https://klasma.github.io/Logging_2582/klagomål/A 62075-2020 FSC-klagomål.docx", "A 62075-2020")</f>
        <v/>
      </c>
      <c r="W34">
        <f>HYPERLINK("https://klasma.github.io/Logging_2582/klagomålsmail/A 62075-2020 FSC-klagomål mail.docx", "A 62075-2020")</f>
        <v/>
      </c>
      <c r="X34">
        <f>HYPERLINK("https://klasma.github.io/Logging_2582/tillsyn/A 62075-2020 tillsynsbegäran.docx", "A 62075-2020")</f>
        <v/>
      </c>
      <c r="Y34">
        <f>HYPERLINK("https://klasma.github.io/Logging_2582/tillsynsmail/A 62075-2020 tillsynsbegäran mail.docx", "A 62075-2020")</f>
        <v/>
      </c>
    </row>
    <row r="35" ht="15" customHeight="1">
      <c r="A35" t="inlineStr">
        <is>
          <t>A 30541-2021</t>
        </is>
      </c>
      <c r="B35" s="1" t="n">
        <v>44364</v>
      </c>
      <c r="C35" s="1" t="n">
        <v>45565</v>
      </c>
      <c r="D35" t="inlineStr">
        <is>
          <t>NORRBOTTENS LÄN</t>
        </is>
      </c>
      <c r="E35" t="inlineStr">
        <is>
          <t>BODEN</t>
        </is>
      </c>
      <c r="G35" t="n">
        <v>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Bollvitmossa
Vanlig padda
Revlummer</t>
        </is>
      </c>
      <c r="S35">
        <f>HYPERLINK("https://klasma.github.io/Logging_2582/artfynd/A 30541-2021 artfynd.xlsx", "A 30541-2021")</f>
        <v/>
      </c>
      <c r="T35">
        <f>HYPERLINK("https://klasma.github.io/Logging_2582/kartor/A 30541-2021 karta.png", "A 30541-2021")</f>
        <v/>
      </c>
      <c r="V35">
        <f>HYPERLINK("https://klasma.github.io/Logging_2582/klagomål/A 30541-2021 FSC-klagomål.docx", "A 30541-2021")</f>
        <v/>
      </c>
      <c r="W35">
        <f>HYPERLINK("https://klasma.github.io/Logging_2582/klagomålsmail/A 30541-2021 FSC-klagomål mail.docx", "A 30541-2021")</f>
        <v/>
      </c>
      <c r="X35">
        <f>HYPERLINK("https://klasma.github.io/Logging_2582/tillsyn/A 30541-2021 tillsynsbegäran.docx", "A 30541-2021")</f>
        <v/>
      </c>
      <c r="Y35">
        <f>HYPERLINK("https://klasma.github.io/Logging_2582/tillsynsmail/A 30541-2021 tillsynsbegäran mail.docx", "A 30541-2021")</f>
        <v/>
      </c>
    </row>
    <row r="36" ht="15" customHeight="1">
      <c r="A36" t="inlineStr">
        <is>
          <t>A 49803-2023</t>
        </is>
      </c>
      <c r="B36" s="1" t="n">
        <v>45212</v>
      </c>
      <c r="C36" s="1" t="n">
        <v>45565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2.1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Kolflarnlav
Skrovlig taggsvamp
Dropptaggsvamp
Plattlummer</t>
        </is>
      </c>
      <c r="S36">
        <f>HYPERLINK("https://klasma.github.io/Logging_2582/artfynd/A 49803-2023 artfynd.xlsx", "A 49803-2023")</f>
        <v/>
      </c>
      <c r="T36">
        <f>HYPERLINK("https://klasma.github.io/Logging_2582/kartor/A 49803-2023 karta.png", "A 49803-2023")</f>
        <v/>
      </c>
      <c r="V36">
        <f>HYPERLINK("https://klasma.github.io/Logging_2582/klagomål/A 49803-2023 FSC-klagomål.docx", "A 49803-2023")</f>
        <v/>
      </c>
      <c r="W36">
        <f>HYPERLINK("https://klasma.github.io/Logging_2582/klagomålsmail/A 49803-2023 FSC-klagomål mail.docx", "A 49803-2023")</f>
        <v/>
      </c>
      <c r="X36">
        <f>HYPERLINK("https://klasma.github.io/Logging_2582/tillsyn/A 49803-2023 tillsynsbegäran.docx", "A 49803-2023")</f>
        <v/>
      </c>
      <c r="Y36">
        <f>HYPERLINK("https://klasma.github.io/Logging_2582/tillsynsmail/A 49803-2023 tillsynsbegäran mail.docx", "A 49803-2023")</f>
        <v/>
      </c>
    </row>
    <row r="37" ht="15" customHeight="1">
      <c r="A37" t="inlineStr">
        <is>
          <t>A 50504-2023</t>
        </is>
      </c>
      <c r="B37" s="1" t="n">
        <v>45216</v>
      </c>
      <c r="C37" s="1" t="n">
        <v>45565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7.2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Gammelgransskål
Garnlav
Knottrig blåslav
Vitgrynig nållav</t>
        </is>
      </c>
      <c r="S37">
        <f>HYPERLINK("https://klasma.github.io/Logging_2582/artfynd/A 50504-2023 artfynd.xlsx", "A 50504-2023")</f>
        <v/>
      </c>
      <c r="T37">
        <f>HYPERLINK("https://klasma.github.io/Logging_2582/kartor/A 50504-2023 karta.png", "A 50504-2023")</f>
        <v/>
      </c>
      <c r="V37">
        <f>HYPERLINK("https://klasma.github.io/Logging_2582/klagomål/A 50504-2023 FSC-klagomål.docx", "A 50504-2023")</f>
        <v/>
      </c>
      <c r="W37">
        <f>HYPERLINK("https://klasma.github.io/Logging_2582/klagomålsmail/A 50504-2023 FSC-klagomål mail.docx", "A 50504-2023")</f>
        <v/>
      </c>
      <c r="X37">
        <f>HYPERLINK("https://klasma.github.io/Logging_2582/tillsyn/A 50504-2023 tillsynsbegäran.docx", "A 50504-2023")</f>
        <v/>
      </c>
      <c r="Y37">
        <f>HYPERLINK("https://klasma.github.io/Logging_2582/tillsynsmail/A 50504-2023 tillsynsbegäran mail.docx", "A 50504-2023")</f>
        <v/>
      </c>
    </row>
    <row r="38" ht="15" customHeight="1">
      <c r="A38" t="inlineStr">
        <is>
          <t>A 1879-2024</t>
        </is>
      </c>
      <c r="B38" s="1" t="n">
        <v>45307</v>
      </c>
      <c r="C38" s="1" t="n">
        <v>45565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4.5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Ringlav
Garnlav
Skogshare
Bårdlav</t>
        </is>
      </c>
      <c r="S38">
        <f>HYPERLINK("https://klasma.github.io/Logging_2582/artfynd/A 1879-2024 artfynd.xlsx", "A 1879-2024")</f>
        <v/>
      </c>
      <c r="T38">
        <f>HYPERLINK("https://klasma.github.io/Logging_2582/kartor/A 1879-2024 karta.png", "A 1879-2024")</f>
        <v/>
      </c>
      <c r="V38">
        <f>HYPERLINK("https://klasma.github.io/Logging_2582/klagomål/A 1879-2024 FSC-klagomål.docx", "A 1879-2024")</f>
        <v/>
      </c>
      <c r="W38">
        <f>HYPERLINK("https://klasma.github.io/Logging_2582/klagomålsmail/A 1879-2024 FSC-klagomål mail.docx", "A 1879-2024")</f>
        <v/>
      </c>
      <c r="X38">
        <f>HYPERLINK("https://klasma.github.io/Logging_2582/tillsyn/A 1879-2024 tillsynsbegäran.docx", "A 1879-2024")</f>
        <v/>
      </c>
      <c r="Y38">
        <f>HYPERLINK("https://klasma.github.io/Logging_2582/tillsynsmail/A 1879-2024 tillsynsbegäran mail.docx", "A 1879-2024")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45565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45565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45565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45565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45565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45565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45565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45565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45565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45565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45565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45565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45565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21127-2019</t>
        </is>
      </c>
      <c r="B52" s="1" t="n">
        <v>43579</v>
      </c>
      <c r="C52" s="1" t="n">
        <v>45565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Lunglav
Nordtagging</t>
        </is>
      </c>
      <c r="S52">
        <f>HYPERLINK("https://klasma.github.io/Logging_2582/artfynd/A 21127-2019 artfynd.xlsx", "A 21127-2019")</f>
        <v/>
      </c>
      <c r="T52">
        <f>HYPERLINK("https://klasma.github.io/Logging_2582/kartor/A 21127-2019 karta.png", "A 21127-2019")</f>
        <v/>
      </c>
      <c r="V52">
        <f>HYPERLINK("https://klasma.github.io/Logging_2582/klagomål/A 21127-2019 FSC-klagomål.docx", "A 21127-2019")</f>
        <v/>
      </c>
      <c r="W52">
        <f>HYPERLINK("https://klasma.github.io/Logging_2582/klagomålsmail/A 21127-2019 FSC-klagomål mail.docx", "A 21127-2019")</f>
        <v/>
      </c>
      <c r="X52">
        <f>HYPERLINK("https://klasma.github.io/Logging_2582/tillsyn/A 21127-2019 tillsynsbegäran.docx", "A 21127-2019")</f>
        <v/>
      </c>
      <c r="Y52">
        <f>HYPERLINK("https://klasma.github.io/Logging_2582/tillsynsmail/A 21127-2019 tillsynsbegäran mail.docx", "A 21127-2019")</f>
        <v/>
      </c>
    </row>
    <row r="53" ht="15" customHeight="1">
      <c r="A53" t="inlineStr">
        <is>
          <t>A 24672-2019</t>
        </is>
      </c>
      <c r="B53" s="1" t="n">
        <v>43601</v>
      </c>
      <c r="C53" s="1" t="n">
        <v>45565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12.8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Gräddporing
Vaddporing</t>
        </is>
      </c>
      <c r="S53">
        <f>HYPERLINK("https://klasma.github.io/Logging_2582/artfynd/A 24672-2019 artfynd.xlsx", "A 24672-2019")</f>
        <v/>
      </c>
      <c r="T53">
        <f>HYPERLINK("https://klasma.github.io/Logging_2582/kartor/A 24672-2019 karta.png", "A 24672-2019")</f>
        <v/>
      </c>
      <c r="V53">
        <f>HYPERLINK("https://klasma.github.io/Logging_2582/klagomål/A 24672-2019 FSC-klagomål.docx", "A 24672-2019")</f>
        <v/>
      </c>
      <c r="W53">
        <f>HYPERLINK("https://klasma.github.io/Logging_2582/klagomålsmail/A 24672-2019 FSC-klagomål mail.docx", "A 24672-2019")</f>
        <v/>
      </c>
      <c r="X53">
        <f>HYPERLINK("https://klasma.github.io/Logging_2582/tillsyn/A 24672-2019 tillsynsbegäran.docx", "A 24672-2019")</f>
        <v/>
      </c>
      <c r="Y53">
        <f>HYPERLINK("https://klasma.github.io/Logging_2582/tillsynsmail/A 24672-2019 tillsynsbegäran mail.docx", "A 24672-2019")</f>
        <v/>
      </c>
    </row>
    <row r="54" ht="15" customHeight="1">
      <c r="A54" t="inlineStr">
        <is>
          <t>A 52586-2019</t>
        </is>
      </c>
      <c r="B54" s="1" t="n">
        <v>43745</v>
      </c>
      <c r="C54" s="1" t="n">
        <v>45565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3.5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Äggvaxskivling
Grönpyrola</t>
        </is>
      </c>
      <c r="S54">
        <f>HYPERLINK("https://klasma.github.io/Logging_2582/artfynd/A 52586-2019 artfynd.xlsx", "A 52586-2019")</f>
        <v/>
      </c>
      <c r="T54">
        <f>HYPERLINK("https://klasma.github.io/Logging_2582/kartor/A 52586-2019 karta.png", "A 52586-2019")</f>
        <v/>
      </c>
      <c r="V54">
        <f>HYPERLINK("https://klasma.github.io/Logging_2582/klagomål/A 52586-2019 FSC-klagomål.docx", "A 52586-2019")</f>
        <v/>
      </c>
      <c r="W54">
        <f>HYPERLINK("https://klasma.github.io/Logging_2582/klagomålsmail/A 52586-2019 FSC-klagomål mail.docx", "A 52586-2019")</f>
        <v/>
      </c>
      <c r="X54">
        <f>HYPERLINK("https://klasma.github.io/Logging_2582/tillsyn/A 52586-2019 tillsynsbegäran.docx", "A 52586-2019")</f>
        <v/>
      </c>
      <c r="Y54">
        <f>HYPERLINK("https://klasma.github.io/Logging_2582/tillsynsmail/A 52586-2019 tillsynsbegäran mail.docx", "A 52586-2019")</f>
        <v/>
      </c>
    </row>
    <row r="55" ht="15" customHeight="1">
      <c r="A55" t="inlineStr">
        <is>
          <t>A 23103-2020</t>
        </is>
      </c>
      <c r="B55" s="1" t="n">
        <v>43965</v>
      </c>
      <c r="C55" s="1" t="n">
        <v>45565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Skarp dropptaggsvamp</t>
        </is>
      </c>
      <c r="S55">
        <f>HYPERLINK("https://klasma.github.io/Logging_2582/artfynd/A 23103-2020 artfynd.xlsx", "A 23103-2020")</f>
        <v/>
      </c>
      <c r="T55">
        <f>HYPERLINK("https://klasma.github.io/Logging_2582/kartor/A 23103-2020 karta.png", "A 23103-2020")</f>
        <v/>
      </c>
      <c r="V55">
        <f>HYPERLINK("https://klasma.github.io/Logging_2582/klagomål/A 23103-2020 FSC-klagomål.docx", "A 23103-2020")</f>
        <v/>
      </c>
      <c r="W55">
        <f>HYPERLINK("https://klasma.github.io/Logging_2582/klagomålsmail/A 23103-2020 FSC-klagomål mail.docx", "A 23103-2020")</f>
        <v/>
      </c>
      <c r="X55">
        <f>HYPERLINK("https://klasma.github.io/Logging_2582/tillsyn/A 23103-2020 tillsynsbegäran.docx", "A 23103-2020")</f>
        <v/>
      </c>
      <c r="Y55">
        <f>HYPERLINK("https://klasma.github.io/Logging_2582/tillsynsmail/A 23103-2020 tillsynsbegäran mail.docx", "A 23103-2020")</f>
        <v/>
      </c>
    </row>
    <row r="56" ht="15" customHeight="1">
      <c r="A56" t="inlineStr">
        <is>
          <t>A 39595-2020</t>
        </is>
      </c>
      <c r="B56" s="1" t="n">
        <v>44064</v>
      </c>
      <c r="C56" s="1" t="n">
        <v>45565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Vedskivlav</t>
        </is>
      </c>
      <c r="S56">
        <f>HYPERLINK("https://klasma.github.io/Logging_2582/artfynd/A 39595-2020 artfynd.xlsx", "A 39595-2020")</f>
        <v/>
      </c>
      <c r="T56">
        <f>HYPERLINK("https://klasma.github.io/Logging_2582/kartor/A 39595-2020 karta.png", "A 39595-2020")</f>
        <v/>
      </c>
      <c r="U56">
        <f>HYPERLINK("https://klasma.github.io/Logging_2582/knärot/A 39595-2020 karta knärot.png", "A 39595-2020")</f>
        <v/>
      </c>
      <c r="V56">
        <f>HYPERLINK("https://klasma.github.io/Logging_2582/klagomål/A 39595-2020 FSC-klagomål.docx", "A 39595-2020")</f>
        <v/>
      </c>
      <c r="W56">
        <f>HYPERLINK("https://klasma.github.io/Logging_2582/klagomålsmail/A 39595-2020 FSC-klagomål mail.docx", "A 39595-2020")</f>
        <v/>
      </c>
      <c r="X56">
        <f>HYPERLINK("https://klasma.github.io/Logging_2582/tillsyn/A 39595-2020 tillsynsbegäran.docx", "A 39595-2020")</f>
        <v/>
      </c>
      <c r="Y56">
        <f>HYPERLINK("https://klasma.github.io/Logging_2582/tillsynsmail/A 39595-2020 tillsynsbegäran mail.docx", "A 39595-2020")</f>
        <v/>
      </c>
    </row>
    <row r="57" ht="15" customHeight="1">
      <c r="A57" t="inlineStr">
        <is>
          <t>A 43635-2020</t>
        </is>
      </c>
      <c r="B57" s="1" t="n">
        <v>44082</v>
      </c>
      <c r="C57" s="1" t="n">
        <v>45565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Mörk kolflarnlav
Vedskivlav</t>
        </is>
      </c>
      <c r="S57">
        <f>HYPERLINK("https://klasma.github.io/Logging_2582/artfynd/A 43635-2020 artfynd.xlsx", "A 43635-2020")</f>
        <v/>
      </c>
      <c r="T57">
        <f>HYPERLINK("https://klasma.github.io/Logging_2582/kartor/A 43635-2020 karta.png", "A 43635-2020")</f>
        <v/>
      </c>
      <c r="V57">
        <f>HYPERLINK("https://klasma.github.io/Logging_2582/klagomål/A 43635-2020 FSC-klagomål.docx", "A 43635-2020")</f>
        <v/>
      </c>
      <c r="W57">
        <f>HYPERLINK("https://klasma.github.io/Logging_2582/klagomålsmail/A 43635-2020 FSC-klagomål mail.docx", "A 43635-2020")</f>
        <v/>
      </c>
      <c r="X57">
        <f>HYPERLINK("https://klasma.github.io/Logging_2582/tillsyn/A 43635-2020 tillsynsbegäran.docx", "A 43635-2020")</f>
        <v/>
      </c>
      <c r="Y57">
        <f>HYPERLINK("https://klasma.github.io/Logging_2582/tillsynsmail/A 43635-2020 tillsynsbegäran mail.docx", "A 43635-2020")</f>
        <v/>
      </c>
    </row>
    <row r="58" ht="15" customHeight="1">
      <c r="A58" t="inlineStr">
        <is>
          <t>A 63621-2020</t>
        </is>
      </c>
      <c r="B58" s="1" t="n">
        <v>44165</v>
      </c>
      <c r="C58" s="1" t="n">
        <v>45565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6.3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HYPERLINK("https://klasma.github.io/Logging_2582/artfynd/A 63621-2020 artfynd.xlsx", "A 63621-2020")</f>
        <v/>
      </c>
      <c r="T58">
        <f>HYPERLINK("https://klasma.github.io/Logging_2582/kartor/A 63621-2020 karta.png", "A 63621-2020")</f>
        <v/>
      </c>
      <c r="V58">
        <f>HYPERLINK("https://klasma.github.io/Logging_2582/klagomål/A 63621-2020 FSC-klagomål.docx", "A 63621-2020")</f>
        <v/>
      </c>
      <c r="W58">
        <f>HYPERLINK("https://klasma.github.io/Logging_2582/klagomålsmail/A 63621-2020 FSC-klagomål mail.docx", "A 63621-2020")</f>
        <v/>
      </c>
      <c r="X58">
        <f>HYPERLINK("https://klasma.github.io/Logging_2582/tillsyn/A 63621-2020 tillsynsbegäran.docx", "A 63621-2020")</f>
        <v/>
      </c>
      <c r="Y58">
        <f>HYPERLINK("https://klasma.github.io/Logging_2582/tillsynsmail/A 63621-2020 tillsynsbegäran mail.docx", "A 63621-2020")</f>
        <v/>
      </c>
    </row>
    <row r="59" ht="15" customHeight="1">
      <c r="A59" t="inlineStr">
        <is>
          <t>A 64565-2020</t>
        </is>
      </c>
      <c r="B59" s="1" t="n">
        <v>44166</v>
      </c>
      <c r="C59" s="1" t="n">
        <v>45565</v>
      </c>
      <c r="D59" t="inlineStr">
        <is>
          <t>NORRBOTTENS LÄN</t>
        </is>
      </c>
      <c r="E59" t="inlineStr">
        <is>
          <t>BODEN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Bårdlav
Revlummer</t>
        </is>
      </c>
      <c r="S59">
        <f>HYPERLINK("https://klasma.github.io/Logging_2582/artfynd/A 64565-2020 artfynd.xlsx", "A 64565-2020")</f>
        <v/>
      </c>
      <c r="T59">
        <f>HYPERLINK("https://klasma.github.io/Logging_2582/kartor/A 64565-2020 karta.png", "A 64565-2020")</f>
        <v/>
      </c>
      <c r="V59">
        <f>HYPERLINK("https://klasma.github.io/Logging_2582/klagomål/A 64565-2020 FSC-klagomål.docx", "A 64565-2020")</f>
        <v/>
      </c>
      <c r="W59">
        <f>HYPERLINK("https://klasma.github.io/Logging_2582/klagomålsmail/A 64565-2020 FSC-klagomål mail.docx", "A 64565-2020")</f>
        <v/>
      </c>
      <c r="X59">
        <f>HYPERLINK("https://klasma.github.io/Logging_2582/tillsyn/A 64565-2020 tillsynsbegäran.docx", "A 64565-2020")</f>
        <v/>
      </c>
      <c r="Y59">
        <f>HYPERLINK("https://klasma.github.io/Logging_2582/tillsynsmail/A 64565-2020 tillsynsbegäran mail.docx", "A 64565-2020")</f>
        <v/>
      </c>
    </row>
    <row r="60" ht="15" customHeight="1">
      <c r="A60" t="inlineStr">
        <is>
          <t>A 58196-2021</t>
        </is>
      </c>
      <c r="B60" s="1" t="n">
        <v>44487</v>
      </c>
      <c r="C60" s="1" t="n">
        <v>45565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Lunglav</t>
        </is>
      </c>
      <c r="S60">
        <f>HYPERLINK("https://klasma.github.io/Logging_2582/artfynd/A 58196-2021 artfynd.xlsx", "A 58196-2021")</f>
        <v/>
      </c>
      <c r="T60">
        <f>HYPERLINK("https://klasma.github.io/Logging_2582/kartor/A 58196-2021 karta.png", "A 58196-2021")</f>
        <v/>
      </c>
      <c r="V60">
        <f>HYPERLINK("https://klasma.github.io/Logging_2582/klagomål/A 58196-2021 FSC-klagomål.docx", "A 58196-2021")</f>
        <v/>
      </c>
      <c r="W60">
        <f>HYPERLINK("https://klasma.github.io/Logging_2582/klagomålsmail/A 58196-2021 FSC-klagomål mail.docx", "A 58196-2021")</f>
        <v/>
      </c>
      <c r="X60">
        <f>HYPERLINK("https://klasma.github.io/Logging_2582/tillsyn/A 58196-2021 tillsynsbegäran.docx", "A 58196-2021")</f>
        <v/>
      </c>
      <c r="Y60">
        <f>HYPERLINK("https://klasma.github.io/Logging_2582/tillsynsmail/A 58196-2021 tillsynsbegäran mail.docx", "A 58196-2021")</f>
        <v/>
      </c>
    </row>
    <row r="61" ht="15" customHeight="1">
      <c r="A61" t="inlineStr">
        <is>
          <t>A 58902-2021</t>
        </is>
      </c>
      <c r="B61" s="1" t="n">
        <v>44489</v>
      </c>
      <c r="C61" s="1" t="n">
        <v>45565</v>
      </c>
      <c r="D61" t="inlineStr">
        <is>
          <t>NORRBOTTENS LÄN</t>
        </is>
      </c>
      <c r="E61" t="inlineStr">
        <is>
          <t>BODEN</t>
        </is>
      </c>
      <c r="G61" t="n">
        <v>4.5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Gammelgransskål</t>
        </is>
      </c>
      <c r="S61">
        <f>HYPERLINK("https://klasma.github.io/Logging_2582/artfynd/A 58902-2021 artfynd.xlsx", "A 58902-2021")</f>
        <v/>
      </c>
      <c r="T61">
        <f>HYPERLINK("https://klasma.github.io/Logging_2582/kartor/A 58902-2021 karta.png", "A 58902-2021")</f>
        <v/>
      </c>
      <c r="V61">
        <f>HYPERLINK("https://klasma.github.io/Logging_2582/klagomål/A 58902-2021 FSC-klagomål.docx", "A 58902-2021")</f>
        <v/>
      </c>
      <c r="W61">
        <f>HYPERLINK("https://klasma.github.io/Logging_2582/klagomålsmail/A 58902-2021 FSC-klagomål mail.docx", "A 58902-2021")</f>
        <v/>
      </c>
      <c r="X61">
        <f>HYPERLINK("https://klasma.github.io/Logging_2582/tillsyn/A 58902-2021 tillsynsbegäran.docx", "A 58902-2021")</f>
        <v/>
      </c>
      <c r="Y61">
        <f>HYPERLINK("https://klasma.github.io/Logging_2582/tillsynsmail/A 58902-2021 tillsynsbegäran mail.docx", "A 58902-2021")</f>
        <v/>
      </c>
    </row>
    <row r="62" ht="15" customHeight="1">
      <c r="A62" t="inlineStr">
        <is>
          <t>A 70382-2021</t>
        </is>
      </c>
      <c r="B62" s="1" t="n">
        <v>44536</v>
      </c>
      <c r="C62" s="1" t="n">
        <v>45565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37.8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70382-2021 artfynd.xlsx", "A 70382-2021")</f>
        <v/>
      </c>
      <c r="T62">
        <f>HYPERLINK("https://klasma.github.io/Logging_2582/kartor/A 70382-2021 karta.png", "A 70382-2021")</f>
        <v/>
      </c>
      <c r="V62">
        <f>HYPERLINK("https://klasma.github.io/Logging_2582/klagomål/A 70382-2021 FSC-klagomål.docx", "A 70382-2021")</f>
        <v/>
      </c>
      <c r="W62">
        <f>HYPERLINK("https://klasma.github.io/Logging_2582/klagomålsmail/A 70382-2021 FSC-klagomål mail.docx", "A 70382-2021")</f>
        <v/>
      </c>
      <c r="X62">
        <f>HYPERLINK("https://klasma.github.io/Logging_2582/tillsyn/A 70382-2021 tillsynsbegäran.docx", "A 70382-2021")</f>
        <v/>
      </c>
      <c r="Y62">
        <f>HYPERLINK("https://klasma.github.io/Logging_2582/tillsynsmail/A 70382-2021 tillsynsbegäran mail.docx", "A 70382-2021")</f>
        <v/>
      </c>
    </row>
    <row r="63" ht="15" customHeight="1">
      <c r="A63" t="inlineStr">
        <is>
          <t>A 8137-2022</t>
        </is>
      </c>
      <c r="B63" s="1" t="n">
        <v>44609</v>
      </c>
      <c r="C63" s="1" t="n">
        <v>45565</v>
      </c>
      <c r="D63" t="inlineStr">
        <is>
          <t>NORRBOTTENS LÄN</t>
        </is>
      </c>
      <c r="E63" t="inlineStr">
        <is>
          <t>BODEN</t>
        </is>
      </c>
      <c r="G63" t="n">
        <v>8.300000000000001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Lappticka
Rosenticka</t>
        </is>
      </c>
      <c r="S63">
        <f>HYPERLINK("https://klasma.github.io/Logging_2582/artfynd/A 8137-2022 artfynd.xlsx", "A 8137-2022")</f>
        <v/>
      </c>
      <c r="T63">
        <f>HYPERLINK("https://klasma.github.io/Logging_2582/kartor/A 8137-2022 karta.png", "A 8137-2022")</f>
        <v/>
      </c>
      <c r="V63">
        <f>HYPERLINK("https://klasma.github.io/Logging_2582/klagomål/A 8137-2022 FSC-klagomål.docx", "A 8137-2022")</f>
        <v/>
      </c>
      <c r="W63">
        <f>HYPERLINK("https://klasma.github.io/Logging_2582/klagomålsmail/A 8137-2022 FSC-klagomål mail.docx", "A 8137-2022")</f>
        <v/>
      </c>
      <c r="X63">
        <f>HYPERLINK("https://klasma.github.io/Logging_2582/tillsyn/A 8137-2022 tillsynsbegäran.docx", "A 8137-2022")</f>
        <v/>
      </c>
      <c r="Y63">
        <f>HYPERLINK("https://klasma.github.io/Logging_2582/tillsynsmail/A 8137-2022 tillsynsbegäran mail.docx", "A 8137-2022")</f>
        <v/>
      </c>
    </row>
    <row r="64" ht="15" customHeight="1">
      <c r="A64" t="inlineStr">
        <is>
          <t>A 17292-2022</t>
        </is>
      </c>
      <c r="B64" s="1" t="n">
        <v>44678</v>
      </c>
      <c r="C64" s="1" t="n">
        <v>45565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HYPERLINK("https://klasma.github.io/Logging_2582/artfynd/A 17292-2022 artfynd.xlsx", "A 17292-2022")</f>
        <v/>
      </c>
      <c r="T64">
        <f>HYPERLINK("https://klasma.github.io/Logging_2582/kartor/A 17292-2022 karta.png", "A 17292-2022")</f>
        <v/>
      </c>
      <c r="V64">
        <f>HYPERLINK("https://klasma.github.io/Logging_2582/klagomål/A 17292-2022 FSC-klagomål.docx", "A 17292-2022")</f>
        <v/>
      </c>
      <c r="W64">
        <f>HYPERLINK("https://klasma.github.io/Logging_2582/klagomålsmail/A 17292-2022 FSC-klagomål mail.docx", "A 17292-2022")</f>
        <v/>
      </c>
      <c r="X64">
        <f>HYPERLINK("https://klasma.github.io/Logging_2582/tillsyn/A 17292-2022 tillsynsbegäran.docx", "A 17292-2022")</f>
        <v/>
      </c>
      <c r="Y64">
        <f>HYPERLINK("https://klasma.github.io/Logging_2582/tillsynsmail/A 17292-2022 tillsynsbegäran mail.docx", "A 17292-2022")</f>
        <v/>
      </c>
    </row>
    <row r="65" ht="15" customHeight="1">
      <c r="A65" t="inlineStr">
        <is>
          <t>A 26346-2022</t>
        </is>
      </c>
      <c r="B65" s="1" t="n">
        <v>44735</v>
      </c>
      <c r="C65" s="1" t="n">
        <v>45565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Ullticka</t>
        </is>
      </c>
      <c r="S65">
        <f>HYPERLINK("https://klasma.github.io/Logging_2582/artfynd/A 26346-2022 artfynd.xlsx", "A 26346-2022")</f>
        <v/>
      </c>
      <c r="T65">
        <f>HYPERLINK("https://klasma.github.io/Logging_2582/kartor/A 26346-2022 karta.png", "A 26346-2022")</f>
        <v/>
      </c>
      <c r="V65">
        <f>HYPERLINK("https://klasma.github.io/Logging_2582/klagomål/A 26346-2022 FSC-klagomål.docx", "A 26346-2022")</f>
        <v/>
      </c>
      <c r="W65">
        <f>HYPERLINK("https://klasma.github.io/Logging_2582/klagomålsmail/A 26346-2022 FSC-klagomål mail.docx", "A 26346-2022")</f>
        <v/>
      </c>
      <c r="X65">
        <f>HYPERLINK("https://klasma.github.io/Logging_2582/tillsyn/A 26346-2022 tillsynsbegäran.docx", "A 26346-2022")</f>
        <v/>
      </c>
      <c r="Y65">
        <f>HYPERLINK("https://klasma.github.io/Logging_2582/tillsynsmail/A 26346-2022 tillsynsbegäran mail.docx", "A 26346-2022")</f>
        <v/>
      </c>
    </row>
    <row r="66" ht="15" customHeight="1">
      <c r="A66" t="inlineStr">
        <is>
          <t>A 36629-2022</t>
        </is>
      </c>
      <c r="B66" s="1" t="n">
        <v>44804</v>
      </c>
      <c r="C66" s="1" t="n">
        <v>45565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36629-2022 artfynd.xlsx", "A 36629-2022")</f>
        <v/>
      </c>
      <c r="T66">
        <f>HYPERLINK("https://klasma.github.io/Logging_2582/kartor/A 36629-2022 karta.png", "A 36629-2022")</f>
        <v/>
      </c>
      <c r="V66">
        <f>HYPERLINK("https://klasma.github.io/Logging_2582/klagomål/A 36629-2022 FSC-klagomål.docx", "A 36629-2022")</f>
        <v/>
      </c>
      <c r="W66">
        <f>HYPERLINK("https://klasma.github.io/Logging_2582/klagomålsmail/A 36629-2022 FSC-klagomål mail.docx", "A 36629-2022")</f>
        <v/>
      </c>
      <c r="X66">
        <f>HYPERLINK("https://klasma.github.io/Logging_2582/tillsyn/A 36629-2022 tillsynsbegäran.docx", "A 36629-2022")</f>
        <v/>
      </c>
      <c r="Y66">
        <f>HYPERLINK("https://klasma.github.io/Logging_2582/tillsynsmail/A 36629-2022 tillsynsbegäran mail.docx", "A 36629-2022")</f>
        <v/>
      </c>
    </row>
    <row r="67" ht="15" customHeight="1">
      <c r="A67" t="inlineStr">
        <is>
          <t>A 42233-2022</t>
        </is>
      </c>
      <c r="B67" s="1" t="n">
        <v>44830</v>
      </c>
      <c r="C67" s="1" t="n">
        <v>45565</v>
      </c>
      <c r="D67" t="inlineStr">
        <is>
          <t>NORRBOTTENS LÄN</t>
        </is>
      </c>
      <c r="E67" t="inlineStr">
        <is>
          <t>BODEN</t>
        </is>
      </c>
      <c r="G67" t="n">
        <v>3.6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Svartvit flugsnappare
Enkelbeckasin</t>
        </is>
      </c>
      <c r="S67">
        <f>HYPERLINK("https://klasma.github.io/Logging_2582/artfynd/A 42233-2022 artfynd.xlsx", "A 42233-2022")</f>
        <v/>
      </c>
      <c r="T67">
        <f>HYPERLINK("https://klasma.github.io/Logging_2582/kartor/A 42233-2022 karta.png", "A 42233-2022")</f>
        <v/>
      </c>
      <c r="V67">
        <f>HYPERLINK("https://klasma.github.io/Logging_2582/klagomål/A 42233-2022 FSC-klagomål.docx", "A 42233-2022")</f>
        <v/>
      </c>
      <c r="W67">
        <f>HYPERLINK("https://klasma.github.io/Logging_2582/klagomålsmail/A 42233-2022 FSC-klagomål mail.docx", "A 42233-2022")</f>
        <v/>
      </c>
      <c r="X67">
        <f>HYPERLINK("https://klasma.github.io/Logging_2582/tillsyn/A 42233-2022 tillsynsbegäran.docx", "A 42233-2022")</f>
        <v/>
      </c>
      <c r="Y67">
        <f>HYPERLINK("https://klasma.github.io/Logging_2582/tillsynsmail/A 42233-2022 tillsynsbegäran mail.docx", "A 42233-2022")</f>
        <v/>
      </c>
      <c r="Z67">
        <f>HYPERLINK("https://klasma.github.io/Logging_2582/fåglar/A 42233-2022 prioriterade fågelarter.docx", "A 42233-2022")</f>
        <v/>
      </c>
    </row>
    <row r="68" ht="15" customHeight="1">
      <c r="A68" t="inlineStr">
        <is>
          <t>A 54178-2022</t>
        </is>
      </c>
      <c r="B68" s="1" t="n">
        <v>44881</v>
      </c>
      <c r="C68" s="1" t="n">
        <v>45565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Blåsippa</t>
        </is>
      </c>
      <c r="S68">
        <f>HYPERLINK("https://klasma.github.io/Logging_2582/artfynd/A 54178-2022 artfynd.xlsx", "A 54178-2022")</f>
        <v/>
      </c>
      <c r="T68">
        <f>HYPERLINK("https://klasma.github.io/Logging_2582/kartor/A 54178-2022 karta.png", "A 54178-2022")</f>
        <v/>
      </c>
      <c r="V68">
        <f>HYPERLINK("https://klasma.github.io/Logging_2582/klagomål/A 54178-2022 FSC-klagomål.docx", "A 54178-2022")</f>
        <v/>
      </c>
      <c r="W68">
        <f>HYPERLINK("https://klasma.github.io/Logging_2582/klagomålsmail/A 54178-2022 FSC-klagomål mail.docx", "A 54178-2022")</f>
        <v/>
      </c>
      <c r="X68">
        <f>HYPERLINK("https://klasma.github.io/Logging_2582/tillsyn/A 54178-2022 tillsynsbegäran.docx", "A 54178-2022")</f>
        <v/>
      </c>
      <c r="Y68">
        <f>HYPERLINK("https://klasma.github.io/Logging_2582/tillsynsmail/A 54178-2022 tillsynsbegäran mail.docx", "A 54178-2022")</f>
        <v/>
      </c>
    </row>
    <row r="69" ht="15" customHeight="1">
      <c r="A69" t="inlineStr">
        <is>
          <t>A 22906-2023</t>
        </is>
      </c>
      <c r="B69" s="1" t="n">
        <v>45072</v>
      </c>
      <c r="C69" s="1" t="n">
        <v>45565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3.5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Talltita
Utter</t>
        </is>
      </c>
      <c r="S69">
        <f>HYPERLINK("https://klasma.github.io/Logging_2582/artfynd/A 22906-2023 artfynd.xlsx", "A 22906-2023")</f>
        <v/>
      </c>
      <c r="T69">
        <f>HYPERLINK("https://klasma.github.io/Logging_2582/kartor/A 22906-2023 karta.png", "A 22906-2023")</f>
        <v/>
      </c>
      <c r="V69">
        <f>HYPERLINK("https://klasma.github.io/Logging_2582/klagomål/A 22906-2023 FSC-klagomål.docx", "A 22906-2023")</f>
        <v/>
      </c>
      <c r="W69">
        <f>HYPERLINK("https://klasma.github.io/Logging_2582/klagomålsmail/A 22906-2023 FSC-klagomål mail.docx", "A 22906-2023")</f>
        <v/>
      </c>
      <c r="X69">
        <f>HYPERLINK("https://klasma.github.io/Logging_2582/tillsyn/A 22906-2023 tillsynsbegäran.docx", "A 22906-2023")</f>
        <v/>
      </c>
      <c r="Y69">
        <f>HYPERLINK("https://klasma.github.io/Logging_2582/tillsynsmail/A 22906-2023 tillsynsbegäran mail.docx", "A 22906-2023")</f>
        <v/>
      </c>
      <c r="Z69">
        <f>HYPERLINK("https://klasma.github.io/Logging_2582/fåglar/A 22906-2023 prioriterade fågelarter.docx", "A 22906-2023")</f>
        <v/>
      </c>
    </row>
    <row r="70" ht="15" customHeight="1">
      <c r="A70" t="inlineStr">
        <is>
          <t>A 34164-2023</t>
        </is>
      </c>
      <c r="B70" s="1" t="n">
        <v>45137</v>
      </c>
      <c r="C70" s="1" t="n">
        <v>45565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2.2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HYPERLINK("https://klasma.github.io/Logging_2582/artfynd/A 34164-2023 artfynd.xlsx", "A 34164-2023")</f>
        <v/>
      </c>
      <c r="T70">
        <f>HYPERLINK("https://klasma.github.io/Logging_2582/kartor/A 34164-2023 karta.png", "A 34164-2023")</f>
        <v/>
      </c>
      <c r="V70">
        <f>HYPERLINK("https://klasma.github.io/Logging_2582/klagomål/A 34164-2023 FSC-klagomål.docx", "A 34164-2023")</f>
        <v/>
      </c>
      <c r="W70">
        <f>HYPERLINK("https://klasma.github.io/Logging_2582/klagomålsmail/A 34164-2023 FSC-klagomål mail.docx", "A 34164-2023")</f>
        <v/>
      </c>
      <c r="X70">
        <f>HYPERLINK("https://klasma.github.io/Logging_2582/tillsyn/A 34164-2023 tillsynsbegäran.docx", "A 34164-2023")</f>
        <v/>
      </c>
      <c r="Y70">
        <f>HYPERLINK("https://klasma.github.io/Logging_2582/tillsynsmail/A 34164-2023 tillsynsbegäran mail.docx", "A 34164-2023")</f>
        <v/>
      </c>
      <c r="Z70">
        <f>HYPERLINK("https://klasma.github.io/Logging_2582/fåglar/A 34164-2023 prioriterade fågelarter.docx", "A 34164-2023")</f>
        <v/>
      </c>
    </row>
    <row r="71" ht="15" customHeight="1">
      <c r="A71" t="inlineStr">
        <is>
          <t>A 39974-2023</t>
        </is>
      </c>
      <c r="B71" s="1" t="n">
        <v>45168</v>
      </c>
      <c r="C71" s="1" t="n">
        <v>45565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Bronshjon</t>
        </is>
      </c>
      <c r="S71">
        <f>HYPERLINK("https://klasma.github.io/Logging_2582/artfynd/A 39974-2023 artfynd.xlsx", "A 39974-2023")</f>
        <v/>
      </c>
      <c r="T71">
        <f>HYPERLINK("https://klasma.github.io/Logging_2582/kartor/A 39974-2023 karta.png", "A 39974-2023")</f>
        <v/>
      </c>
      <c r="V71">
        <f>HYPERLINK("https://klasma.github.io/Logging_2582/klagomål/A 39974-2023 FSC-klagomål.docx", "A 39974-2023")</f>
        <v/>
      </c>
      <c r="W71">
        <f>HYPERLINK("https://klasma.github.io/Logging_2582/klagomålsmail/A 39974-2023 FSC-klagomål mail.docx", "A 39974-2023")</f>
        <v/>
      </c>
      <c r="X71">
        <f>HYPERLINK("https://klasma.github.io/Logging_2582/tillsyn/A 39974-2023 tillsynsbegäran.docx", "A 39974-2023")</f>
        <v/>
      </c>
      <c r="Y71">
        <f>HYPERLINK("https://klasma.github.io/Logging_2582/tillsynsmail/A 39974-2023 tillsynsbegäran mail.docx", "A 39974-2023")</f>
        <v/>
      </c>
    </row>
    <row r="72" ht="15" customHeight="1">
      <c r="A72" t="inlineStr">
        <is>
          <t>A 40467-2023</t>
        </is>
      </c>
      <c r="B72" s="1" t="n">
        <v>45170</v>
      </c>
      <c r="C72" s="1" t="n">
        <v>45565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22.7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Mörk kolflarnlav</t>
        </is>
      </c>
      <c r="S72">
        <f>HYPERLINK("https://klasma.github.io/Logging_2582/artfynd/A 40467-2023 artfynd.xlsx", "A 40467-2023")</f>
        <v/>
      </c>
      <c r="T72">
        <f>HYPERLINK("https://klasma.github.io/Logging_2582/kartor/A 40467-2023 karta.png", "A 40467-2023")</f>
        <v/>
      </c>
      <c r="U72">
        <f>HYPERLINK("https://klasma.github.io/Logging_2582/knärot/A 40467-2023 karta knärot.png", "A 40467-2023")</f>
        <v/>
      </c>
      <c r="V72">
        <f>HYPERLINK("https://klasma.github.io/Logging_2582/klagomål/A 40467-2023 FSC-klagomål.docx", "A 40467-2023")</f>
        <v/>
      </c>
      <c r="W72">
        <f>HYPERLINK("https://klasma.github.io/Logging_2582/klagomålsmail/A 40467-2023 FSC-klagomål mail.docx", "A 40467-2023")</f>
        <v/>
      </c>
      <c r="X72">
        <f>HYPERLINK("https://klasma.github.io/Logging_2582/tillsyn/A 40467-2023 tillsynsbegäran.docx", "A 40467-2023")</f>
        <v/>
      </c>
      <c r="Y72">
        <f>HYPERLINK("https://klasma.github.io/Logging_2582/tillsynsmail/A 40467-2023 tillsynsbegäran mail.docx", "A 40467-2023")</f>
        <v/>
      </c>
    </row>
    <row r="73" ht="15" customHeight="1">
      <c r="A73" t="inlineStr">
        <is>
          <t>A 44185-2023</t>
        </is>
      </c>
      <c r="B73" s="1" t="n">
        <v>45188</v>
      </c>
      <c r="C73" s="1" t="n">
        <v>45565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Doftticka
Stuplav</t>
        </is>
      </c>
      <c r="S73">
        <f>HYPERLINK("https://klasma.github.io/Logging_2582/artfynd/A 44185-2023 artfynd.xlsx", "A 44185-2023")</f>
        <v/>
      </c>
      <c r="T73">
        <f>HYPERLINK("https://klasma.github.io/Logging_2582/kartor/A 44185-2023 karta.png", "A 44185-2023")</f>
        <v/>
      </c>
      <c r="V73">
        <f>HYPERLINK("https://klasma.github.io/Logging_2582/klagomål/A 44185-2023 FSC-klagomål.docx", "A 44185-2023")</f>
        <v/>
      </c>
      <c r="W73">
        <f>HYPERLINK("https://klasma.github.io/Logging_2582/klagomålsmail/A 44185-2023 FSC-klagomål mail.docx", "A 44185-2023")</f>
        <v/>
      </c>
      <c r="X73">
        <f>HYPERLINK("https://klasma.github.io/Logging_2582/tillsyn/A 44185-2023 tillsynsbegäran.docx", "A 44185-2023")</f>
        <v/>
      </c>
      <c r="Y73">
        <f>HYPERLINK("https://klasma.github.io/Logging_2582/tillsynsmail/A 44185-2023 tillsynsbegäran mail.docx", "A 44185-2023")</f>
        <v/>
      </c>
    </row>
    <row r="74" ht="15" customHeight="1">
      <c r="A74" t="inlineStr">
        <is>
          <t>A 900-2024</t>
        </is>
      </c>
      <c r="B74" s="1" t="n">
        <v>45301</v>
      </c>
      <c r="C74" s="1" t="n">
        <v>45565</v>
      </c>
      <c r="D74" t="inlineStr">
        <is>
          <t>NORRBOTTENS LÄN</t>
        </is>
      </c>
      <c r="E74" t="inlineStr">
        <is>
          <t>BODEN</t>
        </is>
      </c>
      <c r="G74" t="n">
        <v>5.2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HYPERLINK("https://klasma.github.io/Logging_2582/artfynd/A 900-2024 artfynd.xlsx", "A 900-2024")</f>
        <v/>
      </c>
      <c r="T74">
        <f>HYPERLINK("https://klasma.github.io/Logging_2582/kartor/A 900-2024 karta.png", "A 900-2024")</f>
        <v/>
      </c>
      <c r="U74">
        <f>HYPERLINK("https://klasma.github.io/Logging_2582/knärot/A 900-2024 karta knärot.png", "A 900-2024")</f>
        <v/>
      </c>
      <c r="V74">
        <f>HYPERLINK("https://klasma.github.io/Logging_2582/klagomål/A 900-2024 FSC-klagomål.docx", "A 900-2024")</f>
        <v/>
      </c>
      <c r="W74">
        <f>HYPERLINK("https://klasma.github.io/Logging_2582/klagomålsmail/A 900-2024 FSC-klagomål mail.docx", "A 900-2024")</f>
        <v/>
      </c>
      <c r="X74">
        <f>HYPERLINK("https://klasma.github.io/Logging_2582/tillsyn/A 900-2024 tillsynsbegäran.docx", "A 900-2024")</f>
        <v/>
      </c>
      <c r="Y74">
        <f>HYPERLINK("https://klasma.github.io/Logging_2582/tillsynsmail/A 900-2024 tillsynsbegäran mail.docx", "A 900-2024")</f>
        <v/>
      </c>
    </row>
    <row r="75" ht="15" customHeight="1">
      <c r="A75" t="inlineStr">
        <is>
          <t>A 6639-2024</t>
        </is>
      </c>
      <c r="B75" s="1" t="n">
        <v>45341</v>
      </c>
      <c r="C75" s="1" t="n">
        <v>45565</v>
      </c>
      <c r="D75" t="inlineStr">
        <is>
          <t>NORRBOTTENS LÄN</t>
        </is>
      </c>
      <c r="E75" t="inlineStr">
        <is>
          <t>BODEN</t>
        </is>
      </c>
      <c r="F75" t="inlineStr">
        <is>
          <t>Övriga statliga verk och myndigheter</t>
        </is>
      </c>
      <c r="G75" t="n">
        <v>23.8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Lunglav</t>
        </is>
      </c>
      <c r="S75">
        <f>HYPERLINK("https://klasma.github.io/Logging_2582/artfynd/A 6639-2024 artfynd.xlsx", "A 6639-2024")</f>
        <v/>
      </c>
      <c r="T75">
        <f>HYPERLINK("https://klasma.github.io/Logging_2582/kartor/A 6639-2024 karta.png", "A 6639-2024")</f>
        <v/>
      </c>
      <c r="V75">
        <f>HYPERLINK("https://klasma.github.io/Logging_2582/klagomål/A 6639-2024 FSC-klagomål.docx", "A 6639-2024")</f>
        <v/>
      </c>
      <c r="W75">
        <f>HYPERLINK("https://klasma.github.io/Logging_2582/klagomålsmail/A 6639-2024 FSC-klagomål mail.docx", "A 6639-2024")</f>
        <v/>
      </c>
      <c r="X75">
        <f>HYPERLINK("https://klasma.github.io/Logging_2582/tillsyn/A 6639-2024 tillsynsbegäran.docx", "A 6639-2024")</f>
        <v/>
      </c>
      <c r="Y75">
        <f>HYPERLINK("https://klasma.github.io/Logging_2582/tillsynsmail/A 6639-2024 tillsynsbegäran mail.docx", "A 6639-2024")</f>
        <v/>
      </c>
    </row>
    <row r="76" ht="15" customHeight="1">
      <c r="A76" t="inlineStr">
        <is>
          <t>A 26822-2024</t>
        </is>
      </c>
      <c r="B76" s="1" t="n">
        <v>45470</v>
      </c>
      <c r="C76" s="1" t="n">
        <v>45565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Fläcknycklar</t>
        </is>
      </c>
      <c r="S76">
        <f>HYPERLINK("https://klasma.github.io/Logging_2582/artfynd/A 26822-2024 artfynd.xlsx", "A 26822-2024")</f>
        <v/>
      </c>
      <c r="T76">
        <f>HYPERLINK("https://klasma.github.io/Logging_2582/kartor/A 26822-2024 karta.png", "A 26822-2024")</f>
        <v/>
      </c>
      <c r="V76">
        <f>HYPERLINK("https://klasma.github.io/Logging_2582/klagomål/A 26822-2024 FSC-klagomål.docx", "A 26822-2024")</f>
        <v/>
      </c>
      <c r="W76">
        <f>HYPERLINK("https://klasma.github.io/Logging_2582/klagomålsmail/A 26822-2024 FSC-klagomål mail.docx", "A 26822-2024")</f>
        <v/>
      </c>
      <c r="X76">
        <f>HYPERLINK("https://klasma.github.io/Logging_2582/tillsyn/A 26822-2024 tillsynsbegäran.docx", "A 26822-2024")</f>
        <v/>
      </c>
      <c r="Y76">
        <f>HYPERLINK("https://klasma.github.io/Logging_2582/tillsynsmail/A 26822-2024 tillsynsbegäran mail.docx", "A 26822-2024")</f>
        <v/>
      </c>
    </row>
    <row r="77" ht="15" customHeight="1">
      <c r="A77" t="inlineStr">
        <is>
          <t>A 32971-2024</t>
        </is>
      </c>
      <c r="B77" s="1" t="n">
        <v>45517</v>
      </c>
      <c r="C77" s="1" t="n">
        <v>45565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32971-2024 artfynd.xlsx", "A 32971-2024")</f>
        <v/>
      </c>
      <c r="T77">
        <f>HYPERLINK("https://klasma.github.io/Logging_2582/kartor/A 32971-2024 karta.png", "A 32971-2024")</f>
        <v/>
      </c>
      <c r="V77">
        <f>HYPERLINK("https://klasma.github.io/Logging_2582/klagomål/A 32971-2024 FSC-klagomål.docx", "A 32971-2024")</f>
        <v/>
      </c>
      <c r="W77">
        <f>HYPERLINK("https://klasma.github.io/Logging_2582/klagomålsmail/A 32971-2024 FSC-klagomål mail.docx", "A 32971-2024")</f>
        <v/>
      </c>
      <c r="X77">
        <f>HYPERLINK("https://klasma.github.io/Logging_2582/tillsyn/A 32971-2024 tillsynsbegäran.docx", "A 32971-2024")</f>
        <v/>
      </c>
      <c r="Y77">
        <f>HYPERLINK("https://klasma.github.io/Logging_2582/tillsynsmail/A 32971-2024 tillsynsbegäran mail.docx", "A 32971-2024")</f>
        <v/>
      </c>
    </row>
    <row r="78" ht="15" customHeight="1">
      <c r="A78" t="inlineStr">
        <is>
          <t>A 34737-2024</t>
        </is>
      </c>
      <c r="B78" s="1" t="n">
        <v>45526</v>
      </c>
      <c r="C78" s="1" t="n">
        <v>45565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34737-2024 artfynd.xlsx", "A 34737-2024")</f>
        <v/>
      </c>
      <c r="T78">
        <f>HYPERLINK("https://klasma.github.io/Logging_2582/kartor/A 34737-2024 karta.png", "A 34737-2024")</f>
        <v/>
      </c>
      <c r="V78">
        <f>HYPERLINK("https://klasma.github.io/Logging_2582/klagomål/A 34737-2024 FSC-klagomål.docx", "A 34737-2024")</f>
        <v/>
      </c>
      <c r="W78">
        <f>HYPERLINK("https://klasma.github.io/Logging_2582/klagomålsmail/A 34737-2024 FSC-klagomål mail.docx", "A 34737-2024")</f>
        <v/>
      </c>
      <c r="X78">
        <f>HYPERLINK("https://klasma.github.io/Logging_2582/tillsyn/A 34737-2024 tillsynsbegäran.docx", "A 34737-2024")</f>
        <v/>
      </c>
      <c r="Y78">
        <f>HYPERLINK("https://klasma.github.io/Logging_2582/tillsynsmail/A 34737-2024 tillsynsbegäran mail.docx", "A 34737-2024")</f>
        <v/>
      </c>
    </row>
    <row r="79" ht="15" customHeight="1">
      <c r="A79" t="inlineStr">
        <is>
          <t>A 41087-2024</t>
        </is>
      </c>
      <c r="B79" s="1" t="n">
        <v>45559</v>
      </c>
      <c r="C79" s="1" t="n">
        <v>45565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7.5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Spindelblomster</t>
        </is>
      </c>
      <c r="S79">
        <f>HYPERLINK("https://klasma.github.io/Logging_2582/artfynd/A 41087-2024 artfynd.xlsx", "A 41087-2024")</f>
        <v/>
      </c>
      <c r="T79">
        <f>HYPERLINK("https://klasma.github.io/Logging_2582/kartor/A 41087-2024 karta.png", "A 41087-2024")</f>
        <v/>
      </c>
      <c r="V79">
        <f>HYPERLINK("https://klasma.github.io/Logging_2582/klagomål/A 41087-2024 FSC-klagomål.docx", "A 41087-2024")</f>
        <v/>
      </c>
      <c r="W79">
        <f>HYPERLINK("https://klasma.github.io/Logging_2582/klagomålsmail/A 41087-2024 FSC-klagomål mail.docx", "A 41087-2024")</f>
        <v/>
      </c>
      <c r="X79">
        <f>HYPERLINK("https://klasma.github.io/Logging_2582/tillsyn/A 41087-2024 tillsynsbegäran.docx", "A 41087-2024")</f>
        <v/>
      </c>
      <c r="Y79">
        <f>HYPERLINK("https://klasma.github.io/Logging_2582/tillsynsmail/A 41087-2024 tillsynsbegäran mail.docx", "A 41087-2024")</f>
        <v/>
      </c>
    </row>
    <row r="80" ht="15" customHeight="1">
      <c r="A80" t="inlineStr">
        <is>
          <t>A 21123-2019</t>
        </is>
      </c>
      <c r="B80" s="1" t="n">
        <v>43579</v>
      </c>
      <c r="C80" s="1" t="n">
        <v>45565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HYPERLINK("https://klasma.github.io/Logging_2582/artfynd/A 21123-2019 artfynd.xlsx", "A 21123-2019")</f>
        <v/>
      </c>
      <c r="T80">
        <f>HYPERLINK("https://klasma.github.io/Logging_2582/kartor/A 21123-2019 karta.png", "A 21123-2019")</f>
        <v/>
      </c>
      <c r="V80">
        <f>HYPERLINK("https://klasma.github.io/Logging_2582/klagomål/A 21123-2019 FSC-klagomål.docx", "A 21123-2019")</f>
        <v/>
      </c>
      <c r="W80">
        <f>HYPERLINK("https://klasma.github.io/Logging_2582/klagomålsmail/A 21123-2019 FSC-klagomål mail.docx", "A 21123-2019")</f>
        <v/>
      </c>
      <c r="X80">
        <f>HYPERLINK("https://klasma.github.io/Logging_2582/tillsyn/A 21123-2019 tillsynsbegäran.docx", "A 21123-2019")</f>
        <v/>
      </c>
      <c r="Y80">
        <f>HYPERLINK("https://klasma.github.io/Logging_2582/tillsynsmail/A 21123-2019 tillsynsbegäran mail.docx", "A 21123-2019")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45565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45565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45565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45565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45565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45565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45565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45565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45565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45565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45565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45565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45565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45565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45565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45565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45565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45565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45565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45565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45565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45565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45565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45565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45565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45565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45565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45565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45565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45565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45565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45565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45565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45565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45565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45565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45565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45565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45565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45565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45565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45565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45565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45565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45565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45565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45565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45565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45565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45565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45565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45565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45565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45565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45565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45565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45565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45565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45565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45565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45565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45565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45565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45565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45565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45565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45565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45565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45565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45565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45565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45565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45565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45565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45565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45565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45565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45565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45565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45565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45565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45565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45565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45565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45565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45565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45565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45565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45565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45565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45565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45565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45565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45565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45565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45565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45565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45565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45565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45565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45565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45565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45565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45565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45565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45565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45565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45565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45565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45565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45565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45565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45565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45565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45565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45565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45565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45565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45565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45565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45565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45565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45565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45565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45565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45565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45565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45565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45565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45565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45565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45565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45565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45565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45565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45565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45565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45565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45565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45565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45565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45565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45565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45565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45565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45565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45565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45565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45565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45565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45565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45565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45565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45565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45565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45565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45565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45565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45565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45565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45565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45565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45565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45565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45565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45565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45565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45565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45565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45565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45565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45565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45565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45565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45565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45565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45565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45565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45565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45565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45565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45565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45565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45565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45565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45565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45565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45565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45565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45565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45565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45565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45565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45565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45565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45565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45565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45565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45565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45565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45565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45565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45565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45565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45565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45565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45565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45565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45565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45565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45565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45565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45565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45565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45565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45565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45565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45565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45565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45565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45565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45565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45565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45565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45565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45565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45565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45565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45565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45565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45565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45565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45565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45565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45565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45565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45565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45565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45565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45565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45565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45565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45565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45565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45565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45565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45565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45565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45565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45565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45565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45565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45565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45565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45565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45565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45565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45565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45565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45565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45565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45565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45565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45565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45565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45565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45565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45565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45565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45565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45565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45565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45565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45565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45565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45565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45565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45565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45565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45565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45565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45565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45565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45565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45565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45565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45565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45565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45565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45565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45565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45565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45565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45565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45565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45565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45565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45565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45565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45565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45565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45565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45565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45565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45565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45565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45565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45565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45565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45565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45565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45565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45565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45565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45565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45565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45565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45565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45565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45565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45565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45565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45565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45565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45565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45565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45565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45565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45565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45565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45565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45565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45565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45565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45565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45565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45565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45565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45565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45565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45565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45565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45565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45565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45565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45565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45565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45565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45565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45565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45565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45565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45565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45565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45565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45565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45565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45565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45565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45565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45565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45565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45565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45565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45565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45565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45565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45565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45565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45565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45565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45565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45565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45565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45565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45565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45565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45565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45565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45565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45565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45565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45565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45565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45565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45565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45565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45565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45565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45565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45565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45565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45565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45565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45565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45565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45565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45565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45565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45565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45565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45565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45565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45565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45565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45565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45565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45565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45565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45565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45565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45565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45565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45565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45565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45565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45565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45565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45565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45565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45565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45565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45565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45565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45565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45565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45565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45565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45565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45565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45565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45565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45565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45565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45565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45565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45565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45565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45565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45565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45565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45565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45565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45565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45565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45565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45565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45565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45565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45565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45565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45565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45565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45565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45565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45565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45565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45565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45565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45565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45565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45565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45565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45565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45565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45565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45565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45565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45565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45565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45565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45565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45565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45565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45565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45565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45565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45565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45565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45565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45565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45565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45565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45565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45565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45565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45565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45565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45565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45565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45565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45565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45565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45565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45565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45565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45565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45565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45565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45565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45565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45565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45565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45565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45565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45565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45565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45565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45565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45565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45565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45565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45565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45565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45565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45565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45565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45565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45565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45565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45565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45565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45565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45565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45565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45565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45565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45565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45565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45565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45565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45565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45565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45565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45565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45565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45565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45565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45565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45565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45565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45565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45565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45565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45565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45565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45565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45565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45565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45565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45565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45565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45565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45565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45565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45565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45565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45565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45565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45565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45565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45565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45565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45565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45565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45565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45565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45565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45565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45565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45565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45565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45565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45565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45565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45565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45565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45565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45565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45565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45565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45565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45565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45565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45565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45565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45565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45565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45565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45565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45565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45565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45565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45565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45565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45565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45565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45565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45565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45565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45565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45565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45565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45565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45565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45565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45565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45565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45565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45565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45565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45565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45565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45565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45565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45565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45565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45565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45565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45565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45565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45565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45565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45565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45565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45565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45565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45565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45565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45565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45565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45565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45565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45565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45565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45565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45565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45565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45565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45565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45565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45565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45565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45565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45565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45565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45565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45565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45565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45565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45565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45565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45565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45565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45565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45565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45565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45565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45565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45565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45565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45565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45565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45565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45565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45565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45565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45565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45565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45565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45565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45565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45565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45565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45565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45565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45565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45565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45565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45565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45565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45565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45565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45565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45565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45565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45565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45565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45565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45565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45565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45565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45565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45565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45565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45565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45565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45565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45565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45565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45565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45565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45565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45565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45565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45565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45565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45565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45565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45565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45565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45565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45565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45565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45565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45565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45565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45565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45565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45565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45565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45565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45565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45565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45565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45565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45565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45565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45565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45565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45565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45565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45565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45565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45565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45565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45565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45565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45565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45565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45565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45565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45565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45565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45565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45565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45565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45565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45565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45565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45565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45565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45565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45565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45565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45565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45565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45565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45565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45565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45565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45565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45565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45565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45565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45565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45565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45565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45565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45565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45565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45565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45565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45565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45565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45565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45565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45565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45565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45565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45565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45565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45565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45565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45565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45565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45565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45565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45565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45565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45565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45565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45565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45565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45565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45565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45565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45565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45565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45565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45565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45565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45565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45565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45565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45565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45565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45565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45565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45565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45565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45565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45565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45565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45565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45565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45565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45565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45565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45565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45565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45565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45565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45565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45565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45565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45565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45565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45565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45565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45565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45565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45565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45565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45565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45565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45565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45565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45565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45565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45565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45565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45565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45565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45565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45565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45565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45565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45565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45565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45565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45565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45565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45565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45565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45565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45565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45565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45565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45565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45565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45565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45565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45565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45565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45565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45565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45565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45565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45565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45565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45565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45565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45565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45565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45565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45565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45565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45565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45565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45565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45565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45565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45565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45565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45565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45565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45565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45565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45565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45565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45565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45565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45565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45565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45565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45565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45565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45565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45565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45565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45565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45565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45565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45565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45565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45565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45565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45565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45565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45565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45565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45565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45565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45565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45565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45565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45565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45565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45565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45565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45565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45565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45565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45565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45565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45565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45565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45565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45565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45565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45565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45565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45565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45565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45565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45565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45565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45565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45565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45565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45565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45565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45565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45565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45565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45565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45565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45565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45565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45565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45565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45565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45565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45565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45565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45565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45565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45565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45565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45565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45565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45565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45565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45565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45565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45565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45565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45565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45565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45565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45565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45565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45565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45565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45565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45565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45565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45565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45565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45565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45565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45565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45565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45565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45565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45565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45565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45565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45565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45565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45565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45565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45565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45565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45565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45565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45565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45565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45565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45565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45565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45565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45565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45565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45565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45565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45565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45565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45565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45565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45565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45565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45565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45565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45565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45565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45565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45565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45565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45565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45565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45565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45565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45565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45565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45565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45565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45565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45565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45565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45565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45565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45565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45565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45565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45565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45565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45565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45565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45565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45565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45565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45565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45565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45565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45565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45565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45565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45565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45565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45565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45565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45565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45565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45565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45565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45565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45565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45565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45565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45565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45565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45565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45565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45565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45565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45565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45565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45565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45565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45565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45565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45565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45565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45565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45565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45565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45565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45565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45565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45565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45565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45565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45565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45565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45565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45565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45565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45565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45565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45565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45565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45565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45565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45565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45565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45565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45565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45565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45565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45565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45565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45565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45565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45565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45565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45565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45565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45565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45565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45565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45565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45565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45565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45565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45565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45565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45565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45565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45565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45565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45565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45565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45565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45565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45565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45565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45565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36438-2024</t>
        </is>
      </c>
      <c r="B1210" s="1" t="n">
        <v>45537</v>
      </c>
      <c r="C1210" s="1" t="n">
        <v>45565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36630-2024</t>
        </is>
      </c>
      <c r="B1211" s="1" t="n">
        <v>45537</v>
      </c>
      <c r="C1211" s="1" t="n">
        <v>45565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45565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45565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45565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45565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45565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37993-2024</t>
        </is>
      </c>
      <c r="B1217" s="1" t="n">
        <v>45544</v>
      </c>
      <c r="C1217" s="1" t="n">
        <v>45565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37866-2024</t>
        </is>
      </c>
      <c r="B1218" s="1" t="n">
        <v>45544</v>
      </c>
      <c r="C1218" s="1" t="n">
        <v>45565</v>
      </c>
      <c r="D1218" t="inlineStr">
        <is>
          <t>NORRBOTTENS LÄN</t>
        </is>
      </c>
      <c r="E1218" t="inlineStr">
        <is>
          <t>BODEN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37872-2024</t>
        </is>
      </c>
      <c r="B1219" s="1" t="n">
        <v>45544</v>
      </c>
      <c r="C1219" s="1" t="n">
        <v>45565</v>
      </c>
      <c r="D1219" t="inlineStr">
        <is>
          <t>NORRBOTTENS LÄN</t>
        </is>
      </c>
      <c r="E1219" t="inlineStr">
        <is>
          <t>BODEN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37976-2024</t>
        </is>
      </c>
      <c r="B1220" s="1" t="n">
        <v>45544</v>
      </c>
      <c r="C1220" s="1" t="n">
        <v>45565</v>
      </c>
      <c r="D1220" t="inlineStr">
        <is>
          <t>NORRBOTTENS LÄN</t>
        </is>
      </c>
      <c r="E1220" t="inlineStr">
        <is>
          <t>BODEN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37984-2024</t>
        </is>
      </c>
      <c r="B1221" s="1" t="n">
        <v>45544</v>
      </c>
      <c r="C1221" s="1" t="n">
        <v>45565</v>
      </c>
      <c r="D1221" t="inlineStr">
        <is>
          <t>NORRBOTTENS LÄN</t>
        </is>
      </c>
      <c r="E1221" t="inlineStr">
        <is>
          <t>BODEN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45565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38651-2024</t>
        </is>
      </c>
      <c r="B1223" s="1" t="n">
        <v>45546</v>
      </c>
      <c r="C1223" s="1" t="n">
        <v>45565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38653-2024</t>
        </is>
      </c>
      <c r="B1224" s="1" t="n">
        <v>45546</v>
      </c>
      <c r="C1224" s="1" t="n">
        <v>45565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38652-2024</t>
        </is>
      </c>
      <c r="B1225" s="1" t="n">
        <v>45546</v>
      </c>
      <c r="C1225" s="1" t="n">
        <v>45565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45565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45565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39339-2024</t>
        </is>
      </c>
      <c r="B1228" s="1" t="n">
        <v>45551</v>
      </c>
      <c r="C1228" s="1" t="n">
        <v>45565</v>
      </c>
      <c r="D1228" t="inlineStr">
        <is>
          <t>NORRBOTTENS LÄN</t>
        </is>
      </c>
      <c r="E1228" t="inlineStr">
        <is>
          <t>BODEN</t>
        </is>
      </c>
      <c r="F1228" t="inlineStr">
        <is>
          <t>Sveaskog</t>
        </is>
      </c>
      <c r="G1228" t="n">
        <v>21.5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39272-2024</t>
        </is>
      </c>
      <c r="B1229" s="1" t="n">
        <v>45551</v>
      </c>
      <c r="C1229" s="1" t="n">
        <v>45565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45565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45565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45565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40682-2024</t>
        </is>
      </c>
      <c r="B1233" s="1" t="n">
        <v>45558</v>
      </c>
      <c r="C1233" s="1" t="n">
        <v>45565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40675-2024</t>
        </is>
      </c>
      <c r="B1234" s="1" t="n">
        <v>45558</v>
      </c>
      <c r="C1234" s="1" t="n">
        <v>45565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40680-2024</t>
        </is>
      </c>
      <c r="B1235" s="1" t="n">
        <v>45558</v>
      </c>
      <c r="C1235" s="1" t="n">
        <v>45565</v>
      </c>
      <c r="D1235" t="inlineStr">
        <is>
          <t>NORRBOTTENS LÄN</t>
        </is>
      </c>
      <c r="E1235" t="inlineStr">
        <is>
          <t>BODEN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40728-2024</t>
        </is>
      </c>
      <c r="B1236" s="1" t="n">
        <v>45558</v>
      </c>
      <c r="C1236" s="1" t="n">
        <v>45565</v>
      </c>
      <c r="D1236" t="inlineStr">
        <is>
          <t>NORRBOTTENS LÄN</t>
        </is>
      </c>
      <c r="E1236" t="inlineStr">
        <is>
          <t>BODEN</t>
        </is>
      </c>
      <c r="G1236" t="n">
        <v>15.6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45565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45565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41485-2024</t>
        </is>
      </c>
      <c r="B1239" s="1" t="n">
        <v>45560</v>
      </c>
      <c r="C1239" s="1" t="n">
        <v>45565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45565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41487-2024</t>
        </is>
      </c>
      <c r="B1241" s="1" t="n">
        <v>45560</v>
      </c>
      <c r="C1241" s="1" t="n">
        <v>45565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41949-2024</t>
        </is>
      </c>
      <c r="B1242" s="1" t="n">
        <v>45561</v>
      </c>
      <c r="C1242" s="1" t="n">
        <v>45565</v>
      </c>
      <c r="D1242" t="inlineStr">
        <is>
          <t>NORRBOTTENS LÄN</t>
        </is>
      </c>
      <c r="E1242" t="inlineStr">
        <is>
          <t>BODEN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41957-2024</t>
        </is>
      </c>
      <c r="B1243" s="1" t="n">
        <v>45561</v>
      </c>
      <c r="C1243" s="1" t="n">
        <v>45565</v>
      </c>
      <c r="D1243" t="inlineStr">
        <is>
          <t>NORRBOTTENS LÄN</t>
        </is>
      </c>
      <c r="E1243" t="inlineStr">
        <is>
          <t>BODEN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41947-2024</t>
        </is>
      </c>
      <c r="B1244" s="1" t="n">
        <v>45561</v>
      </c>
      <c r="C1244" s="1" t="n">
        <v>45565</v>
      </c>
      <c r="D1244" t="inlineStr">
        <is>
          <t>NORRBOTTENS LÄN</t>
        </is>
      </c>
      <c r="E1244" t="inlineStr">
        <is>
          <t>BODEN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41789-2024</t>
        </is>
      </c>
      <c r="B1245" s="1" t="n">
        <v>45561</v>
      </c>
      <c r="C1245" s="1" t="n">
        <v>45565</v>
      </c>
      <c r="D1245" t="inlineStr">
        <is>
          <t>NORRBOTTENS LÄN</t>
        </is>
      </c>
      <c r="E1245" t="inlineStr">
        <is>
          <t>BODEN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41955-2024</t>
        </is>
      </c>
      <c r="B1246" s="1" t="n">
        <v>45561</v>
      </c>
      <c r="C1246" s="1" t="n">
        <v>45565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42196-2024</t>
        </is>
      </c>
      <c r="B1247" s="1" t="n">
        <v>45562</v>
      </c>
      <c r="C1247" s="1" t="n">
        <v>45565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2024-09-30T16:51:14Z</dcterms:created>
  <dcterms:modified xmlns:dcterms="http://purl.org/dc/terms/" xmlns:xsi="http://www.w3.org/2001/XMLSchema-instance" xsi:type="dcterms:W3CDTF">2024-09-30T16:51:15Z</dcterms:modified>
</cp:coreProperties>
</file>