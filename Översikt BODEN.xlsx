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8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36599-2023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45152</v>
      </c>
      <c r="E2" s="1" t="n">
        <v>46221</v>
      </c>
      <c r="F2" t="inlineStr">
        <is>
          <t>NORRBOTTENS LÄN</t>
        </is>
      </c>
      <c r="G2" t="inlineStr">
        <is>
          <t>BODEN</t>
        </is>
      </c>
      <c r="I2" t="n">
        <v>9.699999999999999</v>
      </c>
      <c r="J2" t="n">
        <v>3</v>
      </c>
      <c r="K2" t="n">
        <v>5</v>
      </c>
      <c r="L2" t="n">
        <v>15</v>
      </c>
      <c r="M2" t="n">
        <v>2</v>
      </c>
      <c r="N2" t="n">
        <v>0</v>
      </c>
      <c r="O2" t="n">
        <v>0</v>
      </c>
      <c r="P2" t="n">
        <v>0</v>
      </c>
      <c r="Q2" t="n">
        <v>17</v>
      </c>
      <c r="R2" t="n">
        <v>2</v>
      </c>
      <c r="S2" t="n">
        <v>23</v>
      </c>
      <c r="T2" t="n">
        <v>48</v>
      </c>
      <c r="U2" s="2" t="inlineStr">
        <is>
          <t>Garnlav
Knärot
Blanksvart spiklav
Blå taggsvamp
Blågrå svartspik
Dropptaggsvamp
Dvärgbägarlav
Gammelgransskål
Kolflarnlav
Kortskaftad ärgspik
Mörk kolflarnlav
Nordtagging
Talltagel
Ullticka
Vedflamlav
Vedskivlav
Vitgrynig nållav
Grönpyrola
Luddlav
Spindelblomster
Stuplav
Vedticka
Fläcknycklar</t>
        </is>
      </c>
      <c r="V2">
        <f>HYPERLINK("https://klasma.github.io/Logging_2582/artfynd/A 36599-2023 artfynd.xlsx", "A 36599-2023")</f>
        <v/>
      </c>
      <c r="W2">
        <f>HYPERLINK("https://klasma.github.io/Logging_2582/kartor/A 36599-2023 karta.png", "A 36599-2023")</f>
        <v/>
      </c>
      <c r="X2">
        <f>HYPERLINK("https://klasma.github.io/Logging_2582/knärot/A 36599-2023 karta knärot.png", "A 36599-2023")</f>
        <v/>
      </c>
      <c r="Y2">
        <f>HYPERLINK("https://klasma.github.io/Logging_2582/klagomål/A 36599-2023 FSC-klagomål.docx", "A 36599-2023")</f>
        <v/>
      </c>
      <c r="Z2">
        <f>HYPERLINK("https://klasma.github.io/Logging_2582/klagomålsmail/A 36599-2023 FSC-klagomål mail.docx", "A 36599-2023")</f>
        <v/>
      </c>
      <c r="AA2">
        <f>HYPERLINK("https://klasma.github.io/Logging_2582/tillsyn/A 36599-2023 tillsynsbegäran.docx", "A 36599-2023")</f>
        <v/>
      </c>
      <c r="AB2">
        <f>HYPERLINK("https://klasma.github.io/Logging_2582/tillsynsmail/A 36599-2023 tillsynsbegäran mail.docx", "A 36599-2023")</f>
        <v/>
      </c>
    </row>
    <row r="3" ht="15" customHeight="1">
      <c r="A3" t="inlineStr">
        <is>
          <t>A 31635-2024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45506</v>
      </c>
      <c r="E3" s="1" t="n">
        <v>46221</v>
      </c>
      <c r="F3" t="inlineStr">
        <is>
          <t>NORRBOTTENS LÄN</t>
        </is>
      </c>
      <c r="G3" t="inlineStr">
        <is>
          <t>BODEN</t>
        </is>
      </c>
      <c r="I3" t="n">
        <v>15.9</v>
      </c>
      <c r="J3" t="n">
        <v>8</v>
      </c>
      <c r="K3" t="n">
        <v>4</v>
      </c>
      <c r="L3" t="n">
        <v>10</v>
      </c>
      <c r="M3" t="n">
        <v>2</v>
      </c>
      <c r="N3" t="n">
        <v>0</v>
      </c>
      <c r="O3" t="n">
        <v>0</v>
      </c>
      <c r="P3" t="n">
        <v>0</v>
      </c>
      <c r="Q3" t="n">
        <v>12</v>
      </c>
      <c r="R3" t="n">
        <v>2</v>
      </c>
      <c r="S3" t="n">
        <v>21</v>
      </c>
      <c r="T3" t="n">
        <v>95</v>
      </c>
      <c r="U3" s="2" t="inlineStr">
        <is>
          <t>Garnlav
Knärot
Blanksvart spiklav
Dropptaggsvamp
Gammelgransskål
Knottrig blåslav
Luddfingersvamp
Skarp dropptaggsvamp
Skrovellav
Tallriska
Talltita
Vedflamlav
Bollvitmossa
Källpraktmossa
Spindelblomster
Strutbräken
Spillkråka
Vanlig groda
Vanlig padda
Fläcknycklar
Nattviol</t>
        </is>
      </c>
      <c r="V3">
        <f>HYPERLINK("https://klasma.github.io/Logging_2582/artfynd/A 31635-2024 artfynd.xlsx", "A 31635-2024")</f>
        <v/>
      </c>
      <c r="W3">
        <f>HYPERLINK("https://klasma.github.io/Logging_2582/kartor/A 31635-2024 karta.png", "A 31635-2024")</f>
        <v/>
      </c>
      <c r="X3">
        <f>HYPERLINK("https://klasma.github.io/Logging_2582/knärot/A 31635-2024 karta knärot.png", "A 31635-2024")</f>
        <v/>
      </c>
      <c r="Y3">
        <f>HYPERLINK("https://klasma.github.io/Logging_2582/klagomål/A 31635-2024 FSC-klagomål.docx", "A 31635-2024")</f>
        <v/>
      </c>
      <c r="Z3">
        <f>HYPERLINK("https://klasma.github.io/Logging_2582/klagomålsmail/A 31635-2024 FSC-klagomål mail.docx", "A 31635-2024")</f>
        <v/>
      </c>
      <c r="AA3">
        <f>HYPERLINK("https://klasma.github.io/Logging_2582/tillsyn/A 31635-2024 tillsynsbegäran.docx", "A 31635-2024")</f>
        <v/>
      </c>
      <c r="AB3">
        <f>HYPERLINK("https://klasma.github.io/Logging_2582/tillsynsmail/A 31635-2024 tillsynsbegäran mail.docx", "A 31635-2024")</f>
        <v/>
      </c>
      <c r="AC3">
        <f>HYPERLINK("https://klasma.github.io/Logging_2582/fåglar/A 31635-2024 prioriterade fågelarter.docx", "A 31635-2024")</f>
        <v/>
      </c>
    </row>
    <row r="4" ht="15" customHeight="1">
      <c r="A4" t="inlineStr">
        <is>
          <t>A 36618-2023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45152</v>
      </c>
      <c r="E4" s="1" t="n">
        <v>46221</v>
      </c>
      <c r="F4" t="inlineStr">
        <is>
          <t>NORRBOTTENS LÄN</t>
        </is>
      </c>
      <c r="G4" t="inlineStr">
        <is>
          <t>BODEN</t>
        </is>
      </c>
      <c r="I4" t="n">
        <v>7.1</v>
      </c>
      <c r="J4" t="n">
        <v>1</v>
      </c>
      <c r="K4" t="n">
        <v>3</v>
      </c>
      <c r="L4" t="n">
        <v>11</v>
      </c>
      <c r="M4" t="n">
        <v>5</v>
      </c>
      <c r="N4" t="n">
        <v>0</v>
      </c>
      <c r="O4" t="n">
        <v>0</v>
      </c>
      <c r="P4" t="n">
        <v>0</v>
      </c>
      <c r="Q4" t="n">
        <v>16</v>
      </c>
      <c r="R4" t="n">
        <v>5</v>
      </c>
      <c r="S4" t="n">
        <v>19</v>
      </c>
      <c r="T4" t="n">
        <v>27</v>
      </c>
      <c r="U4" s="2" t="inlineStr">
        <is>
          <t>Garnlav
Grenlav
Gräddporing
Knärot
Liten aspgelélav
Blanksvart spiklav
Blå taggsvamp
Blågrå svartspik
Dropptaggsvamp
Dvärgbägarlav
Kolflarnlav
Lunglav
Mörk kolflarnlav
Nordtagging
Ullticka
Vedskivlav
Grönpyrola
Luddlav
Vedticka</t>
        </is>
      </c>
      <c r="V4">
        <f>HYPERLINK("https://klasma.github.io/Logging_2582/artfynd/A 36618-2023 artfynd.xlsx", "A 36618-2023")</f>
        <v/>
      </c>
      <c r="W4">
        <f>HYPERLINK("https://klasma.github.io/Logging_2582/kartor/A 36618-2023 karta.png", "A 36618-2023")</f>
        <v/>
      </c>
      <c r="X4">
        <f>HYPERLINK("https://klasma.github.io/Logging_2582/knärot/A 36618-2023 karta knärot.png", "A 36618-2023")</f>
        <v/>
      </c>
      <c r="Y4">
        <f>HYPERLINK("https://klasma.github.io/Logging_2582/klagomål/A 36618-2023 FSC-klagomål.docx", "A 36618-2023")</f>
        <v/>
      </c>
      <c r="Z4">
        <f>HYPERLINK("https://klasma.github.io/Logging_2582/klagomålsmail/A 36618-2023 FSC-klagomål mail.docx", "A 36618-2023")</f>
        <v/>
      </c>
      <c r="AA4">
        <f>HYPERLINK("https://klasma.github.io/Logging_2582/tillsyn/A 36618-2023 tillsynsbegäran.docx", "A 36618-2023")</f>
        <v/>
      </c>
      <c r="AB4">
        <f>HYPERLINK("https://klasma.github.io/Logging_2582/tillsynsmail/A 36618-2023 tillsynsbegäran mail.docx", "A 36618-2023")</f>
        <v/>
      </c>
    </row>
    <row r="5" ht="15" customHeight="1">
      <c r="A5" t="inlineStr">
        <is>
          <t>A 22127-2023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45068</v>
      </c>
      <c r="E5" s="1" t="n">
        <v>46221</v>
      </c>
      <c r="F5" t="inlineStr">
        <is>
          <t>NORRBOTTENS LÄN</t>
        </is>
      </c>
      <c r="G5" t="inlineStr">
        <is>
          <t>BODEN</t>
        </is>
      </c>
      <c r="I5" t="n">
        <v>4.1</v>
      </c>
      <c r="J5" t="n">
        <v>2</v>
      </c>
      <c r="K5" t="n">
        <v>3</v>
      </c>
      <c r="L5" t="n">
        <v>8</v>
      </c>
      <c r="M5" t="n">
        <v>5</v>
      </c>
      <c r="N5" t="n">
        <v>0</v>
      </c>
      <c r="O5" t="n">
        <v>0</v>
      </c>
      <c r="P5" t="n">
        <v>0</v>
      </c>
      <c r="Q5" t="n">
        <v>13</v>
      </c>
      <c r="R5" t="n">
        <v>5</v>
      </c>
      <c r="S5" t="n">
        <v>16</v>
      </c>
      <c r="T5" t="n">
        <v>22</v>
      </c>
      <c r="U5" s="2" t="inlineStr">
        <is>
          <t>Asptagging
Fläckporing
Gräddporing
Knärot
Liten aspgelélav
Kolflarnlav
Lunglav
Nordtagging
Rynkskinn
Tallticka
Ullticka
Vedtrappmossa
Vitgrynig nållav
Rävticka
Skinnlav
Spindelblomster</t>
        </is>
      </c>
      <c r="V5">
        <f>HYPERLINK("https://klasma.github.io/Logging_2582/artfynd/A 22127-2023 artfynd.xlsx", "A 22127-2023")</f>
        <v/>
      </c>
      <c r="W5">
        <f>HYPERLINK("https://klasma.github.io/Logging_2582/kartor/A 22127-2023 karta.png", "A 22127-2023")</f>
        <v/>
      </c>
      <c r="X5">
        <f>HYPERLINK("https://klasma.github.io/Logging_2582/knärot/A 22127-2023 karta knärot.png", "A 22127-2023")</f>
        <v/>
      </c>
      <c r="Y5">
        <f>HYPERLINK("https://klasma.github.io/Logging_2582/klagomål/A 22127-2023 FSC-klagomål.docx", "A 22127-2023")</f>
        <v/>
      </c>
      <c r="Z5">
        <f>HYPERLINK("https://klasma.github.io/Logging_2582/klagomålsmail/A 22127-2023 FSC-klagomål mail.docx", "A 22127-2023")</f>
        <v/>
      </c>
      <c r="AA5">
        <f>HYPERLINK("https://klasma.github.io/Logging_2582/tillsyn/A 22127-2023 tillsynsbegäran.docx", "A 22127-2023")</f>
        <v/>
      </c>
      <c r="AB5">
        <f>HYPERLINK("https://klasma.github.io/Logging_2582/tillsynsmail/A 22127-2023 tillsynsbegäran mail.docx", "A 22127-2023")</f>
        <v/>
      </c>
    </row>
    <row r="6" ht="15" customHeight="1">
      <c r="A6" t="inlineStr">
        <is>
          <t>S 1836-2023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45075</v>
      </c>
      <c r="E6" s="1" t="n">
        <v>46221</v>
      </c>
      <c r="F6" t="inlineStr">
        <is>
          <t>NORRBOTTENS LÄN</t>
        </is>
      </c>
      <c r="G6" t="inlineStr">
        <is>
          <t>BODEN</t>
        </is>
      </c>
      <c r="I6" t="n">
        <v>4.1</v>
      </c>
      <c r="J6" t="n">
        <v>2</v>
      </c>
      <c r="K6" t="n">
        <v>3</v>
      </c>
      <c r="L6" t="n">
        <v>8</v>
      </c>
      <c r="M6" t="n">
        <v>5</v>
      </c>
      <c r="N6" t="n">
        <v>0</v>
      </c>
      <c r="O6" t="n">
        <v>0</v>
      </c>
      <c r="P6" t="n">
        <v>0</v>
      </c>
      <c r="Q6" t="n">
        <v>13</v>
      </c>
      <c r="R6" t="n">
        <v>5</v>
      </c>
      <c r="S6" t="n">
        <v>16</v>
      </c>
      <c r="T6" t="n">
        <v>22</v>
      </c>
      <c r="U6" s="2" t="inlineStr">
        <is>
          <t>Asptagging
Fläckporing
Gräddporing
Knärot
Liten aspgelélav
Kolflarnlav
Lunglav
Nordtagging
Rynkskinn
Tallticka
Ullticka
Vedtrappmossa
Vitgrynig nållav
Rävticka
Skinnlav
Spindelblomster</t>
        </is>
      </c>
      <c r="V6">
        <f>HYPERLINK("https://klasma.github.io/Logging_2582/artfynd/S 1836-2023 artfynd.xlsx", "S 1836-2023")</f>
        <v/>
      </c>
      <c r="W6">
        <f>HYPERLINK("https://klasma.github.io/Logging_2582/kartor/S 1836-2023 karta.png", "S 1836-2023")</f>
        <v/>
      </c>
      <c r="X6">
        <f>HYPERLINK("https://klasma.github.io/Logging_2582/knärot/S 1836-2023 karta knärot.png", "S 1836-2023")</f>
        <v/>
      </c>
      <c r="Y6">
        <f>HYPERLINK("https://klasma.github.io/Logging_2582/klagomål/S 1836-2023 FSC-klagomål.docx", "S 1836-2023")</f>
        <v/>
      </c>
      <c r="Z6">
        <f>HYPERLINK("https://klasma.github.io/Logging_2582/klagomålsmail/S 1836-2023 FSC-klagomål mail.docx", "S 1836-2023")</f>
        <v/>
      </c>
      <c r="AA6">
        <f>HYPERLINK("https://klasma.github.io/Logging_2582/tillsyn/S 1836-2023 tillsynsbegäran.docx", "S 1836-2023")</f>
        <v/>
      </c>
      <c r="AB6">
        <f>HYPERLINK("https://klasma.github.io/Logging_2582/tillsynsmail/S 1836-2023 tillsynsbegäran mail.docx", "S 1836-2023")</f>
        <v/>
      </c>
    </row>
    <row r="7" ht="15" customHeight="1">
      <c r="A7" t="inlineStr">
        <is>
          <t>A 47547-2022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44853</v>
      </c>
      <c r="E7" s="1" t="n">
        <v>46221</v>
      </c>
      <c r="F7" t="inlineStr">
        <is>
          <t>NORRBOTTENS LÄN</t>
        </is>
      </c>
      <c r="G7" t="inlineStr">
        <is>
          <t>BODEN</t>
        </is>
      </c>
      <c r="I7" t="n">
        <v>14.6</v>
      </c>
      <c r="J7" t="n">
        <v>4</v>
      </c>
      <c r="K7" t="n">
        <v>3</v>
      </c>
      <c r="L7" t="n">
        <v>7</v>
      </c>
      <c r="M7" t="n">
        <v>1</v>
      </c>
      <c r="N7" t="n">
        <v>0</v>
      </c>
      <c r="O7" t="n">
        <v>0</v>
      </c>
      <c r="P7" t="n">
        <v>0</v>
      </c>
      <c r="Q7" t="n">
        <v>8</v>
      </c>
      <c r="R7" t="n">
        <v>1</v>
      </c>
      <c r="S7" t="n">
        <v>13</v>
      </c>
      <c r="T7" t="n">
        <v>26</v>
      </c>
      <c r="U7" s="2" t="inlineStr">
        <is>
          <t>Garnlav
Blå taggsvamp
Gammelgransskål
Kolflarnlav
Lunglav
Talltita
Tretåig hackspett
Vedskivlav
Bårdlav
Luddlav
Stuplav
Spillkråka
Revlummer</t>
        </is>
      </c>
      <c r="V7">
        <f>HYPERLINK("https://klasma.github.io/Logging_2582/artfynd/A 47547-2022 artfynd.xlsx", "A 47547-2022")</f>
        <v/>
      </c>
      <c r="W7">
        <f>HYPERLINK("https://klasma.github.io/Logging_2582/kartor/A 47547-2022 karta.png", "A 47547-2022")</f>
        <v/>
      </c>
      <c r="Y7">
        <f>HYPERLINK("https://klasma.github.io/Logging_2582/klagomål/A 47547-2022 FSC-klagomål.docx", "A 47547-2022")</f>
        <v/>
      </c>
      <c r="Z7">
        <f>HYPERLINK("https://klasma.github.io/Logging_2582/klagomålsmail/A 47547-2022 FSC-klagomål mail.docx", "A 47547-2022")</f>
        <v/>
      </c>
      <c r="AA7">
        <f>HYPERLINK("https://klasma.github.io/Logging_2582/tillsyn/A 47547-2022 tillsynsbegäran.docx", "A 47547-2022")</f>
        <v/>
      </c>
      <c r="AB7">
        <f>HYPERLINK("https://klasma.github.io/Logging_2582/tillsynsmail/A 47547-2022 tillsynsbegäran mail.docx", "A 47547-2022")</f>
        <v/>
      </c>
      <c r="AC7">
        <f>HYPERLINK("https://klasma.github.io/Logging_2582/fåglar/A 47547-2022 prioriterade fågelarter.docx", "A 47547-2022")</f>
        <v/>
      </c>
    </row>
    <row r="8" ht="15" customHeight="1">
      <c r="A8" t="inlineStr">
        <is>
          <t>A 36610-2023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45152</v>
      </c>
      <c r="E8" s="1" t="n">
        <v>46221</v>
      </c>
      <c r="F8" t="inlineStr">
        <is>
          <t>NORRBOTTENS LÄN</t>
        </is>
      </c>
      <c r="G8" t="inlineStr">
        <is>
          <t>BODEN</t>
        </is>
      </c>
      <c r="I8" t="n">
        <v>5.9</v>
      </c>
      <c r="J8" t="n">
        <v>3</v>
      </c>
      <c r="K8" t="n">
        <v>0</v>
      </c>
      <c r="L8" t="n">
        <v>8</v>
      </c>
      <c r="M8" t="n">
        <v>3</v>
      </c>
      <c r="N8" t="n">
        <v>0</v>
      </c>
      <c r="O8" t="n">
        <v>0</v>
      </c>
      <c r="P8" t="n">
        <v>0</v>
      </c>
      <c r="Q8" t="n">
        <v>11</v>
      </c>
      <c r="R8" t="n">
        <v>3</v>
      </c>
      <c r="S8" t="n">
        <v>13</v>
      </c>
      <c r="T8" t="n">
        <v>14</v>
      </c>
      <c r="U8" s="2" t="inlineStr">
        <is>
          <t>Garnlav
Gräddporing
Knärot
Blanksvart spiklav
Blågrå svartspik
Dropptaggsvamp
Dvärgbägarlav
Kortskaftad ärgspik
Nordtagging
Ullticka
Vedflamlav
Järpe
Fläcknycklar</t>
        </is>
      </c>
      <c r="V8">
        <f>HYPERLINK("https://klasma.github.io/Logging_2582/artfynd/A 36610-2023 artfynd.xlsx", "A 36610-2023")</f>
        <v/>
      </c>
      <c r="W8">
        <f>HYPERLINK("https://klasma.github.io/Logging_2582/kartor/A 36610-2023 karta.png", "A 36610-2023")</f>
        <v/>
      </c>
      <c r="X8">
        <f>HYPERLINK("https://klasma.github.io/Logging_2582/knärot/A 36610-2023 karta knärot.png", "A 36610-2023")</f>
        <v/>
      </c>
      <c r="Y8">
        <f>HYPERLINK("https://klasma.github.io/Logging_2582/klagomål/A 36610-2023 FSC-klagomål.docx", "A 36610-2023")</f>
        <v/>
      </c>
      <c r="Z8">
        <f>HYPERLINK("https://klasma.github.io/Logging_2582/klagomålsmail/A 36610-2023 FSC-klagomål mail.docx", "A 36610-2023")</f>
        <v/>
      </c>
      <c r="AA8">
        <f>HYPERLINK("https://klasma.github.io/Logging_2582/tillsyn/A 36610-2023 tillsynsbegäran.docx", "A 36610-2023")</f>
        <v/>
      </c>
      <c r="AB8">
        <f>HYPERLINK("https://klasma.github.io/Logging_2582/tillsynsmail/A 36610-2023 tillsynsbegäran mail.docx", "A 36610-2023")</f>
        <v/>
      </c>
      <c r="AC8">
        <f>HYPERLINK("https://klasma.github.io/Logging_2582/fåglar/A 36610-2023 prioriterade fågelarter.docx", "A 36610-2023")</f>
        <v/>
      </c>
    </row>
    <row r="9" ht="15" customHeight="1">
      <c r="A9" t="inlineStr">
        <is>
          <t>A 24233-2026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46168</v>
      </c>
      <c r="E9" s="1" t="n">
        <v>46221</v>
      </c>
      <c r="F9" t="inlineStr">
        <is>
          <t>NORRBOTTENS LÄN</t>
        </is>
      </c>
      <c r="G9" t="inlineStr">
        <is>
          <t>BODEN</t>
        </is>
      </c>
      <c r="I9" t="n">
        <v>2.7</v>
      </c>
      <c r="J9" t="n">
        <v>3</v>
      </c>
      <c r="K9" t="n">
        <v>2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12</v>
      </c>
      <c r="T9" t="n">
        <v>18</v>
      </c>
      <c r="U9" s="2" t="inlineStr">
        <is>
          <t>Garnlav
Talltita
Tretåig hackspett
Björksplintborre
Skinnlav
Brudborste
Hultbräken
Liljekonvalj
Linnea
Ormbär
Torta
Fläcknycklar</t>
        </is>
      </c>
      <c r="V9">
        <f>HYPERLINK("https://klasma.github.io/Logging_2582/artfynd/A 24233-2026 artfynd.xlsx", "A 24233-2026")</f>
        <v/>
      </c>
      <c r="W9">
        <f>HYPERLINK("https://klasma.github.io/Logging_2582/kartor/A 24233-2026 karta.png", "A 24233-2026")</f>
        <v/>
      </c>
      <c r="Y9">
        <f>HYPERLINK("https://klasma.github.io/Logging_2582/klagomål/A 24233-2026 FSC-klagomål.docx", "A 24233-2026")</f>
        <v/>
      </c>
      <c r="Z9">
        <f>HYPERLINK("https://klasma.github.io/Logging_2582/klagomålsmail/A 24233-2026 FSC-klagomål mail.docx", "A 24233-2026")</f>
        <v/>
      </c>
      <c r="AA9">
        <f>HYPERLINK("https://klasma.github.io/Logging_2582/tillsyn/A 24233-2026 tillsynsbegäran.docx", "A 24233-2026")</f>
        <v/>
      </c>
      <c r="AB9">
        <f>HYPERLINK("https://klasma.github.io/Logging_2582/tillsynsmail/A 24233-2026 tillsynsbegäran mail.docx", "A 24233-2026")</f>
        <v/>
      </c>
      <c r="AC9">
        <f>HYPERLINK("https://klasma.github.io/Logging_2582/fåglar/A 24233-2026 prioriterade fågelarter.docx", "A 24233-2026")</f>
        <v/>
      </c>
    </row>
    <row r="10" ht="15" customHeight="1">
      <c r="A10" t="inlineStr">
        <is>
          <t>A 6243-2023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44964</v>
      </c>
      <c r="E10" s="1" t="n">
        <v>46221</v>
      </c>
      <c r="F10" t="inlineStr">
        <is>
          <t>NORRBOTTENS LÄN</t>
        </is>
      </c>
      <c r="G10" t="inlineStr">
        <is>
          <t>BODEN</t>
        </is>
      </c>
      <c r="H10" t="inlineStr">
        <is>
          <t>SCA</t>
        </is>
      </c>
      <c r="I10" t="n">
        <v>3.2</v>
      </c>
      <c r="J10" t="n">
        <v>4</v>
      </c>
      <c r="K10" t="n">
        <v>6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11</v>
      </c>
      <c r="T10" t="n">
        <v>44</v>
      </c>
      <c r="U10" s="2" t="inlineStr">
        <is>
          <t>Garnlav
Lunglav
Bårdlav
Källpraktmossa
Luddlav
Skinnlav
Spindelblomster
Stuplav
Tjäder
Fläcknycklar
Revlummer</t>
        </is>
      </c>
      <c r="V10">
        <f>HYPERLINK("https://klasma.github.io/Logging_2582/artfynd/A 6243-2023 artfynd.xlsx", "A 6243-2023")</f>
        <v/>
      </c>
      <c r="W10">
        <f>HYPERLINK("https://klasma.github.io/Logging_2582/kartor/A 6243-2023 karta.png", "A 6243-2023")</f>
        <v/>
      </c>
      <c r="Y10">
        <f>HYPERLINK("https://klasma.github.io/Logging_2582/klagomål/A 6243-2023 FSC-klagomål.docx", "A 6243-2023")</f>
        <v/>
      </c>
      <c r="Z10">
        <f>HYPERLINK("https://klasma.github.io/Logging_2582/klagomålsmail/A 6243-2023 FSC-klagomål mail.docx", "A 6243-2023")</f>
        <v/>
      </c>
      <c r="AA10">
        <f>HYPERLINK("https://klasma.github.io/Logging_2582/tillsyn/A 6243-2023 tillsynsbegäran.docx", "A 6243-2023")</f>
        <v/>
      </c>
      <c r="AB10">
        <f>HYPERLINK("https://klasma.github.io/Logging_2582/tillsynsmail/A 6243-2023 tillsynsbegäran mail.docx", "A 6243-2023")</f>
        <v/>
      </c>
      <c r="AC10">
        <f>HYPERLINK("https://klasma.github.io/Logging_2582/fåglar/A 6243-2023 prioriterade fågelarter.docx", "A 6243-2023")</f>
        <v/>
      </c>
    </row>
    <row r="11" ht="15" customHeight="1">
      <c r="A11" t="inlineStr">
        <is>
          <t>A 49809-2023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45212</v>
      </c>
      <c r="E11" s="1" t="n">
        <v>46221</v>
      </c>
      <c r="F11" t="inlineStr">
        <is>
          <t>NORRBOTTENS LÄN</t>
        </is>
      </c>
      <c r="G11" t="inlineStr">
        <is>
          <t>BODEN</t>
        </is>
      </c>
      <c r="H11" t="inlineStr">
        <is>
          <t>Sveaskog</t>
        </is>
      </c>
      <c r="I11" t="n">
        <v>5.7</v>
      </c>
      <c r="J11" t="n">
        <v>3</v>
      </c>
      <c r="K11" t="n">
        <v>1</v>
      </c>
      <c r="L11" t="n">
        <v>6</v>
      </c>
      <c r="M11" t="n">
        <v>3</v>
      </c>
      <c r="N11" t="n">
        <v>0</v>
      </c>
      <c r="O11" t="n">
        <v>0</v>
      </c>
      <c r="P11" t="n">
        <v>0</v>
      </c>
      <c r="Q11" t="n">
        <v>9</v>
      </c>
      <c r="R11" t="n">
        <v>3</v>
      </c>
      <c r="S11" t="n">
        <v>10</v>
      </c>
      <c r="T11" t="n">
        <v>16</v>
      </c>
      <c r="U11" s="2" t="inlineStr">
        <is>
          <t>Doftticka
Goliatmusseron
Knärot
Blå taggsvamp
Lunglav
Orange taggsvamp
Skarp dropptaggsvamp
Svartvit taggsvamp
Talltaggsvamp
Spindelblomster</t>
        </is>
      </c>
      <c r="V11">
        <f>HYPERLINK("https://klasma.github.io/Logging_2582/artfynd/A 49809-2023 artfynd.xlsx", "A 49809-2023")</f>
        <v/>
      </c>
      <c r="W11">
        <f>HYPERLINK("https://klasma.github.io/Logging_2582/kartor/A 49809-2023 karta.png", "A 49809-2023")</f>
        <v/>
      </c>
      <c r="X11">
        <f>HYPERLINK("https://klasma.github.io/Logging_2582/knärot/A 49809-2023 karta knärot.png", "A 49809-2023")</f>
        <v/>
      </c>
      <c r="Y11">
        <f>HYPERLINK("https://klasma.github.io/Logging_2582/klagomål/A 49809-2023 FSC-klagomål.docx", "A 49809-2023")</f>
        <v/>
      </c>
      <c r="Z11">
        <f>HYPERLINK("https://klasma.github.io/Logging_2582/klagomålsmail/A 49809-2023 FSC-klagomål mail.docx", "A 49809-2023")</f>
        <v/>
      </c>
      <c r="AA11">
        <f>HYPERLINK("https://klasma.github.io/Logging_2582/tillsyn/A 49809-2023 tillsynsbegäran.docx", "A 49809-2023")</f>
        <v/>
      </c>
      <c r="AB11">
        <f>HYPERLINK("https://klasma.github.io/Logging_2582/tillsynsmail/A 49809-2023 tillsynsbegäran mail.docx", "A 49809-2023")</f>
        <v/>
      </c>
    </row>
    <row r="12" ht="15" customHeight="1">
      <c r="A12" t="inlineStr">
        <is>
          <t>A 55316-2023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45237</v>
      </c>
      <c r="E12" s="1" t="n">
        <v>46221</v>
      </c>
      <c r="F12" t="inlineStr">
        <is>
          <t>NORRBOTTENS LÄN</t>
        </is>
      </c>
      <c r="G12" t="inlineStr">
        <is>
          <t>BODEN</t>
        </is>
      </c>
      <c r="I12" t="n">
        <v>17.6</v>
      </c>
      <c r="J12" t="n">
        <v>6</v>
      </c>
      <c r="K12" t="n">
        <v>1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10</v>
      </c>
      <c r="T12" t="n">
        <v>10</v>
      </c>
      <c r="U12" s="2" t="inlineStr">
        <is>
          <t>Gammelgransskål
Lunglav
Ullticka
Bollvitmossa
Gråspett
Videsparv
Buskskvätta
Kungsfågel
Svartvit flugsnappare
Revlummer</t>
        </is>
      </c>
      <c r="V12">
        <f>HYPERLINK("https://klasma.github.io/Logging_2582/artfynd/A 55316-2023 artfynd.xlsx", "A 55316-2023")</f>
        <v/>
      </c>
      <c r="W12">
        <f>HYPERLINK("https://klasma.github.io/Logging_2582/kartor/A 55316-2023 karta.png", "A 55316-2023")</f>
        <v/>
      </c>
      <c r="Y12">
        <f>HYPERLINK("https://klasma.github.io/Logging_2582/klagomål/A 55316-2023 FSC-klagomål.docx", "A 55316-2023")</f>
        <v/>
      </c>
      <c r="Z12">
        <f>HYPERLINK("https://klasma.github.io/Logging_2582/klagomålsmail/A 55316-2023 FSC-klagomål mail.docx", "A 55316-2023")</f>
        <v/>
      </c>
      <c r="AA12">
        <f>HYPERLINK("https://klasma.github.io/Logging_2582/tillsyn/A 55316-2023 tillsynsbegäran.docx", "A 55316-2023")</f>
        <v/>
      </c>
      <c r="AB12">
        <f>HYPERLINK("https://klasma.github.io/Logging_2582/tillsynsmail/A 55316-2023 tillsynsbegäran mail.docx", "A 55316-2023")</f>
        <v/>
      </c>
      <c r="AC12">
        <f>HYPERLINK("https://klasma.github.io/Logging_2582/fåglar/A 55316-2023 prioriterade fågelarter.docx", "A 55316-2023")</f>
        <v/>
      </c>
    </row>
    <row r="13" ht="15" customHeight="1">
      <c r="A13" t="inlineStr">
        <is>
          <t>A 23044-2025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45790</v>
      </c>
      <c r="E13" s="1" t="n">
        <v>46221</v>
      </c>
      <c r="F13" t="inlineStr">
        <is>
          <t>NORRBOTTENS LÄN</t>
        </is>
      </c>
      <c r="G13" t="inlineStr">
        <is>
          <t>BODEN</t>
        </is>
      </c>
      <c r="H13" t="inlineStr">
        <is>
          <t>SCA</t>
        </is>
      </c>
      <c r="I13" t="n">
        <v>6.1</v>
      </c>
      <c r="J13" t="n">
        <v>3</v>
      </c>
      <c r="K13" t="n">
        <v>2</v>
      </c>
      <c r="L13" t="n">
        <v>7</v>
      </c>
      <c r="M13" t="n">
        <v>0</v>
      </c>
      <c r="N13" t="n">
        <v>0</v>
      </c>
      <c r="O13" t="n">
        <v>0</v>
      </c>
      <c r="P13" t="n">
        <v>0</v>
      </c>
      <c r="Q13" t="n">
        <v>7</v>
      </c>
      <c r="R13" t="n">
        <v>0</v>
      </c>
      <c r="S13" t="n">
        <v>10</v>
      </c>
      <c r="T13" t="n">
        <v>21</v>
      </c>
      <c r="U13" s="2" t="inlineStr">
        <is>
          <t>Blå taggsvamp
Dropptaggsvamp
Talltagel
Talltita
Vedflamlav
Vedskivlav
Violmussling
Bollvitmossa
Plattlummer
Tjäder</t>
        </is>
      </c>
      <c r="V13">
        <f>HYPERLINK("https://klasma.github.io/Logging_2582/artfynd/A 23044-2025 artfynd.xlsx", "A 23044-2025")</f>
        <v/>
      </c>
      <c r="W13">
        <f>HYPERLINK("https://klasma.github.io/Logging_2582/kartor/A 23044-2025 karta.png", "A 23044-2025")</f>
        <v/>
      </c>
      <c r="Y13">
        <f>HYPERLINK("https://klasma.github.io/Logging_2582/klagomål/A 23044-2025 FSC-klagomål.docx", "A 23044-2025")</f>
        <v/>
      </c>
      <c r="Z13">
        <f>HYPERLINK("https://klasma.github.io/Logging_2582/klagomålsmail/A 23044-2025 FSC-klagomål mail.docx", "A 23044-2025")</f>
        <v/>
      </c>
      <c r="AA13">
        <f>HYPERLINK("https://klasma.github.io/Logging_2582/tillsyn/A 23044-2025 tillsynsbegäran.docx", "A 23044-2025")</f>
        <v/>
      </c>
      <c r="AB13">
        <f>HYPERLINK("https://klasma.github.io/Logging_2582/tillsynsmail/A 23044-2025 tillsynsbegäran mail.docx", "A 23044-2025")</f>
        <v/>
      </c>
      <c r="AC13">
        <f>HYPERLINK("https://klasma.github.io/Logging_2582/fåglar/A 23044-2025 prioriterade fågelarter.docx", "A 23044-2025")</f>
        <v/>
      </c>
    </row>
    <row r="14" ht="15" customHeight="1">
      <c r="A14" t="inlineStr">
        <is>
          <t>S 1319-2026</t>
        </is>
      </c>
      <c r="B14" t="inlineStr">
        <is>
          <t>samrådsanmälan</t>
        </is>
      </c>
      <c r="C14" t="inlineStr">
        <is>
          <t>Skogsgödsling</t>
        </is>
      </c>
      <c r="D14" s="1" t="n">
        <v>46149</v>
      </c>
      <c r="E14" s="1" t="n">
        <v>46221</v>
      </c>
      <c r="F14" t="inlineStr">
        <is>
          <t>NORRBOTTENS LÄN</t>
        </is>
      </c>
      <c r="G14" t="inlineStr">
        <is>
          <t>BODEN</t>
        </is>
      </c>
      <c r="H14" t="inlineStr">
        <is>
          <t>Sveaskog</t>
        </is>
      </c>
      <c r="I14" t="n">
        <v>642.7</v>
      </c>
      <c r="J14" t="n">
        <v>7</v>
      </c>
      <c r="K14" t="n">
        <v>0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4</v>
      </c>
      <c r="R14" t="n">
        <v>1</v>
      </c>
      <c r="S14" t="n">
        <v>10</v>
      </c>
      <c r="T14" t="n">
        <v>11</v>
      </c>
      <c r="U14" s="2" t="inlineStr">
        <is>
          <t>Garnlav
Lunglav
Rödvingetrast
Talltita
Hässlebrodd
Tjäder
Buskskvätta
Grönsiska
Kungsfågel
Fläcknycklar</t>
        </is>
      </c>
      <c r="V14">
        <f>HYPERLINK("https://klasma.github.io/Logging_2582/artfynd/S 1319-2026 artfynd.xlsx", "S 1319-2026")</f>
        <v/>
      </c>
      <c r="W14">
        <f>HYPERLINK("https://klasma.github.io/Logging_2582/kartor/S 1319-2026 karta.png", "S 1319-2026")</f>
        <v/>
      </c>
      <c r="Y14">
        <f>HYPERLINK("https://klasma.github.io/Logging_2582/klagomål/S 1319-2026 FSC-klagomål.docx", "S 1319-2026")</f>
        <v/>
      </c>
      <c r="Z14">
        <f>HYPERLINK("https://klasma.github.io/Logging_2582/klagomålsmail/S 1319-2026 FSC-klagomål mail.docx", "S 1319-2026")</f>
        <v/>
      </c>
      <c r="AA14">
        <f>HYPERLINK("https://klasma.github.io/Logging_2582/tillsyn/S 1319-2026 tillsynsbegäran.docx", "S 1319-2026")</f>
        <v/>
      </c>
      <c r="AB14">
        <f>HYPERLINK("https://klasma.github.io/Logging_2582/tillsynsmail/S 1319-2026 tillsynsbegäran mail.docx", "S 1319-2026")</f>
        <v/>
      </c>
      <c r="AC14">
        <f>HYPERLINK("https://klasma.github.io/Logging_2582/fåglar/S 1319-2026 prioriterade fågelarter.docx", "S 1319-2026")</f>
        <v/>
      </c>
    </row>
    <row r="15" ht="15" customHeight="1">
      <c r="A15" t="inlineStr">
        <is>
          <t>A 56172-2022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44889</v>
      </c>
      <c r="E15" s="1" t="n">
        <v>46221</v>
      </c>
      <c r="F15" t="inlineStr">
        <is>
          <t>NORRBOTTENS LÄN</t>
        </is>
      </c>
      <c r="G15" t="inlineStr">
        <is>
          <t>BODEN</t>
        </is>
      </c>
      <c r="H15" t="inlineStr">
        <is>
          <t>SCA</t>
        </is>
      </c>
      <c r="I15" t="n">
        <v>4</v>
      </c>
      <c r="J15" t="n">
        <v>0</v>
      </c>
      <c r="K15" t="n">
        <v>5</v>
      </c>
      <c r="L15" t="n">
        <v>3</v>
      </c>
      <c r="M15" t="n">
        <v>1</v>
      </c>
      <c r="N15" t="n">
        <v>0</v>
      </c>
      <c r="O15" t="n">
        <v>0</v>
      </c>
      <c r="P15" t="n">
        <v>0</v>
      </c>
      <c r="Q15" t="n">
        <v>4</v>
      </c>
      <c r="R15" t="n">
        <v>1</v>
      </c>
      <c r="S15" t="n">
        <v>9</v>
      </c>
      <c r="T15" t="n">
        <v>25</v>
      </c>
      <c r="U15" s="2" t="inlineStr">
        <is>
          <t>Garnlav
Lunglav
Stiftgelélav
Violettgrå tagellav
Bårdlav
Luddlav
Rävticka
Skinnlav
Stuplav</t>
        </is>
      </c>
      <c r="V15">
        <f>HYPERLINK("https://klasma.github.io/Logging_2582/artfynd/A 56172-2022 artfynd.xlsx", "A 56172-2022")</f>
        <v/>
      </c>
      <c r="W15">
        <f>HYPERLINK("https://klasma.github.io/Logging_2582/kartor/A 56172-2022 karta.png", "A 56172-2022")</f>
        <v/>
      </c>
      <c r="Y15">
        <f>HYPERLINK("https://klasma.github.io/Logging_2582/klagomål/A 56172-2022 FSC-klagomål.docx", "A 56172-2022")</f>
        <v/>
      </c>
      <c r="Z15">
        <f>HYPERLINK("https://klasma.github.io/Logging_2582/klagomålsmail/A 56172-2022 FSC-klagomål mail.docx", "A 56172-2022")</f>
        <v/>
      </c>
      <c r="AA15">
        <f>HYPERLINK("https://klasma.github.io/Logging_2582/tillsyn/A 56172-2022 tillsynsbegäran.docx", "A 56172-2022")</f>
        <v/>
      </c>
      <c r="AB15">
        <f>HYPERLINK("https://klasma.github.io/Logging_2582/tillsynsmail/A 56172-2022 tillsynsbegäran mail.docx", "A 56172-2022")</f>
        <v/>
      </c>
    </row>
    <row r="16" ht="15" customHeight="1">
      <c r="A16" t="inlineStr">
        <is>
          <t>A 3922-2025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45684</v>
      </c>
      <c r="E16" s="1" t="n">
        <v>46221</v>
      </c>
      <c r="F16" t="inlineStr">
        <is>
          <t>NORRBOTTENS LÄN</t>
        </is>
      </c>
      <c r="G16" t="inlineStr">
        <is>
          <t>BODEN</t>
        </is>
      </c>
      <c r="H16" t="inlineStr">
        <is>
          <t>SCA</t>
        </is>
      </c>
      <c r="I16" t="n">
        <v>1.9</v>
      </c>
      <c r="J16" t="n">
        <v>2</v>
      </c>
      <c r="K16" t="n">
        <v>0</v>
      </c>
      <c r="L16" t="n">
        <v>6</v>
      </c>
      <c r="M16" t="n">
        <v>1</v>
      </c>
      <c r="N16" t="n">
        <v>0</v>
      </c>
      <c r="O16" t="n">
        <v>0</v>
      </c>
      <c r="P16" t="n">
        <v>0</v>
      </c>
      <c r="Q16" t="n">
        <v>7</v>
      </c>
      <c r="R16" t="n">
        <v>1</v>
      </c>
      <c r="S16" t="n">
        <v>8</v>
      </c>
      <c r="T16" t="n">
        <v>9</v>
      </c>
      <c r="U16" s="2" t="inlineStr">
        <is>
          <t>Garnlav
Dropptaggsvamp
Olisthaerus substriatus
Rosenticka
Talltita
Ullticka
Violmussling
Revlummer</t>
        </is>
      </c>
      <c r="V16">
        <f>HYPERLINK("https://klasma.github.io/Logging_2582/artfynd/A 3922-2025 artfynd.xlsx", "A 3922-2025")</f>
        <v/>
      </c>
      <c r="W16">
        <f>HYPERLINK("https://klasma.github.io/Logging_2582/kartor/A 3922-2025 karta.png", "A 3922-2025")</f>
        <v/>
      </c>
      <c r="Y16">
        <f>HYPERLINK("https://klasma.github.io/Logging_2582/klagomål/A 3922-2025 FSC-klagomål.docx", "A 3922-2025")</f>
        <v/>
      </c>
      <c r="Z16">
        <f>HYPERLINK("https://klasma.github.io/Logging_2582/klagomålsmail/A 3922-2025 FSC-klagomål mail.docx", "A 3922-2025")</f>
        <v/>
      </c>
      <c r="AA16">
        <f>HYPERLINK("https://klasma.github.io/Logging_2582/tillsyn/A 3922-2025 tillsynsbegäran.docx", "A 3922-2025")</f>
        <v/>
      </c>
      <c r="AB16">
        <f>HYPERLINK("https://klasma.github.io/Logging_2582/tillsynsmail/A 3922-2025 tillsynsbegäran mail.docx", "A 3922-2025")</f>
        <v/>
      </c>
      <c r="AC16">
        <f>HYPERLINK("https://klasma.github.io/Logging_2582/fåglar/A 3922-2025 prioriterade fågelarter.docx", "A 3922-2025")</f>
        <v/>
      </c>
    </row>
    <row r="17" ht="15" customHeight="1">
      <c r="A17" t="inlineStr">
        <is>
          <t>A 19812-2025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45771</v>
      </c>
      <c r="E17" s="1" t="n">
        <v>46221</v>
      </c>
      <c r="F17" t="inlineStr">
        <is>
          <t>NORRBOTTENS LÄN</t>
        </is>
      </c>
      <c r="G17" t="inlineStr">
        <is>
          <t>BODEN</t>
        </is>
      </c>
      <c r="H17" t="inlineStr">
        <is>
          <t>Sveaskog</t>
        </is>
      </c>
      <c r="I17" t="n">
        <v>18.4</v>
      </c>
      <c r="J17" t="n">
        <v>2</v>
      </c>
      <c r="K17" t="n">
        <v>3</v>
      </c>
      <c r="L17" t="n">
        <v>4</v>
      </c>
      <c r="M17" t="n">
        <v>1</v>
      </c>
      <c r="N17" t="n">
        <v>0</v>
      </c>
      <c r="O17" t="n">
        <v>0</v>
      </c>
      <c r="P17" t="n">
        <v>0</v>
      </c>
      <c r="Q17" t="n">
        <v>5</v>
      </c>
      <c r="R17" t="n">
        <v>1</v>
      </c>
      <c r="S17" t="n">
        <v>8</v>
      </c>
      <c r="T17" t="n">
        <v>55</v>
      </c>
      <c r="U17" s="2" t="inlineStr">
        <is>
          <t>Knärot
Dropptaggsvamp
Höstlåsbräken
Orange taggsvamp
Tallticka
Grönpyrola
Skinnlav
Vedticka</t>
        </is>
      </c>
      <c r="V17">
        <f>HYPERLINK("https://klasma.github.io/Logging_2582/artfynd/A 19812-2025 artfynd.xlsx", "A 19812-2025")</f>
        <v/>
      </c>
      <c r="W17">
        <f>HYPERLINK("https://klasma.github.io/Logging_2582/kartor/A 19812-2025 karta.png", "A 19812-2025")</f>
        <v/>
      </c>
      <c r="X17">
        <f>HYPERLINK("https://klasma.github.io/Logging_2582/knärot/A 19812-2025 karta knärot.png", "A 19812-2025")</f>
        <v/>
      </c>
      <c r="Y17">
        <f>HYPERLINK("https://klasma.github.io/Logging_2582/klagomål/A 19812-2025 FSC-klagomål.docx", "A 19812-2025")</f>
        <v/>
      </c>
      <c r="Z17">
        <f>HYPERLINK("https://klasma.github.io/Logging_2582/klagomålsmail/A 19812-2025 FSC-klagomål mail.docx", "A 19812-2025")</f>
        <v/>
      </c>
      <c r="AA17">
        <f>HYPERLINK("https://klasma.github.io/Logging_2582/tillsyn/A 19812-2025 tillsynsbegäran.docx", "A 19812-2025")</f>
        <v/>
      </c>
      <c r="AB17">
        <f>HYPERLINK("https://klasma.github.io/Logging_2582/tillsynsmail/A 19812-2025 tillsynsbegäran mail.docx", "A 19812-2025")</f>
        <v/>
      </c>
    </row>
    <row r="18" ht="15" customHeight="1">
      <c r="A18" t="inlineStr">
        <is>
          <t>A 49753-2022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44859</v>
      </c>
      <c r="E18" s="1" t="n">
        <v>46221</v>
      </c>
      <c r="F18" t="inlineStr">
        <is>
          <t>NORRBOTTENS LÄN</t>
        </is>
      </c>
      <c r="G18" t="inlineStr">
        <is>
          <t>BODEN</t>
        </is>
      </c>
      <c r="H18" t="inlineStr">
        <is>
          <t>Övriga statliga verk och myndigheter</t>
        </is>
      </c>
      <c r="I18" t="n">
        <v>21.2</v>
      </c>
      <c r="J18" t="n">
        <v>4</v>
      </c>
      <c r="K18" t="n">
        <v>2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7</v>
      </c>
      <c r="T18" t="n">
        <v>9</v>
      </c>
      <c r="U18" s="2" t="inlineStr">
        <is>
          <t>Garnlav
Motaggsvamp
Talltita
Norrlandslav
Plattlummer
Järpe
Revlummer</t>
        </is>
      </c>
      <c r="V18">
        <f>HYPERLINK("https://klasma.github.io/Logging_2582/artfynd/A 49753-2022 artfynd.xlsx", "A 49753-2022")</f>
        <v/>
      </c>
      <c r="W18">
        <f>HYPERLINK("https://klasma.github.io/Logging_2582/kartor/A 49753-2022 karta.png", "A 49753-2022")</f>
        <v/>
      </c>
      <c r="Y18">
        <f>HYPERLINK("https://klasma.github.io/Logging_2582/klagomål/A 49753-2022 FSC-klagomål.docx", "A 49753-2022")</f>
        <v/>
      </c>
      <c r="Z18">
        <f>HYPERLINK("https://klasma.github.io/Logging_2582/klagomålsmail/A 49753-2022 FSC-klagomål mail.docx", "A 49753-2022")</f>
        <v/>
      </c>
      <c r="AA18">
        <f>HYPERLINK("https://klasma.github.io/Logging_2582/tillsyn/A 49753-2022 tillsynsbegäran.docx", "A 49753-2022")</f>
        <v/>
      </c>
      <c r="AB18">
        <f>HYPERLINK("https://klasma.github.io/Logging_2582/tillsynsmail/A 49753-2022 tillsynsbegäran mail.docx", "A 49753-2022")</f>
        <v/>
      </c>
      <c r="AC18">
        <f>HYPERLINK("https://klasma.github.io/Logging_2582/fåglar/A 49753-2022 prioriterade fågelarter.docx", "A 49753-2022")</f>
        <v/>
      </c>
    </row>
    <row r="19" ht="15" customHeight="1">
      <c r="A19" t="inlineStr">
        <is>
          <t>A 47498-2022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44853</v>
      </c>
      <c r="E19" s="1" t="n">
        <v>46221</v>
      </c>
      <c r="F19" t="inlineStr">
        <is>
          <t>NORRBOTTENS LÄN</t>
        </is>
      </c>
      <c r="G19" t="inlineStr">
        <is>
          <t>BODEN</t>
        </is>
      </c>
      <c r="H19" t="inlineStr">
        <is>
          <t>Kommuner</t>
        </is>
      </c>
      <c r="I19" t="n">
        <v>2.6</v>
      </c>
      <c r="J19" t="n">
        <v>6</v>
      </c>
      <c r="K19" t="n">
        <v>1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7</v>
      </c>
      <c r="T19" t="n">
        <v>7</v>
      </c>
      <c r="U19" s="2" t="inlineStr">
        <is>
          <t>Tornseglare
Järnsparv
Tretåig hackspett
Strutbräken
Spillkråka
Orre
Ärtsångare</t>
        </is>
      </c>
      <c r="V19">
        <f>HYPERLINK("https://klasma.github.io/Logging_2582/artfynd/A 47498-2022 artfynd.xlsx", "A 47498-2022")</f>
        <v/>
      </c>
      <c r="W19">
        <f>HYPERLINK("https://klasma.github.io/Logging_2582/kartor/A 47498-2022 karta.png", "A 47498-2022")</f>
        <v/>
      </c>
      <c r="Y19">
        <f>HYPERLINK("https://klasma.github.io/Logging_2582/klagomål/A 47498-2022 FSC-klagomål.docx", "A 47498-2022")</f>
        <v/>
      </c>
      <c r="Z19">
        <f>HYPERLINK("https://klasma.github.io/Logging_2582/klagomålsmail/A 47498-2022 FSC-klagomål mail.docx", "A 47498-2022")</f>
        <v/>
      </c>
      <c r="AA19">
        <f>HYPERLINK("https://klasma.github.io/Logging_2582/tillsyn/A 47498-2022 tillsynsbegäran.docx", "A 47498-2022")</f>
        <v/>
      </c>
      <c r="AB19">
        <f>HYPERLINK("https://klasma.github.io/Logging_2582/tillsynsmail/A 47498-2022 tillsynsbegäran mail.docx", "A 47498-2022")</f>
        <v/>
      </c>
      <c r="AC19">
        <f>HYPERLINK("https://klasma.github.io/Logging_2582/fåglar/A 47498-2022 prioriterade fågelarter.docx", "A 47498-2022")</f>
        <v/>
      </c>
    </row>
    <row r="20" ht="15" customHeight="1">
      <c r="A20" t="inlineStr">
        <is>
          <t>A 319-2024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45295</v>
      </c>
      <c r="E20" s="1" t="n">
        <v>46221</v>
      </c>
      <c r="F20" t="inlineStr">
        <is>
          <t>NORRBOTTENS LÄN</t>
        </is>
      </c>
      <c r="G20" t="inlineStr">
        <is>
          <t>BODEN</t>
        </is>
      </c>
      <c r="I20" t="n">
        <v>4.3</v>
      </c>
      <c r="J20" t="n">
        <v>2</v>
      </c>
      <c r="K20" t="n">
        <v>2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7</v>
      </c>
      <c r="T20" t="n">
        <v>12</v>
      </c>
      <c r="U20" s="2" t="inlineStr">
        <is>
          <t>Gammelgransskål
Ullticka
Violettgrå tagellav
Blodticka
Vedticka
Spillkråka
Revlummer</t>
        </is>
      </c>
      <c r="V20">
        <f>HYPERLINK("https://klasma.github.io/Logging_2582/artfynd/A 319-2024 artfynd.xlsx", "A 319-2024")</f>
        <v/>
      </c>
      <c r="W20">
        <f>HYPERLINK("https://klasma.github.io/Logging_2582/kartor/A 319-2024 karta.png", "A 319-2024")</f>
        <v/>
      </c>
      <c r="Y20">
        <f>HYPERLINK("https://klasma.github.io/Logging_2582/klagomål/A 319-2024 FSC-klagomål.docx", "A 319-2024")</f>
        <v/>
      </c>
      <c r="Z20">
        <f>HYPERLINK("https://klasma.github.io/Logging_2582/klagomålsmail/A 319-2024 FSC-klagomål mail.docx", "A 319-2024")</f>
        <v/>
      </c>
      <c r="AA20">
        <f>HYPERLINK("https://klasma.github.io/Logging_2582/tillsyn/A 319-2024 tillsynsbegäran.docx", "A 319-2024")</f>
        <v/>
      </c>
      <c r="AB20">
        <f>HYPERLINK("https://klasma.github.io/Logging_2582/tillsynsmail/A 319-2024 tillsynsbegäran mail.docx", "A 319-2024")</f>
        <v/>
      </c>
      <c r="AC20">
        <f>HYPERLINK("https://klasma.github.io/Logging_2582/fåglar/A 319-2024 prioriterade fågelarter.docx", "A 319-2024")</f>
        <v/>
      </c>
    </row>
    <row r="21" ht="15" customHeight="1">
      <c r="A21" t="inlineStr">
        <is>
          <t>A 19598-2023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45049</v>
      </c>
      <c r="E21" s="1" t="n">
        <v>46221</v>
      </c>
      <c r="F21" t="inlineStr">
        <is>
          <t>NORRBOTTENS LÄN</t>
        </is>
      </c>
      <c r="G21" t="inlineStr">
        <is>
          <t>BODEN</t>
        </is>
      </c>
      <c r="I21" t="n">
        <v>1.8</v>
      </c>
      <c r="J21" t="n">
        <v>1</v>
      </c>
      <c r="K21" t="n">
        <v>3</v>
      </c>
      <c r="L21" t="n">
        <v>1</v>
      </c>
      <c r="M21" t="n">
        <v>3</v>
      </c>
      <c r="N21" t="n">
        <v>0</v>
      </c>
      <c r="O21" t="n">
        <v>0</v>
      </c>
      <c r="P21" t="n">
        <v>0</v>
      </c>
      <c r="Q21" t="n">
        <v>4</v>
      </c>
      <c r="R21" t="n">
        <v>3</v>
      </c>
      <c r="S21" t="n">
        <v>7</v>
      </c>
      <c r="T21" t="n">
        <v>11</v>
      </c>
      <c r="U21" s="2" t="inlineStr">
        <is>
          <t>Garnlav
Grenlav
Liten hornflikmossa
Vedflikmossa
Bollvitmossa
Källpraktmossa
Lappranunkel</t>
        </is>
      </c>
      <c r="V21">
        <f>HYPERLINK("https://klasma.github.io/Logging_2582/artfynd/A 19598-2023 artfynd.xlsx", "A 19598-2023")</f>
        <v/>
      </c>
      <c r="W21">
        <f>HYPERLINK("https://klasma.github.io/Logging_2582/kartor/A 19598-2023 karta.png", "A 19598-2023")</f>
        <v/>
      </c>
      <c r="Y21">
        <f>HYPERLINK("https://klasma.github.io/Logging_2582/klagomål/A 19598-2023 FSC-klagomål.docx", "A 19598-2023")</f>
        <v/>
      </c>
      <c r="Z21">
        <f>HYPERLINK("https://klasma.github.io/Logging_2582/klagomålsmail/A 19598-2023 FSC-klagomål mail.docx", "A 19598-2023")</f>
        <v/>
      </c>
      <c r="AA21">
        <f>HYPERLINK("https://klasma.github.io/Logging_2582/tillsyn/A 19598-2023 tillsynsbegäran.docx", "A 19598-2023")</f>
        <v/>
      </c>
      <c r="AB21">
        <f>HYPERLINK("https://klasma.github.io/Logging_2582/tillsynsmail/A 19598-2023 tillsynsbegäran mail.docx", "A 19598-2023")</f>
        <v/>
      </c>
    </row>
    <row r="22" ht="15" customHeight="1">
      <c r="A22" t="inlineStr">
        <is>
          <t>A 51389-2022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44869</v>
      </c>
      <c r="E22" s="1" t="n">
        <v>46221</v>
      </c>
      <c r="F22" t="inlineStr">
        <is>
          <t>NORRBOTTENS LÄN</t>
        </is>
      </c>
      <c r="G22" t="inlineStr">
        <is>
          <t>BODEN</t>
        </is>
      </c>
      <c r="H22" t="inlineStr">
        <is>
          <t>Övriga statliga verk och myndigheter</t>
        </is>
      </c>
      <c r="I22" t="n">
        <v>15.6</v>
      </c>
      <c r="J22" t="n">
        <v>6</v>
      </c>
      <c r="K22" t="n">
        <v>0</v>
      </c>
      <c r="L22" t="n">
        <v>2</v>
      </c>
      <c r="M22" t="n">
        <v>0</v>
      </c>
      <c r="N22" t="n">
        <v>1</v>
      </c>
      <c r="O22" t="n">
        <v>0</v>
      </c>
      <c r="P22" t="n">
        <v>0</v>
      </c>
      <c r="Q22" t="n">
        <v>3</v>
      </c>
      <c r="R22" t="n">
        <v>1</v>
      </c>
      <c r="S22" t="n">
        <v>6</v>
      </c>
      <c r="T22" t="n">
        <v>6</v>
      </c>
      <c r="U22" s="2" t="inlineStr">
        <is>
          <t>Pärluggla
Grönsångare
Talltita
Järpe
Tallbit
Orre</t>
        </is>
      </c>
      <c r="V22">
        <f>HYPERLINK("https://klasma.github.io/Logging_2582/artfynd/A 51389-2022 artfynd.xlsx", "A 51389-2022")</f>
        <v/>
      </c>
      <c r="W22">
        <f>HYPERLINK("https://klasma.github.io/Logging_2582/kartor/A 51389-2022 karta.png", "A 51389-2022")</f>
        <v/>
      </c>
      <c r="Y22">
        <f>HYPERLINK("https://klasma.github.io/Logging_2582/klagomål/A 51389-2022 FSC-klagomål.docx", "A 51389-2022")</f>
        <v/>
      </c>
      <c r="Z22">
        <f>HYPERLINK("https://klasma.github.io/Logging_2582/klagomålsmail/A 51389-2022 FSC-klagomål mail.docx", "A 51389-2022")</f>
        <v/>
      </c>
      <c r="AA22">
        <f>HYPERLINK("https://klasma.github.io/Logging_2582/tillsyn/A 51389-2022 tillsynsbegäran.docx", "A 51389-2022")</f>
        <v/>
      </c>
      <c r="AB22">
        <f>HYPERLINK("https://klasma.github.io/Logging_2582/tillsynsmail/A 51389-2022 tillsynsbegäran mail.docx", "A 51389-2022")</f>
        <v/>
      </c>
      <c r="AC22">
        <f>HYPERLINK("https://klasma.github.io/Logging_2582/fåglar/A 51389-2022 prioriterade fågelarter.docx", "A 51389-2022")</f>
        <v/>
      </c>
    </row>
    <row r="23" ht="15" customHeight="1">
      <c r="A23" t="inlineStr">
        <is>
          <t>S 1449-2024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45418</v>
      </c>
      <c r="E23" s="1" t="n">
        <v>46221</v>
      </c>
      <c r="F23" t="inlineStr">
        <is>
          <t>NORRBOTTENS LÄN</t>
        </is>
      </c>
      <c r="G23" t="inlineStr">
        <is>
          <t>BODEN</t>
        </is>
      </c>
      <c r="H23" t="inlineStr">
        <is>
          <t>Sveaskog</t>
        </is>
      </c>
      <c r="I23" t="n">
        <v>2</v>
      </c>
      <c r="J23" t="n">
        <v>0</v>
      </c>
      <c r="K23" t="n">
        <v>2</v>
      </c>
      <c r="L23" t="n">
        <v>3</v>
      </c>
      <c r="M23" t="n">
        <v>1</v>
      </c>
      <c r="N23" t="n">
        <v>0</v>
      </c>
      <c r="O23" t="n">
        <v>0</v>
      </c>
      <c r="P23" t="n">
        <v>0</v>
      </c>
      <c r="Q23" t="n">
        <v>4</v>
      </c>
      <c r="R23" t="n">
        <v>1</v>
      </c>
      <c r="S23" t="n">
        <v>6</v>
      </c>
      <c r="T23" t="n">
        <v>8</v>
      </c>
      <c r="U23" s="2" t="inlineStr">
        <is>
          <t>Skrovlig taggsvamp
Nordtagging
Skarp dropptaggsvamp
Vaddporing
Rävticka
Skinnlav</t>
        </is>
      </c>
      <c r="V23">
        <f>HYPERLINK("https://klasma.github.io/Logging_2582/artfynd/S 1449-2024 artfynd.xlsx", "S 1449-2024")</f>
        <v/>
      </c>
      <c r="W23">
        <f>HYPERLINK("https://klasma.github.io/Logging_2582/kartor/S 1449-2024 karta.png", "S 1449-2024")</f>
        <v/>
      </c>
      <c r="Y23">
        <f>HYPERLINK("https://klasma.github.io/Logging_2582/klagomål/S 1449-2024 FSC-klagomål.docx", "S 1449-2024")</f>
        <v/>
      </c>
      <c r="Z23">
        <f>HYPERLINK("https://klasma.github.io/Logging_2582/klagomålsmail/S 1449-2024 FSC-klagomål mail.docx", "S 1449-2024")</f>
        <v/>
      </c>
      <c r="AA23">
        <f>HYPERLINK("https://klasma.github.io/Logging_2582/tillsyn/S 1449-2024 tillsynsbegäran.docx", "S 1449-2024")</f>
        <v/>
      </c>
      <c r="AB23">
        <f>HYPERLINK("https://klasma.github.io/Logging_2582/tillsynsmail/S 1449-2024 tillsynsbegäran mail.docx", "S 1449-2024")</f>
        <v/>
      </c>
    </row>
    <row r="24" ht="15" customHeight="1">
      <c r="A24" t="inlineStr">
        <is>
          <t>S 2311-2024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45463</v>
      </c>
      <c r="E24" s="1" t="n">
        <v>46221</v>
      </c>
      <c r="F24" t="inlineStr">
        <is>
          <t>NORRBOTTENS LÄN</t>
        </is>
      </c>
      <c r="G24" t="inlineStr">
        <is>
          <t>BODEN</t>
        </is>
      </c>
      <c r="H24" t="inlineStr">
        <is>
          <t>Sveaskog</t>
        </is>
      </c>
      <c r="I24" t="n">
        <v>2.3</v>
      </c>
      <c r="J24" t="n">
        <v>3</v>
      </c>
      <c r="K24" t="n">
        <v>3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6</v>
      </c>
      <c r="T24" t="n">
        <v>8</v>
      </c>
      <c r="U24" s="2" t="inlineStr">
        <is>
          <t>Knärot
Orange taggsvamp
Grönpyrola
Spindelblomster
Ögonpyrola
Nattviol</t>
        </is>
      </c>
      <c r="V24">
        <f>HYPERLINK("https://klasma.github.io/Logging_2582/artfynd/S 2311-2024 artfynd.xlsx", "S 2311-2024")</f>
        <v/>
      </c>
      <c r="W24">
        <f>HYPERLINK("https://klasma.github.io/Logging_2582/kartor/S 2311-2024 karta.png", "S 2311-2024")</f>
        <v/>
      </c>
      <c r="X24">
        <f>HYPERLINK("https://klasma.github.io/Logging_2582/knärot/S 2311-2024 karta knärot.png", "S 2311-2024")</f>
        <v/>
      </c>
      <c r="Y24">
        <f>HYPERLINK("https://klasma.github.io/Logging_2582/klagomål/S 2311-2024 FSC-klagomål.docx", "S 2311-2024")</f>
        <v/>
      </c>
      <c r="Z24">
        <f>HYPERLINK("https://klasma.github.io/Logging_2582/klagomålsmail/S 2311-2024 FSC-klagomål mail.docx", "S 2311-2024")</f>
        <v/>
      </c>
      <c r="AA24">
        <f>HYPERLINK("https://klasma.github.io/Logging_2582/tillsyn/S 2311-2024 tillsynsbegäran.docx", "S 2311-2024")</f>
        <v/>
      </c>
      <c r="AB24">
        <f>HYPERLINK("https://klasma.github.io/Logging_2582/tillsynsmail/S 2311-2024 tillsynsbegäran mail.docx", "S 2311-2024")</f>
        <v/>
      </c>
    </row>
    <row r="25" ht="15" customHeight="1">
      <c r="A25" t="inlineStr">
        <is>
          <t>A 43653-2021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44433</v>
      </c>
      <c r="E25" s="1" t="n">
        <v>46221</v>
      </c>
      <c r="F25" t="inlineStr">
        <is>
          <t>NORRBOTTENS LÄN</t>
        </is>
      </c>
      <c r="G25" t="inlineStr">
        <is>
          <t>BODEN</t>
        </is>
      </c>
      <c r="H25" t="inlineStr">
        <is>
          <t>Sveaskog</t>
        </is>
      </c>
      <c r="I25" t="n">
        <v>5.2</v>
      </c>
      <c r="J25" t="n">
        <v>2</v>
      </c>
      <c r="K25" t="n">
        <v>2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5</v>
      </c>
      <c r="T25" t="n">
        <v>6</v>
      </c>
      <c r="U25" s="2" t="inlineStr">
        <is>
          <t>Knärot
Gammelgransskål
Lunglav
Spindelblomster
Ögonpyrola</t>
        </is>
      </c>
      <c r="V25">
        <f>HYPERLINK("https://klasma.github.io/Logging_2582/artfynd/A 43653-2021 artfynd.xlsx", "A 43653-2021")</f>
        <v/>
      </c>
      <c r="W25">
        <f>HYPERLINK("https://klasma.github.io/Logging_2582/kartor/A 43653-2021 karta.png", "A 43653-2021")</f>
        <v/>
      </c>
      <c r="X25">
        <f>HYPERLINK("https://klasma.github.io/Logging_2582/knärot/A 43653-2021 karta knärot.png", "A 43653-2021")</f>
        <v/>
      </c>
      <c r="Y25">
        <f>HYPERLINK("https://klasma.github.io/Logging_2582/klagomål/A 43653-2021 FSC-klagomål.docx", "A 43653-2021")</f>
        <v/>
      </c>
      <c r="Z25">
        <f>HYPERLINK("https://klasma.github.io/Logging_2582/klagomålsmail/A 43653-2021 FSC-klagomål mail.docx", "A 43653-2021")</f>
        <v/>
      </c>
      <c r="AA25">
        <f>HYPERLINK("https://klasma.github.io/Logging_2582/tillsyn/A 43653-2021 tillsynsbegäran.docx", "A 43653-2021")</f>
        <v/>
      </c>
      <c r="AB25">
        <f>HYPERLINK("https://klasma.github.io/Logging_2582/tillsynsmail/A 43653-2021 tillsynsbegäran mail.docx", "A 43653-2021")</f>
        <v/>
      </c>
    </row>
    <row r="26" ht="15" customHeight="1">
      <c r="A26" t="inlineStr">
        <is>
          <t>A 58902-2021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44489</v>
      </c>
      <c r="E26" s="1" t="n">
        <v>46221</v>
      </c>
      <c r="F26" t="inlineStr">
        <is>
          <t>NORRBOTTENS LÄN</t>
        </is>
      </c>
      <c r="G26" t="inlineStr">
        <is>
          <t>BODEN</t>
        </is>
      </c>
      <c r="I26" t="n">
        <v>4.5</v>
      </c>
      <c r="J26" t="n">
        <v>1</v>
      </c>
      <c r="K26" t="n">
        <v>1</v>
      </c>
      <c r="L26" t="n">
        <v>4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t="n">
        <v>0</v>
      </c>
      <c r="S26" t="n">
        <v>5</v>
      </c>
      <c r="T26" t="n">
        <v>8</v>
      </c>
      <c r="U26" s="2" t="inlineStr">
        <is>
          <t>Brunpudrad nållav
Enkelbeckasin
Gammelgransskål
Lunglav
Vedticka</t>
        </is>
      </c>
      <c r="V26">
        <f>HYPERLINK("https://klasma.github.io/Logging_2582/artfynd/A 58902-2021 artfynd.xlsx", "A 58902-2021")</f>
        <v/>
      </c>
      <c r="W26">
        <f>HYPERLINK("https://klasma.github.io/Logging_2582/kartor/A 58902-2021 karta.png", "A 58902-2021")</f>
        <v/>
      </c>
      <c r="Y26">
        <f>HYPERLINK("https://klasma.github.io/Logging_2582/klagomål/A 58902-2021 FSC-klagomål.docx", "A 58902-2021")</f>
        <v/>
      </c>
      <c r="Z26">
        <f>HYPERLINK("https://klasma.github.io/Logging_2582/klagomålsmail/A 58902-2021 FSC-klagomål mail.docx", "A 58902-2021")</f>
        <v/>
      </c>
      <c r="AA26">
        <f>HYPERLINK("https://klasma.github.io/Logging_2582/tillsyn/A 58902-2021 tillsynsbegäran.docx", "A 58902-2021")</f>
        <v/>
      </c>
      <c r="AB26">
        <f>HYPERLINK("https://klasma.github.io/Logging_2582/tillsynsmail/A 58902-2021 tillsynsbegäran mail.docx", "A 58902-2021")</f>
        <v/>
      </c>
      <c r="AC26">
        <f>HYPERLINK("https://klasma.github.io/Logging_2582/fåglar/A 58902-2021 prioriterade fågelarter.docx", "A 58902-2021")</f>
        <v/>
      </c>
    </row>
    <row r="27" ht="15" customHeight="1">
      <c r="A27" t="inlineStr">
        <is>
          <t>A 34792-2022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44795</v>
      </c>
      <c r="E27" s="1" t="n">
        <v>46221</v>
      </c>
      <c r="F27" t="inlineStr">
        <is>
          <t>NORRBOTTENS LÄN</t>
        </is>
      </c>
      <c r="G27" t="inlineStr">
        <is>
          <t>BODEN</t>
        </is>
      </c>
      <c r="H27" t="inlineStr">
        <is>
          <t>SCA</t>
        </is>
      </c>
      <c r="I27" t="n">
        <v>6.7</v>
      </c>
      <c r="J27" t="n">
        <v>1</v>
      </c>
      <c r="K27" t="n">
        <v>1</v>
      </c>
      <c r="L27" t="n">
        <v>3</v>
      </c>
      <c r="M27" t="n">
        <v>1</v>
      </c>
      <c r="N27" t="n">
        <v>0</v>
      </c>
      <c r="O27" t="n">
        <v>0</v>
      </c>
      <c r="P27" t="n">
        <v>0</v>
      </c>
      <c r="Q27" t="n">
        <v>4</v>
      </c>
      <c r="R27" t="n">
        <v>1</v>
      </c>
      <c r="S27" t="n">
        <v>5</v>
      </c>
      <c r="T27" t="n">
        <v>5</v>
      </c>
      <c r="U27" s="2" t="inlineStr">
        <is>
          <t>Knärot
Gammelgransskål
Lunglav
Ullticka
Grönpyrola</t>
        </is>
      </c>
      <c r="V27">
        <f>HYPERLINK("https://klasma.github.io/Logging_2582/artfynd/A 34792-2022 artfynd.xlsx", "A 34792-2022")</f>
        <v/>
      </c>
      <c r="W27">
        <f>HYPERLINK("https://klasma.github.io/Logging_2582/kartor/A 34792-2022 karta.png", "A 34792-2022")</f>
        <v/>
      </c>
      <c r="X27">
        <f>HYPERLINK("https://klasma.github.io/Logging_2582/knärot/A 34792-2022 karta knärot.png", "A 34792-2022")</f>
        <v/>
      </c>
      <c r="Y27">
        <f>HYPERLINK("https://klasma.github.io/Logging_2582/klagomål/A 34792-2022 FSC-klagomål.docx", "A 34792-2022")</f>
        <v/>
      </c>
      <c r="Z27">
        <f>HYPERLINK("https://klasma.github.io/Logging_2582/klagomålsmail/A 34792-2022 FSC-klagomål mail.docx", "A 34792-2022")</f>
        <v/>
      </c>
      <c r="AA27">
        <f>HYPERLINK("https://klasma.github.io/Logging_2582/tillsyn/A 34792-2022 tillsynsbegäran.docx", "A 34792-2022")</f>
        <v/>
      </c>
      <c r="AB27">
        <f>HYPERLINK("https://klasma.github.io/Logging_2582/tillsynsmail/A 34792-2022 tillsynsbegäran mail.docx", "A 34792-2022")</f>
        <v/>
      </c>
    </row>
    <row r="28" ht="15" customHeight="1">
      <c r="A28" t="inlineStr">
        <is>
          <t>A 59358-2022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44904</v>
      </c>
      <c r="E28" s="1" t="n">
        <v>46221</v>
      </c>
      <c r="F28" t="inlineStr">
        <is>
          <t>NORRBOTTENS LÄN</t>
        </is>
      </c>
      <c r="G28" t="inlineStr">
        <is>
          <t>BODEN</t>
        </is>
      </c>
      <c r="I28" t="n">
        <v>1.5</v>
      </c>
      <c r="J28" t="n">
        <v>4</v>
      </c>
      <c r="K28" t="n">
        <v>1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5</v>
      </c>
      <c r="T28" t="n">
        <v>5</v>
      </c>
      <c r="U28" s="2" t="inlineStr">
        <is>
          <t>Stare
Rosenfink
Rävticka
Sångsvan
Trana</t>
        </is>
      </c>
      <c r="V28">
        <f>HYPERLINK("https://klasma.github.io/Logging_2582/artfynd/A 59358-2022 artfynd.xlsx", "A 59358-2022")</f>
        <v/>
      </c>
      <c r="W28">
        <f>HYPERLINK("https://klasma.github.io/Logging_2582/kartor/A 59358-2022 karta.png", "A 59358-2022")</f>
        <v/>
      </c>
      <c r="Y28">
        <f>HYPERLINK("https://klasma.github.io/Logging_2582/klagomål/A 59358-2022 FSC-klagomål.docx", "A 59358-2022")</f>
        <v/>
      </c>
      <c r="Z28">
        <f>HYPERLINK("https://klasma.github.io/Logging_2582/klagomålsmail/A 59358-2022 FSC-klagomål mail.docx", "A 59358-2022")</f>
        <v/>
      </c>
      <c r="AA28">
        <f>HYPERLINK("https://klasma.github.io/Logging_2582/tillsyn/A 59358-2022 tillsynsbegäran.docx", "A 59358-2022")</f>
        <v/>
      </c>
      <c r="AB28">
        <f>HYPERLINK("https://klasma.github.io/Logging_2582/tillsynsmail/A 59358-2022 tillsynsbegäran mail.docx", "A 59358-2022")</f>
        <v/>
      </c>
      <c r="AC28">
        <f>HYPERLINK("https://klasma.github.io/Logging_2582/fåglar/A 59358-2022 prioriterade fågelarter.docx", "A 59358-2022")</f>
        <v/>
      </c>
    </row>
    <row r="29" ht="15" customHeight="1">
      <c r="A29" t="inlineStr">
        <is>
          <t>A 19324-2024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45428</v>
      </c>
      <c r="E29" s="1" t="n">
        <v>46221</v>
      </c>
      <c r="F29" t="inlineStr">
        <is>
          <t>NORRBOTTENS LÄN</t>
        </is>
      </c>
      <c r="G29" t="inlineStr">
        <is>
          <t>BODEN</t>
        </is>
      </c>
      <c r="I29" t="n">
        <v>3.8</v>
      </c>
      <c r="J29" t="n">
        <v>3</v>
      </c>
      <c r="K29" t="n">
        <v>1</v>
      </c>
      <c r="L29" t="n">
        <v>0</v>
      </c>
      <c r="M29" t="n">
        <v>2</v>
      </c>
      <c r="N29" t="n">
        <v>1</v>
      </c>
      <c r="O29" t="n">
        <v>0</v>
      </c>
      <c r="P29" t="n">
        <v>0</v>
      </c>
      <c r="Q29" t="n">
        <v>3</v>
      </c>
      <c r="R29" t="n">
        <v>3</v>
      </c>
      <c r="S29" t="n">
        <v>5</v>
      </c>
      <c r="T29" t="n">
        <v>6</v>
      </c>
      <c r="U29" s="2" t="inlineStr">
        <is>
          <t>Bitter taggsvamp
Knärot
Norna
Ögonpyrola
Nattviol</t>
        </is>
      </c>
      <c r="V29">
        <f>HYPERLINK("https://klasma.github.io/Logging_2582/artfynd/A 19324-2024 artfynd.xlsx", "A 19324-2024")</f>
        <v/>
      </c>
      <c r="W29">
        <f>HYPERLINK("https://klasma.github.io/Logging_2582/kartor/A 19324-2024 karta.png", "A 19324-2024")</f>
        <v/>
      </c>
      <c r="X29">
        <f>HYPERLINK("https://klasma.github.io/Logging_2582/knärot/A 19324-2024 karta knärot.png", "A 19324-2024")</f>
        <v/>
      </c>
      <c r="Y29">
        <f>HYPERLINK("https://klasma.github.io/Logging_2582/klagomål/A 19324-2024 FSC-klagomål.docx", "A 19324-2024")</f>
        <v/>
      </c>
      <c r="Z29">
        <f>HYPERLINK("https://klasma.github.io/Logging_2582/klagomålsmail/A 19324-2024 FSC-klagomål mail.docx", "A 19324-2024")</f>
        <v/>
      </c>
      <c r="AA29">
        <f>HYPERLINK("https://klasma.github.io/Logging_2582/tillsyn/A 19324-2024 tillsynsbegäran.docx", "A 19324-2024")</f>
        <v/>
      </c>
      <c r="AB29">
        <f>HYPERLINK("https://klasma.github.io/Logging_2582/tillsynsmail/A 19324-2024 tillsynsbegäran mail.docx", "A 19324-2024")</f>
        <v/>
      </c>
    </row>
    <row r="30" ht="15" customHeight="1">
      <c r="A30" t="inlineStr">
        <is>
          <t>A 31030-2025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45832</v>
      </c>
      <c r="E30" s="1" t="n">
        <v>46221</v>
      </c>
      <c r="F30" t="inlineStr">
        <is>
          <t>NORRBOTTENS LÄN</t>
        </is>
      </c>
      <c r="G30" t="inlineStr">
        <is>
          <t>BODEN</t>
        </is>
      </c>
      <c r="H30" t="inlineStr">
        <is>
          <t>Sveaskog</t>
        </is>
      </c>
      <c r="I30" t="n">
        <v>11.1</v>
      </c>
      <c r="J30" t="n">
        <v>3</v>
      </c>
      <c r="K30" t="n">
        <v>2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5</v>
      </c>
      <c r="T30" t="n">
        <v>9</v>
      </c>
      <c r="U30" s="2" t="inlineStr">
        <is>
          <t>Knärot
Lunglav
Spindelblomster
Stuplav
Fläcknycklar</t>
        </is>
      </c>
      <c r="V30">
        <f>HYPERLINK("https://klasma.github.io/Logging_2582/artfynd/A 31030-2025 artfynd.xlsx", "A 31030-2025")</f>
        <v/>
      </c>
      <c r="W30">
        <f>HYPERLINK("https://klasma.github.io/Logging_2582/kartor/A 31030-2025 karta.png", "A 31030-2025")</f>
        <v/>
      </c>
      <c r="X30">
        <f>HYPERLINK("https://klasma.github.io/Logging_2582/knärot/A 31030-2025 karta knärot.png", "A 31030-2025")</f>
        <v/>
      </c>
      <c r="Y30">
        <f>HYPERLINK("https://klasma.github.io/Logging_2582/klagomål/A 31030-2025 FSC-klagomål.docx", "A 31030-2025")</f>
        <v/>
      </c>
      <c r="Z30">
        <f>HYPERLINK("https://klasma.github.io/Logging_2582/klagomålsmail/A 31030-2025 FSC-klagomål mail.docx", "A 31030-2025")</f>
        <v/>
      </c>
      <c r="AA30">
        <f>HYPERLINK("https://klasma.github.io/Logging_2582/tillsyn/A 31030-2025 tillsynsbegäran.docx", "A 31030-2025")</f>
        <v/>
      </c>
      <c r="AB30">
        <f>HYPERLINK("https://klasma.github.io/Logging_2582/tillsynsmail/A 31030-2025 tillsynsbegäran mail.docx", "A 31030-2025")</f>
        <v/>
      </c>
    </row>
    <row r="31" ht="15" customHeight="1">
      <c r="A31" t="inlineStr">
        <is>
          <t>A 32309-2025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45835</v>
      </c>
      <c r="E31" s="1" t="n">
        <v>46221</v>
      </c>
      <c r="F31" t="inlineStr">
        <is>
          <t>NORRBOTTENS LÄN</t>
        </is>
      </c>
      <c r="G31" t="inlineStr">
        <is>
          <t>BODEN</t>
        </is>
      </c>
      <c r="H31" t="inlineStr">
        <is>
          <t>Sveaskog</t>
        </is>
      </c>
      <c r="I31" t="n">
        <v>13.6</v>
      </c>
      <c r="J31" t="n">
        <v>1</v>
      </c>
      <c r="K31" t="n">
        <v>2</v>
      </c>
      <c r="L31" t="n">
        <v>1</v>
      </c>
      <c r="M31" t="n">
        <v>2</v>
      </c>
      <c r="N31" t="n">
        <v>0</v>
      </c>
      <c r="O31" t="n">
        <v>0</v>
      </c>
      <c r="P31" t="n">
        <v>0</v>
      </c>
      <c r="Q31" t="n">
        <v>3</v>
      </c>
      <c r="R31" t="n">
        <v>2</v>
      </c>
      <c r="S31" t="n">
        <v>5</v>
      </c>
      <c r="T31" t="n">
        <v>6</v>
      </c>
      <c r="U31" s="2" t="inlineStr">
        <is>
          <t>Doftticka
Garnlav
Lunglav
Bårdlav
Stuplav</t>
        </is>
      </c>
      <c r="V31">
        <f>HYPERLINK("https://klasma.github.io/Logging_2582/artfynd/A 32309-2025 artfynd.xlsx", "A 32309-2025")</f>
        <v/>
      </c>
      <c r="W31">
        <f>HYPERLINK("https://klasma.github.io/Logging_2582/kartor/A 32309-2025 karta.png", "A 32309-2025")</f>
        <v/>
      </c>
      <c r="Y31">
        <f>HYPERLINK("https://klasma.github.io/Logging_2582/klagomål/A 32309-2025 FSC-klagomål.docx", "A 32309-2025")</f>
        <v/>
      </c>
      <c r="Z31">
        <f>HYPERLINK("https://klasma.github.io/Logging_2582/klagomålsmail/A 32309-2025 FSC-klagomål mail.docx", "A 32309-2025")</f>
        <v/>
      </c>
      <c r="AA31">
        <f>HYPERLINK("https://klasma.github.io/Logging_2582/tillsyn/A 32309-2025 tillsynsbegäran.docx", "A 32309-2025")</f>
        <v/>
      </c>
      <c r="AB31">
        <f>HYPERLINK("https://klasma.github.io/Logging_2582/tillsynsmail/A 32309-2025 tillsynsbegäran mail.docx", "A 32309-2025")</f>
        <v/>
      </c>
    </row>
    <row r="32" ht="15" customHeight="1">
      <c r="A32" t="inlineStr">
        <is>
          <t>A 43709-2025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45912</v>
      </c>
      <c r="E32" s="1" t="n">
        <v>46221</v>
      </c>
      <c r="F32" t="inlineStr">
        <is>
          <t>NORRBOTTENS LÄN</t>
        </is>
      </c>
      <c r="G32" t="inlineStr">
        <is>
          <t>BODEN</t>
        </is>
      </c>
      <c r="I32" t="n">
        <v>7.7</v>
      </c>
      <c r="J32" t="n">
        <v>4</v>
      </c>
      <c r="K32" t="n">
        <v>1</v>
      </c>
      <c r="L32" t="n">
        <v>2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t="n">
        <v>1</v>
      </c>
      <c r="S32" t="n">
        <v>5</v>
      </c>
      <c r="T32" t="n">
        <v>5</v>
      </c>
      <c r="U32" s="2" t="inlineStr">
        <is>
          <t>Vitryggig hackspett
Talltita
Tretåig hackspett
Björksplintborre
Spillkråka</t>
        </is>
      </c>
      <c r="V32">
        <f>HYPERLINK("https://klasma.github.io/Logging_2582/artfynd/A 43709-2025 artfynd.xlsx", "A 43709-2025")</f>
        <v/>
      </c>
      <c r="W32">
        <f>HYPERLINK("https://klasma.github.io/Logging_2582/kartor/A 43709-2025 karta.png", "A 43709-2025")</f>
        <v/>
      </c>
      <c r="Y32">
        <f>HYPERLINK("https://klasma.github.io/Logging_2582/klagomål/A 43709-2025 FSC-klagomål.docx", "A 43709-2025")</f>
        <v/>
      </c>
      <c r="Z32">
        <f>HYPERLINK("https://klasma.github.io/Logging_2582/klagomålsmail/A 43709-2025 FSC-klagomål mail.docx", "A 43709-2025")</f>
        <v/>
      </c>
      <c r="AA32">
        <f>HYPERLINK("https://klasma.github.io/Logging_2582/tillsyn/A 43709-2025 tillsynsbegäran.docx", "A 43709-2025")</f>
        <v/>
      </c>
      <c r="AB32">
        <f>HYPERLINK("https://klasma.github.io/Logging_2582/tillsynsmail/A 43709-2025 tillsynsbegäran mail.docx", "A 43709-2025")</f>
        <v/>
      </c>
      <c r="AC32">
        <f>HYPERLINK("https://klasma.github.io/Logging_2582/fåglar/A 43709-2025 prioriterade fågelarter.docx", "A 43709-2025")</f>
        <v/>
      </c>
    </row>
    <row r="33" ht="15" customHeight="1">
      <c r="A33" t="inlineStr">
        <is>
          <t>A 39868-2025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45893</v>
      </c>
      <c r="E33" s="1" t="n">
        <v>46221</v>
      </c>
      <c r="F33" t="inlineStr">
        <is>
          <t>NORRBOTTENS LÄN</t>
        </is>
      </c>
      <c r="G33" t="inlineStr">
        <is>
          <t>BODEN</t>
        </is>
      </c>
      <c r="H33" t="inlineStr">
        <is>
          <t>Övriga statliga verk och myndigheter</t>
        </is>
      </c>
      <c r="I33" t="n">
        <v>3.1</v>
      </c>
      <c r="J33" t="n">
        <v>5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5</v>
      </c>
      <c r="T33" t="n">
        <v>5</v>
      </c>
      <c r="U33" s="2" t="inlineStr">
        <is>
          <t>Nötkråka
Talltita
Gråspett
Järpe
Spillkråka</t>
        </is>
      </c>
      <c r="V33">
        <f>HYPERLINK("https://klasma.github.io/Logging_2582/artfynd/A 39868-2025 artfynd.xlsx", "A 39868-2025")</f>
        <v/>
      </c>
      <c r="W33">
        <f>HYPERLINK("https://klasma.github.io/Logging_2582/kartor/A 39868-2025 karta.png", "A 39868-2025")</f>
        <v/>
      </c>
      <c r="Y33">
        <f>HYPERLINK("https://klasma.github.io/Logging_2582/klagomål/A 39868-2025 FSC-klagomål.docx", "A 39868-2025")</f>
        <v/>
      </c>
      <c r="Z33">
        <f>HYPERLINK("https://klasma.github.io/Logging_2582/klagomålsmail/A 39868-2025 FSC-klagomål mail.docx", "A 39868-2025")</f>
        <v/>
      </c>
      <c r="AA33">
        <f>HYPERLINK("https://klasma.github.io/Logging_2582/tillsyn/A 39868-2025 tillsynsbegäran.docx", "A 39868-2025")</f>
        <v/>
      </c>
      <c r="AB33">
        <f>HYPERLINK("https://klasma.github.io/Logging_2582/tillsynsmail/A 39868-2025 tillsynsbegäran mail.docx", "A 39868-2025")</f>
        <v/>
      </c>
      <c r="AC33">
        <f>HYPERLINK("https://klasma.github.io/Logging_2582/fåglar/A 39868-2025 prioriterade fågelarter.docx", "A 39868-2025")</f>
        <v/>
      </c>
    </row>
    <row r="34" ht="15" customHeight="1">
      <c r="A34" t="inlineStr">
        <is>
          <t>A 32325-2024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45512</v>
      </c>
      <c r="E34" s="1" t="n">
        <v>46221</v>
      </c>
      <c r="F34" t="inlineStr">
        <is>
          <t>NORRBOTTENS LÄN</t>
        </is>
      </c>
      <c r="G34" t="inlineStr">
        <is>
          <t>BODEN</t>
        </is>
      </c>
      <c r="H34" t="inlineStr">
        <is>
          <t>Övriga Aktiebolag</t>
        </is>
      </c>
      <c r="I34" t="n">
        <v>36.5</v>
      </c>
      <c r="J34" t="n">
        <v>1</v>
      </c>
      <c r="K34" t="n">
        <v>2</v>
      </c>
      <c r="L34" t="n">
        <v>1</v>
      </c>
      <c r="M34" t="n">
        <v>2</v>
      </c>
      <c r="N34" t="n">
        <v>0</v>
      </c>
      <c r="O34" t="n">
        <v>0</v>
      </c>
      <c r="P34" t="n">
        <v>0</v>
      </c>
      <c r="Q34" t="n">
        <v>3</v>
      </c>
      <c r="R34" t="n">
        <v>2</v>
      </c>
      <c r="S34" t="n">
        <v>5</v>
      </c>
      <c r="T34" t="n">
        <v>7</v>
      </c>
      <c r="U34" s="2" t="inlineStr">
        <is>
          <t>Garnlav
Knärot
Gammelgransskål
Luddlav
Skinnlav</t>
        </is>
      </c>
      <c r="V34">
        <f>HYPERLINK("https://klasma.github.io/Logging_2582/artfynd/A 32325-2024 artfynd.xlsx", "A 32325-2024")</f>
        <v/>
      </c>
      <c r="W34">
        <f>HYPERLINK("https://klasma.github.io/Logging_2582/kartor/A 32325-2024 karta.png", "A 32325-2024")</f>
        <v/>
      </c>
      <c r="X34">
        <f>HYPERLINK("https://klasma.github.io/Logging_2582/knärot/A 32325-2024 karta knärot.png", "A 32325-2024")</f>
        <v/>
      </c>
      <c r="Y34">
        <f>HYPERLINK("https://klasma.github.io/Logging_2582/klagomål/A 32325-2024 FSC-klagomål.docx", "A 32325-2024")</f>
        <v/>
      </c>
      <c r="Z34">
        <f>HYPERLINK("https://klasma.github.io/Logging_2582/klagomålsmail/A 32325-2024 FSC-klagomål mail.docx", "A 32325-2024")</f>
        <v/>
      </c>
      <c r="AA34">
        <f>HYPERLINK("https://klasma.github.io/Logging_2582/tillsyn/A 32325-2024 tillsynsbegäran.docx", "A 32325-2024")</f>
        <v/>
      </c>
      <c r="AB34">
        <f>HYPERLINK("https://klasma.github.io/Logging_2582/tillsynsmail/A 32325-2024 tillsynsbegäran mail.docx", "A 32325-2024")</f>
        <v/>
      </c>
    </row>
    <row r="35" ht="15" customHeight="1">
      <c r="A35" t="inlineStr">
        <is>
          <t>A 31197-2026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46209</v>
      </c>
      <c r="E35" s="1" t="n">
        <v>46221</v>
      </c>
      <c r="F35" t="inlineStr">
        <is>
          <t>NORRBOTTENS LÄN</t>
        </is>
      </c>
      <c r="G35" t="inlineStr">
        <is>
          <t>BODEN</t>
        </is>
      </c>
      <c r="H35" t="inlineStr">
        <is>
          <t>Kommuner</t>
        </is>
      </c>
      <c r="I35" t="n">
        <v>2.7</v>
      </c>
      <c r="J35" t="n">
        <v>4</v>
      </c>
      <c r="K35" t="n">
        <v>0</v>
      </c>
      <c r="L35" t="n">
        <v>1</v>
      </c>
      <c r="M35" t="n">
        <v>1</v>
      </c>
      <c r="N35" t="n">
        <v>0</v>
      </c>
      <c r="O35" t="n">
        <v>0</v>
      </c>
      <c r="P35" t="n">
        <v>0</v>
      </c>
      <c r="Q35" t="n">
        <v>2</v>
      </c>
      <c r="R35" t="n">
        <v>1</v>
      </c>
      <c r="S35" t="n">
        <v>5</v>
      </c>
      <c r="T35" t="n">
        <v>6</v>
      </c>
      <c r="U35" s="2" t="inlineStr">
        <is>
          <t>Tornseglare
Älvstarr
Grönsiska
Svartvit flugsnappare
Vanlig groda</t>
        </is>
      </c>
      <c r="V35">
        <f>HYPERLINK("https://klasma.github.io/Logging_2582/artfynd/A 31197-2026 artfynd.xlsx", "A 31197-2026")</f>
        <v/>
      </c>
      <c r="W35">
        <f>HYPERLINK("https://klasma.github.io/Logging_2582/kartor/A 31197-2026 karta.png", "A 31197-2026")</f>
        <v/>
      </c>
      <c r="Y35">
        <f>HYPERLINK("https://klasma.github.io/Logging_2582/klagomål/A 31197-2026 FSC-klagomål.docx", "A 31197-2026")</f>
        <v/>
      </c>
      <c r="Z35">
        <f>HYPERLINK("https://klasma.github.io/Logging_2582/klagomålsmail/A 31197-2026 FSC-klagomål mail.docx", "A 31197-2026")</f>
        <v/>
      </c>
      <c r="AA35">
        <f>HYPERLINK("https://klasma.github.io/Logging_2582/tillsyn/A 31197-2026 tillsynsbegäran.docx", "A 31197-2026")</f>
        <v/>
      </c>
      <c r="AB35">
        <f>HYPERLINK("https://klasma.github.io/Logging_2582/tillsynsmail/A 31197-2026 tillsynsbegäran mail.docx", "A 31197-2026")</f>
        <v/>
      </c>
      <c r="AC35">
        <f>HYPERLINK("https://klasma.github.io/Logging_2582/fåglar/A 31197-2026 prioriterade fågelarter.docx", "A 31197-2026")</f>
        <v/>
      </c>
    </row>
    <row r="36" ht="15" customHeight="1">
      <c r="A36" t="inlineStr">
        <is>
          <t>A 30513-2026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46210</v>
      </c>
      <c r="E36" s="1" t="n">
        <v>46221</v>
      </c>
      <c r="F36" t="inlineStr">
        <is>
          <t>NORRBOTTENS LÄN</t>
        </is>
      </c>
      <c r="G36" t="inlineStr">
        <is>
          <t>BODEN</t>
        </is>
      </c>
      <c r="H36" t="inlineStr">
        <is>
          <t>Sveaskog</t>
        </is>
      </c>
      <c r="I36" t="n">
        <v>10.2</v>
      </c>
      <c r="J36" t="n">
        <v>1</v>
      </c>
      <c r="K36" t="n">
        <v>1</v>
      </c>
      <c r="L36" t="n">
        <v>2</v>
      </c>
      <c r="M36" t="n">
        <v>2</v>
      </c>
      <c r="N36" t="n">
        <v>0</v>
      </c>
      <c r="O36" t="n">
        <v>0</v>
      </c>
      <c r="P36" t="n">
        <v>0</v>
      </c>
      <c r="Q36" t="n">
        <v>4</v>
      </c>
      <c r="R36" t="n">
        <v>2</v>
      </c>
      <c r="S36" t="n">
        <v>5</v>
      </c>
      <c r="T36" t="n">
        <v>14</v>
      </c>
      <c r="U36" s="2" t="inlineStr">
        <is>
          <t>Gräddporing
Knärot
Nordtagging
Tallticka
Grönpyrola</t>
        </is>
      </c>
      <c r="V36">
        <f>HYPERLINK("https://klasma.github.io/Logging_2582/artfynd/A 30513-2026 artfynd.xlsx", "A 30513-2026")</f>
        <v/>
      </c>
      <c r="W36">
        <f>HYPERLINK("https://klasma.github.io/Logging_2582/kartor/A 30513-2026 karta.png", "A 30513-2026")</f>
        <v/>
      </c>
      <c r="X36">
        <f>HYPERLINK("https://klasma.github.io/Logging_2582/knärot/A 30513-2026 karta knärot.png", "A 30513-2026")</f>
        <v/>
      </c>
      <c r="Y36">
        <f>HYPERLINK("https://klasma.github.io/Logging_2582/klagomål/A 30513-2026 FSC-klagomål.docx", "A 30513-2026")</f>
        <v/>
      </c>
      <c r="Z36">
        <f>HYPERLINK("https://klasma.github.io/Logging_2582/klagomålsmail/A 30513-2026 FSC-klagomål mail.docx", "A 30513-2026")</f>
        <v/>
      </c>
      <c r="AA36">
        <f>HYPERLINK("https://klasma.github.io/Logging_2582/tillsyn/A 30513-2026 tillsynsbegäran.docx", "A 30513-2026")</f>
        <v/>
      </c>
      <c r="AB36">
        <f>HYPERLINK("https://klasma.github.io/Logging_2582/tillsynsmail/A 30513-2026 tillsynsbegäran mail.docx", "A 30513-2026")</f>
        <v/>
      </c>
    </row>
    <row r="37" ht="15" customHeight="1">
      <c r="A37" t="inlineStr">
        <is>
          <t>A 28197-2025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45818</v>
      </c>
      <c r="E37" s="1" t="n">
        <v>46221</v>
      </c>
      <c r="F37" t="inlineStr">
        <is>
          <t>NORRBOTTENS LÄN</t>
        </is>
      </c>
      <c r="G37" t="inlineStr">
        <is>
          <t>BODEN</t>
        </is>
      </c>
      <c r="H37" t="inlineStr">
        <is>
          <t>Sveaskog</t>
        </is>
      </c>
      <c r="I37" t="n">
        <v>7.2</v>
      </c>
      <c r="J37" t="n">
        <v>2</v>
      </c>
      <c r="K37" t="n">
        <v>1</v>
      </c>
      <c r="L37" t="n">
        <v>1</v>
      </c>
      <c r="M37" t="n">
        <v>2</v>
      </c>
      <c r="N37" t="n">
        <v>0</v>
      </c>
      <c r="O37" t="n">
        <v>0</v>
      </c>
      <c r="P37" t="n">
        <v>0</v>
      </c>
      <c r="Q37" t="n">
        <v>3</v>
      </c>
      <c r="R37" t="n">
        <v>2</v>
      </c>
      <c r="S37" t="n">
        <v>4</v>
      </c>
      <c r="T37" t="n">
        <v>7</v>
      </c>
      <c r="U37" s="2" t="inlineStr">
        <is>
          <t>Knärot
Norna
Lunglav
Stuplav</t>
        </is>
      </c>
      <c r="V37">
        <f>HYPERLINK("https://klasma.github.io/Logging_2582/artfynd/A 28197-2025 artfynd.xlsx", "A 28197-2025")</f>
        <v/>
      </c>
      <c r="W37">
        <f>HYPERLINK("https://klasma.github.io/Logging_2582/kartor/A 28197-2025 karta.png", "A 28197-2025")</f>
        <v/>
      </c>
      <c r="X37">
        <f>HYPERLINK("https://klasma.github.io/Logging_2582/knärot/A 28197-2025 karta knärot.png", "A 28197-2025")</f>
        <v/>
      </c>
      <c r="Y37">
        <f>HYPERLINK("https://klasma.github.io/Logging_2582/klagomål/A 28197-2025 FSC-klagomål.docx", "A 28197-2025")</f>
        <v/>
      </c>
      <c r="Z37">
        <f>HYPERLINK("https://klasma.github.io/Logging_2582/klagomålsmail/A 28197-2025 FSC-klagomål mail.docx", "A 28197-2025")</f>
        <v/>
      </c>
      <c r="AA37">
        <f>HYPERLINK("https://klasma.github.io/Logging_2582/tillsyn/A 28197-2025 tillsynsbegäran.docx", "A 28197-2025")</f>
        <v/>
      </c>
      <c r="AB37">
        <f>HYPERLINK("https://klasma.github.io/Logging_2582/tillsynsmail/A 28197-2025 tillsynsbegäran mail.docx", "A 28197-2025")</f>
        <v/>
      </c>
    </row>
    <row r="38" ht="15" customHeight="1">
      <c r="A38" t="inlineStr">
        <is>
          <t>A 61211-2024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45645</v>
      </c>
      <c r="E38" s="1" t="n">
        <v>46221</v>
      </c>
      <c r="F38" t="inlineStr">
        <is>
          <t>NORRBOTTENS LÄN</t>
        </is>
      </c>
      <c r="G38" t="inlineStr">
        <is>
          <t>BODEN</t>
        </is>
      </c>
      <c r="H38" t="inlineStr">
        <is>
          <t>Sveaskog</t>
        </is>
      </c>
      <c r="I38" t="n">
        <v>2.7</v>
      </c>
      <c r="J38" t="n">
        <v>0</v>
      </c>
      <c r="K38" t="n">
        <v>0</v>
      </c>
      <c r="L38" t="n">
        <v>3</v>
      </c>
      <c r="M38" t="n">
        <v>1</v>
      </c>
      <c r="N38" t="n">
        <v>0</v>
      </c>
      <c r="O38" t="n">
        <v>0</v>
      </c>
      <c r="P38" t="n">
        <v>0</v>
      </c>
      <c r="Q38" t="n">
        <v>4</v>
      </c>
      <c r="R38" t="n">
        <v>1</v>
      </c>
      <c r="S38" t="n">
        <v>4</v>
      </c>
      <c r="T38" t="n">
        <v>13</v>
      </c>
      <c r="U38" s="2" t="inlineStr">
        <is>
          <t>Skrovlig taggsvamp
Blå taggsvamp
Dropptaggsvamp
Orange taggsvamp</t>
        </is>
      </c>
      <c r="V38">
        <f>HYPERLINK("https://klasma.github.io/Logging_2582/artfynd/A 61211-2024 artfynd.xlsx", "A 61211-2024")</f>
        <v/>
      </c>
      <c r="W38">
        <f>HYPERLINK("https://klasma.github.io/Logging_2582/kartor/A 61211-2024 karta.png", "A 61211-2024")</f>
        <v/>
      </c>
      <c r="Y38">
        <f>HYPERLINK("https://klasma.github.io/Logging_2582/klagomål/A 61211-2024 FSC-klagomål.docx", "A 61211-2024")</f>
        <v/>
      </c>
      <c r="Z38">
        <f>HYPERLINK("https://klasma.github.io/Logging_2582/klagomålsmail/A 61211-2024 FSC-klagomål mail.docx", "A 61211-2024")</f>
        <v/>
      </c>
      <c r="AA38">
        <f>HYPERLINK("https://klasma.github.io/Logging_2582/tillsyn/A 61211-2024 tillsynsbegäran.docx", "A 61211-2024")</f>
        <v/>
      </c>
      <c r="AB38">
        <f>HYPERLINK("https://klasma.github.io/Logging_2582/tillsynsmail/A 61211-2024 tillsynsbegäran mail.docx", "A 61211-2024")</f>
        <v/>
      </c>
    </row>
    <row r="39" ht="15" customHeight="1">
      <c r="A39" t="inlineStr">
        <is>
          <t>A 59028-2025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45988</v>
      </c>
      <c r="E39" s="1" t="n">
        <v>46221</v>
      </c>
      <c r="F39" t="inlineStr">
        <is>
          <t>NORRBOTTENS LÄN</t>
        </is>
      </c>
      <c r="G39" t="inlineStr">
        <is>
          <t>BODEN</t>
        </is>
      </c>
      <c r="I39" t="n">
        <v>4.3</v>
      </c>
      <c r="J39" t="n">
        <v>0</v>
      </c>
      <c r="K39" t="n">
        <v>0</v>
      </c>
      <c r="L39" t="n">
        <v>2</v>
      </c>
      <c r="M39" t="n">
        <v>2</v>
      </c>
      <c r="N39" t="n">
        <v>0</v>
      </c>
      <c r="O39" t="n">
        <v>0</v>
      </c>
      <c r="P39" t="n">
        <v>0</v>
      </c>
      <c r="Q39" t="n">
        <v>4</v>
      </c>
      <c r="R39" t="n">
        <v>2</v>
      </c>
      <c r="S39" t="n">
        <v>4</v>
      </c>
      <c r="T39" t="n">
        <v>4</v>
      </c>
      <c r="U39" s="2" t="inlineStr">
        <is>
          <t>Goliatmusseron
Skrovlig taggsvamp
Dvärgbägarlav
Skarp dropptaggsvamp</t>
        </is>
      </c>
      <c r="V39">
        <f>HYPERLINK("https://klasma.github.io/Logging_2582/artfynd/A 59028-2025 artfynd.xlsx", "A 59028-2025")</f>
        <v/>
      </c>
      <c r="W39">
        <f>HYPERLINK("https://klasma.github.io/Logging_2582/kartor/A 59028-2025 karta.png", "A 59028-2025")</f>
        <v/>
      </c>
      <c r="Y39">
        <f>HYPERLINK("https://klasma.github.io/Logging_2582/klagomål/A 59028-2025 FSC-klagomål.docx", "A 59028-2025")</f>
        <v/>
      </c>
      <c r="Z39">
        <f>HYPERLINK("https://klasma.github.io/Logging_2582/klagomålsmail/A 59028-2025 FSC-klagomål mail.docx", "A 59028-2025")</f>
        <v/>
      </c>
      <c r="AA39">
        <f>HYPERLINK("https://klasma.github.io/Logging_2582/tillsyn/A 59028-2025 tillsynsbegäran.docx", "A 59028-2025")</f>
        <v/>
      </c>
      <c r="AB39">
        <f>HYPERLINK("https://klasma.github.io/Logging_2582/tillsynsmail/A 59028-2025 tillsynsbegäran mail.docx", "A 59028-2025")</f>
        <v/>
      </c>
    </row>
    <row r="40" ht="15" customHeight="1">
      <c r="A40" t="inlineStr">
        <is>
          <t>A 57526-2025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45980</v>
      </c>
      <c r="E40" s="1" t="n">
        <v>46221</v>
      </c>
      <c r="F40" t="inlineStr">
        <is>
          <t>NORRBOTTENS LÄN</t>
        </is>
      </c>
      <c r="G40" t="inlineStr">
        <is>
          <t>BODEN</t>
        </is>
      </c>
      <c r="H40" t="inlineStr">
        <is>
          <t>Sveaskog</t>
        </is>
      </c>
      <c r="I40" t="n">
        <v>2.9</v>
      </c>
      <c r="J40" t="n">
        <v>1</v>
      </c>
      <c r="K40" t="n">
        <v>1</v>
      </c>
      <c r="L40" t="n">
        <v>2</v>
      </c>
      <c r="M40" t="n">
        <v>1</v>
      </c>
      <c r="N40" t="n">
        <v>0</v>
      </c>
      <c r="O40" t="n">
        <v>0</v>
      </c>
      <c r="P40" t="n">
        <v>0</v>
      </c>
      <c r="Q40" t="n">
        <v>3</v>
      </c>
      <c r="R40" t="n">
        <v>1</v>
      </c>
      <c r="S40" t="n">
        <v>4</v>
      </c>
      <c r="T40" t="n">
        <v>27</v>
      </c>
      <c r="U40" s="2" t="inlineStr">
        <is>
          <t>Knärot
Lunglav
Ullticka
Stuplav</t>
        </is>
      </c>
      <c r="V40">
        <f>HYPERLINK("https://klasma.github.io/Logging_2582/artfynd/A 57526-2025 artfynd.xlsx", "A 57526-2025")</f>
        <v/>
      </c>
      <c r="W40">
        <f>HYPERLINK("https://klasma.github.io/Logging_2582/kartor/A 57526-2025 karta.png", "A 57526-2025")</f>
        <v/>
      </c>
      <c r="X40">
        <f>HYPERLINK("https://klasma.github.io/Logging_2582/knärot/A 57526-2025 karta knärot.png", "A 57526-2025")</f>
        <v/>
      </c>
      <c r="Y40">
        <f>HYPERLINK("https://klasma.github.io/Logging_2582/klagomål/A 57526-2025 FSC-klagomål.docx", "A 57526-2025")</f>
        <v/>
      </c>
      <c r="Z40">
        <f>HYPERLINK("https://klasma.github.io/Logging_2582/klagomålsmail/A 57526-2025 FSC-klagomål mail.docx", "A 57526-2025")</f>
        <v/>
      </c>
      <c r="AA40">
        <f>HYPERLINK("https://klasma.github.io/Logging_2582/tillsyn/A 57526-2025 tillsynsbegäran.docx", "A 57526-2025")</f>
        <v/>
      </c>
      <c r="AB40">
        <f>HYPERLINK("https://klasma.github.io/Logging_2582/tillsynsmail/A 57526-2025 tillsynsbegäran mail.docx", "A 57526-2025")</f>
        <v/>
      </c>
    </row>
    <row r="41" ht="15" customHeight="1">
      <c r="A41" t="inlineStr">
        <is>
          <t>A 1879-2024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45307</v>
      </c>
      <c r="E41" s="1" t="n">
        <v>46221</v>
      </c>
      <c r="F41" t="inlineStr">
        <is>
          <t>NORRBOTTENS LÄN</t>
        </is>
      </c>
      <c r="G41" t="inlineStr">
        <is>
          <t>BODEN</t>
        </is>
      </c>
      <c r="H41" t="inlineStr">
        <is>
          <t>SCA</t>
        </is>
      </c>
      <c r="I41" t="n">
        <v>4.5</v>
      </c>
      <c r="J41" t="n">
        <v>0</v>
      </c>
      <c r="K41" t="n">
        <v>1</v>
      </c>
      <c r="L41" t="n">
        <v>1</v>
      </c>
      <c r="M41" t="n">
        <v>2</v>
      </c>
      <c r="N41" t="n">
        <v>0</v>
      </c>
      <c r="O41" t="n">
        <v>0</v>
      </c>
      <c r="P41" t="n">
        <v>0</v>
      </c>
      <c r="Q41" t="n">
        <v>3</v>
      </c>
      <c r="R41" t="n">
        <v>2</v>
      </c>
      <c r="S41" t="n">
        <v>4</v>
      </c>
      <c r="T41" t="n">
        <v>16</v>
      </c>
      <c r="U41" s="2" t="inlineStr">
        <is>
          <t>Garnlav
Ringlav
Skogshare
Bårdlav</t>
        </is>
      </c>
      <c r="V41">
        <f>HYPERLINK("https://klasma.github.io/Logging_2582/artfynd/A 1879-2024 artfynd.xlsx", "A 1879-2024")</f>
        <v/>
      </c>
      <c r="W41">
        <f>HYPERLINK("https://klasma.github.io/Logging_2582/kartor/A 1879-2024 karta.png", "A 1879-2024")</f>
        <v/>
      </c>
      <c r="Y41">
        <f>HYPERLINK("https://klasma.github.io/Logging_2582/klagomål/A 1879-2024 FSC-klagomål.docx", "A 1879-2024")</f>
        <v/>
      </c>
      <c r="Z41">
        <f>HYPERLINK("https://klasma.github.io/Logging_2582/klagomålsmail/A 1879-2024 FSC-klagomål mail.docx", "A 1879-2024")</f>
        <v/>
      </c>
      <c r="AA41">
        <f>HYPERLINK("https://klasma.github.io/Logging_2582/tillsyn/A 1879-2024 tillsynsbegäran.docx", "A 1879-2024")</f>
        <v/>
      </c>
      <c r="AB41">
        <f>HYPERLINK("https://klasma.github.io/Logging_2582/tillsynsmail/A 1879-2024 tillsynsbegäran mail.docx", "A 1879-2024")</f>
        <v/>
      </c>
    </row>
    <row r="42" ht="15" customHeight="1">
      <c r="A42" t="inlineStr">
        <is>
          <t>A 21475-2026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46148</v>
      </c>
      <c r="E42" s="1" t="n">
        <v>46221</v>
      </c>
      <c r="F42" t="inlineStr">
        <is>
          <t>NORRBOTTENS LÄN</t>
        </is>
      </c>
      <c r="G42" t="inlineStr">
        <is>
          <t>BODEN</t>
        </is>
      </c>
      <c r="H42" t="inlineStr">
        <is>
          <t>Sveaskog</t>
        </is>
      </c>
      <c r="I42" t="n">
        <v>27.6</v>
      </c>
      <c r="J42" t="n">
        <v>2</v>
      </c>
      <c r="K42" t="n">
        <v>1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4</v>
      </c>
      <c r="T42" t="n">
        <v>4</v>
      </c>
      <c r="U42" s="2" t="inlineStr">
        <is>
          <t>Harticka
Tretåig hackspett
Smal svampklubba
Järpe</t>
        </is>
      </c>
      <c r="V42">
        <f>HYPERLINK("https://klasma.github.io/Logging_2582/artfynd/A 21475-2026 artfynd.xlsx", "A 21475-2026")</f>
        <v/>
      </c>
      <c r="W42">
        <f>HYPERLINK("https://klasma.github.io/Logging_2582/kartor/A 21475-2026 karta.png", "A 21475-2026")</f>
        <v/>
      </c>
      <c r="Y42">
        <f>HYPERLINK("https://klasma.github.io/Logging_2582/klagomål/A 21475-2026 FSC-klagomål.docx", "A 21475-2026")</f>
        <v/>
      </c>
      <c r="Z42">
        <f>HYPERLINK("https://klasma.github.io/Logging_2582/klagomålsmail/A 21475-2026 FSC-klagomål mail.docx", "A 21475-2026")</f>
        <v/>
      </c>
      <c r="AA42">
        <f>HYPERLINK("https://klasma.github.io/Logging_2582/tillsyn/A 21475-2026 tillsynsbegäran.docx", "A 21475-2026")</f>
        <v/>
      </c>
      <c r="AB42">
        <f>HYPERLINK("https://klasma.github.io/Logging_2582/tillsynsmail/A 21475-2026 tillsynsbegäran mail.docx", "A 21475-2026")</f>
        <v/>
      </c>
      <c r="AC42">
        <f>HYPERLINK("https://klasma.github.io/Logging_2582/fåglar/A 21475-2026 prioriterade fågelarter.docx", "A 21475-2026")</f>
        <v/>
      </c>
    </row>
    <row r="43" ht="15" customHeight="1">
      <c r="A43" t="inlineStr">
        <is>
          <t>A 28358-2026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46196</v>
      </c>
      <c r="E43" s="1" t="n">
        <v>46221</v>
      </c>
      <c r="F43" t="inlineStr">
        <is>
          <t>NORRBOTTENS LÄN</t>
        </is>
      </c>
      <c r="G43" t="inlineStr">
        <is>
          <t>BODEN</t>
        </is>
      </c>
      <c r="H43" t="inlineStr">
        <is>
          <t>Sveaskog</t>
        </is>
      </c>
      <c r="I43" t="n">
        <v>7.3</v>
      </c>
      <c r="J43" t="n">
        <v>3</v>
      </c>
      <c r="K43" t="n">
        <v>1</v>
      </c>
      <c r="L43" t="n">
        <v>1</v>
      </c>
      <c r="M43" t="n">
        <v>2</v>
      </c>
      <c r="N43" t="n">
        <v>0</v>
      </c>
      <c r="O43" t="n">
        <v>0</v>
      </c>
      <c r="P43" t="n">
        <v>0</v>
      </c>
      <c r="Q43" t="n">
        <v>3</v>
      </c>
      <c r="R43" t="n">
        <v>2</v>
      </c>
      <c r="S43" t="n">
        <v>4</v>
      </c>
      <c r="T43" t="n">
        <v>6</v>
      </c>
      <c r="U43" s="2" t="inlineStr">
        <is>
          <t>Doftticka
Knärot
Lunglav
Spindelblomster</t>
        </is>
      </c>
      <c r="V43">
        <f>HYPERLINK("https://klasma.github.io/Logging_2582/artfynd/A 28358-2026 artfynd.xlsx", "A 28358-2026")</f>
        <v/>
      </c>
      <c r="W43">
        <f>HYPERLINK("https://klasma.github.io/Logging_2582/kartor/A 28358-2026 karta.png", "A 28358-2026")</f>
        <v/>
      </c>
      <c r="X43">
        <f>HYPERLINK("https://klasma.github.io/Logging_2582/knärot/A 28358-2026 karta knärot.png", "A 28358-2026")</f>
        <v/>
      </c>
      <c r="Y43">
        <f>HYPERLINK("https://klasma.github.io/Logging_2582/klagomål/A 28358-2026 FSC-klagomål.docx", "A 28358-2026")</f>
        <v/>
      </c>
      <c r="Z43">
        <f>HYPERLINK("https://klasma.github.io/Logging_2582/klagomålsmail/A 28358-2026 FSC-klagomål mail.docx", "A 28358-2026")</f>
        <v/>
      </c>
      <c r="AA43">
        <f>HYPERLINK("https://klasma.github.io/Logging_2582/tillsyn/A 28358-2026 tillsynsbegäran.docx", "A 28358-2026")</f>
        <v/>
      </c>
      <c r="AB43">
        <f>HYPERLINK("https://klasma.github.io/Logging_2582/tillsynsmail/A 28358-2026 tillsynsbegäran mail.docx", "A 28358-2026")</f>
        <v/>
      </c>
    </row>
    <row r="44" ht="15" customHeight="1">
      <c r="A44" t="inlineStr">
        <is>
          <t>A 28183-2026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46195</v>
      </c>
      <c r="E44" s="1" t="n">
        <v>46221</v>
      </c>
      <c r="F44" t="inlineStr">
        <is>
          <t>NORRBOTTENS LÄN</t>
        </is>
      </c>
      <c r="G44" t="inlineStr">
        <is>
          <t>BODEN</t>
        </is>
      </c>
      <c r="H44" t="inlineStr">
        <is>
          <t>Sveaskog</t>
        </is>
      </c>
      <c r="I44" t="n">
        <v>8.199999999999999</v>
      </c>
      <c r="J44" t="n">
        <v>2</v>
      </c>
      <c r="K44" t="n">
        <v>1</v>
      </c>
      <c r="L44" t="n">
        <v>1</v>
      </c>
      <c r="M44" t="n">
        <v>1</v>
      </c>
      <c r="N44" t="n">
        <v>0</v>
      </c>
      <c r="O44" t="n">
        <v>0</v>
      </c>
      <c r="P44" t="n">
        <v>0</v>
      </c>
      <c r="Q44" t="n">
        <v>2</v>
      </c>
      <c r="R44" t="n">
        <v>1</v>
      </c>
      <c r="S44" t="n">
        <v>4</v>
      </c>
      <c r="T44" t="n">
        <v>16</v>
      </c>
      <c r="U44" s="2" t="inlineStr">
        <is>
          <t>Knärot
Lunglav
Grönpyrola
Fläcknycklar</t>
        </is>
      </c>
      <c r="V44">
        <f>HYPERLINK("https://klasma.github.io/Logging_2582/artfynd/A 28183-2026 artfynd.xlsx", "A 28183-2026")</f>
        <v/>
      </c>
      <c r="W44">
        <f>HYPERLINK("https://klasma.github.io/Logging_2582/kartor/A 28183-2026 karta.png", "A 28183-2026")</f>
        <v/>
      </c>
      <c r="X44">
        <f>HYPERLINK("https://klasma.github.io/Logging_2582/knärot/A 28183-2026 karta knärot.png", "A 28183-2026")</f>
        <v/>
      </c>
      <c r="Y44">
        <f>HYPERLINK("https://klasma.github.io/Logging_2582/klagomål/A 28183-2026 FSC-klagomål.docx", "A 28183-2026")</f>
        <v/>
      </c>
      <c r="Z44">
        <f>HYPERLINK("https://klasma.github.io/Logging_2582/klagomålsmail/A 28183-2026 FSC-klagomål mail.docx", "A 28183-2026")</f>
        <v/>
      </c>
      <c r="AA44">
        <f>HYPERLINK("https://klasma.github.io/Logging_2582/tillsyn/A 28183-2026 tillsynsbegäran.docx", "A 28183-2026")</f>
        <v/>
      </c>
      <c r="AB44">
        <f>HYPERLINK("https://klasma.github.io/Logging_2582/tillsynsmail/A 28183-2026 tillsynsbegäran mail.docx", "A 28183-2026")</f>
        <v/>
      </c>
    </row>
    <row r="45" ht="15" customHeight="1">
      <c r="A45" t="inlineStr">
        <is>
          <t>S 3220-2025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45980</v>
      </c>
      <c r="E45" s="1" t="n">
        <v>46221</v>
      </c>
      <c r="F45" t="inlineStr">
        <is>
          <t>NORRBOTTENS LÄN</t>
        </is>
      </c>
      <c r="G45" t="inlineStr">
        <is>
          <t>BODEN</t>
        </is>
      </c>
      <c r="H45" t="inlineStr">
        <is>
          <t>Sveaskog</t>
        </is>
      </c>
      <c r="I45" t="n">
        <v>2.9</v>
      </c>
      <c r="J45" t="n">
        <v>1</v>
      </c>
      <c r="K45" t="n">
        <v>1</v>
      </c>
      <c r="L45" t="n">
        <v>2</v>
      </c>
      <c r="M45" t="n">
        <v>1</v>
      </c>
      <c r="N45" t="n">
        <v>0</v>
      </c>
      <c r="O45" t="n">
        <v>0</v>
      </c>
      <c r="P45" t="n">
        <v>0</v>
      </c>
      <c r="Q45" t="n">
        <v>3</v>
      </c>
      <c r="R45" t="n">
        <v>1</v>
      </c>
      <c r="S45" t="n">
        <v>4</v>
      </c>
      <c r="T45" t="n">
        <v>27</v>
      </c>
      <c r="U45" s="2" t="inlineStr">
        <is>
          <t>Knärot
Lunglav
Ullticka
Stuplav</t>
        </is>
      </c>
      <c r="V45">
        <f>HYPERLINK("https://klasma.github.io/Logging_2582/artfynd/S 3220-2025 artfynd.xlsx", "S 3220-2025")</f>
        <v/>
      </c>
      <c r="W45">
        <f>HYPERLINK("https://klasma.github.io/Logging_2582/kartor/S 3220-2025 karta.png", "S 3220-2025")</f>
        <v/>
      </c>
      <c r="X45">
        <f>HYPERLINK("https://klasma.github.io/Logging_2582/knärot/S 3220-2025 karta knärot.png", "S 3220-2025")</f>
        <v/>
      </c>
      <c r="Y45">
        <f>HYPERLINK("https://klasma.github.io/Logging_2582/klagomål/S 3220-2025 FSC-klagomål.docx", "S 3220-2025")</f>
        <v/>
      </c>
      <c r="Z45">
        <f>HYPERLINK("https://klasma.github.io/Logging_2582/klagomålsmail/S 3220-2025 FSC-klagomål mail.docx", "S 3220-2025")</f>
        <v/>
      </c>
      <c r="AA45">
        <f>HYPERLINK("https://klasma.github.io/Logging_2582/tillsyn/S 3220-2025 tillsynsbegäran.docx", "S 3220-2025")</f>
        <v/>
      </c>
      <c r="AB45">
        <f>HYPERLINK("https://klasma.github.io/Logging_2582/tillsynsmail/S 3220-2025 tillsynsbegäran mail.docx", "S 3220-2025")</f>
        <v/>
      </c>
    </row>
    <row r="46" ht="15" customHeight="1">
      <c r="A46" t="inlineStr">
        <is>
          <t>A 29150-2023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45105</v>
      </c>
      <c r="E46" s="1" t="n">
        <v>46221</v>
      </c>
      <c r="F46" t="inlineStr">
        <is>
          <t>NORRBOTTENS LÄN</t>
        </is>
      </c>
      <c r="G46" t="inlineStr">
        <is>
          <t>BODEN</t>
        </is>
      </c>
      <c r="H46" t="inlineStr">
        <is>
          <t>Sveaskog</t>
        </is>
      </c>
      <c r="I46" t="n">
        <v>2.9</v>
      </c>
      <c r="J46" t="n">
        <v>0</v>
      </c>
      <c r="K46" t="n">
        <v>0</v>
      </c>
      <c r="L46" t="n">
        <v>2</v>
      </c>
      <c r="M46" t="n">
        <v>1</v>
      </c>
      <c r="N46" t="n">
        <v>0</v>
      </c>
      <c r="O46" t="n">
        <v>0</v>
      </c>
      <c r="P46" t="n">
        <v>0</v>
      </c>
      <c r="Q46" t="n">
        <v>3</v>
      </c>
      <c r="R46" t="n">
        <v>1</v>
      </c>
      <c r="S46" t="n">
        <v>3</v>
      </c>
      <c r="T46" t="n">
        <v>3</v>
      </c>
      <c r="U46" s="2" t="inlineStr">
        <is>
          <t>Urskogsänger
Björkplattnos
Månlåsbräken</t>
        </is>
      </c>
      <c r="V46">
        <f>HYPERLINK("https://klasma.github.io/Logging_2582/artfynd/A 29150-2023 artfynd.xlsx", "A 29150-2023")</f>
        <v/>
      </c>
      <c r="W46">
        <f>HYPERLINK("https://klasma.github.io/Logging_2582/kartor/A 29150-2023 karta.png", "A 29150-2023")</f>
        <v/>
      </c>
      <c r="Y46">
        <f>HYPERLINK("https://klasma.github.io/Logging_2582/klagomål/A 29150-2023 FSC-klagomål.docx", "A 29150-2023")</f>
        <v/>
      </c>
      <c r="Z46">
        <f>HYPERLINK("https://klasma.github.io/Logging_2582/klagomålsmail/A 29150-2023 FSC-klagomål mail.docx", "A 29150-2023")</f>
        <v/>
      </c>
      <c r="AA46">
        <f>HYPERLINK("https://klasma.github.io/Logging_2582/tillsyn/A 29150-2023 tillsynsbegäran.docx", "A 29150-2023")</f>
        <v/>
      </c>
      <c r="AB46">
        <f>HYPERLINK("https://klasma.github.io/Logging_2582/tillsynsmail/A 29150-2023 tillsynsbegäran mail.docx", "A 29150-2023")</f>
        <v/>
      </c>
    </row>
    <row r="47" ht="15" customHeight="1">
      <c r="A47" t="inlineStr">
        <is>
          <t>A 28267-2025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45818</v>
      </c>
      <c r="E47" s="1" t="n">
        <v>46221</v>
      </c>
      <c r="F47" t="inlineStr">
        <is>
          <t>NORRBOTTENS LÄN</t>
        </is>
      </c>
      <c r="G47" t="inlineStr">
        <is>
          <t>BODEN</t>
        </is>
      </c>
      <c r="H47" t="inlineStr">
        <is>
          <t>Sveaskog</t>
        </is>
      </c>
      <c r="I47" t="n">
        <v>2.6</v>
      </c>
      <c r="J47" t="n">
        <v>2</v>
      </c>
      <c r="K47" t="n">
        <v>0</v>
      </c>
      <c r="L47" t="n">
        <v>1</v>
      </c>
      <c r="M47" t="n">
        <v>2</v>
      </c>
      <c r="N47" t="n">
        <v>0</v>
      </c>
      <c r="O47" t="n">
        <v>0</v>
      </c>
      <c r="P47" t="n">
        <v>0</v>
      </c>
      <c r="Q47" t="n">
        <v>3</v>
      </c>
      <c r="R47" t="n">
        <v>2</v>
      </c>
      <c r="S47" t="n">
        <v>3</v>
      </c>
      <c r="T47" t="n">
        <v>3</v>
      </c>
      <c r="U47" s="2" t="inlineStr">
        <is>
          <t>Doftticka
Knärot
Lunglav</t>
        </is>
      </c>
      <c r="V47">
        <f>HYPERLINK("https://klasma.github.io/Logging_2582/artfynd/A 28267-2025 artfynd.xlsx", "A 28267-2025")</f>
        <v/>
      </c>
      <c r="W47">
        <f>HYPERLINK("https://klasma.github.io/Logging_2582/kartor/A 28267-2025 karta.png", "A 28267-2025")</f>
        <v/>
      </c>
      <c r="X47">
        <f>HYPERLINK("https://klasma.github.io/Logging_2582/knärot/A 28267-2025 karta knärot.png", "A 28267-2025")</f>
        <v/>
      </c>
      <c r="Y47">
        <f>HYPERLINK("https://klasma.github.io/Logging_2582/klagomål/A 28267-2025 FSC-klagomål.docx", "A 28267-2025")</f>
        <v/>
      </c>
      <c r="Z47">
        <f>HYPERLINK("https://klasma.github.io/Logging_2582/klagomålsmail/A 28267-2025 FSC-klagomål mail.docx", "A 28267-2025")</f>
        <v/>
      </c>
      <c r="AA47">
        <f>HYPERLINK("https://klasma.github.io/Logging_2582/tillsyn/A 28267-2025 tillsynsbegäran.docx", "A 28267-2025")</f>
        <v/>
      </c>
      <c r="AB47">
        <f>HYPERLINK("https://klasma.github.io/Logging_2582/tillsynsmail/A 28267-2025 tillsynsbegäran mail.docx", "A 28267-2025")</f>
        <v/>
      </c>
    </row>
    <row r="48" ht="15" customHeight="1">
      <c r="A48" t="inlineStr">
        <is>
          <t>A 43719-2025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45912</v>
      </c>
      <c r="E48" s="1" t="n">
        <v>46221</v>
      </c>
      <c r="F48" t="inlineStr">
        <is>
          <t>NORRBOTTENS LÄN</t>
        </is>
      </c>
      <c r="G48" t="inlineStr">
        <is>
          <t>BODEN</t>
        </is>
      </c>
      <c r="H48" t="inlineStr">
        <is>
          <t>SCA</t>
        </is>
      </c>
      <c r="I48" t="n">
        <v>1.1</v>
      </c>
      <c r="J48" t="n">
        <v>0</v>
      </c>
      <c r="K48" t="n">
        <v>1</v>
      </c>
      <c r="L48" t="n">
        <v>1</v>
      </c>
      <c r="M48" t="n">
        <v>1</v>
      </c>
      <c r="N48" t="n">
        <v>0</v>
      </c>
      <c r="O48" t="n">
        <v>0</v>
      </c>
      <c r="P48" t="n">
        <v>0</v>
      </c>
      <c r="Q48" t="n">
        <v>2</v>
      </c>
      <c r="R48" t="n">
        <v>1</v>
      </c>
      <c r="S48" t="n">
        <v>3</v>
      </c>
      <c r="T48" t="n">
        <v>3</v>
      </c>
      <c r="U48" s="2" t="inlineStr">
        <is>
          <t>Liten hornflikmossa
Vedtrappmossa
Stuplav</t>
        </is>
      </c>
      <c r="V48">
        <f>HYPERLINK("https://klasma.github.io/Logging_2582/artfynd/A 43719-2025 artfynd.xlsx", "A 43719-2025")</f>
        <v/>
      </c>
      <c r="W48">
        <f>HYPERLINK("https://klasma.github.io/Logging_2582/kartor/A 43719-2025 karta.png", "A 43719-2025")</f>
        <v/>
      </c>
      <c r="Y48">
        <f>HYPERLINK("https://klasma.github.io/Logging_2582/klagomål/A 43719-2025 FSC-klagomål.docx", "A 43719-2025")</f>
        <v/>
      </c>
      <c r="Z48">
        <f>HYPERLINK("https://klasma.github.io/Logging_2582/klagomålsmail/A 43719-2025 FSC-klagomål mail.docx", "A 43719-2025")</f>
        <v/>
      </c>
      <c r="AA48">
        <f>HYPERLINK("https://klasma.github.io/Logging_2582/tillsyn/A 43719-2025 tillsynsbegäran.docx", "A 43719-2025")</f>
        <v/>
      </c>
      <c r="AB48">
        <f>HYPERLINK("https://klasma.github.io/Logging_2582/tillsynsmail/A 43719-2025 tillsynsbegäran mail.docx", "A 43719-2025")</f>
        <v/>
      </c>
    </row>
    <row r="49" ht="15" customHeight="1">
      <c r="A49" t="inlineStr">
        <is>
          <t>A 6118-2025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45698</v>
      </c>
      <c r="E49" s="1" t="n">
        <v>46221</v>
      </c>
      <c r="F49" t="inlineStr">
        <is>
          <t>NORRBOTTENS LÄN</t>
        </is>
      </c>
      <c r="G49" t="inlineStr">
        <is>
          <t>BODEN</t>
        </is>
      </c>
      <c r="H49" t="inlineStr">
        <is>
          <t>SCA</t>
        </is>
      </c>
      <c r="I49" t="n">
        <v>3.7</v>
      </c>
      <c r="J49" t="n">
        <v>2</v>
      </c>
      <c r="K49" t="n">
        <v>0</v>
      </c>
      <c r="L49" t="n">
        <v>1</v>
      </c>
      <c r="M49" t="n">
        <v>1</v>
      </c>
      <c r="N49" t="n">
        <v>0</v>
      </c>
      <c r="O49" t="n">
        <v>0</v>
      </c>
      <c r="P49" t="n">
        <v>0</v>
      </c>
      <c r="Q49" t="n">
        <v>2</v>
      </c>
      <c r="R49" t="n">
        <v>1</v>
      </c>
      <c r="S49" t="n">
        <v>3</v>
      </c>
      <c r="T49" t="n">
        <v>14</v>
      </c>
      <c r="U49" s="2" t="inlineStr">
        <is>
          <t>Garnlav
Tretåig hackspett
Spillkråka</t>
        </is>
      </c>
      <c r="V49">
        <f>HYPERLINK("https://klasma.github.io/Logging_2582/artfynd/A 6118-2025 artfynd.xlsx", "A 6118-2025")</f>
        <v/>
      </c>
      <c r="W49">
        <f>HYPERLINK("https://klasma.github.io/Logging_2582/kartor/A 6118-2025 karta.png", "A 6118-2025")</f>
        <v/>
      </c>
      <c r="Y49">
        <f>HYPERLINK("https://klasma.github.io/Logging_2582/klagomål/A 6118-2025 FSC-klagomål.docx", "A 6118-2025")</f>
        <v/>
      </c>
      <c r="Z49">
        <f>HYPERLINK("https://klasma.github.io/Logging_2582/klagomålsmail/A 6118-2025 FSC-klagomål mail.docx", "A 6118-2025")</f>
        <v/>
      </c>
      <c r="AA49">
        <f>HYPERLINK("https://klasma.github.io/Logging_2582/tillsyn/A 6118-2025 tillsynsbegäran.docx", "A 6118-2025")</f>
        <v/>
      </c>
      <c r="AB49">
        <f>HYPERLINK("https://klasma.github.io/Logging_2582/tillsynsmail/A 6118-2025 tillsynsbegäran mail.docx", "A 6118-2025")</f>
        <v/>
      </c>
      <c r="AC49">
        <f>HYPERLINK("https://klasma.github.io/Logging_2582/fåglar/A 6118-2025 prioriterade fågelarter.docx", "A 6118-2025")</f>
        <v/>
      </c>
    </row>
    <row r="50" ht="15" customHeight="1">
      <c r="A50" t="inlineStr">
        <is>
          <t>A 48220-2025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45933</v>
      </c>
      <c r="E50" s="1" t="n">
        <v>46221</v>
      </c>
      <c r="F50" t="inlineStr">
        <is>
          <t>NORRBOTTENS LÄN</t>
        </is>
      </c>
      <c r="G50" t="inlineStr">
        <is>
          <t>BODEN</t>
        </is>
      </c>
      <c r="H50" t="inlineStr">
        <is>
          <t>Sveaskog</t>
        </is>
      </c>
      <c r="I50" t="n">
        <v>2.4</v>
      </c>
      <c r="J50" t="n">
        <v>1</v>
      </c>
      <c r="K50" t="n">
        <v>0</v>
      </c>
      <c r="L50" t="n">
        <v>1</v>
      </c>
      <c r="M50" t="n">
        <v>1</v>
      </c>
      <c r="N50" t="n">
        <v>0</v>
      </c>
      <c r="O50" t="n">
        <v>0</v>
      </c>
      <c r="P50" t="n">
        <v>0</v>
      </c>
      <c r="Q50" t="n">
        <v>2</v>
      </c>
      <c r="R50" t="n">
        <v>1</v>
      </c>
      <c r="S50" t="n">
        <v>3</v>
      </c>
      <c r="T50" t="n">
        <v>4</v>
      </c>
      <c r="U50" s="2" t="inlineStr">
        <is>
          <t>Garnlav
Gammelgransskål
Spillkråka</t>
        </is>
      </c>
      <c r="V50">
        <f>HYPERLINK("https://klasma.github.io/Logging_2582/artfynd/A 48220-2025 artfynd.xlsx", "A 48220-2025")</f>
        <v/>
      </c>
      <c r="W50">
        <f>HYPERLINK("https://klasma.github.io/Logging_2582/kartor/A 48220-2025 karta.png", "A 48220-2025")</f>
        <v/>
      </c>
      <c r="Y50">
        <f>HYPERLINK("https://klasma.github.io/Logging_2582/klagomål/A 48220-2025 FSC-klagomål.docx", "A 48220-2025")</f>
        <v/>
      </c>
      <c r="Z50">
        <f>HYPERLINK("https://klasma.github.io/Logging_2582/klagomålsmail/A 48220-2025 FSC-klagomål mail.docx", "A 48220-2025")</f>
        <v/>
      </c>
      <c r="AA50">
        <f>HYPERLINK("https://klasma.github.io/Logging_2582/tillsyn/A 48220-2025 tillsynsbegäran.docx", "A 48220-2025")</f>
        <v/>
      </c>
      <c r="AB50">
        <f>HYPERLINK("https://klasma.github.io/Logging_2582/tillsynsmail/A 48220-2025 tillsynsbegäran mail.docx", "A 48220-2025")</f>
        <v/>
      </c>
      <c r="AC50">
        <f>HYPERLINK("https://klasma.github.io/Logging_2582/fåglar/A 48220-2025 prioriterade fågelarter.docx", "A 48220-2025")</f>
        <v/>
      </c>
    </row>
    <row r="51" ht="15" customHeight="1">
      <c r="A51" t="inlineStr">
        <is>
          <t>A 10087-2026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46073</v>
      </c>
      <c r="E51" s="1" t="n">
        <v>46221</v>
      </c>
      <c r="F51" t="inlineStr">
        <is>
          <t>NORRBOTTENS LÄN</t>
        </is>
      </c>
      <c r="G51" t="inlineStr">
        <is>
          <t>BODEN</t>
        </is>
      </c>
      <c r="I51" t="n">
        <v>5.9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3</v>
      </c>
      <c r="T51" t="n">
        <v>3</v>
      </c>
      <c r="U51" s="2" t="inlineStr">
        <is>
          <t>Korthornad vedstekel
Skogsödla
Vanlig padda</t>
        </is>
      </c>
      <c r="V51">
        <f>HYPERLINK("https://klasma.github.io/Logging_2582/artfynd/A 10087-2026 artfynd.xlsx", "A 10087-2026")</f>
        <v/>
      </c>
      <c r="W51">
        <f>HYPERLINK("https://klasma.github.io/Logging_2582/kartor/A 10087-2026 karta.png", "A 10087-2026")</f>
        <v/>
      </c>
      <c r="Y51">
        <f>HYPERLINK("https://klasma.github.io/Logging_2582/klagomål/A 10087-2026 FSC-klagomål.docx", "A 10087-2026")</f>
        <v/>
      </c>
      <c r="Z51">
        <f>HYPERLINK("https://klasma.github.io/Logging_2582/klagomålsmail/A 10087-2026 FSC-klagomål mail.docx", "A 10087-2026")</f>
        <v/>
      </c>
      <c r="AA51">
        <f>HYPERLINK("https://klasma.github.io/Logging_2582/tillsyn/A 10087-2026 tillsynsbegäran.docx", "A 10087-2026")</f>
        <v/>
      </c>
      <c r="AB51">
        <f>HYPERLINK("https://klasma.github.io/Logging_2582/tillsynsmail/A 10087-2026 tillsynsbegäran mail.docx", "A 10087-2026")</f>
        <v/>
      </c>
    </row>
    <row r="52" ht="15" customHeight="1">
      <c r="A52" t="inlineStr">
        <is>
          <t>A 57806-2025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45981</v>
      </c>
      <c r="E52" s="1" t="n">
        <v>46221</v>
      </c>
      <c r="F52" t="inlineStr">
        <is>
          <t>NORRBOTTENS LÄN</t>
        </is>
      </c>
      <c r="G52" t="inlineStr">
        <is>
          <t>BODEN</t>
        </is>
      </c>
      <c r="H52" t="inlineStr">
        <is>
          <t>Sveaskog</t>
        </is>
      </c>
      <c r="I52" t="n">
        <v>10.4</v>
      </c>
      <c r="J52" t="n">
        <v>0</v>
      </c>
      <c r="K52" t="n">
        <v>0</v>
      </c>
      <c r="L52" t="n">
        <v>3</v>
      </c>
      <c r="M52" t="n">
        <v>0</v>
      </c>
      <c r="N52" t="n">
        <v>0</v>
      </c>
      <c r="O52" t="n">
        <v>0</v>
      </c>
      <c r="P52" t="n">
        <v>0</v>
      </c>
      <c r="Q52" t="n">
        <v>3</v>
      </c>
      <c r="R52" t="n">
        <v>0</v>
      </c>
      <c r="S52" t="n">
        <v>3</v>
      </c>
      <c r="T52" t="n">
        <v>3</v>
      </c>
      <c r="U52" s="2" t="inlineStr">
        <is>
          <t>Dropptaggsvamp
Dvärgbägarlav
Lunglav</t>
        </is>
      </c>
      <c r="V52">
        <f>HYPERLINK("https://klasma.github.io/Logging_2582/artfynd/A 57806-2025 artfynd.xlsx", "A 57806-2025")</f>
        <v/>
      </c>
      <c r="W52">
        <f>HYPERLINK("https://klasma.github.io/Logging_2582/kartor/A 57806-2025 karta.png", "A 57806-2025")</f>
        <v/>
      </c>
      <c r="Y52">
        <f>HYPERLINK("https://klasma.github.io/Logging_2582/klagomål/A 57806-2025 FSC-klagomål.docx", "A 57806-2025")</f>
        <v/>
      </c>
      <c r="Z52">
        <f>HYPERLINK("https://klasma.github.io/Logging_2582/klagomålsmail/A 57806-2025 FSC-klagomål mail.docx", "A 57806-2025")</f>
        <v/>
      </c>
      <c r="AA52">
        <f>HYPERLINK("https://klasma.github.io/Logging_2582/tillsyn/A 57806-2025 tillsynsbegäran.docx", "A 57806-2025")</f>
        <v/>
      </c>
      <c r="AB52">
        <f>HYPERLINK("https://klasma.github.io/Logging_2582/tillsynsmail/A 57806-2025 tillsynsbegäran mail.docx", "A 57806-2025")</f>
        <v/>
      </c>
    </row>
    <row r="53" ht="15" customHeight="1">
      <c r="A53" t="inlineStr">
        <is>
          <t>A 23575-2023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45077</v>
      </c>
      <c r="E53" s="1" t="n">
        <v>46221</v>
      </c>
      <c r="F53" t="inlineStr">
        <is>
          <t>NORRBOTTENS LÄN</t>
        </is>
      </c>
      <c r="G53" t="inlineStr">
        <is>
          <t>BODEN</t>
        </is>
      </c>
      <c r="I53" t="n">
        <v>7.9</v>
      </c>
      <c r="J53" t="n">
        <v>1</v>
      </c>
      <c r="K53" t="n">
        <v>1</v>
      </c>
      <c r="L53" t="n">
        <v>2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t="n">
        <v>0</v>
      </c>
      <c r="S53" t="n">
        <v>3</v>
      </c>
      <c r="T53" t="n">
        <v>4</v>
      </c>
      <c r="U53" s="2" t="inlineStr">
        <is>
          <t>Gammelgransskål
Nordfladdermus
Bollvitmossa</t>
        </is>
      </c>
      <c r="V53">
        <f>HYPERLINK("https://klasma.github.io/Logging_2582/artfynd/A 23575-2023 artfynd.xlsx", "A 23575-2023")</f>
        <v/>
      </c>
      <c r="W53">
        <f>HYPERLINK("https://klasma.github.io/Logging_2582/kartor/A 23575-2023 karta.png", "A 23575-2023")</f>
        <v/>
      </c>
      <c r="Y53">
        <f>HYPERLINK("https://klasma.github.io/Logging_2582/klagomål/A 23575-2023 FSC-klagomål.docx", "A 23575-2023")</f>
        <v/>
      </c>
      <c r="Z53">
        <f>HYPERLINK("https://klasma.github.io/Logging_2582/klagomålsmail/A 23575-2023 FSC-klagomål mail.docx", "A 23575-2023")</f>
        <v/>
      </c>
      <c r="AA53">
        <f>HYPERLINK("https://klasma.github.io/Logging_2582/tillsyn/A 23575-2023 tillsynsbegäran.docx", "A 23575-2023")</f>
        <v/>
      </c>
      <c r="AB53">
        <f>HYPERLINK("https://klasma.github.io/Logging_2582/tillsynsmail/A 23575-2023 tillsynsbegäran mail.docx", "A 23575-2023")</f>
        <v/>
      </c>
    </row>
    <row r="54" ht="15" customHeight="1">
      <c r="A54" t="inlineStr">
        <is>
          <t>A 37014-2023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45155</v>
      </c>
      <c r="E54" s="1" t="n">
        <v>46221</v>
      </c>
      <c r="F54" t="inlineStr">
        <is>
          <t>NORRBOTTENS LÄN</t>
        </is>
      </c>
      <c r="G54" t="inlineStr">
        <is>
          <t>BODEN</t>
        </is>
      </c>
      <c r="H54" t="inlineStr">
        <is>
          <t>Sveaskog</t>
        </is>
      </c>
      <c r="I54" t="n">
        <v>2.4</v>
      </c>
      <c r="J54" t="n">
        <v>1</v>
      </c>
      <c r="K54" t="n">
        <v>1</v>
      </c>
      <c r="L54" t="n">
        <v>1</v>
      </c>
      <c r="M54" t="n">
        <v>1</v>
      </c>
      <c r="N54" t="n">
        <v>0</v>
      </c>
      <c r="O54" t="n">
        <v>0</v>
      </c>
      <c r="P54" t="n">
        <v>0</v>
      </c>
      <c r="Q54" t="n">
        <v>2</v>
      </c>
      <c r="R54" t="n">
        <v>1</v>
      </c>
      <c r="S54" t="n">
        <v>3</v>
      </c>
      <c r="T54" t="n">
        <v>7</v>
      </c>
      <c r="U54" s="2" t="inlineStr">
        <is>
          <t>Garnlav
Talltita
Stuplav</t>
        </is>
      </c>
      <c r="V54">
        <f>HYPERLINK("https://klasma.github.io/Logging_2582/artfynd/A 37014-2023 artfynd.xlsx", "A 37014-2023")</f>
        <v/>
      </c>
      <c r="W54">
        <f>HYPERLINK("https://klasma.github.io/Logging_2582/kartor/A 37014-2023 karta.png", "A 37014-2023")</f>
        <v/>
      </c>
      <c r="Y54">
        <f>HYPERLINK("https://klasma.github.io/Logging_2582/klagomål/A 37014-2023 FSC-klagomål.docx", "A 37014-2023")</f>
        <v/>
      </c>
      <c r="Z54">
        <f>HYPERLINK("https://klasma.github.io/Logging_2582/klagomålsmail/A 37014-2023 FSC-klagomål mail.docx", "A 37014-2023")</f>
        <v/>
      </c>
      <c r="AA54">
        <f>HYPERLINK("https://klasma.github.io/Logging_2582/tillsyn/A 37014-2023 tillsynsbegäran.docx", "A 37014-2023")</f>
        <v/>
      </c>
      <c r="AB54">
        <f>HYPERLINK("https://klasma.github.io/Logging_2582/tillsynsmail/A 37014-2023 tillsynsbegäran mail.docx", "A 37014-2023")</f>
        <v/>
      </c>
      <c r="AC54">
        <f>HYPERLINK("https://klasma.github.io/Logging_2582/fåglar/A 37014-2023 prioriterade fågelarter.docx", "A 37014-2023")</f>
        <v/>
      </c>
    </row>
    <row r="55" ht="15" customHeight="1">
      <c r="A55" t="inlineStr">
        <is>
          <t>A 23323-2025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45791</v>
      </c>
      <c r="E55" s="1" t="n">
        <v>46221</v>
      </c>
      <c r="F55" t="inlineStr">
        <is>
          <t>NORRBOTTENS LÄN</t>
        </is>
      </c>
      <c r="G55" t="inlineStr">
        <is>
          <t>BODEN</t>
        </is>
      </c>
      <c r="H55" t="inlineStr">
        <is>
          <t>Sveaskog</t>
        </is>
      </c>
      <c r="I55" t="n">
        <v>21.8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3</v>
      </c>
      <c r="T55" t="n">
        <v>4</v>
      </c>
      <c r="U55" s="2" t="inlineStr">
        <is>
          <t>Grönpyrola
Fläcknycklar
Nattviol</t>
        </is>
      </c>
      <c r="V55">
        <f>HYPERLINK("https://klasma.github.io/Logging_2582/artfynd/A 23323-2025 artfynd.xlsx", "A 23323-2025")</f>
        <v/>
      </c>
      <c r="W55">
        <f>HYPERLINK("https://klasma.github.io/Logging_2582/kartor/A 23323-2025 karta.png", "A 23323-2025")</f>
        <v/>
      </c>
      <c r="Y55">
        <f>HYPERLINK("https://klasma.github.io/Logging_2582/klagomål/A 23323-2025 FSC-klagomål.docx", "A 23323-2025")</f>
        <v/>
      </c>
      <c r="Z55">
        <f>HYPERLINK("https://klasma.github.io/Logging_2582/klagomålsmail/A 23323-2025 FSC-klagomål mail.docx", "A 23323-2025")</f>
        <v/>
      </c>
      <c r="AA55">
        <f>HYPERLINK("https://klasma.github.io/Logging_2582/tillsyn/A 23323-2025 tillsynsbegäran.docx", "A 23323-2025")</f>
        <v/>
      </c>
      <c r="AB55">
        <f>HYPERLINK("https://klasma.github.io/Logging_2582/tillsynsmail/A 23323-2025 tillsynsbegäran mail.docx", "A 23323-2025")</f>
        <v/>
      </c>
    </row>
    <row r="56" ht="15" customHeight="1">
      <c r="A56" t="inlineStr">
        <is>
          <t>A 26040-2026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46181</v>
      </c>
      <c r="E56" s="1" t="n">
        <v>46221</v>
      </c>
      <c r="F56" t="inlineStr">
        <is>
          <t>NORRBOTTENS LÄN</t>
        </is>
      </c>
      <c r="G56" t="inlineStr">
        <is>
          <t>BODEN</t>
        </is>
      </c>
      <c r="H56" t="inlineStr">
        <is>
          <t>Sveaskog</t>
        </is>
      </c>
      <c r="I56" t="n">
        <v>32.6</v>
      </c>
      <c r="J56" t="n">
        <v>1</v>
      </c>
      <c r="K56" t="n">
        <v>1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3</v>
      </c>
      <c r="T56" t="n">
        <v>4</v>
      </c>
      <c r="U56" s="2" t="inlineStr">
        <is>
          <t>Doftticka
Lunglav
Bårdlav</t>
        </is>
      </c>
      <c r="V56">
        <f>HYPERLINK("https://klasma.github.io/Logging_2582/artfynd/A 26040-2026 artfynd.xlsx", "A 26040-2026")</f>
        <v/>
      </c>
      <c r="W56">
        <f>HYPERLINK("https://klasma.github.io/Logging_2582/kartor/A 26040-2026 karta.png", "A 26040-2026")</f>
        <v/>
      </c>
      <c r="Y56">
        <f>HYPERLINK("https://klasma.github.io/Logging_2582/klagomål/A 26040-2026 FSC-klagomål.docx", "A 26040-2026")</f>
        <v/>
      </c>
      <c r="Z56">
        <f>HYPERLINK("https://klasma.github.io/Logging_2582/klagomålsmail/A 26040-2026 FSC-klagomål mail.docx", "A 26040-2026")</f>
        <v/>
      </c>
      <c r="AA56">
        <f>HYPERLINK("https://klasma.github.io/Logging_2582/tillsyn/A 26040-2026 tillsynsbegäran.docx", "A 26040-2026")</f>
        <v/>
      </c>
      <c r="AB56">
        <f>HYPERLINK("https://klasma.github.io/Logging_2582/tillsynsmail/A 26040-2026 tillsynsbegäran mail.docx", "A 26040-2026")</f>
        <v/>
      </c>
    </row>
    <row r="57" ht="15" customHeight="1">
      <c r="A57" t="inlineStr">
        <is>
          <t>A 29797-2022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44755</v>
      </c>
      <c r="E57" s="1" t="n">
        <v>46221</v>
      </c>
      <c r="F57" t="inlineStr">
        <is>
          <t>NORRBOTTENS LÄN</t>
        </is>
      </c>
      <c r="G57" t="inlineStr">
        <is>
          <t>BODEN</t>
        </is>
      </c>
      <c r="H57" t="inlineStr">
        <is>
          <t>Kyrkan</t>
        </is>
      </c>
      <c r="I57" t="n">
        <v>29.2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3</v>
      </c>
      <c r="T57" t="n">
        <v>4</v>
      </c>
      <c r="U57" s="2" t="inlineStr">
        <is>
          <t>Vanlig groda
Vanlig padda
Revlummer</t>
        </is>
      </c>
      <c r="V57">
        <f>HYPERLINK("https://klasma.github.io/Logging_2582/artfynd/A 29797-2022 artfynd.xlsx", "A 29797-2022")</f>
        <v/>
      </c>
      <c r="W57">
        <f>HYPERLINK("https://klasma.github.io/Logging_2582/kartor/A 29797-2022 karta.png", "A 29797-2022")</f>
        <v/>
      </c>
      <c r="Y57">
        <f>HYPERLINK("https://klasma.github.io/Logging_2582/klagomål/A 29797-2022 FSC-klagomål.docx", "A 29797-2022")</f>
        <v/>
      </c>
      <c r="Z57">
        <f>HYPERLINK("https://klasma.github.io/Logging_2582/klagomålsmail/A 29797-2022 FSC-klagomål mail.docx", "A 29797-2022")</f>
        <v/>
      </c>
      <c r="AA57">
        <f>HYPERLINK("https://klasma.github.io/Logging_2582/tillsyn/A 29797-2022 tillsynsbegäran.docx", "A 29797-2022")</f>
        <v/>
      </c>
      <c r="AB57">
        <f>HYPERLINK("https://klasma.github.io/Logging_2582/tillsynsmail/A 29797-2022 tillsynsbegäran mail.docx", "A 29797-2022")</f>
        <v/>
      </c>
    </row>
    <row r="58" ht="15" customHeight="1">
      <c r="A58" t="inlineStr">
        <is>
          <t>A 26728-2026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46184</v>
      </c>
      <c r="E58" s="1" t="n">
        <v>46221</v>
      </c>
      <c r="F58" t="inlineStr">
        <is>
          <t>NORRBOTTENS LÄN</t>
        </is>
      </c>
      <c r="G58" t="inlineStr">
        <is>
          <t>BODEN</t>
        </is>
      </c>
      <c r="H58" t="inlineStr">
        <is>
          <t>Sveaskog</t>
        </is>
      </c>
      <c r="I58" t="n">
        <v>14.4</v>
      </c>
      <c r="J58" t="n">
        <v>2</v>
      </c>
      <c r="K58" t="n">
        <v>1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3</v>
      </c>
      <c r="T58" t="n">
        <v>3</v>
      </c>
      <c r="U58" s="2" t="inlineStr">
        <is>
          <t>Lunglav
Plattlummer
Fläcknycklar</t>
        </is>
      </c>
      <c r="V58">
        <f>HYPERLINK("https://klasma.github.io/Logging_2582/artfynd/A 26728-2026 artfynd.xlsx", "A 26728-2026")</f>
        <v/>
      </c>
      <c r="W58">
        <f>HYPERLINK("https://klasma.github.io/Logging_2582/kartor/A 26728-2026 karta.png", "A 26728-2026")</f>
        <v/>
      </c>
      <c r="Y58">
        <f>HYPERLINK("https://klasma.github.io/Logging_2582/klagomål/A 26728-2026 FSC-klagomål.docx", "A 26728-2026")</f>
        <v/>
      </c>
      <c r="Z58">
        <f>HYPERLINK("https://klasma.github.io/Logging_2582/klagomålsmail/A 26728-2026 FSC-klagomål mail.docx", "A 26728-2026")</f>
        <v/>
      </c>
      <c r="AA58">
        <f>HYPERLINK("https://klasma.github.io/Logging_2582/tillsyn/A 26728-2026 tillsynsbegäran.docx", "A 26728-2026")</f>
        <v/>
      </c>
      <c r="AB58">
        <f>HYPERLINK("https://klasma.github.io/Logging_2582/tillsynsmail/A 26728-2026 tillsynsbegäran mail.docx", "A 26728-2026")</f>
        <v/>
      </c>
    </row>
    <row r="59" ht="15" customHeight="1">
      <c r="A59" t="inlineStr">
        <is>
          <t>A 29868-2026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46205</v>
      </c>
      <c r="E59" s="1" t="n">
        <v>46221</v>
      </c>
      <c r="F59" t="inlineStr">
        <is>
          <t>NORRBOTTENS LÄN</t>
        </is>
      </c>
      <c r="G59" t="inlineStr">
        <is>
          <t>BODEN</t>
        </is>
      </c>
      <c r="H59" t="inlineStr">
        <is>
          <t>Sveaskog</t>
        </is>
      </c>
      <c r="I59" t="n">
        <v>5.3</v>
      </c>
      <c r="J59" t="n">
        <v>1</v>
      </c>
      <c r="K59" t="n">
        <v>1</v>
      </c>
      <c r="L59" t="n">
        <v>1</v>
      </c>
      <c r="M59" t="n">
        <v>1</v>
      </c>
      <c r="N59" t="n">
        <v>0</v>
      </c>
      <c r="O59" t="n">
        <v>0</v>
      </c>
      <c r="P59" t="n">
        <v>0</v>
      </c>
      <c r="Q59" t="n">
        <v>2</v>
      </c>
      <c r="R59" t="n">
        <v>1</v>
      </c>
      <c r="S59" t="n">
        <v>3</v>
      </c>
      <c r="T59" t="n">
        <v>6</v>
      </c>
      <c r="U59" s="2" t="inlineStr">
        <is>
          <t>Garnlav
Lunglav
Spindelblomster</t>
        </is>
      </c>
      <c r="V59">
        <f>HYPERLINK("https://klasma.github.io/Logging_2582/artfynd/A 29868-2026 artfynd.xlsx", "A 29868-2026")</f>
        <v/>
      </c>
      <c r="W59">
        <f>HYPERLINK("https://klasma.github.io/Logging_2582/kartor/A 29868-2026 karta.png", "A 29868-2026")</f>
        <v/>
      </c>
      <c r="Y59">
        <f>HYPERLINK("https://klasma.github.io/Logging_2582/klagomål/A 29868-2026 FSC-klagomål.docx", "A 29868-2026")</f>
        <v/>
      </c>
      <c r="Z59">
        <f>HYPERLINK("https://klasma.github.io/Logging_2582/klagomålsmail/A 29868-2026 FSC-klagomål mail.docx", "A 29868-2026")</f>
        <v/>
      </c>
      <c r="AA59">
        <f>HYPERLINK("https://klasma.github.io/Logging_2582/tillsyn/A 29868-2026 tillsynsbegäran.docx", "A 29868-2026")</f>
        <v/>
      </c>
      <c r="AB59">
        <f>HYPERLINK("https://klasma.github.io/Logging_2582/tillsynsmail/A 29868-2026 tillsynsbegäran mail.docx", "A 29868-2026")</f>
        <v/>
      </c>
    </row>
    <row r="60" ht="15" customHeight="1">
      <c r="A60" t="inlineStr">
        <is>
          <t>A 31230-2026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46217</v>
      </c>
      <c r="E60" s="1" t="n">
        <v>46221</v>
      </c>
      <c r="F60" t="inlineStr">
        <is>
          <t>NORRBOTTENS LÄN</t>
        </is>
      </c>
      <c r="G60" t="inlineStr">
        <is>
          <t>BODEN</t>
        </is>
      </c>
      <c r="H60" t="inlineStr">
        <is>
          <t>Sveaskog</t>
        </is>
      </c>
      <c r="I60" t="n">
        <v>7</v>
      </c>
      <c r="J60" t="n">
        <v>2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3</v>
      </c>
      <c r="T60" t="n">
        <v>3</v>
      </c>
      <c r="U60" s="2" t="inlineStr">
        <is>
          <t>Lunglav
Fläcknycklar
Fläcknycklar × sumpnycklar</t>
        </is>
      </c>
      <c r="V60">
        <f>HYPERLINK("https://klasma.github.io/Logging_2582/artfynd/A 31230-2026 artfynd.xlsx", "A 31230-2026")</f>
        <v/>
      </c>
      <c r="W60">
        <f>HYPERLINK("https://klasma.github.io/Logging_2582/kartor/A 31230-2026 karta.png", "A 31230-2026")</f>
        <v/>
      </c>
      <c r="Y60">
        <f>HYPERLINK("https://klasma.github.io/Logging_2582/klagomål/A 31230-2026 FSC-klagomål.docx", "A 31230-2026")</f>
        <v/>
      </c>
      <c r="Z60">
        <f>HYPERLINK("https://klasma.github.io/Logging_2582/klagomålsmail/A 31230-2026 FSC-klagomål mail.docx", "A 31230-2026")</f>
        <v/>
      </c>
      <c r="AA60">
        <f>HYPERLINK("https://klasma.github.io/Logging_2582/tillsyn/A 31230-2026 tillsynsbegäran.docx", "A 31230-2026")</f>
        <v/>
      </c>
      <c r="AB60">
        <f>HYPERLINK("https://klasma.github.io/Logging_2582/tillsynsmail/A 31230-2026 tillsynsbegäran mail.docx", "A 31230-2026")</f>
        <v/>
      </c>
    </row>
    <row r="61" ht="15" customHeight="1">
      <c r="A61" t="inlineStr">
        <is>
          <t>A 58196-2021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44487</v>
      </c>
      <c r="E61" s="1" t="n">
        <v>46221</v>
      </c>
      <c r="F61" t="inlineStr">
        <is>
          <t>NORRBOTTENS LÄN</t>
        </is>
      </c>
      <c r="G61" t="inlineStr">
        <is>
          <t>BODEN</t>
        </is>
      </c>
      <c r="H61" t="inlineStr">
        <is>
          <t>Sveaskog</t>
        </is>
      </c>
      <c r="I61" t="n">
        <v>3.6</v>
      </c>
      <c r="J61" t="n">
        <v>0</v>
      </c>
      <c r="K61" t="n">
        <v>0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2</v>
      </c>
      <c r="T61" t="n">
        <v>2</v>
      </c>
      <c r="U61" s="2" t="inlineStr">
        <is>
          <t>Gammelgransskål
Lunglav</t>
        </is>
      </c>
      <c r="V61">
        <f>HYPERLINK("https://klasma.github.io/Logging_2582/artfynd/A 58196-2021 artfynd.xlsx", "A 58196-2021")</f>
        <v/>
      </c>
      <c r="W61">
        <f>HYPERLINK("https://klasma.github.io/Logging_2582/kartor/A 58196-2021 karta.png", "A 58196-2021")</f>
        <v/>
      </c>
      <c r="Y61">
        <f>HYPERLINK("https://klasma.github.io/Logging_2582/klagomål/A 58196-2021 FSC-klagomål.docx", "A 58196-2021")</f>
        <v/>
      </c>
      <c r="Z61">
        <f>HYPERLINK("https://klasma.github.io/Logging_2582/klagomålsmail/A 58196-2021 FSC-klagomål mail.docx", "A 58196-2021")</f>
        <v/>
      </c>
      <c r="AA61">
        <f>HYPERLINK("https://klasma.github.io/Logging_2582/tillsyn/A 58196-2021 tillsynsbegäran.docx", "A 58196-2021")</f>
        <v/>
      </c>
      <c r="AB61">
        <f>HYPERLINK("https://klasma.github.io/Logging_2582/tillsynsmail/A 58196-2021 tillsynsbegäran mail.docx", "A 58196-2021")</f>
        <v/>
      </c>
    </row>
    <row r="62" ht="15" customHeight="1">
      <c r="A62" t="inlineStr">
        <is>
          <t>A 13659-2022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44648</v>
      </c>
      <c r="E62" s="1" t="n">
        <v>46221</v>
      </c>
      <c r="F62" t="inlineStr">
        <is>
          <t>NORRBOTTENS LÄN</t>
        </is>
      </c>
      <c r="G62" t="inlineStr">
        <is>
          <t>BODEN</t>
        </is>
      </c>
      <c r="H62" t="inlineStr">
        <is>
          <t>Sveaskog</t>
        </is>
      </c>
      <c r="I62" t="n">
        <v>7.3</v>
      </c>
      <c r="J62" t="n">
        <v>0</v>
      </c>
      <c r="K62" t="n">
        <v>2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2</v>
      </c>
      <c r="T62" t="n">
        <v>2</v>
      </c>
      <c r="U62" s="2" t="inlineStr">
        <is>
          <t>Bollvitmossa
Ögonpyrola</t>
        </is>
      </c>
      <c r="V62">
        <f>HYPERLINK("https://klasma.github.io/Logging_2582/artfynd/A 13659-2022 artfynd.xlsx", "A 13659-2022")</f>
        <v/>
      </c>
      <c r="W62">
        <f>HYPERLINK("https://klasma.github.io/Logging_2582/kartor/A 13659-2022 karta.png", "A 13659-2022")</f>
        <v/>
      </c>
      <c r="Y62">
        <f>HYPERLINK("https://klasma.github.io/Logging_2582/klagomål/A 13659-2022 FSC-klagomål.docx", "A 13659-2022")</f>
        <v/>
      </c>
      <c r="Z62">
        <f>HYPERLINK("https://klasma.github.io/Logging_2582/klagomålsmail/A 13659-2022 FSC-klagomål mail.docx", "A 13659-2022")</f>
        <v/>
      </c>
      <c r="AA62">
        <f>HYPERLINK("https://klasma.github.io/Logging_2582/tillsyn/A 13659-2022 tillsynsbegäran.docx", "A 13659-2022")</f>
        <v/>
      </c>
      <c r="AB62">
        <f>HYPERLINK("https://klasma.github.io/Logging_2582/tillsynsmail/A 13659-2022 tillsynsbegäran mail.docx", "A 13659-2022")</f>
        <v/>
      </c>
    </row>
    <row r="63" ht="15" customHeight="1">
      <c r="A63" t="inlineStr">
        <is>
          <t>A 36629-2022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44804</v>
      </c>
      <c r="E63" s="1" t="n">
        <v>46221</v>
      </c>
      <c r="F63" t="inlineStr">
        <is>
          <t>NORRBOTTENS LÄN</t>
        </is>
      </c>
      <c r="G63" t="inlineStr">
        <is>
          <t>BODEN</t>
        </is>
      </c>
      <c r="H63" t="inlineStr">
        <is>
          <t>Sveaskog</t>
        </is>
      </c>
      <c r="I63" t="n">
        <v>3</v>
      </c>
      <c r="J63" t="n">
        <v>0</v>
      </c>
      <c r="K63" t="n">
        <v>0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2</v>
      </c>
      <c r="T63" t="n">
        <v>10</v>
      </c>
      <c r="U63" s="2" t="inlineStr">
        <is>
          <t>Dropptaggsvamp
Skarp dropptaggsvamp</t>
        </is>
      </c>
      <c r="V63">
        <f>HYPERLINK("https://klasma.github.io/Logging_2582/artfynd/A 36629-2022 artfynd.xlsx", "A 36629-2022")</f>
        <v/>
      </c>
      <c r="W63">
        <f>HYPERLINK("https://klasma.github.io/Logging_2582/kartor/A 36629-2022 karta.png", "A 36629-2022")</f>
        <v/>
      </c>
      <c r="Y63">
        <f>HYPERLINK("https://klasma.github.io/Logging_2582/klagomål/A 36629-2022 FSC-klagomål.docx", "A 36629-2022")</f>
        <v/>
      </c>
      <c r="Z63">
        <f>HYPERLINK("https://klasma.github.io/Logging_2582/klagomålsmail/A 36629-2022 FSC-klagomål mail.docx", "A 36629-2022")</f>
        <v/>
      </c>
      <c r="AA63">
        <f>HYPERLINK("https://klasma.github.io/Logging_2582/tillsyn/A 36629-2022 tillsynsbegäran.docx", "A 36629-2022")</f>
        <v/>
      </c>
      <c r="AB63">
        <f>HYPERLINK("https://klasma.github.io/Logging_2582/tillsynsmail/A 36629-2022 tillsynsbegäran mail.docx", "A 36629-2022")</f>
        <v/>
      </c>
    </row>
    <row r="64" ht="15" customHeight="1">
      <c r="A64" t="inlineStr">
        <is>
          <t>A 35037-2022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44796</v>
      </c>
      <c r="E64" s="1" t="n">
        <v>46221</v>
      </c>
      <c r="F64" t="inlineStr">
        <is>
          <t>NORRBOTTENS LÄN</t>
        </is>
      </c>
      <c r="G64" t="inlineStr">
        <is>
          <t>BODEN</t>
        </is>
      </c>
      <c r="I64" t="n">
        <v>0.6</v>
      </c>
      <c r="J64" t="n">
        <v>2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2</v>
      </c>
      <c r="U64" s="2" t="inlineStr">
        <is>
          <t>Rödvingetrast
Revlummer</t>
        </is>
      </c>
      <c r="V64">
        <f>HYPERLINK("https://klasma.github.io/Logging_2582/artfynd/A 35037-2022 artfynd.xlsx", "A 35037-2022")</f>
        <v/>
      </c>
      <c r="W64">
        <f>HYPERLINK("https://klasma.github.io/Logging_2582/kartor/A 35037-2022 karta.png", "A 35037-2022")</f>
        <v/>
      </c>
      <c r="Y64">
        <f>HYPERLINK("https://klasma.github.io/Logging_2582/klagomål/A 35037-2022 FSC-klagomål.docx", "A 35037-2022")</f>
        <v/>
      </c>
      <c r="Z64">
        <f>HYPERLINK("https://klasma.github.io/Logging_2582/klagomålsmail/A 35037-2022 FSC-klagomål mail.docx", "A 35037-2022")</f>
        <v/>
      </c>
      <c r="AA64">
        <f>HYPERLINK("https://klasma.github.io/Logging_2582/tillsyn/A 35037-2022 tillsynsbegäran.docx", "A 35037-2022")</f>
        <v/>
      </c>
      <c r="AB64">
        <f>HYPERLINK("https://klasma.github.io/Logging_2582/tillsynsmail/A 35037-2022 tillsynsbegäran mail.docx", "A 35037-2022")</f>
        <v/>
      </c>
      <c r="AC64">
        <f>HYPERLINK("https://klasma.github.io/Logging_2582/fåglar/A 35037-2022 prioriterade fågelarter.docx", "A 35037-2022")</f>
        <v/>
      </c>
    </row>
    <row r="65" ht="15" customHeight="1">
      <c r="A65" t="inlineStr">
        <is>
          <t>A 26346-2022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44735</v>
      </c>
      <c r="E65" s="1" t="n">
        <v>46221</v>
      </c>
      <c r="F65" t="inlineStr">
        <is>
          <t>NORRBOTTENS LÄN</t>
        </is>
      </c>
      <c r="G65" t="inlineStr">
        <is>
          <t>BODEN</t>
        </is>
      </c>
      <c r="H65" t="inlineStr">
        <is>
          <t>Sveaskog</t>
        </is>
      </c>
      <c r="I65" t="n">
        <v>5.6</v>
      </c>
      <c r="J65" t="n">
        <v>0</v>
      </c>
      <c r="K65" t="n">
        <v>0</v>
      </c>
      <c r="L65" t="n">
        <v>2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t="n">
        <v>0</v>
      </c>
      <c r="S65" t="n">
        <v>2</v>
      </c>
      <c r="T65" t="n">
        <v>3</v>
      </c>
      <c r="U65" s="2" t="inlineStr">
        <is>
          <t>Blå taggsvamp
Ullticka</t>
        </is>
      </c>
      <c r="V65">
        <f>HYPERLINK("https://klasma.github.io/Logging_2582/artfynd/A 26346-2022 artfynd.xlsx", "A 26346-2022")</f>
        <v/>
      </c>
      <c r="W65">
        <f>HYPERLINK("https://klasma.github.io/Logging_2582/kartor/A 26346-2022 karta.png", "A 26346-2022")</f>
        <v/>
      </c>
      <c r="Y65">
        <f>HYPERLINK("https://klasma.github.io/Logging_2582/klagomål/A 26346-2022 FSC-klagomål.docx", "A 26346-2022")</f>
        <v/>
      </c>
      <c r="Z65">
        <f>HYPERLINK("https://klasma.github.io/Logging_2582/klagomålsmail/A 26346-2022 FSC-klagomål mail.docx", "A 26346-2022")</f>
        <v/>
      </c>
      <c r="AA65">
        <f>HYPERLINK("https://klasma.github.io/Logging_2582/tillsyn/A 26346-2022 tillsynsbegäran.docx", "A 26346-2022")</f>
        <v/>
      </c>
      <c r="AB65">
        <f>HYPERLINK("https://klasma.github.io/Logging_2582/tillsynsmail/A 26346-2022 tillsynsbegäran mail.docx", "A 26346-2022")</f>
        <v/>
      </c>
    </row>
    <row r="66" ht="15" customHeight="1">
      <c r="A66" t="inlineStr">
        <is>
          <t>A 1507-2022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44573</v>
      </c>
      <c r="E66" s="1" t="n">
        <v>46221</v>
      </c>
      <c r="F66" t="inlineStr">
        <is>
          <t>NORRBOTTENS LÄN</t>
        </is>
      </c>
      <c r="G66" t="inlineStr">
        <is>
          <t>BODEN</t>
        </is>
      </c>
      <c r="H66" t="inlineStr">
        <is>
          <t>Övriga statliga verk och myndigheter</t>
        </is>
      </c>
      <c r="I66" t="n">
        <v>15.4</v>
      </c>
      <c r="J66" t="n">
        <v>2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2</v>
      </c>
      <c r="T66" t="n">
        <v>2</v>
      </c>
      <c r="U66" s="2" t="inlineStr">
        <is>
          <t>Talltita
Gråspett</t>
        </is>
      </c>
      <c r="V66">
        <f>HYPERLINK("https://klasma.github.io/Logging_2582/artfynd/A 1507-2022 artfynd.xlsx", "A 1507-2022")</f>
        <v/>
      </c>
      <c r="W66">
        <f>HYPERLINK("https://klasma.github.io/Logging_2582/kartor/A 1507-2022 karta.png", "A 1507-2022")</f>
        <v/>
      </c>
      <c r="Y66">
        <f>HYPERLINK("https://klasma.github.io/Logging_2582/klagomål/A 1507-2022 FSC-klagomål.docx", "A 1507-2022")</f>
        <v/>
      </c>
      <c r="Z66">
        <f>HYPERLINK("https://klasma.github.io/Logging_2582/klagomålsmail/A 1507-2022 FSC-klagomål mail.docx", "A 1507-2022")</f>
        <v/>
      </c>
      <c r="AA66">
        <f>HYPERLINK("https://klasma.github.io/Logging_2582/tillsyn/A 1507-2022 tillsynsbegäran.docx", "A 1507-2022")</f>
        <v/>
      </c>
      <c r="AB66">
        <f>HYPERLINK("https://klasma.github.io/Logging_2582/tillsynsmail/A 1507-2022 tillsynsbegäran mail.docx", "A 1507-2022")</f>
        <v/>
      </c>
      <c r="AC66">
        <f>HYPERLINK("https://klasma.github.io/Logging_2582/fåglar/A 1507-2022 prioriterade fågelarter.docx", "A 1507-2022")</f>
        <v/>
      </c>
    </row>
    <row r="67" ht="15" customHeight="1">
      <c r="A67" t="inlineStr">
        <is>
          <t>A 28867-2025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45820</v>
      </c>
      <c r="E67" s="1" t="n">
        <v>46221</v>
      </c>
      <c r="F67" t="inlineStr">
        <is>
          <t>NORRBOTTENS LÄN</t>
        </is>
      </c>
      <c r="G67" t="inlineStr">
        <is>
          <t>BODEN</t>
        </is>
      </c>
      <c r="H67" t="inlineStr">
        <is>
          <t>Sveaskog</t>
        </is>
      </c>
      <c r="I67" t="n">
        <v>8.199999999999999</v>
      </c>
      <c r="J67" t="n">
        <v>2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2</v>
      </c>
      <c r="T67" t="n">
        <v>12</v>
      </c>
      <c r="U67" s="2" t="inlineStr">
        <is>
          <t>Knärot
Fläcknycklar</t>
        </is>
      </c>
      <c r="V67">
        <f>HYPERLINK("https://klasma.github.io/Logging_2582/artfynd/A 28867-2025 artfynd.xlsx", "A 28867-2025")</f>
        <v/>
      </c>
      <c r="W67">
        <f>HYPERLINK("https://klasma.github.io/Logging_2582/kartor/A 28867-2025 karta.png", "A 28867-2025")</f>
        <v/>
      </c>
      <c r="X67">
        <f>HYPERLINK("https://klasma.github.io/Logging_2582/knärot/A 28867-2025 karta knärot.png", "A 28867-2025")</f>
        <v/>
      </c>
      <c r="Y67">
        <f>HYPERLINK("https://klasma.github.io/Logging_2582/klagomål/A 28867-2025 FSC-klagomål.docx", "A 28867-2025")</f>
        <v/>
      </c>
      <c r="Z67">
        <f>HYPERLINK("https://klasma.github.io/Logging_2582/klagomålsmail/A 28867-2025 FSC-klagomål mail.docx", "A 28867-2025")</f>
        <v/>
      </c>
      <c r="AA67">
        <f>HYPERLINK("https://klasma.github.io/Logging_2582/tillsyn/A 28867-2025 tillsynsbegäran.docx", "A 28867-2025")</f>
        <v/>
      </c>
      <c r="AB67">
        <f>HYPERLINK("https://klasma.github.io/Logging_2582/tillsynsmail/A 28867-2025 tillsynsbegäran mail.docx", "A 28867-2025")</f>
        <v/>
      </c>
    </row>
    <row r="68" ht="15" customHeight="1">
      <c r="A68" t="inlineStr">
        <is>
          <t>A 25701-2025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45803</v>
      </c>
      <c r="E68" s="1" t="n">
        <v>46221</v>
      </c>
      <c r="F68" t="inlineStr">
        <is>
          <t>NORRBOTTENS LÄN</t>
        </is>
      </c>
      <c r="G68" t="inlineStr">
        <is>
          <t>BODEN</t>
        </is>
      </c>
      <c r="H68" t="inlineStr">
        <is>
          <t>Sveaskog</t>
        </is>
      </c>
      <c r="I68" t="n">
        <v>8.800000000000001</v>
      </c>
      <c r="J68" t="n">
        <v>0</v>
      </c>
      <c r="K68" t="n">
        <v>0</v>
      </c>
      <c r="L68" t="n">
        <v>2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t="n">
        <v>0</v>
      </c>
      <c r="S68" t="n">
        <v>2</v>
      </c>
      <c r="T68" t="n">
        <v>2</v>
      </c>
      <c r="U68" s="2" t="inlineStr">
        <is>
          <t>Lunglav
Öring</t>
        </is>
      </c>
      <c r="V68">
        <f>HYPERLINK("https://klasma.github.io/Logging_2582/artfynd/A 25701-2025 artfynd.xlsx", "A 25701-2025")</f>
        <v/>
      </c>
      <c r="W68">
        <f>HYPERLINK("https://klasma.github.io/Logging_2582/kartor/A 25701-2025 karta.png", "A 25701-2025")</f>
        <v/>
      </c>
      <c r="Y68">
        <f>HYPERLINK("https://klasma.github.io/Logging_2582/klagomål/A 25701-2025 FSC-klagomål.docx", "A 25701-2025")</f>
        <v/>
      </c>
      <c r="Z68">
        <f>HYPERLINK("https://klasma.github.io/Logging_2582/klagomålsmail/A 25701-2025 FSC-klagomål mail.docx", "A 25701-2025")</f>
        <v/>
      </c>
      <c r="AA68">
        <f>HYPERLINK("https://klasma.github.io/Logging_2582/tillsyn/A 25701-2025 tillsynsbegäran.docx", "A 25701-2025")</f>
        <v/>
      </c>
      <c r="AB68">
        <f>HYPERLINK("https://klasma.github.io/Logging_2582/tillsynsmail/A 25701-2025 tillsynsbegäran mail.docx", "A 25701-2025")</f>
        <v/>
      </c>
    </row>
    <row r="69" ht="15" customHeight="1">
      <c r="A69" t="inlineStr">
        <is>
          <t>A 6895-2025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45701</v>
      </c>
      <c r="E69" s="1" t="n">
        <v>46221</v>
      </c>
      <c r="F69" t="inlineStr">
        <is>
          <t>NORRBOTTENS LÄN</t>
        </is>
      </c>
      <c r="G69" t="inlineStr">
        <is>
          <t>BODEN</t>
        </is>
      </c>
      <c r="I69" t="n">
        <v>1.5</v>
      </c>
      <c r="J69" t="n">
        <v>1</v>
      </c>
      <c r="K69" t="n">
        <v>1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2</v>
      </c>
      <c r="T69" t="n">
        <v>2</v>
      </c>
      <c r="U69" s="2" t="inlineStr">
        <is>
          <t>Kolflarnlav
Plattlummer</t>
        </is>
      </c>
      <c r="V69">
        <f>HYPERLINK("https://klasma.github.io/Logging_2582/artfynd/A 6895-2025 artfynd.xlsx", "A 6895-2025")</f>
        <v/>
      </c>
      <c r="W69">
        <f>HYPERLINK("https://klasma.github.io/Logging_2582/kartor/A 6895-2025 karta.png", "A 6895-2025")</f>
        <v/>
      </c>
      <c r="Y69">
        <f>HYPERLINK("https://klasma.github.io/Logging_2582/klagomål/A 6895-2025 FSC-klagomål.docx", "A 6895-2025")</f>
        <v/>
      </c>
      <c r="Z69">
        <f>HYPERLINK("https://klasma.github.io/Logging_2582/klagomålsmail/A 6895-2025 FSC-klagomål mail.docx", "A 6895-2025")</f>
        <v/>
      </c>
      <c r="AA69">
        <f>HYPERLINK("https://klasma.github.io/Logging_2582/tillsyn/A 6895-2025 tillsynsbegäran.docx", "A 6895-2025")</f>
        <v/>
      </c>
      <c r="AB69">
        <f>HYPERLINK("https://klasma.github.io/Logging_2582/tillsynsmail/A 6895-2025 tillsynsbegäran mail.docx", "A 6895-2025")</f>
        <v/>
      </c>
    </row>
    <row r="70" ht="15" customHeight="1">
      <c r="A70" t="inlineStr">
        <is>
          <t>A 43315-2025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45910</v>
      </c>
      <c r="E70" s="1" t="n">
        <v>46221</v>
      </c>
      <c r="F70" t="inlineStr">
        <is>
          <t>NORRBOTTENS LÄN</t>
        </is>
      </c>
      <c r="G70" t="inlineStr">
        <is>
          <t>BODEN</t>
        </is>
      </c>
      <c r="H70" t="inlineStr">
        <is>
          <t>Sveaskog</t>
        </is>
      </c>
      <c r="I70" t="n">
        <v>2</v>
      </c>
      <c r="J70" t="n">
        <v>0</v>
      </c>
      <c r="K70" t="n">
        <v>1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2</v>
      </c>
      <c r="T70" t="n">
        <v>2</v>
      </c>
      <c r="U70" s="2" t="inlineStr">
        <is>
          <t>Lunglav
Stuplav</t>
        </is>
      </c>
      <c r="V70">
        <f>HYPERLINK("https://klasma.github.io/Logging_2582/artfynd/A 43315-2025 artfynd.xlsx", "A 43315-2025")</f>
        <v/>
      </c>
      <c r="W70">
        <f>HYPERLINK("https://klasma.github.io/Logging_2582/kartor/A 43315-2025 karta.png", "A 43315-2025")</f>
        <v/>
      </c>
      <c r="Y70">
        <f>HYPERLINK("https://klasma.github.io/Logging_2582/klagomål/A 43315-2025 FSC-klagomål.docx", "A 43315-2025")</f>
        <v/>
      </c>
      <c r="Z70">
        <f>HYPERLINK("https://klasma.github.io/Logging_2582/klagomålsmail/A 43315-2025 FSC-klagomål mail.docx", "A 43315-2025")</f>
        <v/>
      </c>
      <c r="AA70">
        <f>HYPERLINK("https://klasma.github.io/Logging_2582/tillsyn/A 43315-2025 tillsynsbegäran.docx", "A 43315-2025")</f>
        <v/>
      </c>
      <c r="AB70">
        <f>HYPERLINK("https://klasma.github.io/Logging_2582/tillsynsmail/A 43315-2025 tillsynsbegäran mail.docx", "A 43315-2025")</f>
        <v/>
      </c>
    </row>
    <row r="71" ht="15" customHeight="1">
      <c r="A71" t="inlineStr">
        <is>
          <t>A 43310-2025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45910</v>
      </c>
      <c r="E71" s="1" t="n">
        <v>46221</v>
      </c>
      <c r="F71" t="inlineStr">
        <is>
          <t>NORRBOTTENS LÄN</t>
        </is>
      </c>
      <c r="G71" t="inlineStr">
        <is>
          <t>BODEN</t>
        </is>
      </c>
      <c r="H71" t="inlineStr">
        <is>
          <t>Sveaskog</t>
        </is>
      </c>
      <c r="I71" t="n">
        <v>2.8</v>
      </c>
      <c r="J71" t="n">
        <v>0</v>
      </c>
      <c r="K71" t="n">
        <v>1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2</v>
      </c>
      <c r="U71" s="2" t="inlineStr">
        <is>
          <t>Lunglav
Stuplav</t>
        </is>
      </c>
      <c r="V71">
        <f>HYPERLINK("https://klasma.github.io/Logging_2582/artfynd/A 43310-2025 artfynd.xlsx", "A 43310-2025")</f>
        <v/>
      </c>
      <c r="W71">
        <f>HYPERLINK("https://klasma.github.io/Logging_2582/kartor/A 43310-2025 karta.png", "A 43310-2025")</f>
        <v/>
      </c>
      <c r="Y71">
        <f>HYPERLINK("https://klasma.github.io/Logging_2582/klagomål/A 43310-2025 FSC-klagomål.docx", "A 43310-2025")</f>
        <v/>
      </c>
      <c r="Z71">
        <f>HYPERLINK("https://klasma.github.io/Logging_2582/klagomålsmail/A 43310-2025 FSC-klagomål mail.docx", "A 43310-2025")</f>
        <v/>
      </c>
      <c r="AA71">
        <f>HYPERLINK("https://klasma.github.io/Logging_2582/tillsyn/A 43310-2025 tillsynsbegäran.docx", "A 43310-2025")</f>
        <v/>
      </c>
      <c r="AB71">
        <f>HYPERLINK("https://klasma.github.io/Logging_2582/tillsynsmail/A 43310-2025 tillsynsbegäran mail.docx", "A 43310-2025")</f>
        <v/>
      </c>
    </row>
    <row r="72" ht="15" customHeight="1">
      <c r="A72" t="inlineStr">
        <is>
          <t>A 34737-2024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45526</v>
      </c>
      <c r="E72" s="1" t="n">
        <v>46221</v>
      </c>
      <c r="F72" t="inlineStr">
        <is>
          <t>NORRBOTTENS LÄN</t>
        </is>
      </c>
      <c r="G72" t="inlineStr">
        <is>
          <t>BODEN</t>
        </is>
      </c>
      <c r="H72" t="inlineStr">
        <is>
          <t>Sveaskog</t>
        </is>
      </c>
      <c r="I72" t="n">
        <v>6</v>
      </c>
      <c r="J72" t="n">
        <v>1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2</v>
      </c>
      <c r="T72" t="n">
        <v>4</v>
      </c>
      <c r="U72" s="2" t="inlineStr">
        <is>
          <t>Lunglav
Fläcknycklar</t>
        </is>
      </c>
      <c r="V72">
        <f>HYPERLINK("https://klasma.github.io/Logging_2582/artfynd/A 34737-2024 artfynd.xlsx", "A 34737-2024")</f>
        <v/>
      </c>
      <c r="W72">
        <f>HYPERLINK("https://klasma.github.io/Logging_2582/kartor/A 34737-2024 karta.png", "A 34737-2024")</f>
        <v/>
      </c>
      <c r="Y72">
        <f>HYPERLINK("https://klasma.github.io/Logging_2582/klagomål/A 34737-2024 FSC-klagomål.docx", "A 34737-2024")</f>
        <v/>
      </c>
      <c r="Z72">
        <f>HYPERLINK("https://klasma.github.io/Logging_2582/klagomålsmail/A 34737-2024 FSC-klagomål mail.docx", "A 34737-2024")</f>
        <v/>
      </c>
      <c r="AA72">
        <f>HYPERLINK("https://klasma.github.io/Logging_2582/tillsyn/A 34737-2024 tillsynsbegäran.docx", "A 34737-2024")</f>
        <v/>
      </c>
      <c r="AB72">
        <f>HYPERLINK("https://klasma.github.io/Logging_2582/tillsynsmail/A 34737-2024 tillsynsbegäran mail.docx", "A 34737-2024")</f>
        <v/>
      </c>
    </row>
    <row r="73" ht="15" customHeight="1">
      <c r="A73" t="inlineStr">
        <is>
          <t>A 45477-2025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45922</v>
      </c>
      <c r="E73" s="1" t="n">
        <v>46221</v>
      </c>
      <c r="F73" t="inlineStr">
        <is>
          <t>NORRBOTTENS LÄN</t>
        </is>
      </c>
      <c r="G73" t="inlineStr">
        <is>
          <t>BODEN</t>
        </is>
      </c>
      <c r="H73" t="inlineStr">
        <is>
          <t>Sveaskog</t>
        </is>
      </c>
      <c r="I73" t="n">
        <v>9.1</v>
      </c>
      <c r="J73" t="n">
        <v>1</v>
      </c>
      <c r="K73" t="n">
        <v>0</v>
      </c>
      <c r="L73" t="n">
        <v>1</v>
      </c>
      <c r="M73" t="n">
        <v>1</v>
      </c>
      <c r="N73" t="n">
        <v>0</v>
      </c>
      <c r="O73" t="n">
        <v>0</v>
      </c>
      <c r="P73" t="n">
        <v>0</v>
      </c>
      <c r="Q73" t="n">
        <v>2</v>
      </c>
      <c r="R73" t="n">
        <v>1</v>
      </c>
      <c r="S73" t="n">
        <v>2</v>
      </c>
      <c r="T73" t="n">
        <v>3</v>
      </c>
      <c r="U73" s="2" t="inlineStr">
        <is>
          <t>Doftticka
Lunglav</t>
        </is>
      </c>
      <c r="V73">
        <f>HYPERLINK("https://klasma.github.io/Logging_2582/artfynd/A 45477-2025 artfynd.xlsx", "A 45477-2025")</f>
        <v/>
      </c>
      <c r="W73">
        <f>HYPERLINK("https://klasma.github.io/Logging_2582/kartor/A 45477-2025 karta.png", "A 45477-2025")</f>
        <v/>
      </c>
      <c r="Y73">
        <f>HYPERLINK("https://klasma.github.io/Logging_2582/klagomål/A 45477-2025 FSC-klagomål.docx", "A 45477-2025")</f>
        <v/>
      </c>
      <c r="Z73">
        <f>HYPERLINK("https://klasma.github.io/Logging_2582/klagomålsmail/A 45477-2025 FSC-klagomål mail.docx", "A 45477-2025")</f>
        <v/>
      </c>
      <c r="AA73">
        <f>HYPERLINK("https://klasma.github.io/Logging_2582/tillsyn/A 45477-2025 tillsynsbegäran.docx", "A 45477-2025")</f>
        <v/>
      </c>
      <c r="AB73">
        <f>HYPERLINK("https://klasma.github.io/Logging_2582/tillsynsmail/A 45477-2025 tillsynsbegäran mail.docx", "A 45477-2025")</f>
        <v/>
      </c>
    </row>
    <row r="74" ht="15" customHeight="1">
      <c r="A74" t="inlineStr">
        <is>
          <t>A 37086-2025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45875</v>
      </c>
      <c r="E74" s="1" t="n">
        <v>46221</v>
      </c>
      <c r="F74" t="inlineStr">
        <is>
          <t>NORRBOTTENS LÄN</t>
        </is>
      </c>
      <c r="G74" t="inlineStr">
        <is>
          <t>BODEN</t>
        </is>
      </c>
      <c r="H74" t="inlineStr">
        <is>
          <t>Övriga Aktiebolag</t>
        </is>
      </c>
      <c r="I74" t="n">
        <v>22.8</v>
      </c>
      <c r="J74" t="n">
        <v>0</v>
      </c>
      <c r="K74" t="n">
        <v>1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2</v>
      </c>
      <c r="T74" t="n">
        <v>2</v>
      </c>
      <c r="U74" s="2" t="inlineStr">
        <is>
          <t>Lunglav
Stuplav</t>
        </is>
      </c>
      <c r="V74">
        <f>HYPERLINK("https://klasma.github.io/Logging_2582/artfynd/A 37086-2025 artfynd.xlsx", "A 37086-2025")</f>
        <v/>
      </c>
      <c r="W74">
        <f>HYPERLINK("https://klasma.github.io/Logging_2582/kartor/A 37086-2025 karta.png", "A 37086-2025")</f>
        <v/>
      </c>
      <c r="Y74">
        <f>HYPERLINK("https://klasma.github.io/Logging_2582/klagomål/A 37086-2025 FSC-klagomål.docx", "A 37086-2025")</f>
        <v/>
      </c>
      <c r="Z74">
        <f>HYPERLINK("https://klasma.github.io/Logging_2582/klagomålsmail/A 37086-2025 FSC-klagomål mail.docx", "A 37086-2025")</f>
        <v/>
      </c>
      <c r="AA74">
        <f>HYPERLINK("https://klasma.github.io/Logging_2582/tillsyn/A 37086-2025 tillsynsbegäran.docx", "A 37086-2025")</f>
        <v/>
      </c>
      <c r="AB74">
        <f>HYPERLINK("https://klasma.github.io/Logging_2582/tillsynsmail/A 37086-2025 tillsynsbegäran mail.docx", "A 37086-2025")</f>
        <v/>
      </c>
    </row>
    <row r="75" ht="15" customHeight="1">
      <c r="A75" t="inlineStr">
        <is>
          <t>A 50100-2025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45943</v>
      </c>
      <c r="E75" s="1" t="n">
        <v>46221</v>
      </c>
      <c r="F75" t="inlineStr">
        <is>
          <t>NORRBOTTENS LÄN</t>
        </is>
      </c>
      <c r="G75" t="inlineStr">
        <is>
          <t>BODEN</t>
        </is>
      </c>
      <c r="I75" t="n">
        <v>6.5</v>
      </c>
      <c r="J75" t="n">
        <v>1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2</v>
      </c>
      <c r="T75" t="n">
        <v>3</v>
      </c>
      <c r="U75" s="2" t="inlineStr">
        <is>
          <t>Mörk kolflarnlav
Fläcknycklar</t>
        </is>
      </c>
      <c r="V75">
        <f>HYPERLINK("https://klasma.github.io/Logging_2582/artfynd/A 50100-2025 artfynd.xlsx", "A 50100-2025")</f>
        <v/>
      </c>
      <c r="W75">
        <f>HYPERLINK("https://klasma.github.io/Logging_2582/kartor/A 50100-2025 karta.png", "A 50100-2025")</f>
        <v/>
      </c>
      <c r="Y75">
        <f>HYPERLINK("https://klasma.github.io/Logging_2582/klagomål/A 50100-2025 FSC-klagomål.docx", "A 50100-2025")</f>
        <v/>
      </c>
      <c r="Z75">
        <f>HYPERLINK("https://klasma.github.io/Logging_2582/klagomålsmail/A 50100-2025 FSC-klagomål mail.docx", "A 50100-2025")</f>
        <v/>
      </c>
      <c r="AA75">
        <f>HYPERLINK("https://klasma.github.io/Logging_2582/tillsyn/A 50100-2025 tillsynsbegäran.docx", "A 50100-2025")</f>
        <v/>
      </c>
      <c r="AB75">
        <f>HYPERLINK("https://klasma.github.io/Logging_2582/tillsynsmail/A 50100-2025 tillsynsbegäran mail.docx", "A 50100-2025")</f>
        <v/>
      </c>
    </row>
    <row r="76" ht="15" customHeight="1">
      <c r="A76" t="inlineStr">
        <is>
          <t>A 34164-2023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45137</v>
      </c>
      <c r="E76" s="1" t="n">
        <v>46221</v>
      </c>
      <c r="F76" t="inlineStr">
        <is>
          <t>NORRBOTTENS LÄN</t>
        </is>
      </c>
      <c r="G76" t="inlineStr">
        <is>
          <t>BODEN</t>
        </is>
      </c>
      <c r="H76" t="inlineStr">
        <is>
          <t>SCA</t>
        </is>
      </c>
      <c r="I76" t="n">
        <v>2.2</v>
      </c>
      <c r="J76" t="n">
        <v>1</v>
      </c>
      <c r="K76" t="n">
        <v>0</v>
      </c>
      <c r="L76" t="n">
        <v>1</v>
      </c>
      <c r="M76" t="n">
        <v>1</v>
      </c>
      <c r="N76" t="n">
        <v>0</v>
      </c>
      <c r="O76" t="n">
        <v>0</v>
      </c>
      <c r="P76" t="n">
        <v>0</v>
      </c>
      <c r="Q76" t="n">
        <v>2</v>
      </c>
      <c r="R76" t="n">
        <v>1</v>
      </c>
      <c r="S76" t="n">
        <v>2</v>
      </c>
      <c r="T76" t="n">
        <v>3</v>
      </c>
      <c r="U76" s="2" t="inlineStr">
        <is>
          <t>Garnlav
Tretåig hackspett</t>
        </is>
      </c>
      <c r="V76">
        <f>HYPERLINK("https://klasma.github.io/Logging_2582/artfynd/A 34164-2023 artfynd.xlsx", "A 34164-2023")</f>
        <v/>
      </c>
      <c r="W76">
        <f>HYPERLINK("https://klasma.github.io/Logging_2582/kartor/A 34164-2023 karta.png", "A 34164-2023")</f>
        <v/>
      </c>
      <c r="Y76">
        <f>HYPERLINK("https://klasma.github.io/Logging_2582/klagomål/A 34164-2023 FSC-klagomål.docx", "A 34164-2023")</f>
        <v/>
      </c>
      <c r="Z76">
        <f>HYPERLINK("https://klasma.github.io/Logging_2582/klagomålsmail/A 34164-2023 FSC-klagomål mail.docx", "A 34164-2023")</f>
        <v/>
      </c>
      <c r="AA76">
        <f>HYPERLINK("https://klasma.github.io/Logging_2582/tillsyn/A 34164-2023 tillsynsbegäran.docx", "A 34164-2023")</f>
        <v/>
      </c>
      <c r="AB76">
        <f>HYPERLINK("https://klasma.github.io/Logging_2582/tillsynsmail/A 34164-2023 tillsynsbegäran mail.docx", "A 34164-2023")</f>
        <v/>
      </c>
      <c r="AC76">
        <f>HYPERLINK("https://klasma.github.io/Logging_2582/fåglar/A 34164-2023 prioriterade fågelarter.docx", "A 34164-2023")</f>
        <v/>
      </c>
    </row>
    <row r="77" ht="15" customHeight="1">
      <c r="A77" t="inlineStr">
        <is>
          <t>A 51957-2025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45952</v>
      </c>
      <c r="E77" s="1" t="n">
        <v>46221</v>
      </c>
      <c r="F77" t="inlineStr">
        <is>
          <t>NORRBOTTENS LÄN</t>
        </is>
      </c>
      <c r="G77" t="inlineStr">
        <is>
          <t>BODEN</t>
        </is>
      </c>
      <c r="H77" t="inlineStr">
        <is>
          <t>Sveaskog</t>
        </is>
      </c>
      <c r="I77" t="n">
        <v>8</v>
      </c>
      <c r="J77" t="n">
        <v>0</v>
      </c>
      <c r="K77" t="n">
        <v>0</v>
      </c>
      <c r="L77" t="n">
        <v>1</v>
      </c>
      <c r="M77" t="n">
        <v>1</v>
      </c>
      <c r="N77" t="n">
        <v>0</v>
      </c>
      <c r="O77" t="n">
        <v>0</v>
      </c>
      <c r="P77" t="n">
        <v>0</v>
      </c>
      <c r="Q77" t="n">
        <v>2</v>
      </c>
      <c r="R77" t="n">
        <v>1</v>
      </c>
      <c r="S77" t="n">
        <v>2</v>
      </c>
      <c r="T77" t="n">
        <v>6</v>
      </c>
      <c r="U77" s="2" t="inlineStr">
        <is>
          <t>Garnlav
Harticka</t>
        </is>
      </c>
      <c r="V77">
        <f>HYPERLINK("https://klasma.github.io/Logging_2582/artfynd/A 51957-2025 artfynd.xlsx", "A 51957-2025")</f>
        <v/>
      </c>
      <c r="W77">
        <f>HYPERLINK("https://klasma.github.io/Logging_2582/kartor/A 51957-2025 karta.png", "A 51957-2025")</f>
        <v/>
      </c>
      <c r="Y77">
        <f>HYPERLINK("https://klasma.github.io/Logging_2582/klagomål/A 51957-2025 FSC-klagomål.docx", "A 51957-2025")</f>
        <v/>
      </c>
      <c r="Z77">
        <f>HYPERLINK("https://klasma.github.io/Logging_2582/klagomålsmail/A 51957-2025 FSC-klagomål mail.docx", "A 51957-2025")</f>
        <v/>
      </c>
      <c r="AA77">
        <f>HYPERLINK("https://klasma.github.io/Logging_2582/tillsyn/A 51957-2025 tillsynsbegäran.docx", "A 51957-2025")</f>
        <v/>
      </c>
      <c r="AB77">
        <f>HYPERLINK("https://klasma.github.io/Logging_2582/tillsynsmail/A 51957-2025 tillsynsbegäran mail.docx", "A 51957-2025")</f>
        <v/>
      </c>
    </row>
    <row r="78" ht="15" customHeight="1">
      <c r="A78" t="inlineStr">
        <is>
          <t>A 9306-2025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45714</v>
      </c>
      <c r="E78" s="1" t="n">
        <v>46221</v>
      </c>
      <c r="F78" t="inlineStr">
        <is>
          <t>NORRBOTTENS LÄN</t>
        </is>
      </c>
      <c r="G78" t="inlineStr">
        <is>
          <t>BODEN</t>
        </is>
      </c>
      <c r="H78" t="inlineStr">
        <is>
          <t>SCA</t>
        </is>
      </c>
      <c r="I78" t="n">
        <v>11.7</v>
      </c>
      <c r="J78" t="n">
        <v>0</v>
      </c>
      <c r="K78" t="n">
        <v>0</v>
      </c>
      <c r="L78" t="n">
        <v>2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t="n">
        <v>0</v>
      </c>
      <c r="S78" t="n">
        <v>2</v>
      </c>
      <c r="T78" t="n">
        <v>2</v>
      </c>
      <c r="U78" s="2" t="inlineStr">
        <is>
          <t>Lunglav
Rynkskinn</t>
        </is>
      </c>
      <c r="V78">
        <f>HYPERLINK("https://klasma.github.io/Logging_2582/artfynd/A 9306-2025 artfynd.xlsx", "A 9306-2025")</f>
        <v/>
      </c>
      <c r="W78">
        <f>HYPERLINK("https://klasma.github.io/Logging_2582/kartor/A 9306-2025 karta.png", "A 9306-2025")</f>
        <v/>
      </c>
      <c r="Y78">
        <f>HYPERLINK("https://klasma.github.io/Logging_2582/klagomål/A 9306-2025 FSC-klagomål.docx", "A 9306-2025")</f>
        <v/>
      </c>
      <c r="Z78">
        <f>HYPERLINK("https://klasma.github.io/Logging_2582/klagomålsmail/A 9306-2025 FSC-klagomål mail.docx", "A 9306-2025")</f>
        <v/>
      </c>
      <c r="AA78">
        <f>HYPERLINK("https://klasma.github.io/Logging_2582/tillsyn/A 9306-2025 tillsynsbegäran.docx", "A 9306-2025")</f>
        <v/>
      </c>
      <c r="AB78">
        <f>HYPERLINK("https://klasma.github.io/Logging_2582/tillsynsmail/A 9306-2025 tillsynsbegäran mail.docx", "A 9306-2025")</f>
        <v/>
      </c>
    </row>
    <row r="79" ht="15" customHeight="1">
      <c r="A79" t="inlineStr">
        <is>
          <t>A 59435-2024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45638</v>
      </c>
      <c r="E79" s="1" t="n">
        <v>46221</v>
      </c>
      <c r="F79" t="inlineStr">
        <is>
          <t>NORRBOTTENS LÄN</t>
        </is>
      </c>
      <c r="G79" t="inlineStr">
        <is>
          <t>BODEN</t>
        </is>
      </c>
      <c r="I79" t="n">
        <v>2.1</v>
      </c>
      <c r="J79" t="n">
        <v>1</v>
      </c>
      <c r="K79" t="n">
        <v>2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2</v>
      </c>
      <c r="T79" t="n">
        <v>3</v>
      </c>
      <c r="U79" s="2" t="inlineStr">
        <is>
          <t>Lappranunkel
Ögonpyrola</t>
        </is>
      </c>
      <c r="V79">
        <f>HYPERLINK("https://klasma.github.io/Logging_2582/artfynd/A 59435-2024 artfynd.xlsx", "A 59435-2024")</f>
        <v/>
      </c>
      <c r="W79">
        <f>HYPERLINK("https://klasma.github.io/Logging_2582/kartor/A 59435-2024 karta.png", "A 59435-2024")</f>
        <v/>
      </c>
      <c r="Y79">
        <f>HYPERLINK("https://klasma.github.io/Logging_2582/klagomål/A 59435-2024 FSC-klagomål.docx", "A 59435-2024")</f>
        <v/>
      </c>
      <c r="Z79">
        <f>HYPERLINK("https://klasma.github.io/Logging_2582/klagomålsmail/A 59435-2024 FSC-klagomål mail.docx", "A 59435-2024")</f>
        <v/>
      </c>
      <c r="AA79">
        <f>HYPERLINK("https://klasma.github.io/Logging_2582/tillsyn/A 59435-2024 tillsynsbegäran.docx", "A 59435-2024")</f>
        <v/>
      </c>
      <c r="AB79">
        <f>HYPERLINK("https://klasma.github.io/Logging_2582/tillsynsmail/A 59435-2024 tillsynsbegäran mail.docx", "A 59435-2024")</f>
        <v/>
      </c>
    </row>
    <row r="80" ht="15" customHeight="1">
      <c r="A80" t="inlineStr">
        <is>
          <t>A 8703-2026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46066</v>
      </c>
      <c r="E80" s="1" t="n">
        <v>46221</v>
      </c>
      <c r="F80" t="inlineStr">
        <is>
          <t>NORRBOTTENS LÄN</t>
        </is>
      </c>
      <c r="G80" t="inlineStr">
        <is>
          <t>BODEN</t>
        </is>
      </c>
      <c r="I80" t="n">
        <v>1</v>
      </c>
      <c r="J80" t="n">
        <v>0</v>
      </c>
      <c r="K80" t="n">
        <v>1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2</v>
      </c>
      <c r="T80" t="n">
        <v>2</v>
      </c>
      <c r="U80" s="2" t="inlineStr">
        <is>
          <t>Ullticka
Skinnlav</t>
        </is>
      </c>
      <c r="V80">
        <f>HYPERLINK("https://klasma.github.io/Logging_2582/artfynd/A 8703-2026 artfynd.xlsx", "A 8703-2026")</f>
        <v/>
      </c>
      <c r="W80">
        <f>HYPERLINK("https://klasma.github.io/Logging_2582/kartor/A 8703-2026 karta.png", "A 8703-2026")</f>
        <v/>
      </c>
      <c r="Y80">
        <f>HYPERLINK("https://klasma.github.io/Logging_2582/klagomål/A 8703-2026 FSC-klagomål.docx", "A 8703-2026")</f>
        <v/>
      </c>
      <c r="Z80">
        <f>HYPERLINK("https://klasma.github.io/Logging_2582/klagomålsmail/A 8703-2026 FSC-klagomål mail.docx", "A 8703-2026")</f>
        <v/>
      </c>
      <c r="AA80">
        <f>HYPERLINK("https://klasma.github.io/Logging_2582/tillsyn/A 8703-2026 tillsynsbegäran.docx", "A 8703-2026")</f>
        <v/>
      </c>
      <c r="AB80">
        <f>HYPERLINK("https://klasma.github.io/Logging_2582/tillsynsmail/A 8703-2026 tillsynsbegäran mail.docx", "A 8703-2026")</f>
        <v/>
      </c>
    </row>
    <row r="81" ht="15" customHeight="1">
      <c r="A81" t="inlineStr">
        <is>
          <t>A 8754-2026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46066</v>
      </c>
      <c r="E81" s="1" t="n">
        <v>46221</v>
      </c>
      <c r="F81" t="inlineStr">
        <is>
          <t>NORRBOTTENS LÄN</t>
        </is>
      </c>
      <c r="G81" t="inlineStr">
        <is>
          <t>BODEN</t>
        </is>
      </c>
      <c r="I81" t="n">
        <v>2.1</v>
      </c>
      <c r="J81" t="n">
        <v>0</v>
      </c>
      <c r="K81" t="n">
        <v>0</v>
      </c>
      <c r="L81" t="n">
        <v>1</v>
      </c>
      <c r="M81" t="n">
        <v>1</v>
      </c>
      <c r="N81" t="n">
        <v>0</v>
      </c>
      <c r="O81" t="n">
        <v>0</v>
      </c>
      <c r="P81" t="n">
        <v>0</v>
      </c>
      <c r="Q81" t="n">
        <v>2</v>
      </c>
      <c r="R81" t="n">
        <v>1</v>
      </c>
      <c r="S81" t="n">
        <v>2</v>
      </c>
      <c r="T81" t="n">
        <v>2</v>
      </c>
      <c r="U81" s="2" t="inlineStr">
        <is>
          <t>Garnlav
Ullticka</t>
        </is>
      </c>
      <c r="V81">
        <f>HYPERLINK("https://klasma.github.io/Logging_2582/artfynd/A 8754-2026 artfynd.xlsx", "A 8754-2026")</f>
        <v/>
      </c>
      <c r="W81">
        <f>HYPERLINK("https://klasma.github.io/Logging_2582/kartor/A 8754-2026 karta.png", "A 8754-2026")</f>
        <v/>
      </c>
      <c r="Y81">
        <f>HYPERLINK("https://klasma.github.io/Logging_2582/klagomål/A 8754-2026 FSC-klagomål.docx", "A 8754-2026")</f>
        <v/>
      </c>
      <c r="Z81">
        <f>HYPERLINK("https://klasma.github.io/Logging_2582/klagomålsmail/A 8754-2026 FSC-klagomål mail.docx", "A 8754-2026")</f>
        <v/>
      </c>
      <c r="AA81">
        <f>HYPERLINK("https://klasma.github.io/Logging_2582/tillsyn/A 8754-2026 tillsynsbegäran.docx", "A 8754-2026")</f>
        <v/>
      </c>
      <c r="AB81">
        <f>HYPERLINK("https://klasma.github.io/Logging_2582/tillsynsmail/A 8754-2026 tillsynsbegäran mail.docx", "A 8754-2026")</f>
        <v/>
      </c>
    </row>
    <row r="82" ht="15" customHeight="1">
      <c r="A82" t="inlineStr">
        <is>
          <t>A 17292-2022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44678</v>
      </c>
      <c r="E82" s="1" t="n">
        <v>46221</v>
      </c>
      <c r="F82" t="inlineStr">
        <is>
          <t>NORRBOTTENS LÄN</t>
        </is>
      </c>
      <c r="G82" t="inlineStr">
        <is>
          <t>BODEN</t>
        </is>
      </c>
      <c r="H82" t="inlineStr">
        <is>
          <t>Kyrkan</t>
        </is>
      </c>
      <c r="I82" t="n">
        <v>0.8</v>
      </c>
      <c r="J82" t="n">
        <v>1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2</v>
      </c>
      <c r="T82" t="n">
        <v>3</v>
      </c>
      <c r="U82" s="2" t="inlineStr">
        <is>
          <t>Garnlav
Revlummer</t>
        </is>
      </c>
      <c r="V82">
        <f>HYPERLINK("https://klasma.github.io/Logging_2582/artfynd/A 17292-2022 artfynd.xlsx", "A 17292-2022")</f>
        <v/>
      </c>
      <c r="W82">
        <f>HYPERLINK("https://klasma.github.io/Logging_2582/kartor/A 17292-2022 karta.png", "A 17292-2022")</f>
        <v/>
      </c>
      <c r="Y82">
        <f>HYPERLINK("https://klasma.github.io/Logging_2582/klagomål/A 17292-2022 FSC-klagomål.docx", "A 17292-2022")</f>
        <v/>
      </c>
      <c r="Z82">
        <f>HYPERLINK("https://klasma.github.io/Logging_2582/klagomålsmail/A 17292-2022 FSC-klagomål mail.docx", "A 17292-2022")</f>
        <v/>
      </c>
      <c r="AA82">
        <f>HYPERLINK("https://klasma.github.io/Logging_2582/tillsyn/A 17292-2022 tillsynsbegäran.docx", "A 17292-2022")</f>
        <v/>
      </c>
      <c r="AB82">
        <f>HYPERLINK("https://klasma.github.io/Logging_2582/tillsynsmail/A 17292-2022 tillsynsbegäran mail.docx", "A 17292-2022")</f>
        <v/>
      </c>
    </row>
    <row r="83" ht="15" customHeight="1">
      <c r="A83" t="inlineStr">
        <is>
          <t>A 61210-2024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45645</v>
      </c>
      <c r="E83" s="1" t="n">
        <v>46221</v>
      </c>
      <c r="F83" t="inlineStr">
        <is>
          <t>NORRBOTTENS LÄN</t>
        </is>
      </c>
      <c r="G83" t="inlineStr">
        <is>
          <t>BODEN</t>
        </is>
      </c>
      <c r="H83" t="inlineStr">
        <is>
          <t>Sveaskog</t>
        </is>
      </c>
      <c r="I83" t="n">
        <v>2.4</v>
      </c>
      <c r="J83" t="n">
        <v>0</v>
      </c>
      <c r="K83" t="n">
        <v>0</v>
      </c>
      <c r="L83" t="n">
        <v>1</v>
      </c>
      <c r="M83" t="n">
        <v>1</v>
      </c>
      <c r="N83" t="n">
        <v>0</v>
      </c>
      <c r="O83" t="n">
        <v>0</v>
      </c>
      <c r="P83" t="n">
        <v>0</v>
      </c>
      <c r="Q83" t="n">
        <v>2</v>
      </c>
      <c r="R83" t="n">
        <v>1</v>
      </c>
      <c r="S83" t="n">
        <v>2</v>
      </c>
      <c r="T83" t="n">
        <v>4</v>
      </c>
      <c r="U83" s="2" t="inlineStr">
        <is>
          <t>Skrovlig taggsvamp
Blå taggsvamp</t>
        </is>
      </c>
      <c r="V83">
        <f>HYPERLINK("https://klasma.github.io/Logging_2582/artfynd/A 61210-2024 artfynd.xlsx", "A 61210-2024")</f>
        <v/>
      </c>
      <c r="W83">
        <f>HYPERLINK("https://klasma.github.io/Logging_2582/kartor/A 61210-2024 karta.png", "A 61210-2024")</f>
        <v/>
      </c>
      <c r="Y83">
        <f>HYPERLINK("https://klasma.github.io/Logging_2582/klagomål/A 61210-2024 FSC-klagomål.docx", "A 61210-2024")</f>
        <v/>
      </c>
      <c r="Z83">
        <f>HYPERLINK("https://klasma.github.io/Logging_2582/klagomålsmail/A 61210-2024 FSC-klagomål mail.docx", "A 61210-2024")</f>
        <v/>
      </c>
      <c r="AA83">
        <f>HYPERLINK("https://klasma.github.io/Logging_2582/tillsyn/A 61210-2024 tillsynsbegäran.docx", "A 61210-2024")</f>
        <v/>
      </c>
      <c r="AB83">
        <f>HYPERLINK("https://klasma.github.io/Logging_2582/tillsynsmail/A 61210-2024 tillsynsbegäran mail.docx", "A 61210-2024")</f>
        <v/>
      </c>
    </row>
    <row r="84" ht="15" customHeight="1">
      <c r="A84" t="inlineStr">
        <is>
          <t>A 1507-2022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44573</v>
      </c>
      <c r="E84" s="1" t="n">
        <v>46221</v>
      </c>
      <c r="F84" t="inlineStr">
        <is>
          <t>NORRBOTTENS LÄN</t>
        </is>
      </c>
      <c r="G84" t="inlineStr">
        <is>
          <t>BODEN</t>
        </is>
      </c>
      <c r="H84" t="inlineStr">
        <is>
          <t>Övriga statliga verk och myndigheter</t>
        </is>
      </c>
      <c r="I84" t="n">
        <v>15.4</v>
      </c>
      <c r="J84" t="n">
        <v>2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2</v>
      </c>
      <c r="T84" t="n">
        <v>2</v>
      </c>
      <c r="U84" s="2" t="inlineStr">
        <is>
          <t>Talltita
Gråspett</t>
        </is>
      </c>
      <c r="V84">
        <f>HYPERLINK("https://klasma.github.io/Logging_2582/artfynd/A 1507-2022 artfynd.xlsx", "A 1507-2022")</f>
        <v/>
      </c>
      <c r="W84">
        <f>HYPERLINK("https://klasma.github.io/Logging_2582/kartor/A 1507-2022 karta.png", "A 1507-2022")</f>
        <v/>
      </c>
      <c r="Y84">
        <f>HYPERLINK("https://klasma.github.io/Logging_2582/klagomål/A 1507-2022 FSC-klagomål.docx", "A 1507-2022")</f>
        <v/>
      </c>
      <c r="Z84">
        <f>HYPERLINK("https://klasma.github.io/Logging_2582/klagomålsmail/A 1507-2022 FSC-klagomål mail.docx", "A 1507-2022")</f>
        <v/>
      </c>
      <c r="AA84">
        <f>HYPERLINK("https://klasma.github.io/Logging_2582/tillsyn/A 1507-2022 tillsynsbegäran.docx", "A 1507-2022")</f>
        <v/>
      </c>
      <c r="AB84">
        <f>HYPERLINK("https://klasma.github.io/Logging_2582/tillsynsmail/A 1507-2022 tillsynsbegäran mail.docx", "A 1507-2022")</f>
        <v/>
      </c>
      <c r="AC84">
        <f>HYPERLINK("https://klasma.github.io/Logging_2582/fåglar/A 1507-2022 prioriterade fågelarter.docx", "A 1507-2022")</f>
        <v/>
      </c>
    </row>
    <row r="85" ht="15" customHeight="1">
      <c r="A85" t="inlineStr">
        <is>
          <t>A 32971-2024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45517</v>
      </c>
      <c r="E85" s="1" t="n">
        <v>46221</v>
      </c>
      <c r="F85" t="inlineStr">
        <is>
          <t>NORRBOTTENS LÄN</t>
        </is>
      </c>
      <c r="G85" t="inlineStr">
        <is>
          <t>BODEN</t>
        </is>
      </c>
      <c r="H85" t="inlineStr">
        <is>
          <t>Sveaskog</t>
        </is>
      </c>
      <c r="I85" t="n">
        <v>10</v>
      </c>
      <c r="J85" t="n">
        <v>1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2</v>
      </c>
      <c r="T85" t="n">
        <v>5</v>
      </c>
      <c r="U85" s="2" t="inlineStr">
        <is>
          <t>Lunglav
Fläcknycklar</t>
        </is>
      </c>
      <c r="V85">
        <f>HYPERLINK("https://klasma.github.io/Logging_2582/artfynd/A 32971-2024 artfynd.xlsx", "A 32971-2024")</f>
        <v/>
      </c>
      <c r="W85">
        <f>HYPERLINK("https://klasma.github.io/Logging_2582/kartor/A 32971-2024 karta.png", "A 32971-2024")</f>
        <v/>
      </c>
      <c r="Y85">
        <f>HYPERLINK("https://klasma.github.io/Logging_2582/klagomål/A 32971-2024 FSC-klagomål.docx", "A 32971-2024")</f>
        <v/>
      </c>
      <c r="Z85">
        <f>HYPERLINK("https://klasma.github.io/Logging_2582/klagomålsmail/A 32971-2024 FSC-klagomål mail.docx", "A 32971-2024")</f>
        <v/>
      </c>
      <c r="AA85">
        <f>HYPERLINK("https://klasma.github.io/Logging_2582/tillsyn/A 32971-2024 tillsynsbegäran.docx", "A 32971-2024")</f>
        <v/>
      </c>
      <c r="AB85">
        <f>HYPERLINK("https://klasma.github.io/Logging_2582/tillsynsmail/A 32971-2024 tillsynsbegäran mail.docx", "A 32971-2024")</f>
        <v/>
      </c>
    </row>
    <row r="86" ht="15" customHeight="1">
      <c r="A86" t="inlineStr">
        <is>
          <t>A 54167-2025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45964</v>
      </c>
      <c r="E86" s="1" t="n">
        <v>46221</v>
      </c>
      <c r="F86" t="inlineStr">
        <is>
          <t>NORRBOTTENS LÄN</t>
        </is>
      </c>
      <c r="G86" t="inlineStr">
        <is>
          <t>BODEN</t>
        </is>
      </c>
      <c r="I86" t="n">
        <v>1.1</v>
      </c>
      <c r="J86" t="n">
        <v>0</v>
      </c>
      <c r="K86" t="n">
        <v>0</v>
      </c>
      <c r="L86" t="n">
        <v>2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t="n">
        <v>0</v>
      </c>
      <c r="S86" t="n">
        <v>2</v>
      </c>
      <c r="T86" t="n">
        <v>2</v>
      </c>
      <c r="U86" s="2" t="inlineStr">
        <is>
          <t>Lunglav
Stiftgelélav</t>
        </is>
      </c>
      <c r="V86">
        <f>HYPERLINK("https://klasma.github.io/Logging_2582/artfynd/A 54167-2025 artfynd.xlsx", "A 54167-2025")</f>
        <v/>
      </c>
      <c r="W86">
        <f>HYPERLINK("https://klasma.github.io/Logging_2582/kartor/A 54167-2025 karta.png", "A 54167-2025")</f>
        <v/>
      </c>
      <c r="Y86">
        <f>HYPERLINK("https://klasma.github.io/Logging_2582/klagomål/A 54167-2025 FSC-klagomål.docx", "A 54167-2025")</f>
        <v/>
      </c>
      <c r="Z86">
        <f>HYPERLINK("https://klasma.github.io/Logging_2582/klagomålsmail/A 54167-2025 FSC-klagomål mail.docx", "A 54167-2025")</f>
        <v/>
      </c>
      <c r="AA86">
        <f>HYPERLINK("https://klasma.github.io/Logging_2582/tillsyn/A 54167-2025 tillsynsbegäran.docx", "A 54167-2025")</f>
        <v/>
      </c>
      <c r="AB86">
        <f>HYPERLINK("https://klasma.github.io/Logging_2582/tillsynsmail/A 54167-2025 tillsynsbegäran mail.docx", "A 54167-2025")</f>
        <v/>
      </c>
    </row>
    <row r="87" ht="15" customHeight="1">
      <c r="A87" t="inlineStr">
        <is>
          <t>A 48899-2024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45594</v>
      </c>
      <c r="E87" s="1" t="n">
        <v>46221</v>
      </c>
      <c r="F87" t="inlineStr">
        <is>
          <t>NORRBOTTENS LÄN</t>
        </is>
      </c>
      <c r="G87" t="inlineStr">
        <is>
          <t>BODEN</t>
        </is>
      </c>
      <c r="H87" t="inlineStr">
        <is>
          <t>SCA</t>
        </is>
      </c>
      <c r="I87" t="n">
        <v>18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2</v>
      </c>
      <c r="T87" t="n">
        <v>2</v>
      </c>
      <c r="U87" s="2" t="inlineStr">
        <is>
          <t>Hässlebrodd
Fläcknycklar</t>
        </is>
      </c>
      <c r="V87">
        <f>HYPERLINK("https://klasma.github.io/Logging_2582/artfynd/A 48899-2024 artfynd.xlsx", "A 48899-2024")</f>
        <v/>
      </c>
      <c r="W87">
        <f>HYPERLINK("https://klasma.github.io/Logging_2582/kartor/A 48899-2024 karta.png", "A 48899-2024")</f>
        <v/>
      </c>
      <c r="Y87">
        <f>HYPERLINK("https://klasma.github.io/Logging_2582/klagomål/A 48899-2024 FSC-klagomål.docx", "A 48899-2024")</f>
        <v/>
      </c>
      <c r="Z87">
        <f>HYPERLINK("https://klasma.github.io/Logging_2582/klagomålsmail/A 48899-2024 FSC-klagomål mail.docx", "A 48899-2024")</f>
        <v/>
      </c>
      <c r="AA87">
        <f>HYPERLINK("https://klasma.github.io/Logging_2582/tillsyn/A 48899-2024 tillsynsbegäran.docx", "A 48899-2024")</f>
        <v/>
      </c>
      <c r="AB87">
        <f>HYPERLINK("https://klasma.github.io/Logging_2582/tillsynsmail/A 48899-2024 tillsynsbegäran mail.docx", "A 48899-2024")</f>
        <v/>
      </c>
    </row>
    <row r="88" ht="15" customHeight="1">
      <c r="A88" t="inlineStr">
        <is>
          <t>A 60774-2025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45999</v>
      </c>
      <c r="E88" s="1" t="n">
        <v>46221</v>
      </c>
      <c r="F88" t="inlineStr">
        <is>
          <t>NORRBOTTENS LÄN</t>
        </is>
      </c>
      <c r="G88" t="inlineStr">
        <is>
          <t>BODEN</t>
        </is>
      </c>
      <c r="I88" t="n">
        <v>1</v>
      </c>
      <c r="J88" t="n">
        <v>0</v>
      </c>
      <c r="K88" t="n">
        <v>1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2</v>
      </c>
      <c r="T88" t="n">
        <v>2</v>
      </c>
      <c r="U88" s="2" t="inlineStr">
        <is>
          <t>Ullticka
Skinnlav</t>
        </is>
      </c>
      <c r="V88">
        <f>HYPERLINK("https://klasma.github.io/Logging_2582/artfynd/A 60774-2025 artfynd.xlsx", "A 60774-2025")</f>
        <v/>
      </c>
      <c r="W88">
        <f>HYPERLINK("https://klasma.github.io/Logging_2582/kartor/A 60774-2025 karta.png", "A 60774-2025")</f>
        <v/>
      </c>
      <c r="Y88">
        <f>HYPERLINK("https://klasma.github.io/Logging_2582/klagomål/A 60774-2025 FSC-klagomål.docx", "A 60774-2025")</f>
        <v/>
      </c>
      <c r="Z88">
        <f>HYPERLINK("https://klasma.github.io/Logging_2582/klagomålsmail/A 60774-2025 FSC-klagomål mail.docx", "A 60774-2025")</f>
        <v/>
      </c>
      <c r="AA88">
        <f>HYPERLINK("https://klasma.github.io/Logging_2582/tillsyn/A 60774-2025 tillsynsbegäran.docx", "A 60774-2025")</f>
        <v/>
      </c>
      <c r="AB88">
        <f>HYPERLINK("https://klasma.github.io/Logging_2582/tillsynsmail/A 60774-2025 tillsynsbegäran mail.docx", "A 60774-2025")</f>
        <v/>
      </c>
    </row>
    <row r="89" ht="15" customHeight="1">
      <c r="A89" t="inlineStr">
        <is>
          <t>A 31758-2025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45834</v>
      </c>
      <c r="E89" s="1" t="n">
        <v>46221</v>
      </c>
      <c r="F89" t="inlineStr">
        <is>
          <t>NORRBOTTENS LÄN</t>
        </is>
      </c>
      <c r="G89" t="inlineStr">
        <is>
          <t>BODEN</t>
        </is>
      </c>
      <c r="I89" t="n">
        <v>19.9</v>
      </c>
      <c r="J89" t="n">
        <v>1</v>
      </c>
      <c r="K89" t="n">
        <v>0</v>
      </c>
      <c r="L89" t="n">
        <v>1</v>
      </c>
      <c r="M89" t="n">
        <v>1</v>
      </c>
      <c r="N89" t="n">
        <v>0</v>
      </c>
      <c r="O89" t="n">
        <v>0</v>
      </c>
      <c r="P89" t="n">
        <v>0</v>
      </c>
      <c r="Q89" t="n">
        <v>2</v>
      </c>
      <c r="R89" t="n">
        <v>1</v>
      </c>
      <c r="S89" t="n">
        <v>2</v>
      </c>
      <c r="T89" t="n">
        <v>3</v>
      </c>
      <c r="U89" s="2" t="inlineStr">
        <is>
          <t>Garnlav
Tretåig hackspett</t>
        </is>
      </c>
      <c r="V89">
        <f>HYPERLINK("https://klasma.github.io/Logging_2582/artfynd/A 31758-2025 artfynd.xlsx", "A 31758-2025")</f>
        <v/>
      </c>
      <c r="W89">
        <f>HYPERLINK("https://klasma.github.io/Logging_2582/kartor/A 31758-2025 karta.png", "A 31758-2025")</f>
        <v/>
      </c>
      <c r="Y89">
        <f>HYPERLINK("https://klasma.github.io/Logging_2582/klagomål/A 31758-2025 FSC-klagomål.docx", "A 31758-2025")</f>
        <v/>
      </c>
      <c r="Z89">
        <f>HYPERLINK("https://klasma.github.io/Logging_2582/klagomålsmail/A 31758-2025 FSC-klagomål mail.docx", "A 31758-2025")</f>
        <v/>
      </c>
      <c r="AA89">
        <f>HYPERLINK("https://klasma.github.io/Logging_2582/tillsyn/A 31758-2025 tillsynsbegäran.docx", "A 31758-2025")</f>
        <v/>
      </c>
      <c r="AB89">
        <f>HYPERLINK("https://klasma.github.io/Logging_2582/tillsynsmail/A 31758-2025 tillsynsbegäran mail.docx", "A 31758-2025")</f>
        <v/>
      </c>
      <c r="AC89">
        <f>HYPERLINK("https://klasma.github.io/Logging_2582/fåglar/A 31758-2025 prioriterade fågelarter.docx", "A 31758-2025")</f>
        <v/>
      </c>
    </row>
    <row r="90" ht="15" customHeight="1">
      <c r="A90" t="inlineStr">
        <is>
          <t>A 26721-2026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46184</v>
      </c>
      <c r="E90" s="1" t="n">
        <v>46221</v>
      </c>
      <c r="F90" t="inlineStr">
        <is>
          <t>NORRBOTTENS LÄN</t>
        </is>
      </c>
      <c r="G90" t="inlineStr">
        <is>
          <t>BODEN</t>
        </is>
      </c>
      <c r="H90" t="inlineStr">
        <is>
          <t>Sveaskog</t>
        </is>
      </c>
      <c r="I90" t="n">
        <v>7.8</v>
      </c>
      <c r="J90" t="n">
        <v>1</v>
      </c>
      <c r="K90" t="n">
        <v>2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2</v>
      </c>
      <c r="T90" t="n">
        <v>2</v>
      </c>
      <c r="U90" s="2" t="inlineStr">
        <is>
          <t>Plattlummer
Tibast</t>
        </is>
      </c>
      <c r="V90">
        <f>HYPERLINK("https://klasma.github.io/Logging_2582/artfynd/A 26721-2026 artfynd.xlsx", "A 26721-2026")</f>
        <v/>
      </c>
      <c r="W90">
        <f>HYPERLINK("https://klasma.github.io/Logging_2582/kartor/A 26721-2026 karta.png", "A 26721-2026")</f>
        <v/>
      </c>
      <c r="Y90">
        <f>HYPERLINK("https://klasma.github.io/Logging_2582/klagomål/A 26721-2026 FSC-klagomål.docx", "A 26721-2026")</f>
        <v/>
      </c>
      <c r="Z90">
        <f>HYPERLINK("https://klasma.github.io/Logging_2582/klagomålsmail/A 26721-2026 FSC-klagomål mail.docx", "A 26721-2026")</f>
        <v/>
      </c>
      <c r="AA90">
        <f>HYPERLINK("https://klasma.github.io/Logging_2582/tillsyn/A 26721-2026 tillsynsbegäran.docx", "A 26721-2026")</f>
        <v/>
      </c>
      <c r="AB90">
        <f>HYPERLINK("https://klasma.github.io/Logging_2582/tillsynsmail/A 26721-2026 tillsynsbegäran mail.docx", "A 26721-2026")</f>
        <v/>
      </c>
    </row>
    <row r="91" ht="15" customHeight="1">
      <c r="A91" t="inlineStr">
        <is>
          <t>A 26773-2026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46184</v>
      </c>
      <c r="E91" s="1" t="n">
        <v>46221</v>
      </c>
      <c r="F91" t="inlineStr">
        <is>
          <t>NORRBOTTENS LÄN</t>
        </is>
      </c>
      <c r="G91" t="inlineStr">
        <is>
          <t>BODEN</t>
        </is>
      </c>
      <c r="H91" t="inlineStr">
        <is>
          <t>Sveaskog</t>
        </is>
      </c>
      <c r="I91" t="n">
        <v>2.9</v>
      </c>
      <c r="J91" t="n">
        <v>1</v>
      </c>
      <c r="K91" t="n">
        <v>0</v>
      </c>
      <c r="L91" t="n">
        <v>1</v>
      </c>
      <c r="M91" t="n">
        <v>1</v>
      </c>
      <c r="N91" t="n">
        <v>0</v>
      </c>
      <c r="O91" t="n">
        <v>0</v>
      </c>
      <c r="P91" t="n">
        <v>0</v>
      </c>
      <c r="Q91" t="n">
        <v>2</v>
      </c>
      <c r="R91" t="n">
        <v>1</v>
      </c>
      <c r="S91" t="n">
        <v>2</v>
      </c>
      <c r="T91" t="n">
        <v>2</v>
      </c>
      <c r="U91" s="2" t="inlineStr">
        <is>
          <t>Knärot
Lunglav</t>
        </is>
      </c>
      <c r="V91">
        <f>HYPERLINK("https://klasma.github.io/Logging_2582/artfynd/A 26773-2026 artfynd.xlsx", "A 26773-2026")</f>
        <v/>
      </c>
      <c r="W91">
        <f>HYPERLINK("https://klasma.github.io/Logging_2582/kartor/A 26773-2026 karta.png", "A 26773-2026")</f>
        <v/>
      </c>
      <c r="X91">
        <f>HYPERLINK("https://klasma.github.io/Logging_2582/knärot/A 26773-2026 karta knärot.png", "A 26773-2026")</f>
        <v/>
      </c>
      <c r="Y91">
        <f>HYPERLINK("https://klasma.github.io/Logging_2582/klagomål/A 26773-2026 FSC-klagomål.docx", "A 26773-2026")</f>
        <v/>
      </c>
      <c r="Z91">
        <f>HYPERLINK("https://klasma.github.io/Logging_2582/klagomålsmail/A 26773-2026 FSC-klagomål mail.docx", "A 26773-2026")</f>
        <v/>
      </c>
      <c r="AA91">
        <f>HYPERLINK("https://klasma.github.io/Logging_2582/tillsyn/A 26773-2026 tillsynsbegäran.docx", "A 26773-2026")</f>
        <v/>
      </c>
      <c r="AB91">
        <f>HYPERLINK("https://klasma.github.io/Logging_2582/tillsynsmail/A 26773-2026 tillsynsbegäran mail.docx", "A 26773-2026")</f>
        <v/>
      </c>
    </row>
    <row r="92" ht="15" customHeight="1">
      <c r="A92" t="inlineStr">
        <is>
          <t>A 21657-2026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46149</v>
      </c>
      <c r="E92" s="1" t="n">
        <v>46221</v>
      </c>
      <c r="F92" t="inlineStr">
        <is>
          <t>NORRBOTTENS LÄN</t>
        </is>
      </c>
      <c r="G92" t="inlineStr">
        <is>
          <t>BODEN</t>
        </is>
      </c>
      <c r="I92" t="n">
        <v>9.800000000000001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2</v>
      </c>
      <c r="T92" t="n">
        <v>2</v>
      </c>
      <c r="U92" s="2" t="inlineStr">
        <is>
          <t>Orre
Utter</t>
        </is>
      </c>
      <c r="V92">
        <f>HYPERLINK("https://klasma.github.io/Logging_2582/artfynd/A 21657-2026 artfynd.xlsx", "A 21657-2026")</f>
        <v/>
      </c>
      <c r="W92">
        <f>HYPERLINK("https://klasma.github.io/Logging_2582/kartor/A 21657-2026 karta.png", "A 21657-2026")</f>
        <v/>
      </c>
      <c r="Y92">
        <f>HYPERLINK("https://klasma.github.io/Logging_2582/klagomål/A 21657-2026 FSC-klagomål.docx", "A 21657-2026")</f>
        <v/>
      </c>
      <c r="Z92">
        <f>HYPERLINK("https://klasma.github.io/Logging_2582/klagomålsmail/A 21657-2026 FSC-klagomål mail.docx", "A 21657-2026")</f>
        <v/>
      </c>
      <c r="AA92">
        <f>HYPERLINK("https://klasma.github.io/Logging_2582/tillsyn/A 21657-2026 tillsynsbegäran.docx", "A 21657-2026")</f>
        <v/>
      </c>
      <c r="AB92">
        <f>HYPERLINK("https://klasma.github.io/Logging_2582/tillsynsmail/A 21657-2026 tillsynsbegäran mail.docx", "A 21657-2026")</f>
        <v/>
      </c>
      <c r="AC92">
        <f>HYPERLINK("https://klasma.github.io/Logging_2582/fåglar/A 21657-2026 prioriterade fågelarter.docx", "A 21657-2026")</f>
        <v/>
      </c>
    </row>
    <row r="93" ht="15" customHeight="1">
      <c r="A93" t="inlineStr">
        <is>
          <t>A 23794-2026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46164</v>
      </c>
      <c r="E93" s="1" t="n">
        <v>46221</v>
      </c>
      <c r="F93" t="inlineStr">
        <is>
          <t>NORRBOTTENS LÄN</t>
        </is>
      </c>
      <c r="G93" t="inlineStr">
        <is>
          <t>BODEN</t>
        </is>
      </c>
      <c r="H93" t="inlineStr">
        <is>
          <t>Sveaskog</t>
        </is>
      </c>
      <c r="I93" t="n">
        <v>3.1</v>
      </c>
      <c r="J93" t="n">
        <v>2</v>
      </c>
      <c r="K93" t="n">
        <v>2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2</v>
      </c>
      <c r="T93" t="n">
        <v>2</v>
      </c>
      <c r="U93" s="2" t="inlineStr">
        <is>
          <t>Plattlummer
Spindelblomster</t>
        </is>
      </c>
      <c r="V93">
        <f>HYPERLINK("https://klasma.github.io/Logging_2582/artfynd/A 23794-2026 artfynd.xlsx", "A 23794-2026")</f>
        <v/>
      </c>
      <c r="W93">
        <f>HYPERLINK("https://klasma.github.io/Logging_2582/kartor/A 23794-2026 karta.png", "A 23794-2026")</f>
        <v/>
      </c>
      <c r="Y93">
        <f>HYPERLINK("https://klasma.github.io/Logging_2582/klagomål/A 23794-2026 FSC-klagomål.docx", "A 23794-2026")</f>
        <v/>
      </c>
      <c r="Z93">
        <f>HYPERLINK("https://klasma.github.io/Logging_2582/klagomålsmail/A 23794-2026 FSC-klagomål mail.docx", "A 23794-2026")</f>
        <v/>
      </c>
      <c r="AA93">
        <f>HYPERLINK("https://klasma.github.io/Logging_2582/tillsyn/A 23794-2026 tillsynsbegäran.docx", "A 23794-2026")</f>
        <v/>
      </c>
      <c r="AB93">
        <f>HYPERLINK("https://klasma.github.io/Logging_2582/tillsynsmail/A 23794-2026 tillsynsbegäran mail.docx", "A 23794-2026")</f>
        <v/>
      </c>
    </row>
    <row r="94" ht="15" customHeight="1">
      <c r="A94" t="inlineStr">
        <is>
          <t>A 29807-2026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46205</v>
      </c>
      <c r="E94" s="1" t="n">
        <v>46221</v>
      </c>
      <c r="F94" t="inlineStr">
        <is>
          <t>NORRBOTTENS LÄN</t>
        </is>
      </c>
      <c r="G94" t="inlineStr">
        <is>
          <t>BODEN</t>
        </is>
      </c>
      <c r="H94" t="inlineStr">
        <is>
          <t>Sveaskog</t>
        </is>
      </c>
      <c r="I94" t="n">
        <v>5</v>
      </c>
      <c r="J94" t="n">
        <v>0</v>
      </c>
      <c r="K94" t="n">
        <v>0</v>
      </c>
      <c r="L94" t="n">
        <v>2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t="n">
        <v>0</v>
      </c>
      <c r="S94" t="n">
        <v>2</v>
      </c>
      <c r="T94" t="n">
        <v>2</v>
      </c>
      <c r="U94" s="2" t="inlineStr">
        <is>
          <t>Lunglav
Mörk kolflarnlav</t>
        </is>
      </c>
      <c r="V94">
        <f>HYPERLINK("https://klasma.github.io/Logging_2582/artfynd/A 29807-2026 artfynd.xlsx", "A 29807-2026")</f>
        <v/>
      </c>
      <c r="W94">
        <f>HYPERLINK("https://klasma.github.io/Logging_2582/kartor/A 29807-2026 karta.png", "A 29807-2026")</f>
        <v/>
      </c>
      <c r="Y94">
        <f>HYPERLINK("https://klasma.github.io/Logging_2582/klagomål/A 29807-2026 FSC-klagomål.docx", "A 29807-2026")</f>
        <v/>
      </c>
      <c r="Z94">
        <f>HYPERLINK("https://klasma.github.io/Logging_2582/klagomålsmail/A 29807-2026 FSC-klagomål mail.docx", "A 29807-2026")</f>
        <v/>
      </c>
      <c r="AA94">
        <f>HYPERLINK("https://klasma.github.io/Logging_2582/tillsyn/A 29807-2026 tillsynsbegäran.docx", "A 29807-2026")</f>
        <v/>
      </c>
      <c r="AB94">
        <f>HYPERLINK("https://klasma.github.io/Logging_2582/tillsynsmail/A 29807-2026 tillsynsbegäran mail.docx", "A 29807-2026")</f>
        <v/>
      </c>
    </row>
    <row r="95" ht="15" customHeight="1">
      <c r="A95" t="inlineStr">
        <is>
          <t>A 29881-2026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46205</v>
      </c>
      <c r="E95" s="1" t="n">
        <v>46221</v>
      </c>
      <c r="F95" t="inlineStr">
        <is>
          <t>NORRBOTTENS LÄN</t>
        </is>
      </c>
      <c r="G95" t="inlineStr">
        <is>
          <t>BODEN</t>
        </is>
      </c>
      <c r="H95" t="inlineStr">
        <is>
          <t>Sveaskog</t>
        </is>
      </c>
      <c r="I95" t="n">
        <v>6.4</v>
      </c>
      <c r="J95" t="n">
        <v>1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2</v>
      </c>
      <c r="T95" t="n">
        <v>2</v>
      </c>
      <c r="U95" s="2" t="inlineStr">
        <is>
          <t>Lunglav
Fläcknycklar</t>
        </is>
      </c>
      <c r="V95">
        <f>HYPERLINK("https://klasma.github.io/Logging_2582/artfynd/A 29881-2026 artfynd.xlsx", "A 29881-2026")</f>
        <v/>
      </c>
      <c r="W95">
        <f>HYPERLINK("https://klasma.github.io/Logging_2582/kartor/A 29881-2026 karta.png", "A 29881-2026")</f>
        <v/>
      </c>
      <c r="Y95">
        <f>HYPERLINK("https://klasma.github.io/Logging_2582/klagomål/A 29881-2026 FSC-klagomål.docx", "A 29881-2026")</f>
        <v/>
      </c>
      <c r="Z95">
        <f>HYPERLINK("https://klasma.github.io/Logging_2582/klagomålsmail/A 29881-2026 FSC-klagomål mail.docx", "A 29881-2026")</f>
        <v/>
      </c>
      <c r="AA95">
        <f>HYPERLINK("https://klasma.github.io/Logging_2582/tillsyn/A 29881-2026 tillsynsbegäran.docx", "A 29881-2026")</f>
        <v/>
      </c>
      <c r="AB95">
        <f>HYPERLINK("https://klasma.github.io/Logging_2582/tillsynsmail/A 29881-2026 tillsynsbegäran mail.docx", "A 29881-2026")</f>
        <v/>
      </c>
    </row>
    <row r="96" ht="15" customHeight="1">
      <c r="A96" t="inlineStr">
        <is>
          <t>A 29860-2026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46205</v>
      </c>
      <c r="E96" s="1" t="n">
        <v>46221</v>
      </c>
      <c r="F96" t="inlineStr">
        <is>
          <t>NORRBOTTENS LÄN</t>
        </is>
      </c>
      <c r="G96" t="inlineStr">
        <is>
          <t>BODEN</t>
        </is>
      </c>
      <c r="H96" t="inlineStr">
        <is>
          <t>Sveaskog</t>
        </is>
      </c>
      <c r="I96" t="n">
        <v>1.6</v>
      </c>
      <c r="J96" t="n">
        <v>0</v>
      </c>
      <c r="K96" t="n">
        <v>0</v>
      </c>
      <c r="L96" t="n">
        <v>2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t="n">
        <v>0</v>
      </c>
      <c r="S96" t="n">
        <v>2</v>
      </c>
      <c r="T96" t="n">
        <v>2</v>
      </c>
      <c r="U96" s="2" t="inlineStr">
        <is>
          <t>Knottrig blåslav
Lunglav</t>
        </is>
      </c>
      <c r="V96">
        <f>HYPERLINK("https://klasma.github.io/Logging_2582/artfynd/A 29860-2026 artfynd.xlsx", "A 29860-2026")</f>
        <v/>
      </c>
      <c r="W96">
        <f>HYPERLINK("https://klasma.github.io/Logging_2582/kartor/A 29860-2026 karta.png", "A 29860-2026")</f>
        <v/>
      </c>
      <c r="Y96">
        <f>HYPERLINK("https://klasma.github.io/Logging_2582/klagomål/A 29860-2026 FSC-klagomål.docx", "A 29860-2026")</f>
        <v/>
      </c>
      <c r="Z96">
        <f>HYPERLINK("https://klasma.github.io/Logging_2582/klagomålsmail/A 29860-2026 FSC-klagomål mail.docx", "A 29860-2026")</f>
        <v/>
      </c>
      <c r="AA96">
        <f>HYPERLINK("https://klasma.github.io/Logging_2582/tillsyn/A 29860-2026 tillsynsbegäran.docx", "A 29860-2026")</f>
        <v/>
      </c>
      <c r="AB96">
        <f>HYPERLINK("https://klasma.github.io/Logging_2582/tillsynsmail/A 29860-2026 tillsynsbegäran mail.docx", "A 29860-2026")</f>
        <v/>
      </c>
    </row>
    <row r="97" ht="15" customHeight="1">
      <c r="A97" t="inlineStr">
        <is>
          <t>A 900-2024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45301</v>
      </c>
      <c r="E97" s="1" t="n">
        <v>46221</v>
      </c>
      <c r="F97" t="inlineStr">
        <is>
          <t>NORRBOTTENS LÄN</t>
        </is>
      </c>
      <c r="G97" t="inlineStr">
        <is>
          <t>BODEN</t>
        </is>
      </c>
      <c r="I97" t="n">
        <v>5.2</v>
      </c>
      <c r="J97" t="n">
        <v>2</v>
      </c>
      <c r="K97" t="n">
        <v>0</v>
      </c>
      <c r="L97" t="n">
        <v>0</v>
      </c>
      <c r="M97" t="n">
        <v>1</v>
      </c>
      <c r="N97" t="n">
        <v>0</v>
      </c>
      <c r="O97" t="n">
        <v>0</v>
      </c>
      <c r="P97" t="n">
        <v>0</v>
      </c>
      <c r="Q97" t="n">
        <v>1</v>
      </c>
      <c r="R97" t="n">
        <v>1</v>
      </c>
      <c r="S97" t="n">
        <v>2</v>
      </c>
      <c r="T97" t="n">
        <v>2</v>
      </c>
      <c r="U97" s="2" t="inlineStr">
        <is>
          <t>Knärot
Revlummer</t>
        </is>
      </c>
      <c r="V97">
        <f>HYPERLINK("https://klasma.github.io/Logging_2582/artfynd/A 900-2024 artfynd.xlsx", "A 900-2024")</f>
        <v/>
      </c>
      <c r="W97">
        <f>HYPERLINK("https://klasma.github.io/Logging_2582/kartor/A 900-2024 karta.png", "A 900-2024")</f>
        <v/>
      </c>
      <c r="X97">
        <f>HYPERLINK("https://klasma.github.io/Logging_2582/knärot/A 900-2024 karta knärot.png", "A 900-2024")</f>
        <v/>
      </c>
      <c r="Y97">
        <f>HYPERLINK("https://klasma.github.io/Logging_2582/klagomål/A 900-2024 FSC-klagomål.docx", "A 900-2024")</f>
        <v/>
      </c>
      <c r="Z97">
        <f>HYPERLINK("https://klasma.github.io/Logging_2582/klagomålsmail/A 900-2024 FSC-klagomål mail.docx", "A 900-2024")</f>
        <v/>
      </c>
      <c r="AA97">
        <f>HYPERLINK("https://klasma.github.io/Logging_2582/tillsyn/A 900-2024 tillsynsbegäran.docx", "A 900-2024")</f>
        <v/>
      </c>
      <c r="AB97">
        <f>HYPERLINK("https://klasma.github.io/Logging_2582/tillsynsmail/A 900-2024 tillsynsbegäran mail.docx", "A 900-2024")</f>
        <v/>
      </c>
    </row>
    <row r="98" ht="15" customHeight="1">
      <c r="A98" t="inlineStr">
        <is>
          <t>A 42233-2022</t>
        </is>
      </c>
      <c r="B98" t="inlineStr">
        <is>
          <t>avverkningsanmälan</t>
        </is>
      </c>
      <c r="C98" t="inlineStr">
        <is>
          <t>Avverkning för att bevara och utveckla /försöksver</t>
        </is>
      </c>
      <c r="D98" s="1" t="n">
        <v>44830</v>
      </c>
      <c r="E98" s="1" t="n">
        <v>46221</v>
      </c>
      <c r="F98" t="inlineStr">
        <is>
          <t>NORRBOTTENS LÄN</t>
        </is>
      </c>
      <c r="G98" t="inlineStr">
        <is>
          <t>BODEN</t>
        </is>
      </c>
      <c r="I98" t="n">
        <v>3.6</v>
      </c>
      <c r="J98" t="n">
        <v>2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2</v>
      </c>
      <c r="T98" t="n">
        <v>2</v>
      </c>
      <c r="U98" s="2" t="inlineStr">
        <is>
          <t>Enkelbeckasin
Svartvit flugsnappare</t>
        </is>
      </c>
      <c r="V98">
        <f>HYPERLINK("https://klasma.github.io/Logging_2582/artfynd/A 42233-2022 artfynd.xlsx", "A 42233-2022")</f>
        <v/>
      </c>
      <c r="W98">
        <f>HYPERLINK("https://klasma.github.io/Logging_2582/kartor/A 42233-2022 karta.png", "A 42233-2022")</f>
        <v/>
      </c>
      <c r="Y98">
        <f>HYPERLINK("https://klasma.github.io/Logging_2582/klagomål/A 42233-2022 FSC-klagomål.docx", "A 42233-2022")</f>
        <v/>
      </c>
      <c r="Z98">
        <f>HYPERLINK("https://klasma.github.io/Logging_2582/klagomålsmail/A 42233-2022 FSC-klagomål mail.docx", "A 42233-2022")</f>
        <v/>
      </c>
      <c r="AA98">
        <f>HYPERLINK("https://klasma.github.io/Logging_2582/tillsyn/A 42233-2022 tillsynsbegäran.docx", "A 42233-2022")</f>
        <v/>
      </c>
      <c r="AB98">
        <f>HYPERLINK("https://klasma.github.io/Logging_2582/tillsynsmail/A 42233-2022 tillsynsbegäran mail.docx", "A 42233-2022")</f>
        <v/>
      </c>
      <c r="AC98">
        <f>HYPERLINK("https://klasma.github.io/Logging_2582/fåglar/A 42233-2022 prioriterade fågelarter.docx", "A 42233-2022")</f>
        <v/>
      </c>
    </row>
    <row r="99" ht="15" customHeight="1">
      <c r="A99" t="inlineStr">
        <is>
          <t>A 22906-2023</t>
        </is>
      </c>
      <c r="B99" t="inlineStr">
        <is>
          <t>avverkningsanmälan</t>
        </is>
      </c>
      <c r="C99" t="inlineStr">
        <is>
          <t>Avverkning för att bevara och utveckla /försöksver</t>
        </is>
      </c>
      <c r="D99" s="1" t="n">
        <v>45072</v>
      </c>
      <c r="E99" s="1" t="n">
        <v>46221</v>
      </c>
      <c r="F99" t="inlineStr">
        <is>
          <t>NORRBOTTENS LÄN</t>
        </is>
      </c>
      <c r="G99" t="inlineStr">
        <is>
          <t>BODEN</t>
        </is>
      </c>
      <c r="H99" t="inlineStr">
        <is>
          <t>Sveaskog</t>
        </is>
      </c>
      <c r="I99" t="n">
        <v>3.5</v>
      </c>
      <c r="J99" t="n">
        <v>2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2</v>
      </c>
      <c r="T99" t="n">
        <v>2</v>
      </c>
      <c r="U99" s="2" t="inlineStr">
        <is>
          <t>Talltita
Utter</t>
        </is>
      </c>
      <c r="V99">
        <f>HYPERLINK("https://klasma.github.io/Logging_2582/artfynd/A 22906-2023 artfynd.xlsx", "A 22906-2023")</f>
        <v/>
      </c>
      <c r="W99">
        <f>HYPERLINK("https://klasma.github.io/Logging_2582/kartor/A 22906-2023 karta.png", "A 22906-2023")</f>
        <v/>
      </c>
      <c r="Y99">
        <f>HYPERLINK("https://klasma.github.io/Logging_2582/klagomål/A 22906-2023 FSC-klagomål.docx", "A 22906-2023")</f>
        <v/>
      </c>
      <c r="Z99">
        <f>HYPERLINK("https://klasma.github.io/Logging_2582/klagomålsmail/A 22906-2023 FSC-klagomål mail.docx", "A 22906-2023")</f>
        <v/>
      </c>
      <c r="AA99">
        <f>HYPERLINK("https://klasma.github.io/Logging_2582/tillsyn/A 22906-2023 tillsynsbegäran.docx", "A 22906-2023")</f>
        <v/>
      </c>
      <c r="AB99">
        <f>HYPERLINK("https://klasma.github.io/Logging_2582/tillsynsmail/A 22906-2023 tillsynsbegäran mail.docx", "A 22906-2023")</f>
        <v/>
      </c>
      <c r="AC99">
        <f>HYPERLINK("https://klasma.github.io/Logging_2582/fåglar/A 22906-2023 prioriterade fågelarter.docx", "A 22906-2023")</f>
        <v/>
      </c>
    </row>
    <row r="100" ht="15" customHeight="1">
      <c r="A100" t="inlineStr">
        <is>
          <t>A 6639-2024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45341</v>
      </c>
      <c r="E100" s="1" t="n">
        <v>46221</v>
      </c>
      <c r="F100" t="inlineStr">
        <is>
          <t>NORRBOTTENS LÄN</t>
        </is>
      </c>
      <c r="G100" t="inlineStr">
        <is>
          <t>BODEN</t>
        </is>
      </c>
      <c r="H100" t="inlineStr">
        <is>
          <t>Övriga statliga verk och myndigheter</t>
        </is>
      </c>
      <c r="I100" t="n">
        <v>23.8</v>
      </c>
      <c r="J100" t="n">
        <v>1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2</v>
      </c>
      <c r="T100" t="n">
        <v>2</v>
      </c>
      <c r="U100" s="2" t="inlineStr">
        <is>
          <t>Lunglav
Kungsfågel</t>
        </is>
      </c>
      <c r="V100">
        <f>HYPERLINK("https://klasma.github.io/Logging_2582/artfynd/A 6639-2024 artfynd.xlsx", "A 6639-2024")</f>
        <v/>
      </c>
      <c r="W100">
        <f>HYPERLINK("https://klasma.github.io/Logging_2582/kartor/A 6639-2024 karta.png", "A 6639-2024")</f>
        <v/>
      </c>
      <c r="Y100">
        <f>HYPERLINK("https://klasma.github.io/Logging_2582/klagomål/A 6639-2024 FSC-klagomål.docx", "A 6639-2024")</f>
        <v/>
      </c>
      <c r="Z100">
        <f>HYPERLINK("https://klasma.github.io/Logging_2582/klagomålsmail/A 6639-2024 FSC-klagomål mail.docx", "A 6639-2024")</f>
        <v/>
      </c>
      <c r="AA100">
        <f>HYPERLINK("https://klasma.github.io/Logging_2582/tillsyn/A 6639-2024 tillsynsbegäran.docx", "A 6639-2024")</f>
        <v/>
      </c>
      <c r="AB100">
        <f>HYPERLINK("https://klasma.github.io/Logging_2582/tillsynsmail/A 6639-2024 tillsynsbegäran mail.docx", "A 6639-2024")</f>
        <v/>
      </c>
    </row>
    <row r="101" ht="15" customHeight="1">
      <c r="A101" t="inlineStr">
        <is>
          <t>S 884-2024</t>
        </is>
      </c>
      <c r="B101" t="inlineStr">
        <is>
          <t>samrådsanmälan</t>
        </is>
      </c>
      <c r="C101" t="inlineStr">
        <is>
          <t>Annan skogsbruksåtgärd</t>
        </is>
      </c>
      <c r="D101" s="1" t="n">
        <v>45376</v>
      </c>
      <c r="E101" s="1" t="n">
        <v>46221</v>
      </c>
      <c r="F101" t="inlineStr">
        <is>
          <t>NORRBOTTENS LÄN</t>
        </is>
      </c>
      <c r="G101" t="inlineStr">
        <is>
          <t>BODEN</t>
        </is>
      </c>
      <c r="H101" t="inlineStr">
        <is>
          <t>Sveaskog</t>
        </is>
      </c>
      <c r="I101" t="n">
        <v>1.6</v>
      </c>
      <c r="J101" t="n">
        <v>1</v>
      </c>
      <c r="K101" t="n">
        <v>2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2</v>
      </c>
      <c r="T101" t="n">
        <v>2</v>
      </c>
      <c r="U101" s="2" t="inlineStr">
        <is>
          <t>Spindelblomster
Ögonpyrola</t>
        </is>
      </c>
      <c r="V101">
        <f>HYPERLINK("https://klasma.github.io/Logging_2582/artfynd/S 884-2024 artfynd.xlsx", "S 884-2024")</f>
        <v/>
      </c>
      <c r="W101">
        <f>HYPERLINK("https://klasma.github.io/Logging_2582/kartor/S 884-2024 karta.png", "S 884-2024")</f>
        <v/>
      </c>
      <c r="X101">
        <f>HYPERLINK("https://klasma.github.io/Logging_2582/knärot/S 884-2024 karta knärot.png", "S 884-2024")</f>
        <v/>
      </c>
      <c r="Y101">
        <f>HYPERLINK("https://klasma.github.io/Logging_2582/klagomål/S 884-2024 FSC-klagomål.docx", "S 884-2024")</f>
        <v/>
      </c>
      <c r="Z101">
        <f>HYPERLINK("https://klasma.github.io/Logging_2582/klagomålsmail/S 884-2024 FSC-klagomål mail.docx", "S 884-2024")</f>
        <v/>
      </c>
      <c r="AA101">
        <f>HYPERLINK("https://klasma.github.io/Logging_2582/tillsyn/S 884-2024 tillsynsbegäran.docx", "S 884-2024")</f>
        <v/>
      </c>
      <c r="AB101">
        <f>HYPERLINK("https://klasma.github.io/Logging_2582/tillsynsmail/S 884-2024 tillsynsbegäran mail.docx", "S 884-2024")</f>
        <v/>
      </c>
    </row>
    <row r="102" ht="15" customHeight="1">
      <c r="A102" t="inlineStr">
        <is>
          <t>A 13647-2022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44648</v>
      </c>
      <c r="E102" s="1" t="n">
        <v>46221</v>
      </c>
      <c r="F102" t="inlineStr">
        <is>
          <t>NORRBOTTENS LÄN</t>
        </is>
      </c>
      <c r="G102" t="inlineStr">
        <is>
          <t>BODEN</t>
        </is>
      </c>
      <c r="H102" t="inlineStr">
        <is>
          <t>Sveaskog</t>
        </is>
      </c>
      <c r="I102" t="n">
        <v>3.8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3</v>
      </c>
      <c r="U102" s="2" t="inlineStr">
        <is>
          <t>Gammelgransskål</t>
        </is>
      </c>
      <c r="V102">
        <f>HYPERLINK("https://klasma.github.io/Logging_2582/artfynd/A 13647-2022 artfynd.xlsx", "A 13647-2022")</f>
        <v/>
      </c>
      <c r="W102">
        <f>HYPERLINK("https://klasma.github.io/Logging_2582/kartor/A 13647-2022 karta.png", "A 13647-2022")</f>
        <v/>
      </c>
      <c r="Y102">
        <f>HYPERLINK("https://klasma.github.io/Logging_2582/klagomål/A 13647-2022 FSC-klagomål.docx", "A 13647-2022")</f>
        <v/>
      </c>
      <c r="Z102">
        <f>HYPERLINK("https://klasma.github.io/Logging_2582/klagomålsmail/A 13647-2022 FSC-klagomål mail.docx", "A 13647-2022")</f>
        <v/>
      </c>
      <c r="AA102">
        <f>HYPERLINK("https://klasma.github.io/Logging_2582/tillsyn/A 13647-2022 tillsynsbegäran.docx", "A 13647-2022")</f>
        <v/>
      </c>
      <c r="AB102">
        <f>HYPERLINK("https://klasma.github.io/Logging_2582/tillsynsmail/A 13647-2022 tillsynsbegäran mail.docx", "A 13647-2022")</f>
        <v/>
      </c>
    </row>
    <row r="103" ht="15" customHeight="1">
      <c r="A103" t="inlineStr">
        <is>
          <t>A 47030-2021</t>
        </is>
      </c>
      <c r="B103" t="inlineStr">
        <is>
          <t>avverkningsanmälan</t>
        </is>
      </c>
      <c r="C103" t="inlineStr">
        <is>
          <t>Avverkning för att bevara och utveckla /försöksver</t>
        </is>
      </c>
      <c r="D103" s="1" t="n">
        <v>44446</v>
      </c>
      <c r="E103" s="1" t="n">
        <v>46221</v>
      </c>
      <c r="F103" t="inlineStr">
        <is>
          <t>NORRBOTTENS LÄN</t>
        </is>
      </c>
      <c r="G103" t="inlineStr">
        <is>
          <t>BODEN</t>
        </is>
      </c>
      <c r="I103" t="n">
        <v>3.3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s="2" t="inlineStr">
        <is>
          <t>Svartvit flugsnappare</t>
        </is>
      </c>
      <c r="V103">
        <f>HYPERLINK("https://klasma.github.io/Logging_2582/artfynd/A 47030-2021 artfynd.xlsx", "A 47030-2021")</f>
        <v/>
      </c>
      <c r="W103">
        <f>HYPERLINK("https://klasma.github.io/Logging_2582/kartor/A 47030-2021 karta.png", "A 47030-2021")</f>
        <v/>
      </c>
      <c r="Y103">
        <f>HYPERLINK("https://klasma.github.io/Logging_2582/klagomål/A 47030-2021 FSC-klagomål.docx", "A 47030-2021")</f>
        <v/>
      </c>
      <c r="Z103">
        <f>HYPERLINK("https://klasma.github.io/Logging_2582/klagomålsmail/A 47030-2021 FSC-klagomål mail.docx", "A 47030-2021")</f>
        <v/>
      </c>
      <c r="AA103">
        <f>HYPERLINK("https://klasma.github.io/Logging_2582/tillsyn/A 47030-2021 tillsynsbegäran.docx", "A 47030-2021")</f>
        <v/>
      </c>
      <c r="AB103">
        <f>HYPERLINK("https://klasma.github.io/Logging_2582/tillsynsmail/A 47030-2021 tillsynsbegäran mail.docx", "A 47030-2021")</f>
        <v/>
      </c>
    </row>
    <row r="104" ht="15" customHeight="1">
      <c r="A104" t="inlineStr">
        <is>
          <t>A 39884-2021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44417</v>
      </c>
      <c r="E104" s="1" t="n">
        <v>46221</v>
      </c>
      <c r="F104" t="inlineStr">
        <is>
          <t>NORRBOTTENS LÄN</t>
        </is>
      </c>
      <c r="G104" t="inlineStr">
        <is>
          <t>BODEN</t>
        </is>
      </c>
      <c r="I104" t="n">
        <v>5.1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s="2" t="inlineStr">
        <is>
          <t>Vanlig padda</t>
        </is>
      </c>
      <c r="V104">
        <f>HYPERLINK("https://klasma.github.io/Logging_2582/artfynd/A 39884-2021 artfynd.xlsx", "A 39884-2021")</f>
        <v/>
      </c>
      <c r="W104">
        <f>HYPERLINK("https://klasma.github.io/Logging_2582/kartor/A 39884-2021 karta.png", "A 39884-2021")</f>
        <v/>
      </c>
      <c r="Y104">
        <f>HYPERLINK("https://klasma.github.io/Logging_2582/klagomål/A 39884-2021 FSC-klagomål.docx", "A 39884-2021")</f>
        <v/>
      </c>
      <c r="Z104">
        <f>HYPERLINK("https://klasma.github.io/Logging_2582/klagomålsmail/A 39884-2021 FSC-klagomål mail.docx", "A 39884-2021")</f>
        <v/>
      </c>
      <c r="AA104">
        <f>HYPERLINK("https://klasma.github.io/Logging_2582/tillsyn/A 39884-2021 tillsynsbegäran.docx", "A 39884-2021")</f>
        <v/>
      </c>
      <c r="AB104">
        <f>HYPERLINK("https://klasma.github.io/Logging_2582/tillsynsmail/A 39884-2021 tillsynsbegäran mail.docx", "A 39884-2021")</f>
        <v/>
      </c>
    </row>
    <row r="105" ht="15" customHeight="1">
      <c r="A105" t="inlineStr">
        <is>
          <t>A 44768-2022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44840</v>
      </c>
      <c r="E105" s="1" t="n">
        <v>46221</v>
      </c>
      <c r="F105" t="inlineStr">
        <is>
          <t>NORRBOTTENS LÄN</t>
        </is>
      </c>
      <c r="G105" t="inlineStr">
        <is>
          <t>BODEN</t>
        </is>
      </c>
      <c r="H105" t="inlineStr">
        <is>
          <t>SCA</t>
        </is>
      </c>
      <c r="I105" t="n">
        <v>6.1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s="2" t="inlineStr">
        <is>
          <t>Motaggsvamp</t>
        </is>
      </c>
      <c r="V105">
        <f>HYPERLINK("https://klasma.github.io/Logging_2582/artfynd/A 44768-2022 artfynd.xlsx", "A 44768-2022")</f>
        <v/>
      </c>
      <c r="W105">
        <f>HYPERLINK("https://klasma.github.io/Logging_2582/kartor/A 44768-2022 karta.png", "A 44768-2022")</f>
        <v/>
      </c>
      <c r="Y105">
        <f>HYPERLINK("https://klasma.github.io/Logging_2582/klagomål/A 44768-2022 FSC-klagomål.docx", "A 44768-2022")</f>
        <v/>
      </c>
      <c r="Z105">
        <f>HYPERLINK("https://klasma.github.io/Logging_2582/klagomålsmail/A 44768-2022 FSC-klagomål mail.docx", "A 44768-2022")</f>
        <v/>
      </c>
      <c r="AA105">
        <f>HYPERLINK("https://klasma.github.io/Logging_2582/tillsyn/A 44768-2022 tillsynsbegäran.docx", "A 44768-2022")</f>
        <v/>
      </c>
      <c r="AB105">
        <f>HYPERLINK("https://klasma.github.io/Logging_2582/tillsynsmail/A 44768-2022 tillsynsbegäran mail.docx", "A 44768-2022")</f>
        <v/>
      </c>
    </row>
    <row r="106" ht="15" customHeight="1">
      <c r="A106" t="inlineStr">
        <is>
          <t>A 40779-2021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44421</v>
      </c>
      <c r="E106" s="1" t="n">
        <v>46221</v>
      </c>
      <c r="F106" t="inlineStr">
        <is>
          <t>NORRBOTTENS LÄN</t>
        </is>
      </c>
      <c r="G106" t="inlineStr">
        <is>
          <t>BODEN</t>
        </is>
      </c>
      <c r="H106" t="inlineStr">
        <is>
          <t>Sveaskog</t>
        </is>
      </c>
      <c r="I106" t="n">
        <v>4.8</v>
      </c>
      <c r="J106" t="n">
        <v>0</v>
      </c>
      <c r="K106" t="n">
        <v>0</v>
      </c>
      <c r="L106" t="n">
        <v>0</v>
      </c>
      <c r="M106" t="n">
        <v>1</v>
      </c>
      <c r="N106" t="n">
        <v>0</v>
      </c>
      <c r="O106" t="n">
        <v>0</v>
      </c>
      <c r="P106" t="n">
        <v>0</v>
      </c>
      <c r="Q106" t="n">
        <v>1</v>
      </c>
      <c r="R106" t="n">
        <v>1</v>
      </c>
      <c r="S106" t="n">
        <v>1</v>
      </c>
      <c r="T106" t="n">
        <v>1</v>
      </c>
      <c r="U106" s="2" t="inlineStr">
        <is>
          <t>Garnlav</t>
        </is>
      </c>
      <c r="V106">
        <f>HYPERLINK("https://klasma.github.io/Logging_2582/artfynd/A 40779-2021 artfynd.xlsx", "A 40779-2021")</f>
        <v/>
      </c>
      <c r="W106">
        <f>HYPERLINK("https://klasma.github.io/Logging_2582/kartor/A 40779-2021 karta.png", "A 40779-2021")</f>
        <v/>
      </c>
      <c r="Y106">
        <f>HYPERLINK("https://klasma.github.io/Logging_2582/klagomål/A 40779-2021 FSC-klagomål.docx", "A 40779-2021")</f>
        <v/>
      </c>
      <c r="Z106">
        <f>HYPERLINK("https://klasma.github.io/Logging_2582/klagomålsmail/A 40779-2021 FSC-klagomål mail.docx", "A 40779-2021")</f>
        <v/>
      </c>
      <c r="AA106">
        <f>HYPERLINK("https://klasma.github.io/Logging_2582/tillsyn/A 40779-2021 tillsynsbegäran.docx", "A 40779-2021")</f>
        <v/>
      </c>
      <c r="AB106">
        <f>HYPERLINK("https://klasma.github.io/Logging_2582/tillsynsmail/A 40779-2021 tillsynsbegäran mail.docx", "A 40779-2021")</f>
        <v/>
      </c>
    </row>
    <row r="107" ht="15" customHeight="1">
      <c r="A107" t="inlineStr">
        <is>
          <t>A 18678-2025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45763</v>
      </c>
      <c r="E107" s="1" t="n">
        <v>46221</v>
      </c>
      <c r="F107" t="inlineStr">
        <is>
          <t>NORRBOTTENS LÄN</t>
        </is>
      </c>
      <c r="G107" t="inlineStr">
        <is>
          <t>BODEN</t>
        </is>
      </c>
      <c r="I107" t="n">
        <v>1.6</v>
      </c>
      <c r="J107" t="n">
        <v>0</v>
      </c>
      <c r="K107" t="n">
        <v>0</v>
      </c>
      <c r="L107" t="n">
        <v>0</v>
      </c>
      <c r="M107" t="n">
        <v>1</v>
      </c>
      <c r="N107" t="n">
        <v>0</v>
      </c>
      <c r="O107" t="n">
        <v>0</v>
      </c>
      <c r="P107" t="n">
        <v>0</v>
      </c>
      <c r="Q107" t="n">
        <v>1</v>
      </c>
      <c r="R107" t="n">
        <v>1</v>
      </c>
      <c r="S107" t="n">
        <v>1</v>
      </c>
      <c r="T107" t="n">
        <v>2</v>
      </c>
      <c r="U107" s="2" t="inlineStr">
        <is>
          <t>Garnlav</t>
        </is>
      </c>
      <c r="V107">
        <f>HYPERLINK("https://klasma.github.io/Logging_2582/artfynd/A 18678-2025 artfynd.xlsx", "A 18678-2025")</f>
        <v/>
      </c>
      <c r="W107">
        <f>HYPERLINK("https://klasma.github.io/Logging_2582/kartor/A 18678-2025 karta.png", "A 18678-2025")</f>
        <v/>
      </c>
      <c r="Y107">
        <f>HYPERLINK("https://klasma.github.io/Logging_2582/klagomål/A 18678-2025 FSC-klagomål.docx", "A 18678-2025")</f>
        <v/>
      </c>
      <c r="Z107">
        <f>HYPERLINK("https://klasma.github.io/Logging_2582/klagomålsmail/A 18678-2025 FSC-klagomål mail.docx", "A 18678-2025")</f>
        <v/>
      </c>
      <c r="AA107">
        <f>HYPERLINK("https://klasma.github.io/Logging_2582/tillsyn/A 18678-2025 tillsynsbegäran.docx", "A 18678-2025")</f>
        <v/>
      </c>
      <c r="AB107">
        <f>HYPERLINK("https://klasma.github.io/Logging_2582/tillsynsmail/A 18678-2025 tillsynsbegäran mail.docx", "A 18678-2025")</f>
        <v/>
      </c>
    </row>
    <row r="108" ht="15" customHeight="1">
      <c r="A108" t="inlineStr">
        <is>
          <t>A 22892-2024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45448</v>
      </c>
      <c r="E108" s="1" t="n">
        <v>46221</v>
      </c>
      <c r="F108" t="inlineStr">
        <is>
          <t>NORRBOTTENS LÄN</t>
        </is>
      </c>
      <c r="G108" t="inlineStr">
        <is>
          <t>BODEN</t>
        </is>
      </c>
      <c r="H108" t="inlineStr">
        <is>
          <t>Sveaskog</t>
        </is>
      </c>
      <c r="I108" t="n">
        <v>0.8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s="2" t="inlineStr">
        <is>
          <t>Bollvitmossa</t>
        </is>
      </c>
      <c r="V108">
        <f>HYPERLINK("https://klasma.github.io/Logging_2582/artfynd/A 22892-2024 artfynd.xlsx", "A 22892-2024")</f>
        <v/>
      </c>
      <c r="W108">
        <f>HYPERLINK("https://klasma.github.io/Logging_2582/kartor/A 22892-2024 karta.png", "A 22892-2024")</f>
        <v/>
      </c>
      <c r="Y108">
        <f>HYPERLINK("https://klasma.github.io/Logging_2582/klagomål/A 22892-2024 FSC-klagomål.docx", "A 22892-2024")</f>
        <v/>
      </c>
      <c r="Z108">
        <f>HYPERLINK("https://klasma.github.io/Logging_2582/klagomålsmail/A 22892-2024 FSC-klagomål mail.docx", "A 22892-2024")</f>
        <v/>
      </c>
      <c r="AA108">
        <f>HYPERLINK("https://klasma.github.io/Logging_2582/tillsyn/A 22892-2024 tillsynsbegäran.docx", "A 22892-2024")</f>
        <v/>
      </c>
      <c r="AB108">
        <f>HYPERLINK("https://klasma.github.io/Logging_2582/tillsynsmail/A 22892-2024 tillsynsbegäran mail.docx", "A 22892-2024")</f>
        <v/>
      </c>
    </row>
    <row r="109" ht="15" customHeight="1">
      <c r="A109" t="inlineStr">
        <is>
          <t>A 13568-2022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44648</v>
      </c>
      <c r="E109" s="1" t="n">
        <v>46221</v>
      </c>
      <c r="F109" t="inlineStr">
        <is>
          <t>NORRBOTTENS LÄN</t>
        </is>
      </c>
      <c r="G109" t="inlineStr">
        <is>
          <t>BODEN</t>
        </is>
      </c>
      <c r="H109" t="inlineStr">
        <is>
          <t>Sveaskog</t>
        </is>
      </c>
      <c r="I109" t="n">
        <v>1.5</v>
      </c>
      <c r="J109" t="n">
        <v>1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s="2" t="inlineStr">
        <is>
          <t>Lavskrika</t>
        </is>
      </c>
      <c r="V109">
        <f>HYPERLINK("https://klasma.github.io/Logging_2582/artfynd/A 13568-2022 artfynd.xlsx", "A 13568-2022")</f>
        <v/>
      </c>
      <c r="W109">
        <f>HYPERLINK("https://klasma.github.io/Logging_2582/kartor/A 13568-2022 karta.png", "A 13568-2022")</f>
        <v/>
      </c>
      <c r="Y109">
        <f>HYPERLINK("https://klasma.github.io/Logging_2582/klagomål/A 13568-2022 FSC-klagomål.docx", "A 13568-2022")</f>
        <v/>
      </c>
      <c r="Z109">
        <f>HYPERLINK("https://klasma.github.io/Logging_2582/klagomålsmail/A 13568-2022 FSC-klagomål mail.docx", "A 13568-2022")</f>
        <v/>
      </c>
      <c r="AA109">
        <f>HYPERLINK("https://klasma.github.io/Logging_2582/tillsyn/A 13568-2022 tillsynsbegäran.docx", "A 13568-2022")</f>
        <v/>
      </c>
      <c r="AB109">
        <f>HYPERLINK("https://klasma.github.io/Logging_2582/tillsynsmail/A 13568-2022 tillsynsbegäran mail.docx", "A 13568-2022")</f>
        <v/>
      </c>
      <c r="AC109">
        <f>HYPERLINK("https://klasma.github.io/Logging_2582/fåglar/A 13568-2022 prioriterade fågelarter.docx", "A 13568-2022")</f>
        <v/>
      </c>
    </row>
    <row r="110" ht="15" customHeight="1">
      <c r="A110" t="inlineStr">
        <is>
          <t>A 68560-2021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44529</v>
      </c>
      <c r="E110" s="1" t="n">
        <v>46221</v>
      </c>
      <c r="F110" t="inlineStr">
        <is>
          <t>NORRBOTTENS LÄN</t>
        </is>
      </c>
      <c r="G110" t="inlineStr">
        <is>
          <t>BODEN</t>
        </is>
      </c>
      <c r="I110" t="n">
        <v>3.5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4</v>
      </c>
      <c r="U110" s="2" t="inlineStr">
        <is>
          <t>Småflikig brosklav</t>
        </is>
      </c>
      <c r="V110">
        <f>HYPERLINK("https://klasma.github.io/Logging_2582/artfynd/A 68560-2021 artfynd.xlsx", "A 68560-2021")</f>
        <v/>
      </c>
      <c r="W110">
        <f>HYPERLINK("https://klasma.github.io/Logging_2582/kartor/A 68560-2021 karta.png", "A 68560-2021")</f>
        <v/>
      </c>
      <c r="Y110">
        <f>HYPERLINK("https://klasma.github.io/Logging_2582/klagomål/A 68560-2021 FSC-klagomål.docx", "A 68560-2021")</f>
        <v/>
      </c>
      <c r="Z110">
        <f>HYPERLINK("https://klasma.github.io/Logging_2582/klagomålsmail/A 68560-2021 FSC-klagomål mail.docx", "A 68560-2021")</f>
        <v/>
      </c>
      <c r="AA110">
        <f>HYPERLINK("https://klasma.github.io/Logging_2582/tillsyn/A 68560-2021 tillsynsbegäran.docx", "A 68560-2021")</f>
        <v/>
      </c>
      <c r="AB110">
        <f>HYPERLINK("https://klasma.github.io/Logging_2582/tillsynsmail/A 68560-2021 tillsynsbegäran mail.docx", "A 68560-2021")</f>
        <v/>
      </c>
    </row>
    <row r="111" ht="15" customHeight="1">
      <c r="A111" t="inlineStr">
        <is>
          <t>A 41087-2024</t>
        </is>
      </c>
      <c r="B111" t="inlineStr">
        <is>
          <t>avverkningsanmälan</t>
        </is>
      </c>
      <c r="C111" t="inlineStr">
        <is>
          <t>Avverkning för att bevara och utveckla /försöksver</t>
        </is>
      </c>
      <c r="D111" s="1" t="n">
        <v>45559</v>
      </c>
      <c r="E111" s="1" t="n">
        <v>46221</v>
      </c>
      <c r="F111" t="inlineStr">
        <is>
          <t>NORRBOTTENS LÄN</t>
        </is>
      </c>
      <c r="G111" t="inlineStr">
        <is>
          <t>BODEN</t>
        </is>
      </c>
      <c r="H111" t="inlineStr">
        <is>
          <t>Sveaskog</t>
        </is>
      </c>
      <c r="I111" t="n">
        <v>7.5</v>
      </c>
      <c r="J111" t="n">
        <v>0</v>
      </c>
      <c r="K111" t="n">
        <v>0</v>
      </c>
      <c r="L111" t="n">
        <v>0</v>
      </c>
      <c r="M111" t="n">
        <v>1</v>
      </c>
      <c r="N111" t="n">
        <v>0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1</v>
      </c>
      <c r="U111" s="2" t="inlineStr">
        <is>
          <t>Garnlav</t>
        </is>
      </c>
      <c r="V111">
        <f>HYPERLINK("https://klasma.github.io/Logging_2582/artfynd/A 41087-2024 artfynd.xlsx", "A 41087-2024")</f>
        <v/>
      </c>
      <c r="W111">
        <f>HYPERLINK("https://klasma.github.io/Logging_2582/kartor/A 41087-2024 karta.png", "A 41087-2024")</f>
        <v/>
      </c>
      <c r="Y111">
        <f>HYPERLINK("https://klasma.github.io/Logging_2582/klagomål/A 41087-2024 FSC-klagomål.docx", "A 41087-2024")</f>
        <v/>
      </c>
      <c r="Z111">
        <f>HYPERLINK("https://klasma.github.io/Logging_2582/klagomålsmail/A 41087-2024 FSC-klagomål mail.docx", "A 41087-2024")</f>
        <v/>
      </c>
      <c r="AA111">
        <f>HYPERLINK("https://klasma.github.io/Logging_2582/tillsyn/A 41087-2024 tillsynsbegäran.docx", "A 41087-2024")</f>
        <v/>
      </c>
      <c r="AB111">
        <f>HYPERLINK("https://klasma.github.io/Logging_2582/tillsynsmail/A 41087-2024 tillsynsbegäran mail.docx", "A 41087-2024")</f>
        <v/>
      </c>
    </row>
    <row r="112" ht="15" customHeight="1">
      <c r="A112" t="inlineStr">
        <is>
          <t>A 32600-2024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45513</v>
      </c>
      <c r="E112" s="1" t="n">
        <v>46221</v>
      </c>
      <c r="F112" t="inlineStr">
        <is>
          <t>NORRBOTTENS LÄN</t>
        </is>
      </c>
      <c r="G112" t="inlineStr">
        <is>
          <t>BODEN</t>
        </is>
      </c>
      <c r="I112" t="n">
        <v>2.5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s="2" t="inlineStr">
        <is>
          <t>Lunglav</t>
        </is>
      </c>
      <c r="V112">
        <f>HYPERLINK("https://klasma.github.io/Logging_2582/artfynd/A 32600-2024 artfynd.xlsx", "A 32600-2024")</f>
        <v/>
      </c>
      <c r="W112">
        <f>HYPERLINK("https://klasma.github.io/Logging_2582/kartor/A 32600-2024 karta.png", "A 32600-2024")</f>
        <v/>
      </c>
      <c r="Y112">
        <f>HYPERLINK("https://klasma.github.io/Logging_2582/klagomål/A 32600-2024 FSC-klagomål.docx", "A 32600-2024")</f>
        <v/>
      </c>
      <c r="Z112">
        <f>HYPERLINK("https://klasma.github.io/Logging_2582/klagomålsmail/A 32600-2024 FSC-klagomål mail.docx", "A 32600-2024")</f>
        <v/>
      </c>
      <c r="AA112">
        <f>HYPERLINK("https://klasma.github.io/Logging_2582/tillsyn/A 32600-2024 tillsynsbegäran.docx", "A 32600-2024")</f>
        <v/>
      </c>
      <c r="AB112">
        <f>HYPERLINK("https://klasma.github.io/Logging_2582/tillsynsmail/A 32600-2024 tillsynsbegäran mail.docx", "A 32600-2024")</f>
        <v/>
      </c>
    </row>
    <row r="113" ht="15" customHeight="1">
      <c r="A113" t="inlineStr">
        <is>
          <t>A 4878-2026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46048</v>
      </c>
      <c r="E113" s="1" t="n">
        <v>46221</v>
      </c>
      <c r="F113" t="inlineStr">
        <is>
          <t>NORRBOTTENS LÄN</t>
        </is>
      </c>
      <c r="G113" t="inlineStr">
        <is>
          <t>BODEN</t>
        </is>
      </c>
      <c r="I113" t="n">
        <v>1.8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s="2" t="inlineStr">
        <is>
          <t>Vanlig padda</t>
        </is>
      </c>
      <c r="V113">
        <f>HYPERLINK("https://klasma.github.io/Logging_2582/artfynd/A 4878-2026 artfynd.xlsx", "A 4878-2026")</f>
        <v/>
      </c>
      <c r="W113">
        <f>HYPERLINK("https://klasma.github.io/Logging_2582/kartor/A 4878-2026 karta.png", "A 4878-2026")</f>
        <v/>
      </c>
      <c r="Y113">
        <f>HYPERLINK("https://klasma.github.io/Logging_2582/klagomål/A 4878-2026 FSC-klagomål.docx", "A 4878-2026")</f>
        <v/>
      </c>
      <c r="Z113">
        <f>HYPERLINK("https://klasma.github.io/Logging_2582/klagomålsmail/A 4878-2026 FSC-klagomål mail.docx", "A 4878-2026")</f>
        <v/>
      </c>
      <c r="AA113">
        <f>HYPERLINK("https://klasma.github.io/Logging_2582/tillsyn/A 4878-2026 tillsynsbegäran.docx", "A 4878-2026")</f>
        <v/>
      </c>
      <c r="AB113">
        <f>HYPERLINK("https://klasma.github.io/Logging_2582/tillsynsmail/A 4878-2026 tillsynsbegäran mail.docx", "A 4878-2026")</f>
        <v/>
      </c>
    </row>
    <row r="114" ht="15" customHeight="1">
      <c r="A114" t="inlineStr">
        <is>
          <t>A 41443-2025</t>
        </is>
      </c>
      <c r="B114" t="inlineStr">
        <is>
          <t>avverkningsanmälan</t>
        </is>
      </c>
      <c r="C114" t="inlineStr">
        <is>
          <t>Avverkning för att bevara och utveckla /försöksver</t>
        </is>
      </c>
      <c r="D114" s="1" t="n">
        <v>45901</v>
      </c>
      <c r="E114" s="1" t="n">
        <v>46221</v>
      </c>
      <c r="F114" t="inlineStr">
        <is>
          <t>NORRBOTTENS LÄN</t>
        </is>
      </c>
      <c r="G114" t="inlineStr">
        <is>
          <t>BODEN</t>
        </is>
      </c>
      <c r="H114" t="inlineStr">
        <is>
          <t>Sveaskog</t>
        </is>
      </c>
      <c r="I114" t="n">
        <v>1.7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s="2" t="inlineStr">
        <is>
          <t>Kolflarnlav</t>
        </is>
      </c>
      <c r="V114">
        <f>HYPERLINK("https://klasma.github.io/Logging_2582/artfynd/A 41443-2025 artfynd.xlsx", "A 41443-2025")</f>
        <v/>
      </c>
      <c r="W114">
        <f>HYPERLINK("https://klasma.github.io/Logging_2582/kartor/A 41443-2025 karta.png", "A 41443-2025")</f>
        <v/>
      </c>
      <c r="Y114">
        <f>HYPERLINK("https://klasma.github.io/Logging_2582/klagomål/A 41443-2025 FSC-klagomål.docx", "A 41443-2025")</f>
        <v/>
      </c>
      <c r="Z114">
        <f>HYPERLINK("https://klasma.github.io/Logging_2582/klagomålsmail/A 41443-2025 FSC-klagomål mail.docx", "A 41443-2025")</f>
        <v/>
      </c>
      <c r="AA114">
        <f>HYPERLINK("https://klasma.github.io/Logging_2582/tillsyn/A 41443-2025 tillsynsbegäran.docx", "A 41443-2025")</f>
        <v/>
      </c>
      <c r="AB114">
        <f>HYPERLINK("https://klasma.github.io/Logging_2582/tillsynsmail/A 41443-2025 tillsynsbegäran mail.docx", "A 41443-2025")</f>
        <v/>
      </c>
    </row>
    <row r="115" ht="15" customHeight="1">
      <c r="A115" t="inlineStr">
        <is>
          <t>A 2565-2026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46037</v>
      </c>
      <c r="E115" s="1" t="n">
        <v>46221</v>
      </c>
      <c r="F115" t="inlineStr">
        <is>
          <t>NORRBOTTENS LÄN</t>
        </is>
      </c>
      <c r="G115" t="inlineStr">
        <is>
          <t>BODEN</t>
        </is>
      </c>
      <c r="H115" t="inlineStr">
        <is>
          <t>Naturvårdsverket</t>
        </is>
      </c>
      <c r="I115" t="n">
        <v>4</v>
      </c>
      <c r="J115" t="n">
        <v>0</v>
      </c>
      <c r="K115" t="n">
        <v>0</v>
      </c>
      <c r="L115" t="n">
        <v>0</v>
      </c>
      <c r="M115" t="n">
        <v>1</v>
      </c>
      <c r="N115" t="n">
        <v>0</v>
      </c>
      <c r="O115" t="n">
        <v>0</v>
      </c>
      <c r="P115" t="n">
        <v>0</v>
      </c>
      <c r="Q115" t="n">
        <v>1</v>
      </c>
      <c r="R115" t="n">
        <v>1</v>
      </c>
      <c r="S115" t="n">
        <v>1</v>
      </c>
      <c r="T115" t="n">
        <v>2</v>
      </c>
      <c r="U115" s="2" t="inlineStr">
        <is>
          <t>Garnlav</t>
        </is>
      </c>
      <c r="V115">
        <f>HYPERLINK("https://klasma.github.io/Logging_2582/artfynd/A 2565-2026 artfynd.xlsx", "A 2565-2026")</f>
        <v/>
      </c>
      <c r="W115">
        <f>HYPERLINK("https://klasma.github.io/Logging_2582/kartor/A 2565-2026 karta.png", "A 2565-2026")</f>
        <v/>
      </c>
      <c r="Y115">
        <f>HYPERLINK("https://klasma.github.io/Logging_2582/klagomål/A 2565-2026 FSC-klagomål.docx", "A 2565-2026")</f>
        <v/>
      </c>
      <c r="Z115">
        <f>HYPERLINK("https://klasma.github.io/Logging_2582/klagomålsmail/A 2565-2026 FSC-klagomål mail.docx", "A 2565-2026")</f>
        <v/>
      </c>
      <c r="AA115">
        <f>HYPERLINK("https://klasma.github.io/Logging_2582/tillsyn/A 2565-2026 tillsynsbegäran.docx", "A 2565-2026")</f>
        <v/>
      </c>
      <c r="AB115">
        <f>HYPERLINK("https://klasma.github.io/Logging_2582/tillsynsmail/A 2565-2026 tillsynsbegäran mail.docx", "A 2565-2026")</f>
        <v/>
      </c>
    </row>
    <row r="116" ht="15" customHeight="1">
      <c r="A116" t="inlineStr">
        <is>
          <t>A 41436-2025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45901</v>
      </c>
      <c r="E116" s="1" t="n">
        <v>46221</v>
      </c>
      <c r="F116" t="inlineStr">
        <is>
          <t>NORRBOTTENS LÄN</t>
        </is>
      </c>
      <c r="G116" t="inlineStr">
        <is>
          <t>BODEN</t>
        </is>
      </c>
      <c r="H116" t="inlineStr">
        <is>
          <t>Sveaskog</t>
        </is>
      </c>
      <c r="I116" t="n">
        <v>21.5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2</v>
      </c>
      <c r="U116" s="2" t="inlineStr">
        <is>
          <t>Fläcknycklar</t>
        </is>
      </c>
      <c r="V116">
        <f>HYPERLINK("https://klasma.github.io/Logging_2582/artfynd/A 41436-2025 artfynd.xlsx", "A 41436-2025")</f>
        <v/>
      </c>
      <c r="W116">
        <f>HYPERLINK("https://klasma.github.io/Logging_2582/kartor/A 41436-2025 karta.png", "A 41436-2025")</f>
        <v/>
      </c>
      <c r="Y116">
        <f>HYPERLINK("https://klasma.github.io/Logging_2582/klagomål/A 41436-2025 FSC-klagomål.docx", "A 41436-2025")</f>
        <v/>
      </c>
      <c r="Z116">
        <f>HYPERLINK("https://klasma.github.io/Logging_2582/klagomålsmail/A 41436-2025 FSC-klagomål mail.docx", "A 41436-2025")</f>
        <v/>
      </c>
      <c r="AA116">
        <f>HYPERLINK("https://klasma.github.io/Logging_2582/tillsyn/A 41436-2025 tillsynsbegäran.docx", "A 41436-2025")</f>
        <v/>
      </c>
      <c r="AB116">
        <f>HYPERLINK("https://klasma.github.io/Logging_2582/tillsynsmail/A 41436-2025 tillsynsbegäran mail.docx", "A 41436-2025")</f>
        <v/>
      </c>
    </row>
    <row r="117" ht="15" customHeight="1">
      <c r="A117" t="inlineStr">
        <is>
          <t>A 26359-2022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44735</v>
      </c>
      <c r="E117" s="1" t="n">
        <v>46221</v>
      </c>
      <c r="F117" t="inlineStr">
        <is>
          <t>NORRBOTTENS LÄN</t>
        </is>
      </c>
      <c r="G117" t="inlineStr">
        <is>
          <t>BODEN</t>
        </is>
      </c>
      <c r="H117" t="inlineStr">
        <is>
          <t>Sveaskog</t>
        </is>
      </c>
      <c r="I117" t="n">
        <v>11.4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s="2" t="inlineStr">
        <is>
          <t>Tallticka</t>
        </is>
      </c>
      <c r="V117">
        <f>HYPERLINK("https://klasma.github.io/Logging_2582/artfynd/A 26359-2022 artfynd.xlsx", "A 26359-2022")</f>
        <v/>
      </c>
      <c r="W117">
        <f>HYPERLINK("https://klasma.github.io/Logging_2582/kartor/A 26359-2022 karta.png", "A 26359-2022")</f>
        <v/>
      </c>
      <c r="Y117">
        <f>HYPERLINK("https://klasma.github.io/Logging_2582/klagomål/A 26359-2022 FSC-klagomål.docx", "A 26359-2022")</f>
        <v/>
      </c>
      <c r="Z117">
        <f>HYPERLINK("https://klasma.github.io/Logging_2582/klagomålsmail/A 26359-2022 FSC-klagomål mail.docx", "A 26359-2022")</f>
        <v/>
      </c>
      <c r="AA117">
        <f>HYPERLINK("https://klasma.github.io/Logging_2582/tillsyn/A 26359-2022 tillsynsbegäran.docx", "A 26359-2022")</f>
        <v/>
      </c>
      <c r="AB117">
        <f>HYPERLINK("https://klasma.github.io/Logging_2582/tillsynsmail/A 26359-2022 tillsynsbegäran mail.docx", "A 26359-2022")</f>
        <v/>
      </c>
    </row>
    <row r="118" ht="15" customHeight="1">
      <c r="A118" t="inlineStr">
        <is>
          <t>A 50394-2025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45944</v>
      </c>
      <c r="E118" s="1" t="n">
        <v>46221</v>
      </c>
      <c r="F118" t="inlineStr">
        <is>
          <t>NORRBOTTENS LÄN</t>
        </is>
      </c>
      <c r="G118" t="inlineStr">
        <is>
          <t>BODEN</t>
        </is>
      </c>
      <c r="H118" t="inlineStr">
        <is>
          <t>Sveaskog</t>
        </is>
      </c>
      <c r="I118" t="n">
        <v>2.2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s="2" t="inlineStr">
        <is>
          <t>Utter</t>
        </is>
      </c>
      <c r="V118">
        <f>HYPERLINK("https://klasma.github.io/Logging_2582/artfynd/A 50394-2025 artfynd.xlsx", "A 50394-2025")</f>
        <v/>
      </c>
      <c r="W118">
        <f>HYPERLINK("https://klasma.github.io/Logging_2582/kartor/A 50394-2025 karta.png", "A 50394-2025")</f>
        <v/>
      </c>
      <c r="Y118">
        <f>HYPERLINK("https://klasma.github.io/Logging_2582/klagomål/A 50394-2025 FSC-klagomål.docx", "A 50394-2025")</f>
        <v/>
      </c>
      <c r="Z118">
        <f>HYPERLINK("https://klasma.github.io/Logging_2582/klagomålsmail/A 50394-2025 FSC-klagomål mail.docx", "A 50394-2025")</f>
        <v/>
      </c>
      <c r="AA118">
        <f>HYPERLINK("https://klasma.github.io/Logging_2582/tillsyn/A 50394-2025 tillsynsbegäran.docx", "A 50394-2025")</f>
        <v/>
      </c>
      <c r="AB118">
        <f>HYPERLINK("https://klasma.github.io/Logging_2582/tillsynsmail/A 50394-2025 tillsynsbegäran mail.docx", "A 50394-2025")</f>
        <v/>
      </c>
    </row>
    <row r="119" ht="15" customHeight="1">
      <c r="A119" t="inlineStr">
        <is>
          <t>A 51184-2025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45947</v>
      </c>
      <c r="E119" s="1" t="n">
        <v>46221</v>
      </c>
      <c r="F119" t="inlineStr">
        <is>
          <t>NORRBOTTENS LÄN</t>
        </is>
      </c>
      <c r="G119" t="inlineStr">
        <is>
          <t>BODEN</t>
        </is>
      </c>
      <c r="H119" t="inlineStr">
        <is>
          <t>Sveaskog</t>
        </is>
      </c>
      <c r="I119" t="n">
        <v>2.9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s="2" t="inlineStr">
        <is>
          <t>Lunglav</t>
        </is>
      </c>
      <c r="V119">
        <f>HYPERLINK("https://klasma.github.io/Logging_2582/artfynd/A 51184-2025 artfynd.xlsx", "A 51184-2025")</f>
        <v/>
      </c>
      <c r="W119">
        <f>HYPERLINK("https://klasma.github.io/Logging_2582/kartor/A 51184-2025 karta.png", "A 51184-2025")</f>
        <v/>
      </c>
      <c r="Y119">
        <f>HYPERLINK("https://klasma.github.io/Logging_2582/klagomål/A 51184-2025 FSC-klagomål.docx", "A 51184-2025")</f>
        <v/>
      </c>
      <c r="Z119">
        <f>HYPERLINK("https://klasma.github.io/Logging_2582/klagomålsmail/A 51184-2025 FSC-klagomål mail.docx", "A 51184-2025")</f>
        <v/>
      </c>
      <c r="AA119">
        <f>HYPERLINK("https://klasma.github.io/Logging_2582/tillsyn/A 51184-2025 tillsynsbegäran.docx", "A 51184-2025")</f>
        <v/>
      </c>
      <c r="AB119">
        <f>HYPERLINK("https://klasma.github.io/Logging_2582/tillsynsmail/A 51184-2025 tillsynsbegäran mail.docx", "A 51184-2025")</f>
        <v/>
      </c>
    </row>
    <row r="120" ht="15" customHeight="1">
      <c r="A120" t="inlineStr">
        <is>
          <t>A 51258-2025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45949</v>
      </c>
      <c r="E120" s="1" t="n">
        <v>46221</v>
      </c>
      <c r="F120" t="inlineStr">
        <is>
          <t>NORRBOTTENS LÄN</t>
        </is>
      </c>
      <c r="G120" t="inlineStr">
        <is>
          <t>BODEN</t>
        </is>
      </c>
      <c r="H120" t="inlineStr">
        <is>
          <t>SCA</t>
        </is>
      </c>
      <c r="I120" t="n">
        <v>1.4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s="2" t="inlineStr">
        <is>
          <t>Sångsvan</t>
        </is>
      </c>
      <c r="V120">
        <f>HYPERLINK("https://klasma.github.io/Logging_2582/artfynd/A 51258-2025 artfynd.xlsx", "A 51258-2025")</f>
        <v/>
      </c>
      <c r="W120">
        <f>HYPERLINK("https://klasma.github.io/Logging_2582/kartor/A 51258-2025 karta.png", "A 51258-2025")</f>
        <v/>
      </c>
      <c r="Y120">
        <f>HYPERLINK("https://klasma.github.io/Logging_2582/klagomål/A 51258-2025 FSC-klagomål.docx", "A 51258-2025")</f>
        <v/>
      </c>
      <c r="Z120">
        <f>HYPERLINK("https://klasma.github.io/Logging_2582/klagomålsmail/A 51258-2025 FSC-klagomål mail.docx", "A 51258-2025")</f>
        <v/>
      </c>
      <c r="AA120">
        <f>HYPERLINK("https://klasma.github.io/Logging_2582/tillsyn/A 51258-2025 tillsynsbegäran.docx", "A 51258-2025")</f>
        <v/>
      </c>
      <c r="AB120">
        <f>HYPERLINK("https://klasma.github.io/Logging_2582/tillsynsmail/A 51258-2025 tillsynsbegäran mail.docx", "A 51258-2025")</f>
        <v/>
      </c>
      <c r="AC120">
        <f>HYPERLINK("https://klasma.github.io/Logging_2582/fåglar/A 51258-2025 prioriterade fågelarter.docx", "A 51258-2025")</f>
        <v/>
      </c>
    </row>
    <row r="121" ht="15" customHeight="1">
      <c r="A121" t="inlineStr">
        <is>
          <t>A 51304-2025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45950</v>
      </c>
      <c r="E121" s="1" t="n">
        <v>46221</v>
      </c>
      <c r="F121" t="inlineStr">
        <is>
          <t>NORRBOTTENS LÄN</t>
        </is>
      </c>
      <c r="G121" t="inlineStr">
        <is>
          <t>BODEN</t>
        </is>
      </c>
      <c r="H121" t="inlineStr">
        <is>
          <t>SCA</t>
        </is>
      </c>
      <c r="I121" t="n">
        <v>1.3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s="2" t="inlineStr">
        <is>
          <t>Bollvitmossa</t>
        </is>
      </c>
      <c r="V121">
        <f>HYPERLINK("https://klasma.github.io/Logging_2582/artfynd/A 51304-2025 artfynd.xlsx", "A 51304-2025")</f>
        <v/>
      </c>
      <c r="W121">
        <f>HYPERLINK("https://klasma.github.io/Logging_2582/kartor/A 51304-2025 karta.png", "A 51304-2025")</f>
        <v/>
      </c>
      <c r="Y121">
        <f>HYPERLINK("https://klasma.github.io/Logging_2582/klagomål/A 51304-2025 FSC-klagomål.docx", "A 51304-2025")</f>
        <v/>
      </c>
      <c r="Z121">
        <f>HYPERLINK("https://klasma.github.io/Logging_2582/klagomålsmail/A 51304-2025 FSC-klagomål mail.docx", "A 51304-2025")</f>
        <v/>
      </c>
      <c r="AA121">
        <f>HYPERLINK("https://klasma.github.io/Logging_2582/tillsyn/A 51304-2025 tillsynsbegäran.docx", "A 51304-2025")</f>
        <v/>
      </c>
      <c r="AB121">
        <f>HYPERLINK("https://klasma.github.io/Logging_2582/tillsynsmail/A 51304-2025 tillsynsbegäran mail.docx", "A 51304-2025")</f>
        <v/>
      </c>
    </row>
    <row r="122" ht="15" customHeight="1">
      <c r="A122" t="inlineStr">
        <is>
          <t>A 51874-2025</t>
        </is>
      </c>
      <c r="B122" t="inlineStr">
        <is>
          <t>avverkningsanmälan</t>
        </is>
      </c>
      <c r="C122" t="inlineStr">
        <is>
          <t>Avverkning för att bevara och utveckla /försöksver</t>
        </is>
      </c>
      <c r="D122" s="1" t="n">
        <v>45952</v>
      </c>
      <c r="E122" s="1" t="n">
        <v>46221</v>
      </c>
      <c r="F122" t="inlineStr">
        <is>
          <t>NORRBOTTENS LÄN</t>
        </is>
      </c>
      <c r="G122" t="inlineStr">
        <is>
          <t>BODEN</t>
        </is>
      </c>
      <c r="H122" t="inlineStr">
        <is>
          <t>Sveaskog</t>
        </is>
      </c>
      <c r="I122" t="n">
        <v>0.7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s="2" t="inlineStr">
        <is>
          <t>Skinnlav</t>
        </is>
      </c>
      <c r="V122">
        <f>HYPERLINK("https://klasma.github.io/Logging_2582/artfynd/A 51874-2025 artfynd.xlsx", "A 51874-2025")</f>
        <v/>
      </c>
      <c r="W122">
        <f>HYPERLINK("https://klasma.github.io/Logging_2582/kartor/A 51874-2025 karta.png", "A 51874-2025")</f>
        <v/>
      </c>
      <c r="Y122">
        <f>HYPERLINK("https://klasma.github.io/Logging_2582/klagomål/A 51874-2025 FSC-klagomål.docx", "A 51874-2025")</f>
        <v/>
      </c>
      <c r="Z122">
        <f>HYPERLINK("https://klasma.github.io/Logging_2582/klagomålsmail/A 51874-2025 FSC-klagomål mail.docx", "A 51874-2025")</f>
        <v/>
      </c>
      <c r="AA122">
        <f>HYPERLINK("https://klasma.github.io/Logging_2582/tillsyn/A 51874-2025 tillsynsbegäran.docx", "A 51874-2025")</f>
        <v/>
      </c>
      <c r="AB122">
        <f>HYPERLINK("https://klasma.github.io/Logging_2582/tillsynsmail/A 51874-2025 tillsynsbegäran mail.docx", "A 51874-2025")</f>
        <v/>
      </c>
    </row>
    <row r="123" ht="15" customHeight="1">
      <c r="A123" t="inlineStr">
        <is>
          <t>A 49410-2023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45211</v>
      </c>
      <c r="E123" s="1" t="n">
        <v>46221</v>
      </c>
      <c r="F123" t="inlineStr">
        <is>
          <t>NORRBOTTENS LÄN</t>
        </is>
      </c>
      <c r="G123" t="inlineStr">
        <is>
          <t>BODEN</t>
        </is>
      </c>
      <c r="H123" t="inlineStr">
        <is>
          <t>Sveaskog</t>
        </is>
      </c>
      <c r="I123" t="n">
        <v>3.8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s="2" t="inlineStr">
        <is>
          <t>Lunglav</t>
        </is>
      </c>
      <c r="V123">
        <f>HYPERLINK("https://klasma.github.io/Logging_2582/artfynd/A 49410-2023 artfynd.xlsx", "A 49410-2023")</f>
        <v/>
      </c>
      <c r="W123">
        <f>HYPERLINK("https://klasma.github.io/Logging_2582/kartor/A 49410-2023 karta.png", "A 49410-2023")</f>
        <v/>
      </c>
      <c r="Y123">
        <f>HYPERLINK("https://klasma.github.io/Logging_2582/klagomål/A 49410-2023 FSC-klagomål.docx", "A 49410-2023")</f>
        <v/>
      </c>
      <c r="Z123">
        <f>HYPERLINK("https://klasma.github.io/Logging_2582/klagomålsmail/A 49410-2023 FSC-klagomål mail.docx", "A 49410-2023")</f>
        <v/>
      </c>
      <c r="AA123">
        <f>HYPERLINK("https://klasma.github.io/Logging_2582/tillsyn/A 49410-2023 tillsynsbegäran.docx", "A 49410-2023")</f>
        <v/>
      </c>
      <c r="AB123">
        <f>HYPERLINK("https://klasma.github.io/Logging_2582/tillsynsmail/A 49410-2023 tillsynsbegäran mail.docx", "A 49410-2023")</f>
        <v/>
      </c>
    </row>
    <row r="124" ht="15" customHeight="1">
      <c r="A124" t="inlineStr">
        <is>
          <t>A 53180-2025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45958</v>
      </c>
      <c r="E124" s="1" t="n">
        <v>46221</v>
      </c>
      <c r="F124" t="inlineStr">
        <is>
          <t>NORRBOTTENS LÄN</t>
        </is>
      </c>
      <c r="G124" t="inlineStr">
        <is>
          <t>BODEN</t>
        </is>
      </c>
      <c r="H124" t="inlineStr">
        <is>
          <t>Sveaskog</t>
        </is>
      </c>
      <c r="I124" t="n">
        <v>13.2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3</v>
      </c>
      <c r="U124" s="2" t="inlineStr">
        <is>
          <t>Lunglav</t>
        </is>
      </c>
      <c r="V124">
        <f>HYPERLINK("https://klasma.github.io/Logging_2582/artfynd/A 53180-2025 artfynd.xlsx", "A 53180-2025")</f>
        <v/>
      </c>
      <c r="W124">
        <f>HYPERLINK("https://klasma.github.io/Logging_2582/kartor/A 53180-2025 karta.png", "A 53180-2025")</f>
        <v/>
      </c>
      <c r="Y124">
        <f>HYPERLINK("https://klasma.github.io/Logging_2582/klagomål/A 53180-2025 FSC-klagomål.docx", "A 53180-2025")</f>
        <v/>
      </c>
      <c r="Z124">
        <f>HYPERLINK("https://klasma.github.io/Logging_2582/klagomålsmail/A 53180-2025 FSC-klagomål mail.docx", "A 53180-2025")</f>
        <v/>
      </c>
      <c r="AA124">
        <f>HYPERLINK("https://klasma.github.io/Logging_2582/tillsyn/A 53180-2025 tillsynsbegäran.docx", "A 53180-2025")</f>
        <v/>
      </c>
      <c r="AB124">
        <f>HYPERLINK("https://klasma.github.io/Logging_2582/tillsynsmail/A 53180-2025 tillsynsbegäran mail.docx", "A 53180-2025")</f>
        <v/>
      </c>
    </row>
    <row r="125" ht="15" customHeight="1">
      <c r="A125" t="inlineStr">
        <is>
          <t>A 53590-2025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45960</v>
      </c>
      <c r="E125" s="1" t="n">
        <v>46221</v>
      </c>
      <c r="F125" t="inlineStr">
        <is>
          <t>NORRBOTTENS LÄN</t>
        </is>
      </c>
      <c r="G125" t="inlineStr">
        <is>
          <t>BODEN</t>
        </is>
      </c>
      <c r="H125" t="inlineStr">
        <is>
          <t>Sveaskog</t>
        </is>
      </c>
      <c r="I125" t="n">
        <v>7.6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s="2" t="inlineStr">
        <is>
          <t>Gulskölding</t>
        </is>
      </c>
      <c r="V125">
        <f>HYPERLINK("https://klasma.github.io/Logging_2582/artfynd/A 53590-2025 artfynd.xlsx", "A 53590-2025")</f>
        <v/>
      </c>
      <c r="W125">
        <f>HYPERLINK("https://klasma.github.io/Logging_2582/kartor/A 53590-2025 karta.png", "A 53590-2025")</f>
        <v/>
      </c>
      <c r="Y125">
        <f>HYPERLINK("https://klasma.github.io/Logging_2582/klagomål/A 53590-2025 FSC-klagomål.docx", "A 53590-2025")</f>
        <v/>
      </c>
      <c r="Z125">
        <f>HYPERLINK("https://klasma.github.io/Logging_2582/klagomålsmail/A 53590-2025 FSC-klagomål mail.docx", "A 53590-2025")</f>
        <v/>
      </c>
      <c r="AA125">
        <f>HYPERLINK("https://klasma.github.io/Logging_2582/tillsyn/A 53590-2025 tillsynsbegäran.docx", "A 53590-2025")</f>
        <v/>
      </c>
      <c r="AB125">
        <f>HYPERLINK("https://klasma.github.io/Logging_2582/tillsynsmail/A 53590-2025 tillsynsbegäran mail.docx", "A 53590-2025")</f>
        <v/>
      </c>
    </row>
    <row r="126" ht="15" customHeight="1">
      <c r="A126" t="inlineStr">
        <is>
          <t>A 54563-2025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45965</v>
      </c>
      <c r="E126" s="1" t="n">
        <v>46221</v>
      </c>
      <c r="F126" t="inlineStr">
        <is>
          <t>NORRBOTTENS LÄN</t>
        </is>
      </c>
      <c r="G126" t="inlineStr">
        <is>
          <t>BODEN</t>
        </is>
      </c>
      <c r="H126" t="inlineStr">
        <is>
          <t>Sveaskog</t>
        </is>
      </c>
      <c r="I126" t="n">
        <v>10.3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s="2" t="inlineStr">
        <is>
          <t>Tallticka</t>
        </is>
      </c>
      <c r="V126">
        <f>HYPERLINK("https://klasma.github.io/Logging_2582/artfynd/A 54563-2025 artfynd.xlsx", "A 54563-2025")</f>
        <v/>
      </c>
      <c r="W126">
        <f>HYPERLINK("https://klasma.github.io/Logging_2582/kartor/A 54563-2025 karta.png", "A 54563-2025")</f>
        <v/>
      </c>
      <c r="Y126">
        <f>HYPERLINK("https://klasma.github.io/Logging_2582/klagomål/A 54563-2025 FSC-klagomål.docx", "A 54563-2025")</f>
        <v/>
      </c>
      <c r="Z126">
        <f>HYPERLINK("https://klasma.github.io/Logging_2582/klagomålsmail/A 54563-2025 FSC-klagomål mail.docx", "A 54563-2025")</f>
        <v/>
      </c>
      <c r="AA126">
        <f>HYPERLINK("https://klasma.github.io/Logging_2582/tillsyn/A 54563-2025 tillsynsbegäran.docx", "A 54563-2025")</f>
        <v/>
      </c>
      <c r="AB126">
        <f>HYPERLINK("https://klasma.github.io/Logging_2582/tillsynsmail/A 54563-2025 tillsynsbegäran mail.docx", "A 54563-2025")</f>
        <v/>
      </c>
    </row>
    <row r="127" ht="15" customHeight="1">
      <c r="A127" t="inlineStr">
        <is>
          <t>A 56598-2025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45975</v>
      </c>
      <c r="E127" s="1" t="n">
        <v>46221</v>
      </c>
      <c r="F127" t="inlineStr">
        <is>
          <t>NORRBOTTENS LÄN</t>
        </is>
      </c>
      <c r="G127" t="inlineStr">
        <is>
          <t>BODEN</t>
        </is>
      </c>
      <c r="I127" t="n">
        <v>1.1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s="2" t="inlineStr">
        <is>
          <t>Revlummer</t>
        </is>
      </c>
      <c r="V127">
        <f>HYPERLINK("https://klasma.github.io/Logging_2582/artfynd/A 56598-2025 artfynd.xlsx", "A 56598-2025")</f>
        <v/>
      </c>
      <c r="W127">
        <f>HYPERLINK("https://klasma.github.io/Logging_2582/kartor/A 56598-2025 karta.png", "A 56598-2025")</f>
        <v/>
      </c>
      <c r="Y127">
        <f>HYPERLINK("https://klasma.github.io/Logging_2582/klagomål/A 56598-2025 FSC-klagomål.docx", "A 56598-2025")</f>
        <v/>
      </c>
      <c r="Z127">
        <f>HYPERLINK("https://klasma.github.io/Logging_2582/klagomålsmail/A 56598-2025 FSC-klagomål mail.docx", "A 56598-2025")</f>
        <v/>
      </c>
      <c r="AA127">
        <f>HYPERLINK("https://klasma.github.io/Logging_2582/tillsyn/A 56598-2025 tillsynsbegäran.docx", "A 56598-2025")</f>
        <v/>
      </c>
      <c r="AB127">
        <f>HYPERLINK("https://klasma.github.io/Logging_2582/tillsynsmail/A 56598-2025 tillsynsbegäran mail.docx", "A 56598-2025")</f>
        <v/>
      </c>
    </row>
    <row r="128" ht="15" customHeight="1">
      <c r="A128" t="inlineStr">
        <is>
          <t>A 12832-2022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44642</v>
      </c>
      <c r="E128" s="1" t="n">
        <v>46221</v>
      </c>
      <c r="F128" t="inlineStr">
        <is>
          <t>NORRBOTTENS LÄN</t>
        </is>
      </c>
      <c r="G128" t="inlineStr">
        <is>
          <t>BODEN</t>
        </is>
      </c>
      <c r="I128" t="n">
        <v>6.6</v>
      </c>
      <c r="J128" t="n">
        <v>1</v>
      </c>
      <c r="K128" t="n">
        <v>0</v>
      </c>
      <c r="L128" t="n">
        <v>0</v>
      </c>
      <c r="M128" t="n">
        <v>1</v>
      </c>
      <c r="N128" t="n">
        <v>0</v>
      </c>
      <c r="O128" t="n">
        <v>0</v>
      </c>
      <c r="P128" t="n">
        <v>0</v>
      </c>
      <c r="Q128" t="n">
        <v>1</v>
      </c>
      <c r="R128" t="n">
        <v>1</v>
      </c>
      <c r="S128" t="n">
        <v>1</v>
      </c>
      <c r="T128" t="n">
        <v>1</v>
      </c>
      <c r="U128" s="2" t="inlineStr">
        <is>
          <t>Doftticka</t>
        </is>
      </c>
      <c r="V128">
        <f>HYPERLINK("https://klasma.github.io/Logging_2582/artfynd/A 12832-2022 artfynd.xlsx", "A 12832-2022")</f>
        <v/>
      </c>
      <c r="W128">
        <f>HYPERLINK("https://klasma.github.io/Logging_2582/kartor/A 12832-2022 karta.png", "A 12832-2022")</f>
        <v/>
      </c>
      <c r="Y128">
        <f>HYPERLINK("https://klasma.github.io/Logging_2582/klagomål/A 12832-2022 FSC-klagomål.docx", "A 12832-2022")</f>
        <v/>
      </c>
      <c r="Z128">
        <f>HYPERLINK("https://klasma.github.io/Logging_2582/klagomålsmail/A 12832-2022 FSC-klagomål mail.docx", "A 12832-2022")</f>
        <v/>
      </c>
      <c r="AA128">
        <f>HYPERLINK("https://klasma.github.io/Logging_2582/tillsyn/A 12832-2022 tillsynsbegäran.docx", "A 12832-2022")</f>
        <v/>
      </c>
      <c r="AB128">
        <f>HYPERLINK("https://klasma.github.io/Logging_2582/tillsynsmail/A 12832-2022 tillsynsbegäran mail.docx", "A 12832-2022")</f>
        <v/>
      </c>
    </row>
    <row r="129" ht="15" customHeight="1">
      <c r="A129" t="inlineStr">
        <is>
          <t>A 60196-2025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45994</v>
      </c>
      <c r="E129" s="1" t="n">
        <v>46221</v>
      </c>
      <c r="F129" t="inlineStr">
        <is>
          <t>NORRBOTTENS LÄN</t>
        </is>
      </c>
      <c r="G129" t="inlineStr">
        <is>
          <t>BODEN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1</v>
      </c>
      <c r="N129" t="n">
        <v>0</v>
      </c>
      <c r="O129" t="n">
        <v>0</v>
      </c>
      <c r="P129" t="n">
        <v>0</v>
      </c>
      <c r="Q129" t="n">
        <v>1</v>
      </c>
      <c r="R129" t="n">
        <v>1</v>
      </c>
      <c r="S129" t="n">
        <v>1</v>
      </c>
      <c r="T129" t="n">
        <v>1</v>
      </c>
      <c r="U129" s="2" t="inlineStr">
        <is>
          <t>Igelkott</t>
        </is>
      </c>
      <c r="V129">
        <f>HYPERLINK("https://klasma.github.io/Logging_2582/artfynd/A 60196-2025 artfynd.xlsx", "A 60196-2025")</f>
        <v/>
      </c>
      <c r="W129">
        <f>HYPERLINK("https://klasma.github.io/Logging_2582/kartor/A 60196-2025 karta.png", "A 60196-2025")</f>
        <v/>
      </c>
      <c r="Y129">
        <f>HYPERLINK("https://klasma.github.io/Logging_2582/klagomål/A 60196-2025 FSC-klagomål.docx", "A 60196-2025")</f>
        <v/>
      </c>
      <c r="Z129">
        <f>HYPERLINK("https://klasma.github.io/Logging_2582/klagomålsmail/A 60196-2025 FSC-klagomål mail.docx", "A 60196-2025")</f>
        <v/>
      </c>
      <c r="AA129">
        <f>HYPERLINK("https://klasma.github.io/Logging_2582/tillsyn/A 60196-2025 tillsynsbegäran.docx", "A 60196-2025")</f>
        <v/>
      </c>
      <c r="AB129">
        <f>HYPERLINK("https://klasma.github.io/Logging_2582/tillsynsmail/A 60196-2025 tillsynsbegäran mail.docx", "A 60196-2025")</f>
        <v/>
      </c>
    </row>
    <row r="130" ht="15" customHeight="1">
      <c r="A130" t="inlineStr">
        <is>
          <t>A 60781-2025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45999</v>
      </c>
      <c r="E130" s="1" t="n">
        <v>46221</v>
      </c>
      <c r="F130" t="inlineStr">
        <is>
          <t>NORRBOTTENS LÄN</t>
        </is>
      </c>
      <c r="G130" t="inlineStr">
        <is>
          <t>BODEN</t>
        </is>
      </c>
      <c r="I130" t="n">
        <v>12.3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s="2" t="inlineStr">
        <is>
          <t>Rosenticka</t>
        </is>
      </c>
      <c r="V130">
        <f>HYPERLINK("https://klasma.github.io/Logging_2582/artfynd/A 60781-2025 artfynd.xlsx", "A 60781-2025")</f>
        <v/>
      </c>
      <c r="W130">
        <f>HYPERLINK("https://klasma.github.io/Logging_2582/kartor/A 60781-2025 karta.png", "A 60781-2025")</f>
        <v/>
      </c>
      <c r="Y130">
        <f>HYPERLINK("https://klasma.github.io/Logging_2582/klagomål/A 60781-2025 FSC-klagomål.docx", "A 60781-2025")</f>
        <v/>
      </c>
      <c r="Z130">
        <f>HYPERLINK("https://klasma.github.io/Logging_2582/klagomålsmail/A 60781-2025 FSC-klagomål mail.docx", "A 60781-2025")</f>
        <v/>
      </c>
      <c r="AA130">
        <f>HYPERLINK("https://klasma.github.io/Logging_2582/tillsyn/A 60781-2025 tillsynsbegäran.docx", "A 60781-2025")</f>
        <v/>
      </c>
      <c r="AB130">
        <f>HYPERLINK("https://klasma.github.io/Logging_2582/tillsynsmail/A 60781-2025 tillsynsbegäran mail.docx", "A 60781-2025")</f>
        <v/>
      </c>
    </row>
    <row r="131" ht="15" customHeight="1">
      <c r="A131" t="inlineStr">
        <is>
          <t>A 14329-2026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46100</v>
      </c>
      <c r="E131" s="1" t="n">
        <v>46221</v>
      </c>
      <c r="F131" t="inlineStr">
        <is>
          <t>NORRBOTTENS LÄN</t>
        </is>
      </c>
      <c r="G131" t="inlineStr">
        <is>
          <t>BODEN</t>
        </is>
      </c>
      <c r="I131" t="n">
        <v>1.1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s="2" t="inlineStr">
        <is>
          <t>Tjäder</t>
        </is>
      </c>
      <c r="V131">
        <f>HYPERLINK("https://klasma.github.io/Logging_2582/artfynd/A 14329-2026 artfynd.xlsx", "A 14329-2026")</f>
        <v/>
      </c>
      <c r="W131">
        <f>HYPERLINK("https://klasma.github.io/Logging_2582/kartor/A 14329-2026 karta.png", "A 14329-2026")</f>
        <v/>
      </c>
      <c r="Y131">
        <f>HYPERLINK("https://klasma.github.io/Logging_2582/klagomål/A 14329-2026 FSC-klagomål.docx", "A 14329-2026")</f>
        <v/>
      </c>
      <c r="Z131">
        <f>HYPERLINK("https://klasma.github.io/Logging_2582/klagomålsmail/A 14329-2026 FSC-klagomål mail.docx", "A 14329-2026")</f>
        <v/>
      </c>
      <c r="AA131">
        <f>HYPERLINK("https://klasma.github.io/Logging_2582/tillsyn/A 14329-2026 tillsynsbegäran.docx", "A 14329-2026")</f>
        <v/>
      </c>
      <c r="AB131">
        <f>HYPERLINK("https://klasma.github.io/Logging_2582/tillsynsmail/A 14329-2026 tillsynsbegäran mail.docx", "A 14329-2026")</f>
        <v/>
      </c>
      <c r="AC131">
        <f>HYPERLINK("https://klasma.github.io/Logging_2582/fåglar/A 14329-2026 prioriterade fågelarter.docx", "A 14329-2026")</f>
        <v/>
      </c>
    </row>
    <row r="132" ht="15" customHeight="1">
      <c r="A132" t="inlineStr">
        <is>
          <t>A 62002-2025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46003</v>
      </c>
      <c r="E132" s="1" t="n">
        <v>46221</v>
      </c>
      <c r="F132" t="inlineStr">
        <is>
          <t>NORRBOTTENS LÄN</t>
        </is>
      </c>
      <c r="G132" t="inlineStr">
        <is>
          <t>BODEN</t>
        </is>
      </c>
      <c r="H132" t="inlineStr">
        <is>
          <t>SCA</t>
        </is>
      </c>
      <c r="I132" t="n">
        <v>1.7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s="2" t="inlineStr">
        <is>
          <t>Vitgrynig nållav</t>
        </is>
      </c>
      <c r="V132">
        <f>HYPERLINK("https://klasma.github.io/Logging_2582/artfynd/A 62002-2025 artfynd.xlsx", "A 62002-2025")</f>
        <v/>
      </c>
      <c r="W132">
        <f>HYPERLINK("https://klasma.github.io/Logging_2582/kartor/A 62002-2025 karta.png", "A 62002-2025")</f>
        <v/>
      </c>
      <c r="Y132">
        <f>HYPERLINK("https://klasma.github.io/Logging_2582/klagomål/A 62002-2025 FSC-klagomål.docx", "A 62002-2025")</f>
        <v/>
      </c>
      <c r="Z132">
        <f>HYPERLINK("https://klasma.github.io/Logging_2582/klagomålsmail/A 62002-2025 FSC-klagomål mail.docx", "A 62002-2025")</f>
        <v/>
      </c>
      <c r="AA132">
        <f>HYPERLINK("https://klasma.github.io/Logging_2582/tillsyn/A 62002-2025 tillsynsbegäran.docx", "A 62002-2025")</f>
        <v/>
      </c>
      <c r="AB132">
        <f>HYPERLINK("https://klasma.github.io/Logging_2582/tillsynsmail/A 62002-2025 tillsynsbegäran mail.docx", "A 62002-2025")</f>
        <v/>
      </c>
    </row>
    <row r="133" ht="15" customHeight="1">
      <c r="A133" t="inlineStr">
        <is>
          <t>A 19580-2026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46134</v>
      </c>
      <c r="E133" s="1" t="n">
        <v>46221</v>
      </c>
      <c r="F133" t="inlineStr">
        <is>
          <t>NORRBOTTENS LÄN</t>
        </is>
      </c>
      <c r="G133" t="inlineStr">
        <is>
          <t>BODEN</t>
        </is>
      </c>
      <c r="I133" t="n">
        <v>6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2</v>
      </c>
      <c r="U133" s="2" t="inlineStr">
        <is>
          <t>Dropptaggsvamp</t>
        </is>
      </c>
      <c r="V133">
        <f>HYPERLINK("https://klasma.github.io/Logging_2582/artfynd/A 19580-2026 artfynd.xlsx", "A 19580-2026")</f>
        <v/>
      </c>
      <c r="W133">
        <f>HYPERLINK("https://klasma.github.io/Logging_2582/kartor/A 19580-2026 karta.png", "A 19580-2026")</f>
        <v/>
      </c>
      <c r="Y133">
        <f>HYPERLINK("https://klasma.github.io/Logging_2582/klagomål/A 19580-2026 FSC-klagomål.docx", "A 19580-2026")</f>
        <v/>
      </c>
      <c r="Z133">
        <f>HYPERLINK("https://klasma.github.io/Logging_2582/klagomålsmail/A 19580-2026 FSC-klagomål mail.docx", "A 19580-2026")</f>
        <v/>
      </c>
      <c r="AA133">
        <f>HYPERLINK("https://klasma.github.io/Logging_2582/tillsyn/A 19580-2026 tillsynsbegäran.docx", "A 19580-2026")</f>
        <v/>
      </c>
      <c r="AB133">
        <f>HYPERLINK("https://klasma.github.io/Logging_2582/tillsynsmail/A 19580-2026 tillsynsbegäran mail.docx", "A 19580-2026")</f>
        <v/>
      </c>
    </row>
    <row r="134" ht="15" customHeight="1">
      <c r="A134" t="inlineStr">
        <is>
          <t>A 26690-2026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46184</v>
      </c>
      <c r="E134" s="1" t="n">
        <v>46221</v>
      </c>
      <c r="F134" t="inlineStr">
        <is>
          <t>NORRBOTTENS LÄN</t>
        </is>
      </c>
      <c r="G134" t="inlineStr">
        <is>
          <t>BODEN</t>
        </is>
      </c>
      <c r="H134" t="inlineStr">
        <is>
          <t>Sveaskog</t>
        </is>
      </c>
      <c r="I134" t="n">
        <v>11.9</v>
      </c>
      <c r="J134" t="n">
        <v>1</v>
      </c>
      <c r="K134" t="n">
        <v>0</v>
      </c>
      <c r="L134" t="n">
        <v>0</v>
      </c>
      <c r="M134" t="n">
        <v>1</v>
      </c>
      <c r="N134" t="n">
        <v>0</v>
      </c>
      <c r="O134" t="n">
        <v>0</v>
      </c>
      <c r="P134" t="n">
        <v>0</v>
      </c>
      <c r="Q134" t="n">
        <v>1</v>
      </c>
      <c r="R134" t="n">
        <v>1</v>
      </c>
      <c r="S134" t="n">
        <v>1</v>
      </c>
      <c r="T134" t="n">
        <v>1</v>
      </c>
      <c r="U134" s="2" t="inlineStr">
        <is>
          <t>Knärot</t>
        </is>
      </c>
      <c r="V134">
        <f>HYPERLINK("https://klasma.github.io/Logging_2582/artfynd/A 26690-2026 artfynd.xlsx", "A 26690-2026")</f>
        <v/>
      </c>
      <c r="W134">
        <f>HYPERLINK("https://klasma.github.io/Logging_2582/kartor/A 26690-2026 karta.png", "A 26690-2026")</f>
        <v/>
      </c>
      <c r="X134">
        <f>HYPERLINK("https://klasma.github.io/Logging_2582/knärot/A 26690-2026 karta knärot.png", "A 26690-2026")</f>
        <v/>
      </c>
      <c r="Y134">
        <f>HYPERLINK("https://klasma.github.io/Logging_2582/klagomål/A 26690-2026 FSC-klagomål.docx", "A 26690-2026")</f>
        <v/>
      </c>
      <c r="Z134">
        <f>HYPERLINK("https://klasma.github.io/Logging_2582/klagomålsmail/A 26690-2026 FSC-klagomål mail.docx", "A 26690-2026")</f>
        <v/>
      </c>
      <c r="AA134">
        <f>HYPERLINK("https://klasma.github.io/Logging_2582/tillsyn/A 26690-2026 tillsynsbegäran.docx", "A 26690-2026")</f>
        <v/>
      </c>
      <c r="AB134">
        <f>HYPERLINK("https://klasma.github.io/Logging_2582/tillsynsmail/A 26690-2026 tillsynsbegäran mail.docx", "A 26690-2026")</f>
        <v/>
      </c>
    </row>
    <row r="135" ht="15" customHeight="1">
      <c r="A135" t="inlineStr">
        <is>
          <t>A 26438-2026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46183</v>
      </c>
      <c r="E135" s="1" t="n">
        <v>46221</v>
      </c>
      <c r="F135" t="inlineStr">
        <is>
          <t>NORRBOTTENS LÄN</t>
        </is>
      </c>
      <c r="G135" t="inlineStr">
        <is>
          <t>BODEN</t>
        </is>
      </c>
      <c r="H135" t="inlineStr">
        <is>
          <t>Sveaskog</t>
        </is>
      </c>
      <c r="I135" t="n">
        <v>15.9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2</v>
      </c>
      <c r="U135" s="2" t="inlineStr">
        <is>
          <t>Kolflarnlav</t>
        </is>
      </c>
      <c r="V135">
        <f>HYPERLINK("https://klasma.github.io/Logging_2582/artfynd/A 26438-2026 artfynd.xlsx", "A 26438-2026")</f>
        <v/>
      </c>
      <c r="W135">
        <f>HYPERLINK("https://klasma.github.io/Logging_2582/kartor/A 26438-2026 karta.png", "A 26438-2026")</f>
        <v/>
      </c>
      <c r="Y135">
        <f>HYPERLINK("https://klasma.github.io/Logging_2582/klagomål/A 26438-2026 FSC-klagomål.docx", "A 26438-2026")</f>
        <v/>
      </c>
      <c r="Z135">
        <f>HYPERLINK("https://klasma.github.io/Logging_2582/klagomålsmail/A 26438-2026 FSC-klagomål mail.docx", "A 26438-2026")</f>
        <v/>
      </c>
      <c r="AA135">
        <f>HYPERLINK("https://klasma.github.io/Logging_2582/tillsyn/A 26438-2026 tillsynsbegäran.docx", "A 26438-2026")</f>
        <v/>
      </c>
      <c r="AB135">
        <f>HYPERLINK("https://klasma.github.io/Logging_2582/tillsynsmail/A 26438-2026 tillsynsbegäran mail.docx", "A 26438-2026")</f>
        <v/>
      </c>
    </row>
    <row r="136" ht="15" customHeight="1">
      <c r="A136" t="inlineStr">
        <is>
          <t>A 19396-2022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44692</v>
      </c>
      <c r="E136" s="1" t="n">
        <v>46221</v>
      </c>
      <c r="F136" t="inlineStr">
        <is>
          <t>NORRBOTTENS LÄN</t>
        </is>
      </c>
      <c r="G136" t="inlineStr">
        <is>
          <t>BODEN</t>
        </is>
      </c>
      <c r="H136" t="inlineStr">
        <is>
          <t>SCA</t>
        </is>
      </c>
      <c r="I136" t="n">
        <v>13.1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s="2" t="inlineStr">
        <is>
          <t>Tallticka</t>
        </is>
      </c>
      <c r="V136">
        <f>HYPERLINK("https://klasma.github.io/Logging_2582/artfynd/A 19396-2022 artfynd.xlsx", "A 19396-2022")</f>
        <v/>
      </c>
      <c r="W136">
        <f>HYPERLINK("https://klasma.github.io/Logging_2582/kartor/A 19396-2022 karta.png", "A 19396-2022")</f>
        <v/>
      </c>
      <c r="Y136">
        <f>HYPERLINK("https://klasma.github.io/Logging_2582/klagomål/A 19396-2022 FSC-klagomål.docx", "A 19396-2022")</f>
        <v/>
      </c>
      <c r="Z136">
        <f>HYPERLINK("https://klasma.github.io/Logging_2582/klagomålsmail/A 19396-2022 FSC-klagomål mail.docx", "A 19396-2022")</f>
        <v/>
      </c>
      <c r="AA136">
        <f>HYPERLINK("https://klasma.github.io/Logging_2582/tillsyn/A 19396-2022 tillsynsbegäran.docx", "A 19396-2022")</f>
        <v/>
      </c>
      <c r="AB136">
        <f>HYPERLINK("https://klasma.github.io/Logging_2582/tillsynsmail/A 19396-2022 tillsynsbegäran mail.docx", "A 19396-2022")</f>
        <v/>
      </c>
    </row>
    <row r="137" ht="15" customHeight="1">
      <c r="A137" t="inlineStr">
        <is>
          <t>A 21310-2026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46147</v>
      </c>
      <c r="E137" s="1" t="n">
        <v>46221</v>
      </c>
      <c r="F137" t="inlineStr">
        <is>
          <t>NORRBOTTENS LÄN</t>
        </is>
      </c>
      <c r="G137" t="inlineStr">
        <is>
          <t>BODEN</t>
        </is>
      </c>
      <c r="I137" t="n">
        <v>1.9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s="2" t="inlineStr">
        <is>
          <t>Revlummer</t>
        </is>
      </c>
      <c r="V137">
        <f>HYPERLINK("https://klasma.github.io/Logging_2582/artfynd/A 21310-2026 artfynd.xlsx", "A 21310-2026")</f>
        <v/>
      </c>
      <c r="W137">
        <f>HYPERLINK("https://klasma.github.io/Logging_2582/kartor/A 21310-2026 karta.png", "A 21310-2026")</f>
        <v/>
      </c>
      <c r="Y137">
        <f>HYPERLINK("https://klasma.github.io/Logging_2582/klagomål/A 21310-2026 FSC-klagomål.docx", "A 21310-2026")</f>
        <v/>
      </c>
      <c r="Z137">
        <f>HYPERLINK("https://klasma.github.io/Logging_2582/klagomålsmail/A 21310-2026 FSC-klagomål mail.docx", "A 21310-2026")</f>
        <v/>
      </c>
      <c r="AA137">
        <f>HYPERLINK("https://klasma.github.io/Logging_2582/tillsyn/A 21310-2026 tillsynsbegäran.docx", "A 21310-2026")</f>
        <v/>
      </c>
      <c r="AB137">
        <f>HYPERLINK("https://klasma.github.io/Logging_2582/tillsynsmail/A 21310-2026 tillsynsbegäran mail.docx", "A 21310-2026")</f>
        <v/>
      </c>
    </row>
    <row r="138" ht="15" customHeight="1">
      <c r="A138" t="inlineStr">
        <is>
          <t>A 52078-2021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44463</v>
      </c>
      <c r="E138" s="1" t="n">
        <v>46221</v>
      </c>
      <c r="F138" t="inlineStr">
        <is>
          <t>NORRBOTTENS LÄN</t>
        </is>
      </c>
      <c r="G138" t="inlineStr">
        <is>
          <t>BODEN</t>
        </is>
      </c>
      <c r="H138" t="inlineStr">
        <is>
          <t>Sveaskog</t>
        </is>
      </c>
      <c r="I138" t="n">
        <v>0.5</v>
      </c>
      <c r="J138" t="n">
        <v>1</v>
      </c>
      <c r="K138" t="n">
        <v>0</v>
      </c>
      <c r="L138" t="n">
        <v>0</v>
      </c>
      <c r="M138" t="n">
        <v>1</v>
      </c>
      <c r="N138" t="n">
        <v>0</v>
      </c>
      <c r="O138" t="n">
        <v>0</v>
      </c>
      <c r="P138" t="n">
        <v>0</v>
      </c>
      <c r="Q138" t="n">
        <v>1</v>
      </c>
      <c r="R138" t="n">
        <v>1</v>
      </c>
      <c r="S138" t="n">
        <v>1</v>
      </c>
      <c r="T138" t="n">
        <v>4</v>
      </c>
      <c r="U138" s="2" t="inlineStr">
        <is>
          <t>Knärot</t>
        </is>
      </c>
      <c r="V138">
        <f>HYPERLINK("https://klasma.github.io/Logging_2582/artfynd/A 52078-2021 artfynd.xlsx", "A 52078-2021")</f>
        <v/>
      </c>
      <c r="W138">
        <f>HYPERLINK("https://klasma.github.io/Logging_2582/kartor/A 52078-2021 karta.png", "A 52078-2021")</f>
        <v/>
      </c>
      <c r="X138">
        <f>HYPERLINK("https://klasma.github.io/Logging_2582/knärot/A 52078-2021 karta knärot.png", "A 52078-2021")</f>
        <v/>
      </c>
      <c r="Y138">
        <f>HYPERLINK("https://klasma.github.io/Logging_2582/klagomål/A 52078-2021 FSC-klagomål.docx", "A 52078-2021")</f>
        <v/>
      </c>
      <c r="Z138">
        <f>HYPERLINK("https://klasma.github.io/Logging_2582/klagomålsmail/A 52078-2021 FSC-klagomål mail.docx", "A 52078-2021")</f>
        <v/>
      </c>
      <c r="AA138">
        <f>HYPERLINK("https://klasma.github.io/Logging_2582/tillsyn/A 52078-2021 tillsynsbegäran.docx", "A 52078-2021")</f>
        <v/>
      </c>
      <c r="AB138">
        <f>HYPERLINK("https://klasma.github.io/Logging_2582/tillsynsmail/A 52078-2021 tillsynsbegäran mail.docx", "A 52078-2021")</f>
        <v/>
      </c>
    </row>
    <row r="139" ht="15" customHeight="1">
      <c r="A139" t="inlineStr">
        <is>
          <t>A 665-2023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44925</v>
      </c>
      <c r="E139" s="1" t="n">
        <v>46221</v>
      </c>
      <c r="F139" t="inlineStr">
        <is>
          <t>NORRBOTTENS LÄN</t>
        </is>
      </c>
      <c r="G139" t="inlineStr">
        <is>
          <t>BODEN</t>
        </is>
      </c>
      <c r="I139" t="n">
        <v>0.9</v>
      </c>
      <c r="J139" t="n">
        <v>1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s="2" t="inlineStr">
        <is>
          <t>Duvhök</t>
        </is>
      </c>
      <c r="V139">
        <f>HYPERLINK("https://klasma.github.io/Logging_2582/artfynd/A 665-2023 artfynd.xlsx", "A 665-2023")</f>
        <v/>
      </c>
      <c r="W139">
        <f>HYPERLINK("https://klasma.github.io/Logging_2582/kartor/A 665-2023 karta.png", "A 665-2023")</f>
        <v/>
      </c>
      <c r="Y139">
        <f>HYPERLINK("https://klasma.github.io/Logging_2582/klagomål/A 665-2023 FSC-klagomål.docx", "A 665-2023")</f>
        <v/>
      </c>
      <c r="Z139">
        <f>HYPERLINK("https://klasma.github.io/Logging_2582/klagomålsmail/A 665-2023 FSC-klagomål mail.docx", "A 665-2023")</f>
        <v/>
      </c>
      <c r="AA139">
        <f>HYPERLINK("https://klasma.github.io/Logging_2582/tillsyn/A 665-2023 tillsynsbegäran.docx", "A 665-2023")</f>
        <v/>
      </c>
      <c r="AB139">
        <f>HYPERLINK("https://klasma.github.io/Logging_2582/tillsynsmail/A 665-2023 tillsynsbegäran mail.docx", "A 665-2023")</f>
        <v/>
      </c>
      <c r="AC139">
        <f>HYPERLINK("https://klasma.github.io/Logging_2582/fåglar/A 665-2023 prioriterade fågelarter.docx", "A 665-2023")</f>
        <v/>
      </c>
    </row>
    <row r="140" ht="15" customHeight="1">
      <c r="A140" t="inlineStr">
        <is>
          <t>A 2568-2024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45313</v>
      </c>
      <c r="E140" s="1" t="n">
        <v>46221</v>
      </c>
      <c r="F140" t="inlineStr">
        <is>
          <t>NORRBOTTENS LÄN</t>
        </is>
      </c>
      <c r="G140" t="inlineStr">
        <is>
          <t>BODEN</t>
        </is>
      </c>
      <c r="I140" t="n">
        <v>1.6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s="2" t="inlineStr">
        <is>
          <t>Blå taggsvamp</t>
        </is>
      </c>
      <c r="V140">
        <f>HYPERLINK("https://klasma.github.io/Logging_2582/artfynd/A 2568-2024 artfynd.xlsx", "A 2568-2024")</f>
        <v/>
      </c>
      <c r="W140">
        <f>HYPERLINK("https://klasma.github.io/Logging_2582/kartor/A 2568-2024 karta.png", "A 2568-2024")</f>
        <v/>
      </c>
      <c r="Y140">
        <f>HYPERLINK("https://klasma.github.io/Logging_2582/klagomål/A 2568-2024 FSC-klagomål.docx", "A 2568-2024")</f>
        <v/>
      </c>
      <c r="Z140">
        <f>HYPERLINK("https://klasma.github.io/Logging_2582/klagomålsmail/A 2568-2024 FSC-klagomål mail.docx", "A 2568-2024")</f>
        <v/>
      </c>
      <c r="AA140">
        <f>HYPERLINK("https://klasma.github.io/Logging_2582/tillsyn/A 2568-2024 tillsynsbegäran.docx", "A 2568-2024")</f>
        <v/>
      </c>
      <c r="AB140">
        <f>HYPERLINK("https://klasma.github.io/Logging_2582/tillsynsmail/A 2568-2024 tillsynsbegäran mail.docx", "A 2568-2024")</f>
        <v/>
      </c>
    </row>
    <row r="141" ht="15" customHeight="1">
      <c r="A141" t="inlineStr">
        <is>
          <t>A 29875-2026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46205</v>
      </c>
      <c r="E141" s="1" t="n">
        <v>46221</v>
      </c>
      <c r="F141" t="inlineStr">
        <is>
          <t>NORRBOTTENS LÄN</t>
        </is>
      </c>
      <c r="G141" t="inlineStr">
        <is>
          <t>BODEN</t>
        </is>
      </c>
      <c r="H141" t="inlineStr">
        <is>
          <t>Sveaskog</t>
        </is>
      </c>
      <c r="I141" t="n">
        <v>4.4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s="2" t="inlineStr">
        <is>
          <t>Tallticka</t>
        </is>
      </c>
      <c r="V141">
        <f>HYPERLINK("https://klasma.github.io/Logging_2582/artfynd/A 29875-2026 artfynd.xlsx", "A 29875-2026")</f>
        <v/>
      </c>
      <c r="W141">
        <f>HYPERLINK("https://klasma.github.io/Logging_2582/kartor/A 29875-2026 karta.png", "A 29875-2026")</f>
        <v/>
      </c>
      <c r="Y141">
        <f>HYPERLINK("https://klasma.github.io/Logging_2582/klagomål/A 29875-2026 FSC-klagomål.docx", "A 29875-2026")</f>
        <v/>
      </c>
      <c r="Z141">
        <f>HYPERLINK("https://klasma.github.io/Logging_2582/klagomålsmail/A 29875-2026 FSC-klagomål mail.docx", "A 29875-2026")</f>
        <v/>
      </c>
      <c r="AA141">
        <f>HYPERLINK("https://klasma.github.io/Logging_2582/tillsyn/A 29875-2026 tillsynsbegäran.docx", "A 29875-2026")</f>
        <v/>
      </c>
      <c r="AB141">
        <f>HYPERLINK("https://klasma.github.io/Logging_2582/tillsynsmail/A 29875-2026 tillsynsbegäran mail.docx", "A 29875-2026")</f>
        <v/>
      </c>
    </row>
    <row r="142" ht="15" customHeight="1">
      <c r="A142" t="inlineStr">
        <is>
          <t>A 36743-2024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45538</v>
      </c>
      <c r="E142" s="1" t="n">
        <v>46221</v>
      </c>
      <c r="F142" t="inlineStr">
        <is>
          <t>NORRBOTTENS LÄN</t>
        </is>
      </c>
      <c r="G142" t="inlineStr">
        <is>
          <t>BODEN</t>
        </is>
      </c>
      <c r="H142" t="inlineStr">
        <is>
          <t>Sveaskog</t>
        </is>
      </c>
      <c r="I142" t="n">
        <v>1.7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s="2" t="inlineStr">
        <is>
          <t>Lunglav</t>
        </is>
      </c>
      <c r="V142">
        <f>HYPERLINK("https://klasma.github.io/Logging_2582/artfynd/A 36743-2024 artfynd.xlsx", "A 36743-2024")</f>
        <v/>
      </c>
      <c r="W142">
        <f>HYPERLINK("https://klasma.github.io/Logging_2582/kartor/A 36743-2024 karta.png", "A 36743-2024")</f>
        <v/>
      </c>
      <c r="Y142">
        <f>HYPERLINK("https://klasma.github.io/Logging_2582/klagomål/A 36743-2024 FSC-klagomål.docx", "A 36743-2024")</f>
        <v/>
      </c>
      <c r="Z142">
        <f>HYPERLINK("https://klasma.github.io/Logging_2582/klagomålsmail/A 36743-2024 FSC-klagomål mail.docx", "A 36743-2024")</f>
        <v/>
      </c>
      <c r="AA142">
        <f>HYPERLINK("https://klasma.github.io/Logging_2582/tillsyn/A 36743-2024 tillsynsbegäran.docx", "A 36743-2024")</f>
        <v/>
      </c>
      <c r="AB142">
        <f>HYPERLINK("https://klasma.github.io/Logging_2582/tillsynsmail/A 36743-2024 tillsynsbegäran mail.docx", "A 36743-2024")</f>
        <v/>
      </c>
    </row>
    <row r="143" ht="15" customHeight="1">
      <c r="A143" t="inlineStr">
        <is>
          <t>A 24429-2026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46168</v>
      </c>
      <c r="E143" s="1" t="n">
        <v>46221</v>
      </c>
      <c r="F143" t="inlineStr">
        <is>
          <t>NORRBOTTENS LÄN</t>
        </is>
      </c>
      <c r="G143" t="inlineStr">
        <is>
          <t>BODEN</t>
        </is>
      </c>
      <c r="I143" t="n">
        <v>0.5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s="2" t="inlineStr">
        <is>
          <t>Fläcknycklar</t>
        </is>
      </c>
      <c r="V143">
        <f>HYPERLINK("https://klasma.github.io/Logging_2582/artfynd/A 24429-2026 artfynd.xlsx", "A 24429-2026")</f>
        <v/>
      </c>
      <c r="W143">
        <f>HYPERLINK("https://klasma.github.io/Logging_2582/kartor/A 24429-2026 karta.png", "A 24429-2026")</f>
        <v/>
      </c>
      <c r="Y143">
        <f>HYPERLINK("https://klasma.github.io/Logging_2582/klagomål/A 24429-2026 FSC-klagomål.docx", "A 24429-2026")</f>
        <v/>
      </c>
      <c r="Z143">
        <f>HYPERLINK("https://klasma.github.io/Logging_2582/klagomålsmail/A 24429-2026 FSC-klagomål mail.docx", "A 24429-2026")</f>
        <v/>
      </c>
      <c r="AA143">
        <f>HYPERLINK("https://klasma.github.io/Logging_2582/tillsyn/A 24429-2026 tillsynsbegäran.docx", "A 24429-2026")</f>
        <v/>
      </c>
      <c r="AB143">
        <f>HYPERLINK("https://klasma.github.io/Logging_2582/tillsynsmail/A 24429-2026 tillsynsbegäran mail.docx", "A 24429-2026")</f>
        <v/>
      </c>
    </row>
    <row r="144" ht="15" customHeight="1">
      <c r="A144" t="inlineStr">
        <is>
          <t>A 68514-2021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44529</v>
      </c>
      <c r="E144" s="1" t="n">
        <v>46221</v>
      </c>
      <c r="F144" t="inlineStr">
        <is>
          <t>NORRBOTTENS LÄN</t>
        </is>
      </c>
      <c r="G144" t="inlineStr">
        <is>
          <t>BODEN</t>
        </is>
      </c>
      <c r="I144" t="n">
        <v>6.2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s="2" t="inlineStr">
        <is>
          <t>Spillkråka</t>
        </is>
      </c>
      <c r="V144">
        <f>HYPERLINK("https://klasma.github.io/Logging_2582/artfynd/A 68514-2021 artfynd.xlsx", "A 68514-2021")</f>
        <v/>
      </c>
      <c r="W144">
        <f>HYPERLINK("https://klasma.github.io/Logging_2582/kartor/A 68514-2021 karta.png", "A 68514-2021")</f>
        <v/>
      </c>
      <c r="X144">
        <f>HYPERLINK("https://klasma.github.io/Logging_2582/knärot/A 68514-2021 karta knärot.png", "A 68514-2021")</f>
        <v/>
      </c>
      <c r="Y144">
        <f>HYPERLINK("https://klasma.github.io/Logging_2582/klagomål/A 68514-2021 FSC-klagomål.docx", "A 68514-2021")</f>
        <v/>
      </c>
      <c r="Z144">
        <f>HYPERLINK("https://klasma.github.io/Logging_2582/klagomålsmail/A 68514-2021 FSC-klagomål mail.docx", "A 68514-2021")</f>
        <v/>
      </c>
      <c r="AA144">
        <f>HYPERLINK("https://klasma.github.io/Logging_2582/tillsyn/A 68514-2021 tillsynsbegäran.docx", "A 68514-2021")</f>
        <v/>
      </c>
      <c r="AB144">
        <f>HYPERLINK("https://klasma.github.io/Logging_2582/tillsynsmail/A 68514-2021 tillsynsbegäran mail.docx", "A 68514-2021")</f>
        <v/>
      </c>
      <c r="AC144">
        <f>HYPERLINK("https://klasma.github.io/Logging_2582/fåglar/A 68514-2021 prioriterade fågelarter.docx", "A 68514-2021")</f>
        <v/>
      </c>
    </row>
    <row r="145" ht="15" customHeight="1">
      <c r="A145" t="inlineStr">
        <is>
          <t>A 25803-2026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46178</v>
      </c>
      <c r="E145" s="1" t="n">
        <v>46221</v>
      </c>
      <c r="F145" t="inlineStr">
        <is>
          <t>NORRBOTTENS LÄN</t>
        </is>
      </c>
      <c r="G145" t="inlineStr">
        <is>
          <t>BODEN</t>
        </is>
      </c>
      <c r="H145" t="inlineStr">
        <is>
          <t>Sveaskog</t>
        </is>
      </c>
      <c r="I145" t="n">
        <v>9.9</v>
      </c>
      <c r="J145" t="n">
        <v>1</v>
      </c>
      <c r="K145" t="n">
        <v>1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s="2" t="inlineStr">
        <is>
          <t>Spindelblomster</t>
        </is>
      </c>
      <c r="V145">
        <f>HYPERLINK("https://klasma.github.io/Logging_2582/artfynd/A 25803-2026 artfynd.xlsx", "A 25803-2026")</f>
        <v/>
      </c>
      <c r="W145">
        <f>HYPERLINK("https://klasma.github.io/Logging_2582/kartor/A 25803-2026 karta.png", "A 25803-2026")</f>
        <v/>
      </c>
      <c r="Y145">
        <f>HYPERLINK("https://klasma.github.io/Logging_2582/klagomål/A 25803-2026 FSC-klagomål.docx", "A 25803-2026")</f>
        <v/>
      </c>
      <c r="Z145">
        <f>HYPERLINK("https://klasma.github.io/Logging_2582/klagomålsmail/A 25803-2026 FSC-klagomål mail.docx", "A 25803-2026")</f>
        <v/>
      </c>
      <c r="AA145">
        <f>HYPERLINK("https://klasma.github.io/Logging_2582/tillsyn/A 25803-2026 tillsynsbegäran.docx", "A 25803-2026")</f>
        <v/>
      </c>
      <c r="AB145">
        <f>HYPERLINK("https://klasma.github.io/Logging_2582/tillsynsmail/A 25803-2026 tillsynsbegäran mail.docx", "A 25803-2026")</f>
        <v/>
      </c>
    </row>
    <row r="146" ht="15" customHeight="1">
      <c r="A146" t="inlineStr">
        <is>
          <t>A 25805-2026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46178</v>
      </c>
      <c r="E146" s="1" t="n">
        <v>46221</v>
      </c>
      <c r="F146" t="inlineStr">
        <is>
          <t>NORRBOTTENS LÄN</t>
        </is>
      </c>
      <c r="G146" t="inlineStr">
        <is>
          <t>BODEN</t>
        </is>
      </c>
      <c r="H146" t="inlineStr">
        <is>
          <t>Sveaskog</t>
        </is>
      </c>
      <c r="I146" t="n">
        <v>3.6</v>
      </c>
      <c r="J146" t="n">
        <v>1</v>
      </c>
      <c r="K146" t="n">
        <v>1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s="2" t="inlineStr">
        <is>
          <t>Plattlummer</t>
        </is>
      </c>
      <c r="V146">
        <f>HYPERLINK("https://klasma.github.io/Logging_2582/artfynd/A 25805-2026 artfynd.xlsx", "A 25805-2026")</f>
        <v/>
      </c>
      <c r="W146">
        <f>HYPERLINK("https://klasma.github.io/Logging_2582/kartor/A 25805-2026 karta.png", "A 25805-2026")</f>
        <v/>
      </c>
      <c r="Y146">
        <f>HYPERLINK("https://klasma.github.io/Logging_2582/klagomål/A 25805-2026 FSC-klagomål.docx", "A 25805-2026")</f>
        <v/>
      </c>
      <c r="Z146">
        <f>HYPERLINK("https://klasma.github.io/Logging_2582/klagomålsmail/A 25805-2026 FSC-klagomål mail.docx", "A 25805-2026")</f>
        <v/>
      </c>
      <c r="AA146">
        <f>HYPERLINK("https://klasma.github.io/Logging_2582/tillsyn/A 25805-2026 tillsynsbegäran.docx", "A 25805-2026")</f>
        <v/>
      </c>
      <c r="AB146">
        <f>HYPERLINK("https://klasma.github.io/Logging_2582/tillsynsmail/A 25805-2026 tillsynsbegäran mail.docx", "A 25805-2026")</f>
        <v/>
      </c>
    </row>
    <row r="147" ht="15" customHeight="1">
      <c r="A147" t="inlineStr">
        <is>
          <t>A 25801-2026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46178</v>
      </c>
      <c r="E147" s="1" t="n">
        <v>46221</v>
      </c>
      <c r="F147" t="inlineStr">
        <is>
          <t>NORRBOTTENS LÄN</t>
        </is>
      </c>
      <c r="G147" t="inlineStr">
        <is>
          <t>BODEN</t>
        </is>
      </c>
      <c r="H147" t="inlineStr">
        <is>
          <t>Sveaskog</t>
        </is>
      </c>
      <c r="I147" t="n">
        <v>1.9</v>
      </c>
      <c r="J147" t="n">
        <v>1</v>
      </c>
      <c r="K147" t="n">
        <v>0</v>
      </c>
      <c r="L147" t="n">
        <v>0</v>
      </c>
      <c r="M147" t="n">
        <v>1</v>
      </c>
      <c r="N147" t="n">
        <v>0</v>
      </c>
      <c r="O147" t="n">
        <v>0</v>
      </c>
      <c r="P147" t="n">
        <v>0</v>
      </c>
      <c r="Q147" t="n">
        <v>1</v>
      </c>
      <c r="R147" t="n">
        <v>1</v>
      </c>
      <c r="S147" t="n">
        <v>1</v>
      </c>
      <c r="T147" t="n">
        <v>1</v>
      </c>
      <c r="U147" s="2" t="inlineStr">
        <is>
          <t>Knärot</t>
        </is>
      </c>
      <c r="V147">
        <f>HYPERLINK("https://klasma.github.io/Logging_2582/artfynd/A 25801-2026 artfynd.xlsx", "A 25801-2026")</f>
        <v/>
      </c>
      <c r="W147">
        <f>HYPERLINK("https://klasma.github.io/Logging_2582/kartor/A 25801-2026 karta.png", "A 25801-2026")</f>
        <v/>
      </c>
      <c r="X147">
        <f>HYPERLINK("https://klasma.github.io/Logging_2582/knärot/A 25801-2026 karta knärot.png", "A 25801-2026")</f>
        <v/>
      </c>
      <c r="Y147">
        <f>HYPERLINK("https://klasma.github.io/Logging_2582/klagomål/A 25801-2026 FSC-klagomål.docx", "A 25801-2026")</f>
        <v/>
      </c>
      <c r="Z147">
        <f>HYPERLINK("https://klasma.github.io/Logging_2582/klagomålsmail/A 25801-2026 FSC-klagomål mail.docx", "A 25801-2026")</f>
        <v/>
      </c>
      <c r="AA147">
        <f>HYPERLINK("https://klasma.github.io/Logging_2582/tillsyn/A 25801-2026 tillsynsbegäran.docx", "A 25801-2026")</f>
        <v/>
      </c>
      <c r="AB147">
        <f>HYPERLINK("https://klasma.github.io/Logging_2582/tillsynsmail/A 25801-2026 tillsynsbegäran mail.docx", "A 25801-2026")</f>
        <v/>
      </c>
    </row>
    <row r="148" ht="15" customHeight="1">
      <c r="A148" t="inlineStr">
        <is>
          <t>A 16217-2024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45406</v>
      </c>
      <c r="E148" s="1" t="n">
        <v>46221</v>
      </c>
      <c r="F148" t="inlineStr">
        <is>
          <t>NORRBOTTENS LÄN</t>
        </is>
      </c>
      <c r="G148" t="inlineStr">
        <is>
          <t>BODEN</t>
        </is>
      </c>
      <c r="I148" t="n">
        <v>7.2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s="2" t="inlineStr">
        <is>
          <t>Videsparv</t>
        </is>
      </c>
      <c r="V148">
        <f>HYPERLINK("https://klasma.github.io/Logging_2582/artfynd/A 16217-2024 artfynd.xlsx", "A 16217-2024")</f>
        <v/>
      </c>
      <c r="W148">
        <f>HYPERLINK("https://klasma.github.io/Logging_2582/kartor/A 16217-2024 karta.png", "A 16217-2024")</f>
        <v/>
      </c>
      <c r="Y148">
        <f>HYPERLINK("https://klasma.github.io/Logging_2582/klagomål/A 16217-2024 FSC-klagomål.docx", "A 16217-2024")</f>
        <v/>
      </c>
      <c r="Z148">
        <f>HYPERLINK("https://klasma.github.io/Logging_2582/klagomålsmail/A 16217-2024 FSC-klagomål mail.docx", "A 16217-2024")</f>
        <v/>
      </c>
      <c r="AA148">
        <f>HYPERLINK("https://klasma.github.io/Logging_2582/tillsyn/A 16217-2024 tillsynsbegäran.docx", "A 16217-2024")</f>
        <v/>
      </c>
      <c r="AB148">
        <f>HYPERLINK("https://klasma.github.io/Logging_2582/tillsynsmail/A 16217-2024 tillsynsbegäran mail.docx", "A 16217-2024")</f>
        <v/>
      </c>
      <c r="AC148">
        <f>HYPERLINK("https://klasma.github.io/Logging_2582/fåglar/A 16217-2024 prioriterade fågelarter.docx", "A 16217-2024")</f>
        <v/>
      </c>
    </row>
    <row r="149" ht="15" customHeight="1">
      <c r="A149" t="inlineStr">
        <is>
          <t>S 187-2023</t>
        </is>
      </c>
      <c r="B149" t="inlineStr">
        <is>
          <t>samrådsanmälan</t>
        </is>
      </c>
      <c r="C149" t="inlineStr">
        <is>
          <t>Skogsgödsling</t>
        </is>
      </c>
      <c r="D149" s="1" t="n">
        <v>44944</v>
      </c>
      <c r="E149" s="1" t="n">
        <v>46221</v>
      </c>
      <c r="F149" t="inlineStr">
        <is>
          <t>NORRBOTTENS LÄN</t>
        </is>
      </c>
      <c r="G149" t="inlineStr">
        <is>
          <t>BODEN</t>
        </is>
      </c>
      <c r="H149" t="inlineStr">
        <is>
          <t>SCA</t>
        </is>
      </c>
      <c r="I149" t="n">
        <v>407.1</v>
      </c>
      <c r="J149" t="n">
        <v>1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s="2" t="inlineStr">
        <is>
          <t>Duvhök</t>
        </is>
      </c>
      <c r="V149">
        <f>HYPERLINK("https://klasma.github.io/Logging_2582/artfynd/S 187-2023 artfynd.xlsx", "S 187-2023")</f>
        <v/>
      </c>
      <c r="W149">
        <f>HYPERLINK("https://klasma.github.io/Logging_2582/kartor/S 187-2023 karta.png", "S 187-2023")</f>
        <v/>
      </c>
      <c r="Y149">
        <f>HYPERLINK("https://klasma.github.io/Logging_2582/klagomål/S 187-2023 FSC-klagomål.docx", "S 187-2023")</f>
        <v/>
      </c>
      <c r="Z149">
        <f>HYPERLINK("https://klasma.github.io/Logging_2582/klagomålsmail/S 187-2023 FSC-klagomål mail.docx", "S 187-2023")</f>
        <v/>
      </c>
      <c r="AA149">
        <f>HYPERLINK("https://klasma.github.io/Logging_2582/tillsyn/S 187-2023 tillsynsbegäran.docx", "S 187-2023")</f>
        <v/>
      </c>
      <c r="AB149">
        <f>HYPERLINK("https://klasma.github.io/Logging_2582/tillsynsmail/S 187-2023 tillsynsbegäran mail.docx", "S 187-2023")</f>
        <v/>
      </c>
      <c r="AC149">
        <f>HYPERLINK("https://klasma.github.io/Logging_2582/fåglar/S 187-2023 prioriterade fågelarter.docx", "S 187-2023")</f>
        <v/>
      </c>
    </row>
    <row r="150" ht="15" customHeight="1">
      <c r="A150" t="inlineStr">
        <is>
          <t>S 1448-2024</t>
        </is>
      </c>
      <c r="B150" t="inlineStr">
        <is>
          <t>samrådsanmälan</t>
        </is>
      </c>
      <c r="C150" t="inlineStr">
        <is>
          <t>Annan skogsbruksåtgärd</t>
        </is>
      </c>
      <c r="D150" s="1" t="n">
        <v>45418</v>
      </c>
      <c r="E150" s="1" t="n">
        <v>46221</v>
      </c>
      <c r="F150" t="inlineStr">
        <is>
          <t>NORRBOTTENS LÄN</t>
        </is>
      </c>
      <c r="G150" t="inlineStr">
        <is>
          <t>BODEN</t>
        </is>
      </c>
      <c r="H150" t="inlineStr">
        <is>
          <t>Sveaskog</t>
        </is>
      </c>
      <c r="I150" t="n">
        <v>5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s="2" t="inlineStr">
        <is>
          <t>Tallticka</t>
        </is>
      </c>
      <c r="V150">
        <f>HYPERLINK("https://klasma.github.io/Logging_2582/artfynd/S 1448-2024 artfynd.xlsx", "S 1448-2024")</f>
        <v/>
      </c>
      <c r="W150">
        <f>HYPERLINK("https://klasma.github.io/Logging_2582/kartor/S 1448-2024 karta.png", "S 1448-2024")</f>
        <v/>
      </c>
      <c r="Y150">
        <f>HYPERLINK("https://klasma.github.io/Logging_2582/klagomål/S 1448-2024 FSC-klagomål.docx", "S 1448-2024")</f>
        <v/>
      </c>
      <c r="Z150">
        <f>HYPERLINK("https://klasma.github.io/Logging_2582/klagomålsmail/S 1448-2024 FSC-klagomål mail.docx", "S 1448-2024")</f>
        <v/>
      </c>
      <c r="AA150">
        <f>HYPERLINK("https://klasma.github.io/Logging_2582/tillsyn/S 1448-2024 tillsynsbegäran.docx", "S 1448-2024")</f>
        <v/>
      </c>
      <c r="AB150">
        <f>HYPERLINK("https://klasma.github.io/Logging_2582/tillsynsmail/S 1448-2024 tillsynsbegäran mail.docx", "S 1448-2024")</f>
        <v/>
      </c>
    </row>
    <row r="151" ht="15" customHeight="1">
      <c r="A151" t="inlineStr">
        <is>
          <t>S 1234-2023</t>
        </is>
      </c>
      <c r="B151" t="inlineStr">
        <is>
          <t>samrådsanmälan</t>
        </is>
      </c>
      <c r="C151" t="inlineStr">
        <is>
          <t>Skogsgödsling</t>
        </is>
      </c>
      <c r="D151" s="1" t="n">
        <v>45028</v>
      </c>
      <c r="E151" s="1" t="n">
        <v>46221</v>
      </c>
      <c r="F151" t="inlineStr">
        <is>
          <t>NORRBOTTENS LÄN</t>
        </is>
      </c>
      <c r="G151" t="inlineStr">
        <is>
          <t>BODEN</t>
        </is>
      </c>
      <c r="H151" t="inlineStr">
        <is>
          <t>SCA</t>
        </is>
      </c>
      <c r="I151" t="n">
        <v>100.1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s="2" t="inlineStr">
        <is>
          <t>Lunglav</t>
        </is>
      </c>
      <c r="V151">
        <f>HYPERLINK("https://klasma.github.io/Logging_2582/artfynd/S 1234-2023 artfynd.xlsx", "S 1234-2023")</f>
        <v/>
      </c>
      <c r="W151">
        <f>HYPERLINK("https://klasma.github.io/Logging_2582/kartor/S 1234-2023 karta.png", "S 1234-2023")</f>
        <v/>
      </c>
      <c r="Y151">
        <f>HYPERLINK("https://klasma.github.io/Logging_2582/klagomål/S 1234-2023 FSC-klagomål.docx", "S 1234-2023")</f>
        <v/>
      </c>
      <c r="Z151">
        <f>HYPERLINK("https://klasma.github.io/Logging_2582/klagomålsmail/S 1234-2023 FSC-klagomål mail.docx", "S 1234-2023")</f>
        <v/>
      </c>
      <c r="AA151">
        <f>HYPERLINK("https://klasma.github.io/Logging_2582/tillsyn/S 1234-2023 tillsynsbegäran.docx", "S 1234-2023")</f>
        <v/>
      </c>
      <c r="AB151">
        <f>HYPERLINK("https://klasma.github.io/Logging_2582/tillsynsmail/S 1234-2023 tillsynsbegäran mail.docx", "S 1234-2023")</f>
        <v/>
      </c>
    </row>
    <row r="152" ht="15" customHeight="1">
      <c r="A152" t="inlineStr">
        <is>
          <t>S 5116-2024</t>
        </is>
      </c>
      <c r="B152" t="inlineStr">
        <is>
          <t>samrådsanmälan</t>
        </is>
      </c>
      <c r="C152" t="inlineStr">
        <is>
          <t>Annan skogsbruksåtgärd</t>
        </is>
      </c>
      <c r="D152" s="1" t="n">
        <v>45643</v>
      </c>
      <c r="E152" s="1" t="n">
        <v>46221</v>
      </c>
      <c r="F152" t="inlineStr">
        <is>
          <t>NORRBOTTENS LÄN</t>
        </is>
      </c>
      <c r="G152" t="inlineStr">
        <is>
          <t>BODEN</t>
        </is>
      </c>
      <c r="I152" t="n">
        <v>9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1</v>
      </c>
      <c r="T152" t="n">
        <v>1</v>
      </c>
      <c r="U152" s="2" t="inlineStr">
        <is>
          <t>Mattlummer</t>
        </is>
      </c>
      <c r="V152">
        <f>HYPERLINK("https://klasma.github.io/Logging_2582/artfynd/S 5116-2024 artfynd.xlsx", "S 5116-2024")</f>
        <v/>
      </c>
      <c r="W152">
        <f>HYPERLINK("https://klasma.github.io/Logging_2582/kartor/S 5116-2024 karta.png", "S 5116-2024")</f>
        <v/>
      </c>
      <c r="Y152">
        <f>HYPERLINK("https://klasma.github.io/Logging_2582/klagomål/S 5116-2024 FSC-klagomål.docx", "S 5116-2024")</f>
        <v/>
      </c>
      <c r="Z152">
        <f>HYPERLINK("https://klasma.github.io/Logging_2582/klagomålsmail/S 5116-2024 FSC-klagomål mail.docx", "S 5116-2024")</f>
        <v/>
      </c>
      <c r="AA152">
        <f>HYPERLINK("https://klasma.github.io/Logging_2582/tillsyn/S 5116-2024 tillsynsbegäran.docx", "S 5116-2024")</f>
        <v/>
      </c>
      <c r="AB152">
        <f>HYPERLINK("https://klasma.github.io/Logging_2582/tillsynsmail/S 5116-2024 tillsynsbegäran mail.docx", "S 5116-2024")</f>
        <v/>
      </c>
    </row>
    <row r="153" ht="15" customHeight="1">
      <c r="A153" t="inlineStr">
        <is>
          <t>S 1634-2025</t>
        </is>
      </c>
      <c r="B153" t="inlineStr">
        <is>
          <t>samrådsanmälan</t>
        </is>
      </c>
      <c r="C153" t="inlineStr">
        <is>
          <t>Annan skogsbruksåtgärd</t>
        </is>
      </c>
      <c r="D153" s="1" t="n">
        <v>45799</v>
      </c>
      <c r="E153" s="1" t="n">
        <v>46221</v>
      </c>
      <c r="F153" t="inlineStr">
        <is>
          <t>NORRBOTTENS LÄN</t>
        </is>
      </c>
      <c r="G153" t="inlineStr">
        <is>
          <t>BODEN</t>
        </is>
      </c>
      <c r="H153" t="inlineStr">
        <is>
          <t>Sveaskog</t>
        </is>
      </c>
      <c r="I153" t="n">
        <v>1.9</v>
      </c>
      <c r="J153" t="n">
        <v>1</v>
      </c>
      <c r="K153" t="n">
        <v>0</v>
      </c>
      <c r="L153" t="n">
        <v>0</v>
      </c>
      <c r="M153" t="n">
        <v>1</v>
      </c>
      <c r="N153" t="n">
        <v>0</v>
      </c>
      <c r="O153" t="n">
        <v>0</v>
      </c>
      <c r="P153" t="n">
        <v>0</v>
      </c>
      <c r="Q153" t="n">
        <v>1</v>
      </c>
      <c r="R153" t="n">
        <v>1</v>
      </c>
      <c r="S153" t="n">
        <v>1</v>
      </c>
      <c r="T153" t="n">
        <v>1</v>
      </c>
      <c r="U153" s="2" t="inlineStr">
        <is>
          <t>Knärot</t>
        </is>
      </c>
      <c r="V153">
        <f>HYPERLINK("https://klasma.github.io/Logging_2582/artfynd/S 1634-2025 artfynd.xlsx", "S 1634-2025")</f>
        <v/>
      </c>
      <c r="W153">
        <f>HYPERLINK("https://klasma.github.io/Logging_2582/kartor/S 1634-2025 karta.png", "S 1634-2025")</f>
        <v/>
      </c>
      <c r="X153">
        <f>HYPERLINK("https://klasma.github.io/Logging_2582/knärot/S 1634-2025 karta knärot.png", "S 1634-2025")</f>
        <v/>
      </c>
      <c r="Y153">
        <f>HYPERLINK("https://klasma.github.io/Logging_2582/klagomål/S 1634-2025 FSC-klagomål.docx", "S 1634-2025")</f>
        <v/>
      </c>
      <c r="Z153">
        <f>HYPERLINK("https://klasma.github.io/Logging_2582/klagomålsmail/S 1634-2025 FSC-klagomål mail.docx", "S 1634-2025")</f>
        <v/>
      </c>
      <c r="AA153">
        <f>HYPERLINK("https://klasma.github.io/Logging_2582/tillsyn/S 1634-2025 tillsynsbegäran.docx", "S 1634-2025")</f>
        <v/>
      </c>
      <c r="AB153">
        <f>HYPERLINK("https://klasma.github.io/Logging_2582/tillsynsmail/S 1634-2025 tillsynsbegäran mail.docx", "S 1634-2025")</f>
        <v/>
      </c>
    </row>
    <row r="154" ht="15" customHeight="1">
      <c r="A154" t="inlineStr">
        <is>
          <t>S 2450-2025</t>
        </is>
      </c>
      <c r="B154" t="inlineStr">
        <is>
          <t>samrådsanmälan</t>
        </is>
      </c>
      <c r="C154" t="inlineStr">
        <is>
          <t>Annan skogsbruksåtgärd</t>
        </is>
      </c>
      <c r="D154" s="1" t="n">
        <v>45901</v>
      </c>
      <c r="E154" s="1" t="n">
        <v>46221</v>
      </c>
      <c r="F154" t="inlineStr">
        <is>
          <t>NORRBOTTENS LÄN</t>
        </is>
      </c>
      <c r="G154" t="inlineStr">
        <is>
          <t>BODEN</t>
        </is>
      </c>
      <c r="H154" t="inlineStr">
        <is>
          <t>Sveaskog</t>
        </is>
      </c>
      <c r="I154" t="n">
        <v>1.7</v>
      </c>
      <c r="J154" t="n">
        <v>0</v>
      </c>
      <c r="K154" t="n">
        <v>0</v>
      </c>
      <c r="L154" t="n">
        <v>1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t="n">
        <v>0</v>
      </c>
      <c r="S154" t="n">
        <v>1</v>
      </c>
      <c r="T154" t="n">
        <v>1</v>
      </c>
      <c r="U154" s="2" t="inlineStr">
        <is>
          <t>Kolflarnlav</t>
        </is>
      </c>
      <c r="V154">
        <f>HYPERLINK("https://klasma.github.io/Logging_2582/artfynd/S 2450-2025 artfynd.xlsx", "S 2450-2025")</f>
        <v/>
      </c>
      <c r="W154">
        <f>HYPERLINK("https://klasma.github.io/Logging_2582/kartor/S 2450-2025 karta.png", "S 2450-2025")</f>
        <v/>
      </c>
      <c r="Y154">
        <f>HYPERLINK("https://klasma.github.io/Logging_2582/klagomål/S 2450-2025 FSC-klagomål.docx", "S 2450-2025")</f>
        <v/>
      </c>
      <c r="Z154">
        <f>HYPERLINK("https://klasma.github.io/Logging_2582/klagomålsmail/S 2450-2025 FSC-klagomål mail.docx", "S 2450-2025")</f>
        <v/>
      </c>
      <c r="AA154">
        <f>HYPERLINK("https://klasma.github.io/Logging_2582/tillsyn/S 2450-2025 tillsynsbegäran.docx", "S 2450-2025")</f>
        <v/>
      </c>
      <c r="AB154">
        <f>HYPERLINK("https://klasma.github.io/Logging_2582/tillsynsmail/S 2450-2025 tillsynsbegäran mail.docx", "S 2450-2025")</f>
        <v/>
      </c>
    </row>
    <row r="155" ht="15" customHeight="1">
      <c r="A155" t="inlineStr">
        <is>
          <t>S 2940-2025</t>
        </is>
      </c>
      <c r="B155" t="inlineStr">
        <is>
          <t>samrådsanmälan</t>
        </is>
      </c>
      <c r="C155" t="inlineStr">
        <is>
          <t>Annan skogsbruksåtgärd</t>
        </is>
      </c>
      <c r="D155" s="1" t="n">
        <v>45952</v>
      </c>
      <c r="E155" s="1" t="n">
        <v>46221</v>
      </c>
      <c r="F155" t="inlineStr">
        <is>
          <t>NORRBOTTENS LÄN</t>
        </is>
      </c>
      <c r="G155" t="inlineStr">
        <is>
          <t>BODEN</t>
        </is>
      </c>
      <c r="H155" t="inlineStr">
        <is>
          <t>Sveaskog</t>
        </is>
      </c>
      <c r="I155" t="n">
        <v>0.7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1</v>
      </c>
      <c r="T155" t="n">
        <v>1</v>
      </c>
      <c r="U155" s="2" t="inlineStr">
        <is>
          <t>Skinnlav</t>
        </is>
      </c>
      <c r="V155">
        <f>HYPERLINK("https://klasma.github.io/Logging_2582/artfynd/S 2940-2025 artfynd.xlsx", "S 2940-2025")</f>
        <v/>
      </c>
      <c r="W155">
        <f>HYPERLINK("https://klasma.github.io/Logging_2582/kartor/S 2940-2025 karta.png", "S 2940-2025")</f>
        <v/>
      </c>
      <c r="Y155">
        <f>HYPERLINK("https://klasma.github.io/Logging_2582/klagomål/S 2940-2025 FSC-klagomål.docx", "S 2940-2025")</f>
        <v/>
      </c>
      <c r="Z155">
        <f>HYPERLINK("https://klasma.github.io/Logging_2582/klagomålsmail/S 2940-2025 FSC-klagomål mail.docx", "S 2940-2025")</f>
        <v/>
      </c>
      <c r="AA155">
        <f>HYPERLINK("https://klasma.github.io/Logging_2582/tillsyn/S 2940-2025 tillsynsbegäran.docx", "S 2940-2025")</f>
        <v/>
      </c>
      <c r="AB155">
        <f>HYPERLINK("https://klasma.github.io/Logging_2582/tillsynsmail/S 2940-2025 tillsynsbegäran mail.docx", "S 2940-2025")</f>
        <v/>
      </c>
    </row>
    <row r="156" ht="15" customHeight="1">
      <c r="A156" t="inlineStr">
        <is>
          <t>A 63790-2021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44509</v>
      </c>
      <c r="E156" s="1" t="n">
        <v>46221</v>
      </c>
      <c r="F156" t="inlineStr">
        <is>
          <t>NORRBOTTENS LÄN</t>
        </is>
      </c>
      <c r="G156" t="inlineStr">
        <is>
          <t>BODEN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17121-2022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44677</v>
      </c>
      <c r="E157" s="1" t="n">
        <v>46221</v>
      </c>
      <c r="F157" t="inlineStr">
        <is>
          <t>NORRBOTTENS LÄN</t>
        </is>
      </c>
      <c r="G157" t="inlineStr">
        <is>
          <t>BODEN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2100-2022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44577</v>
      </c>
      <c r="E158" s="1" t="n">
        <v>46221</v>
      </c>
      <c r="F158" t="inlineStr">
        <is>
          <t>NORRBOTTENS LÄN</t>
        </is>
      </c>
      <c r="G158" t="inlineStr">
        <is>
          <t>BODEN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39701-2021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44414</v>
      </c>
      <c r="E159" s="1" t="n">
        <v>46221</v>
      </c>
      <c r="F159" t="inlineStr">
        <is>
          <t>NORRBOTTENS LÄN</t>
        </is>
      </c>
      <c r="G159" t="inlineStr">
        <is>
          <t>BODEN</t>
        </is>
      </c>
      <c r="I159" t="n">
        <v>2.5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39673-2021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44414</v>
      </c>
      <c r="E160" s="1" t="n">
        <v>46221</v>
      </c>
      <c r="F160" t="inlineStr">
        <is>
          <t>NORRBOTTENS LÄN</t>
        </is>
      </c>
      <c r="G160" t="inlineStr">
        <is>
          <t>BODEN</t>
        </is>
      </c>
      <c r="I160" t="n">
        <v>2.7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15406-2022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44659</v>
      </c>
      <c r="E161" s="1" t="n">
        <v>46221</v>
      </c>
      <c r="F161" t="inlineStr">
        <is>
          <t>NORRBOTTENS LÄN</t>
        </is>
      </c>
      <c r="G161" t="inlineStr">
        <is>
          <t>BODEN</t>
        </is>
      </c>
      <c r="I161" t="n">
        <v>11.2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58975-2021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44489</v>
      </c>
      <c r="E162" s="1" t="n">
        <v>46221</v>
      </c>
      <c r="F162" t="inlineStr">
        <is>
          <t>NORRBOTTENS LÄN</t>
        </is>
      </c>
      <c r="G162" t="inlineStr">
        <is>
          <t>BODEN</t>
        </is>
      </c>
      <c r="H162" t="inlineStr">
        <is>
          <t>SCA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16530-2022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44671</v>
      </c>
      <c r="E163" s="1" t="n">
        <v>46221</v>
      </c>
      <c r="F163" t="inlineStr">
        <is>
          <t>NORRBOTTENS LÄN</t>
        </is>
      </c>
      <c r="G163" t="inlineStr">
        <is>
          <t>BODEN</t>
        </is>
      </c>
      <c r="I163" t="n">
        <v>8.9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47277-2022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44852</v>
      </c>
      <c r="E164" s="1" t="n">
        <v>46221</v>
      </c>
      <c r="F164" t="inlineStr">
        <is>
          <t>NORRBOTTENS LÄN</t>
        </is>
      </c>
      <c r="G164" t="inlineStr">
        <is>
          <t>BODEN</t>
        </is>
      </c>
      <c r="H164" t="inlineStr">
        <is>
          <t>SCA</t>
        </is>
      </c>
      <c r="I164" t="n">
        <v>2.4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51963-2021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44463</v>
      </c>
      <c r="E165" s="1" t="n">
        <v>46221</v>
      </c>
      <c r="F165" t="inlineStr">
        <is>
          <t>NORRBOTTENS LÄN</t>
        </is>
      </c>
      <c r="G165" t="inlineStr">
        <is>
          <t>BODEN</t>
        </is>
      </c>
      <c r="H165" t="inlineStr">
        <is>
          <t>Sveaskog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39711-2021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44414</v>
      </c>
      <c r="E166" s="1" t="n">
        <v>46221</v>
      </c>
      <c r="F166" t="inlineStr">
        <is>
          <t>NORRBOTTENS LÄN</t>
        </is>
      </c>
      <c r="G166" t="inlineStr">
        <is>
          <t>BODEN</t>
        </is>
      </c>
      <c r="I166" t="n">
        <v>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39740-2021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44414</v>
      </c>
      <c r="E167" s="1" t="n">
        <v>46221</v>
      </c>
      <c r="F167" t="inlineStr">
        <is>
          <t>NORRBOTTENS LÄN</t>
        </is>
      </c>
      <c r="G167" t="inlineStr">
        <is>
          <t>BODEN</t>
        </is>
      </c>
      <c r="I167" t="n">
        <v>3.5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39695-2021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44414</v>
      </c>
      <c r="E168" s="1" t="n">
        <v>46221</v>
      </c>
      <c r="F168" t="inlineStr">
        <is>
          <t>NORRBOTTENS LÄN</t>
        </is>
      </c>
      <c r="G168" t="inlineStr">
        <is>
          <t>BODEN</t>
        </is>
      </c>
      <c r="I168" t="n">
        <v>2.5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38722-2022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44815</v>
      </c>
      <c r="E169" s="1" t="n">
        <v>46221</v>
      </c>
      <c r="F169" t="inlineStr">
        <is>
          <t>NORRBOTTENS LÄN</t>
        </is>
      </c>
      <c r="G169" t="inlineStr">
        <is>
          <t>BODEN</t>
        </is>
      </c>
      <c r="H169" t="inlineStr">
        <is>
          <t>Övriga statliga verk och myndigheter</t>
        </is>
      </c>
      <c r="I169" t="n">
        <v>8.5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39689-2021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44414</v>
      </c>
      <c r="E170" s="1" t="n">
        <v>46221</v>
      </c>
      <c r="F170" t="inlineStr">
        <is>
          <t>NORRBOTTENS LÄN</t>
        </is>
      </c>
      <c r="G170" t="inlineStr">
        <is>
          <t>BODEN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13577-2022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44648</v>
      </c>
      <c r="E171" s="1" t="n">
        <v>46221</v>
      </c>
      <c r="F171" t="inlineStr">
        <is>
          <t>NORRBOTTENS LÄN</t>
        </is>
      </c>
      <c r="G171" t="inlineStr">
        <is>
          <t>BODEN</t>
        </is>
      </c>
      <c r="H171" t="inlineStr">
        <is>
          <t>Sveaskog</t>
        </is>
      </c>
      <c r="I171" t="n">
        <v>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51902-2021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44462</v>
      </c>
      <c r="E172" s="1" t="n">
        <v>46221</v>
      </c>
      <c r="F172" t="inlineStr">
        <is>
          <t>NORRBOTTENS LÄN</t>
        </is>
      </c>
      <c r="G172" t="inlineStr">
        <is>
          <t>BODEN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9527-2022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44617</v>
      </c>
      <c r="E173" s="1" t="n">
        <v>46221</v>
      </c>
      <c r="F173" t="inlineStr">
        <is>
          <t>NORRBOTTENS LÄN</t>
        </is>
      </c>
      <c r="G173" t="inlineStr">
        <is>
          <t>BODEN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13592-2022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44648</v>
      </c>
      <c r="E174" s="1" t="n">
        <v>46221</v>
      </c>
      <c r="F174" t="inlineStr">
        <is>
          <t>NORRBOTTENS LÄN</t>
        </is>
      </c>
      <c r="G174" t="inlineStr">
        <is>
          <t>BODEN</t>
        </is>
      </c>
      <c r="H174" t="inlineStr">
        <is>
          <t>Sveaskog</t>
        </is>
      </c>
      <c r="I174" t="n">
        <v>4.7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45185-2021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44439</v>
      </c>
      <c r="E175" s="1" t="n">
        <v>46221</v>
      </c>
      <c r="F175" t="inlineStr">
        <is>
          <t>NORRBOTTENS LÄN</t>
        </is>
      </c>
      <c r="G175" t="inlineStr">
        <is>
          <t>BODEN</t>
        </is>
      </c>
      <c r="I175" t="n">
        <v>6.1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52345-2021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44464</v>
      </c>
      <c r="E176" s="1" t="n">
        <v>46221</v>
      </c>
      <c r="F176" t="inlineStr">
        <is>
          <t>NORRBOTTENS LÄN</t>
        </is>
      </c>
      <c r="G176" t="inlineStr">
        <is>
          <t>BODEN</t>
        </is>
      </c>
      <c r="I176" t="n">
        <v>11.7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50322-2022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44865</v>
      </c>
      <c r="E177" s="1" t="n">
        <v>46221</v>
      </c>
      <c r="F177" t="inlineStr">
        <is>
          <t>NORRBOTTENS LÄN</t>
        </is>
      </c>
      <c r="G177" t="inlineStr">
        <is>
          <t>BODEN</t>
        </is>
      </c>
      <c r="H177" t="inlineStr">
        <is>
          <t>SCA</t>
        </is>
      </c>
      <c r="I177" t="n">
        <v>3.8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8112-2022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44609</v>
      </c>
      <c r="E178" s="1" t="n">
        <v>46221</v>
      </c>
      <c r="F178" t="inlineStr">
        <is>
          <t>NORRBOTTENS LÄN</t>
        </is>
      </c>
      <c r="G178" t="inlineStr">
        <is>
          <t>BODEN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8125-2022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44609</v>
      </c>
      <c r="E179" s="1" t="n">
        <v>46221</v>
      </c>
      <c r="F179" t="inlineStr">
        <is>
          <t>NORRBOTTENS LÄN</t>
        </is>
      </c>
      <c r="G179" t="inlineStr">
        <is>
          <t>BODEN</t>
        </is>
      </c>
      <c r="I179" t="n">
        <v>2.9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16478-2022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44671</v>
      </c>
      <c r="E180" s="1" t="n">
        <v>46221</v>
      </c>
      <c r="F180" t="inlineStr">
        <is>
          <t>NORRBOTTENS LÄN</t>
        </is>
      </c>
      <c r="G180" t="inlineStr">
        <is>
          <t>BODEN</t>
        </is>
      </c>
      <c r="I180" t="n">
        <v>1.9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51328-2021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44461</v>
      </c>
      <c r="E181" s="1" t="n">
        <v>46221</v>
      </c>
      <c r="F181" t="inlineStr">
        <is>
          <t>NORRBOTTENS LÄN</t>
        </is>
      </c>
      <c r="G181" t="inlineStr">
        <is>
          <t>BODEN</t>
        </is>
      </c>
      <c r="I181" t="n">
        <v>5.6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55536-2022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44887</v>
      </c>
      <c r="E182" s="1" t="n">
        <v>46221</v>
      </c>
      <c r="F182" t="inlineStr">
        <is>
          <t>NORRBOTTENS LÄN</t>
        </is>
      </c>
      <c r="G182" t="inlineStr">
        <is>
          <t>BODEN</t>
        </is>
      </c>
      <c r="H182" t="inlineStr">
        <is>
          <t>SCA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23546-2022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44721</v>
      </c>
      <c r="E183" s="1" t="n">
        <v>46221</v>
      </c>
      <c r="F183" t="inlineStr">
        <is>
          <t>NORRBOTTENS LÄN</t>
        </is>
      </c>
      <c r="G183" t="inlineStr">
        <is>
          <t>BODEN</t>
        </is>
      </c>
      <c r="I183" t="n">
        <v>6.7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71833-2021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44543</v>
      </c>
      <c r="E184" s="1" t="n">
        <v>46221</v>
      </c>
      <c r="F184" t="inlineStr">
        <is>
          <t>NORRBOTTENS LÄN</t>
        </is>
      </c>
      <c r="G184" t="inlineStr">
        <is>
          <t>BODEN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13552-2022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44648</v>
      </c>
      <c r="E185" s="1" t="n">
        <v>46221</v>
      </c>
      <c r="F185" t="inlineStr">
        <is>
          <t>NORRBOTTENS LÄN</t>
        </is>
      </c>
      <c r="G185" t="inlineStr">
        <is>
          <t>BODEN</t>
        </is>
      </c>
      <c r="H185" t="inlineStr">
        <is>
          <t>Sveaskog</t>
        </is>
      </c>
      <c r="I185" t="n">
        <v>4.1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68914-2021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44530</v>
      </c>
      <c r="E186" s="1" t="n">
        <v>46221</v>
      </c>
      <c r="F186" t="inlineStr">
        <is>
          <t>NORRBOTTENS LÄN</t>
        </is>
      </c>
      <c r="G186" t="inlineStr">
        <is>
          <t>BODEN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54818-2021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44473</v>
      </c>
      <c r="E187" s="1" t="n">
        <v>46221</v>
      </c>
      <c r="F187" t="inlineStr">
        <is>
          <t>NORRBOTTENS LÄN</t>
        </is>
      </c>
      <c r="G187" t="inlineStr">
        <is>
          <t>BODEN</t>
        </is>
      </c>
      <c r="H187" t="inlineStr">
        <is>
          <t>SCA</t>
        </is>
      </c>
      <c r="I187" t="n">
        <v>9.199999999999999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26013-2022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44734</v>
      </c>
      <c r="E188" s="1" t="n">
        <v>46221</v>
      </c>
      <c r="F188" t="inlineStr">
        <is>
          <t>NORRBOTTENS LÄN</t>
        </is>
      </c>
      <c r="G188" t="inlineStr">
        <is>
          <t>BODEN</t>
        </is>
      </c>
      <c r="I188" t="n">
        <v>9.1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710-2022</t>
        </is>
      </c>
      <c r="B189" t="inlineStr">
        <is>
          <t>avverkningsanmälan</t>
        </is>
      </c>
      <c r="C189" t="inlineStr">
        <is>
          <t>Avverkning för att bevara och utveckla /försöksver</t>
        </is>
      </c>
      <c r="D189" s="1" t="n">
        <v>44566</v>
      </c>
      <c r="E189" s="1" t="n">
        <v>46221</v>
      </c>
      <c r="F189" t="inlineStr">
        <is>
          <t>NORRBOTTENS LÄN</t>
        </is>
      </c>
      <c r="G189" t="inlineStr">
        <is>
          <t>BODEN</t>
        </is>
      </c>
      <c r="I189" t="n">
        <v>4.6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714-2022</t>
        </is>
      </c>
      <c r="B190" t="inlineStr">
        <is>
          <t>avverkningsanmälan</t>
        </is>
      </c>
      <c r="C190" t="inlineStr">
        <is>
          <t>Avverkning för att bevara och utveckla /försöksver</t>
        </is>
      </c>
      <c r="D190" s="1" t="n">
        <v>44566</v>
      </c>
      <c r="E190" s="1" t="n">
        <v>46221</v>
      </c>
      <c r="F190" t="inlineStr">
        <is>
          <t>NORRBOTTENS LÄN</t>
        </is>
      </c>
      <c r="G190" t="inlineStr">
        <is>
          <t>BODEN</t>
        </is>
      </c>
      <c r="I190" t="n">
        <v>5.6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6181-2022</t>
        </is>
      </c>
      <c r="B191" t="inlineStr">
        <is>
          <t>avverkningsanmälan</t>
        </is>
      </c>
      <c r="C191" t="inlineStr">
        <is>
          <t>Avverkning för att bevara och utveckla /försöksver</t>
        </is>
      </c>
      <c r="D191" s="1" t="n">
        <v>44600</v>
      </c>
      <c r="E191" s="1" t="n">
        <v>46221</v>
      </c>
      <c r="F191" t="inlineStr">
        <is>
          <t>NORRBOTTENS LÄN</t>
        </is>
      </c>
      <c r="G191" t="inlineStr">
        <is>
          <t>BODEN</t>
        </is>
      </c>
      <c r="H191" t="inlineStr">
        <is>
          <t>Sveaskog</t>
        </is>
      </c>
      <c r="I191" t="n">
        <v>7.7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29119-2022</t>
        </is>
      </c>
      <c r="B192" t="inlineStr">
        <is>
          <t>avverkningsanmälan</t>
        </is>
      </c>
      <c r="C192" t="inlineStr">
        <is>
          <t>Avverkning för att bevara och utveckla /försöksver</t>
        </is>
      </c>
      <c r="D192" s="1" t="n">
        <v>44749</v>
      </c>
      <c r="E192" s="1" t="n">
        <v>46221</v>
      </c>
      <c r="F192" t="inlineStr">
        <is>
          <t>NORRBOTTENS LÄN</t>
        </is>
      </c>
      <c r="G192" t="inlineStr">
        <is>
          <t>BODEN</t>
        </is>
      </c>
      <c r="I192" t="n">
        <v>10.4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23871-2022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44722</v>
      </c>
      <c r="E193" s="1" t="n">
        <v>46221</v>
      </c>
      <c r="F193" t="inlineStr">
        <is>
          <t>NORRBOTTENS LÄN</t>
        </is>
      </c>
      <c r="G193" t="inlineStr">
        <is>
          <t>BODEN</t>
        </is>
      </c>
      <c r="I193" t="n">
        <v>4.8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69124-2021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44530</v>
      </c>
      <c r="E194" s="1" t="n">
        <v>46221</v>
      </c>
      <c r="F194" t="inlineStr">
        <is>
          <t>NORRBOTTENS LÄN</t>
        </is>
      </c>
      <c r="G194" t="inlineStr">
        <is>
          <t>BODEN</t>
        </is>
      </c>
      <c r="I194" t="n">
        <v>3.7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56467-2021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44480</v>
      </c>
      <c r="E195" s="1" t="n">
        <v>46221</v>
      </c>
      <c r="F195" t="inlineStr">
        <is>
          <t>NORRBOTTENS LÄN</t>
        </is>
      </c>
      <c r="G195" t="inlineStr">
        <is>
          <t>BODEN</t>
        </is>
      </c>
      <c r="I195" t="n">
        <v>2.8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45002-2021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44438</v>
      </c>
      <c r="E196" s="1" t="n">
        <v>46221</v>
      </c>
      <c r="F196" t="inlineStr">
        <is>
          <t>NORRBOTTENS LÄN</t>
        </is>
      </c>
      <c r="G196" t="inlineStr">
        <is>
          <t>BODEN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39833-2021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44414</v>
      </c>
      <c r="E197" s="1" t="n">
        <v>46221</v>
      </c>
      <c r="F197" t="inlineStr">
        <is>
          <t>NORRBOTTENS LÄN</t>
        </is>
      </c>
      <c r="G197" t="inlineStr">
        <is>
          <t>BODEN</t>
        </is>
      </c>
      <c r="I197" t="n">
        <v>1.8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446-2022</t>
        </is>
      </c>
      <c r="B198" t="inlineStr">
        <is>
          <t>avverkningsanmälan</t>
        </is>
      </c>
      <c r="C198" t="inlineStr">
        <is>
          <t>Avverkning för att bevara och utveckla /försöksver</t>
        </is>
      </c>
      <c r="D198" s="1" t="n">
        <v>44565</v>
      </c>
      <c r="E198" s="1" t="n">
        <v>46221</v>
      </c>
      <c r="F198" t="inlineStr">
        <is>
          <t>NORRBOTTENS LÄN</t>
        </is>
      </c>
      <c r="G198" t="inlineStr">
        <is>
          <t>BODEN</t>
        </is>
      </c>
      <c r="I198" t="n">
        <v>2.1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1447-2022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44573</v>
      </c>
      <c r="E199" s="1" t="n">
        <v>46221</v>
      </c>
      <c r="F199" t="inlineStr">
        <is>
          <t>NORRBOTTENS LÄN</t>
        </is>
      </c>
      <c r="G199" t="inlineStr">
        <is>
          <t>BODEN</t>
        </is>
      </c>
      <c r="H199" t="inlineStr">
        <is>
          <t>Sveaskog</t>
        </is>
      </c>
      <c r="I199" t="n">
        <v>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711-2022</t>
        </is>
      </c>
      <c r="B200" t="inlineStr">
        <is>
          <t>avverkningsanmälan</t>
        </is>
      </c>
      <c r="C200" t="inlineStr">
        <is>
          <t>Avverkning för att bevara och utveckla /försöksver</t>
        </is>
      </c>
      <c r="D200" s="1" t="n">
        <v>44566</v>
      </c>
      <c r="E200" s="1" t="n">
        <v>46221</v>
      </c>
      <c r="F200" t="inlineStr">
        <is>
          <t>NORRBOTTENS LÄN</t>
        </is>
      </c>
      <c r="G200" t="inlineStr">
        <is>
          <t>BODEN</t>
        </is>
      </c>
      <c r="I200" t="n">
        <v>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9530-2022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44617</v>
      </c>
      <c r="E201" s="1" t="n">
        <v>46221</v>
      </c>
      <c r="F201" t="inlineStr">
        <is>
          <t>NORRBOTTENS LÄN</t>
        </is>
      </c>
      <c r="G201" t="inlineStr">
        <is>
          <t>BODEN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39971-2022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44820</v>
      </c>
      <c r="E202" s="1" t="n">
        <v>46221</v>
      </c>
      <c r="F202" t="inlineStr">
        <is>
          <t>NORRBOTTENS LÄN</t>
        </is>
      </c>
      <c r="G202" t="inlineStr">
        <is>
          <t>BODEN</t>
        </is>
      </c>
      <c r="H202" t="inlineStr">
        <is>
          <t>Sveaskog</t>
        </is>
      </c>
      <c r="I202" t="n">
        <v>11.3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10709-2022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44625</v>
      </c>
      <c r="E203" s="1" t="n">
        <v>46221</v>
      </c>
      <c r="F203" t="inlineStr">
        <is>
          <t>NORRBOTTENS LÄN</t>
        </is>
      </c>
      <c r="G203" t="inlineStr">
        <is>
          <t>BODEN</t>
        </is>
      </c>
      <c r="I203" t="n">
        <v>0.4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5733-2022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44596</v>
      </c>
      <c r="E204" s="1" t="n">
        <v>46221</v>
      </c>
      <c r="F204" t="inlineStr">
        <is>
          <t>NORRBOTTENS LÄN</t>
        </is>
      </c>
      <c r="G204" t="inlineStr">
        <is>
          <t>BODEN</t>
        </is>
      </c>
      <c r="H204" t="inlineStr">
        <is>
          <t>Övriga statliga verk och myndigheter</t>
        </is>
      </c>
      <c r="I204" t="n">
        <v>7.3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42632-2022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44831</v>
      </c>
      <c r="E205" s="1" t="n">
        <v>46221</v>
      </c>
      <c r="F205" t="inlineStr">
        <is>
          <t>NORRBOTTENS LÄN</t>
        </is>
      </c>
      <c r="G205" t="inlineStr">
        <is>
          <t>BODEN</t>
        </is>
      </c>
      <c r="H205" t="inlineStr">
        <is>
          <t>SCA</t>
        </is>
      </c>
      <c r="I205" t="n">
        <v>2.3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35752-2022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44799</v>
      </c>
      <c r="E206" s="1" t="n">
        <v>46221</v>
      </c>
      <c r="F206" t="inlineStr">
        <is>
          <t>NORRBOTTENS LÄN</t>
        </is>
      </c>
      <c r="G206" t="inlineStr">
        <is>
          <t>BODEN</t>
        </is>
      </c>
      <c r="H206" t="inlineStr">
        <is>
          <t>SCA</t>
        </is>
      </c>
      <c r="I206" t="n">
        <v>2.8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35753-2022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44799</v>
      </c>
      <c r="E207" s="1" t="n">
        <v>46221</v>
      </c>
      <c r="F207" t="inlineStr">
        <is>
          <t>NORRBOTTENS LÄN</t>
        </is>
      </c>
      <c r="G207" t="inlineStr">
        <is>
          <t>BODEN</t>
        </is>
      </c>
      <c r="H207" t="inlineStr">
        <is>
          <t>SCA</t>
        </is>
      </c>
      <c r="I207" t="n">
        <v>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27688-2022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44743</v>
      </c>
      <c r="E208" s="1" t="n">
        <v>46221</v>
      </c>
      <c r="F208" t="inlineStr">
        <is>
          <t>NORRBOTTENS LÄN</t>
        </is>
      </c>
      <c r="G208" t="inlineStr">
        <is>
          <t>BODEN</t>
        </is>
      </c>
      <c r="I208" t="n">
        <v>13.5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56485-2021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44480</v>
      </c>
      <c r="E209" s="1" t="n">
        <v>46221</v>
      </c>
      <c r="F209" t="inlineStr">
        <is>
          <t>NORRBOTTENS LÄN</t>
        </is>
      </c>
      <c r="G209" t="inlineStr">
        <is>
          <t>BODEN</t>
        </is>
      </c>
      <c r="I209" t="n">
        <v>6.1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68569-2021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44529</v>
      </c>
      <c r="E210" s="1" t="n">
        <v>46221</v>
      </c>
      <c r="F210" t="inlineStr">
        <is>
          <t>NORRBOTTENS LÄN</t>
        </is>
      </c>
      <c r="G210" t="inlineStr">
        <is>
          <t>BODEN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452-2022</t>
        </is>
      </c>
      <c r="B211" t="inlineStr">
        <is>
          <t>avverkningsanmälan</t>
        </is>
      </c>
      <c r="C211" t="inlineStr">
        <is>
          <t>Avverkning för att bevara och utveckla /försöksver</t>
        </is>
      </c>
      <c r="D211" s="1" t="n">
        <v>44565</v>
      </c>
      <c r="E211" s="1" t="n">
        <v>46221</v>
      </c>
      <c r="F211" t="inlineStr">
        <is>
          <t>NORRBOTTENS LÄN</t>
        </is>
      </c>
      <c r="G211" t="inlineStr">
        <is>
          <t>BODEN</t>
        </is>
      </c>
      <c r="I211" t="n">
        <v>3.7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45189-2021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44439</v>
      </c>
      <c r="E212" s="1" t="n">
        <v>46221</v>
      </c>
      <c r="F212" t="inlineStr">
        <is>
          <t>NORRBOTTENS LÄN</t>
        </is>
      </c>
      <c r="G212" t="inlineStr">
        <is>
          <t>BODEN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11935-2022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44635</v>
      </c>
      <c r="E213" s="1" t="n">
        <v>46221</v>
      </c>
      <c r="F213" t="inlineStr">
        <is>
          <t>NORRBOTTENS LÄN</t>
        </is>
      </c>
      <c r="G213" t="inlineStr">
        <is>
          <t>BODEN</t>
        </is>
      </c>
      <c r="H213" t="inlineStr">
        <is>
          <t>Kyrkan</t>
        </is>
      </c>
      <c r="I213" t="n">
        <v>16.5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42711-2021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44428</v>
      </c>
      <c r="E214" s="1" t="n">
        <v>46221</v>
      </c>
      <c r="F214" t="inlineStr">
        <is>
          <t>NORRBOTTENS LÄN</t>
        </is>
      </c>
      <c r="G214" t="inlineStr">
        <is>
          <t>BODEN</t>
        </is>
      </c>
      <c r="I214" t="n">
        <v>2.7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35069-2022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44797</v>
      </c>
      <c r="E215" s="1" t="n">
        <v>46221</v>
      </c>
      <c r="F215" t="inlineStr">
        <is>
          <t>NORRBOTTENS LÄN</t>
        </is>
      </c>
      <c r="G215" t="inlineStr">
        <is>
          <t>BODEN</t>
        </is>
      </c>
      <c r="I215" t="n">
        <v>9.1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35044-2022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44796</v>
      </c>
      <c r="E216" s="1" t="n">
        <v>46221</v>
      </c>
      <c r="F216" t="inlineStr">
        <is>
          <t>NORRBOTTENS LÄN</t>
        </is>
      </c>
      <c r="G216" t="inlineStr">
        <is>
          <t>BODEN</t>
        </is>
      </c>
      <c r="I216" t="n">
        <v>0.4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35046-2022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44796</v>
      </c>
      <c r="E217" s="1" t="n">
        <v>46221</v>
      </c>
      <c r="F217" t="inlineStr">
        <is>
          <t>NORRBOTTENS LÄN</t>
        </is>
      </c>
      <c r="G217" t="inlineStr">
        <is>
          <t>BODEN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57583-2021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44484</v>
      </c>
      <c r="E218" s="1" t="n">
        <v>46221</v>
      </c>
      <c r="F218" t="inlineStr">
        <is>
          <t>NORRBOTTENS LÄN</t>
        </is>
      </c>
      <c r="G218" t="inlineStr">
        <is>
          <t>BODEN</t>
        </is>
      </c>
      <c r="H218" t="inlineStr">
        <is>
          <t>Sveaskog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58898-2021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44489</v>
      </c>
      <c r="E219" s="1" t="n">
        <v>46221</v>
      </c>
      <c r="F219" t="inlineStr">
        <is>
          <t>NORRBOTTENS LÄN</t>
        </is>
      </c>
      <c r="G219" t="inlineStr">
        <is>
          <t>BODEN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34789-2022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44795</v>
      </c>
      <c r="E220" s="1" t="n">
        <v>46221</v>
      </c>
      <c r="F220" t="inlineStr">
        <is>
          <t>NORRBOTTENS LÄN</t>
        </is>
      </c>
      <c r="G220" t="inlineStr">
        <is>
          <t>BODEN</t>
        </is>
      </c>
      <c r="H220" t="inlineStr">
        <is>
          <t>SCA</t>
        </is>
      </c>
      <c r="I220" t="n">
        <v>3.5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38213-2022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44812</v>
      </c>
      <c r="E221" s="1" t="n">
        <v>46221</v>
      </c>
      <c r="F221" t="inlineStr">
        <is>
          <t>NORRBOTTENS LÄN</t>
        </is>
      </c>
      <c r="G221" t="inlineStr">
        <is>
          <t>BODEN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16531-2022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44671</v>
      </c>
      <c r="E222" s="1" t="n">
        <v>46221</v>
      </c>
      <c r="F222" t="inlineStr">
        <is>
          <t>NORRBOTTENS LÄN</t>
        </is>
      </c>
      <c r="G222" t="inlineStr">
        <is>
          <t>BODEN</t>
        </is>
      </c>
      <c r="I222" t="n">
        <v>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43007-2022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44833</v>
      </c>
      <c r="E223" s="1" t="n">
        <v>46221</v>
      </c>
      <c r="F223" t="inlineStr">
        <is>
          <t>NORRBOTTENS LÄN</t>
        </is>
      </c>
      <c r="G223" t="inlineStr">
        <is>
          <t>BODEN</t>
        </is>
      </c>
      <c r="I223" t="n">
        <v>1.8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43969-2024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45572</v>
      </c>
      <c r="E224" s="1" t="n">
        <v>46221</v>
      </c>
      <c r="F224" t="inlineStr">
        <is>
          <t>NORRBOTTENS LÄN</t>
        </is>
      </c>
      <c r="G224" t="inlineStr">
        <is>
          <t>BODEN</t>
        </is>
      </c>
      <c r="H224" t="inlineStr">
        <is>
          <t>Sveaskog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9322-2024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45358</v>
      </c>
      <c r="E225" s="1" t="n">
        <v>46221</v>
      </c>
      <c r="F225" t="inlineStr">
        <is>
          <t>NORRBOTTENS LÄN</t>
        </is>
      </c>
      <c r="G225" t="inlineStr">
        <is>
          <t>BODEN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8782-2024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45356</v>
      </c>
      <c r="E226" s="1" t="n">
        <v>46221</v>
      </c>
      <c r="F226" t="inlineStr">
        <is>
          <t>NORRBOTTENS LÄN</t>
        </is>
      </c>
      <c r="G226" t="inlineStr">
        <is>
          <t>BODEN</t>
        </is>
      </c>
      <c r="I226" t="n">
        <v>3.4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18679-2025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45763</v>
      </c>
      <c r="E227" s="1" t="n">
        <v>46221</v>
      </c>
      <c r="F227" t="inlineStr">
        <is>
          <t>NORRBOTTENS LÄN</t>
        </is>
      </c>
      <c r="G227" t="inlineStr">
        <is>
          <t>BODEN</t>
        </is>
      </c>
      <c r="I227" t="n">
        <v>1.8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26022-2022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44734</v>
      </c>
      <c r="E228" s="1" t="n">
        <v>46221</v>
      </c>
      <c r="F228" t="inlineStr">
        <is>
          <t>NORRBOTTENS LÄN</t>
        </is>
      </c>
      <c r="G228" t="inlineStr">
        <is>
          <t>BODEN</t>
        </is>
      </c>
      <c r="I228" t="n">
        <v>1.9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59584-2023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45254</v>
      </c>
      <c r="E229" s="1" t="n">
        <v>46221</v>
      </c>
      <c r="F229" t="inlineStr">
        <is>
          <t>NORRBOTTENS LÄN</t>
        </is>
      </c>
      <c r="G229" t="inlineStr">
        <is>
          <t>BODEN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25575-2024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45463</v>
      </c>
      <c r="E230" s="1" t="n">
        <v>46221</v>
      </c>
      <c r="F230" t="inlineStr">
        <is>
          <t>NORRBOTTENS LÄN</t>
        </is>
      </c>
      <c r="G230" t="inlineStr">
        <is>
          <t>BODEN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26964-2023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45093</v>
      </c>
      <c r="E231" s="1" t="n">
        <v>46221</v>
      </c>
      <c r="F231" t="inlineStr">
        <is>
          <t>NORRBOTTENS LÄN</t>
        </is>
      </c>
      <c r="G231" t="inlineStr">
        <is>
          <t>BODEN</t>
        </is>
      </c>
      <c r="H231" t="inlineStr">
        <is>
          <t>Sveaskog</t>
        </is>
      </c>
      <c r="I231" t="n">
        <v>2.3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1023-2023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44935</v>
      </c>
      <c r="E232" s="1" t="n">
        <v>46221</v>
      </c>
      <c r="F232" t="inlineStr">
        <is>
          <t>NORRBOTTENS LÄN</t>
        </is>
      </c>
      <c r="G232" t="inlineStr">
        <is>
          <t>BODEN</t>
        </is>
      </c>
      <c r="I232" t="n">
        <v>3.1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56111-2021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44477</v>
      </c>
      <c r="E233" s="1" t="n">
        <v>46221</v>
      </c>
      <c r="F233" t="inlineStr">
        <is>
          <t>NORRBOTTENS LÄN</t>
        </is>
      </c>
      <c r="G233" t="inlineStr">
        <is>
          <t>BODEN</t>
        </is>
      </c>
      <c r="I233" t="n">
        <v>2.3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21335-2024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45429</v>
      </c>
      <c r="E234" s="1" t="n">
        <v>46221</v>
      </c>
      <c r="F234" t="inlineStr">
        <is>
          <t>NORRBOTTENS LÄN</t>
        </is>
      </c>
      <c r="G234" t="inlineStr">
        <is>
          <t>BODEN</t>
        </is>
      </c>
      <c r="I234" t="n">
        <v>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32276-2024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45512</v>
      </c>
      <c r="E235" s="1" t="n">
        <v>46221</v>
      </c>
      <c r="F235" t="inlineStr">
        <is>
          <t>NORRBOTTENS LÄN</t>
        </is>
      </c>
      <c r="G235" t="inlineStr">
        <is>
          <t>BODEN</t>
        </is>
      </c>
      <c r="I235" t="n">
        <v>4.9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1081-2024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45301</v>
      </c>
      <c r="E236" s="1" t="n">
        <v>46221</v>
      </c>
      <c r="F236" t="inlineStr">
        <is>
          <t>NORRBOTTENS LÄN</t>
        </is>
      </c>
      <c r="G236" t="inlineStr">
        <is>
          <t>BODEN</t>
        </is>
      </c>
      <c r="H236" t="inlineStr">
        <is>
          <t>Övriga statliga verk och myndigheter</t>
        </is>
      </c>
      <c r="I236" t="n">
        <v>10.4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74264-2021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44558</v>
      </c>
      <c r="E237" s="1" t="n">
        <v>46221</v>
      </c>
      <c r="F237" t="inlineStr">
        <is>
          <t>NORRBOTTENS LÄN</t>
        </is>
      </c>
      <c r="G237" t="inlineStr">
        <is>
          <t>BODEN</t>
        </is>
      </c>
      <c r="I237" t="n">
        <v>4.5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54590-2022</t>
        </is>
      </c>
      <c r="B238" t="inlineStr">
        <is>
          <t>avverkningsanmälan</t>
        </is>
      </c>
      <c r="C238" t="inlineStr">
        <is>
          <t>Avverkning för att bevara och utveckla /försöksver</t>
        </is>
      </c>
      <c r="D238" s="1" t="n">
        <v>44883</v>
      </c>
      <c r="E238" s="1" t="n">
        <v>46221</v>
      </c>
      <c r="F238" t="inlineStr">
        <is>
          <t>NORRBOTTENS LÄN</t>
        </is>
      </c>
      <c r="G238" t="inlineStr">
        <is>
          <t>BODEN</t>
        </is>
      </c>
      <c r="H238" t="inlineStr">
        <is>
          <t>Sveaskog</t>
        </is>
      </c>
      <c r="I238" t="n">
        <v>4.3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17962-2024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45419</v>
      </c>
      <c r="E239" s="1" t="n">
        <v>46221</v>
      </c>
      <c r="F239" t="inlineStr">
        <is>
          <t>NORRBOTTENS LÄN</t>
        </is>
      </c>
      <c r="G239" t="inlineStr">
        <is>
          <t>BODEN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32906-2024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45516</v>
      </c>
      <c r="E240" s="1" t="n">
        <v>46221</v>
      </c>
      <c r="F240" t="inlineStr">
        <is>
          <t>NORRBOTTENS LÄN</t>
        </is>
      </c>
      <c r="G240" t="inlineStr">
        <is>
          <t>BODEN</t>
        </is>
      </c>
      <c r="H240" t="inlineStr">
        <is>
          <t>SCA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32913-2024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45516</v>
      </c>
      <c r="E241" s="1" t="n">
        <v>46221</v>
      </c>
      <c r="F241" t="inlineStr">
        <is>
          <t>NORRBOTTENS LÄN</t>
        </is>
      </c>
      <c r="G241" t="inlineStr">
        <is>
          <t>BODEN</t>
        </is>
      </c>
      <c r="H241" t="inlineStr">
        <is>
          <t>SCA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34969-2024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45527</v>
      </c>
      <c r="E242" s="1" t="n">
        <v>46221</v>
      </c>
      <c r="F242" t="inlineStr">
        <is>
          <t>NORRBOTTENS LÄN</t>
        </is>
      </c>
      <c r="G242" t="inlineStr">
        <is>
          <t>BODEN</t>
        </is>
      </c>
      <c r="I242" t="n">
        <v>6.7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47920-2024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45589</v>
      </c>
      <c r="E243" s="1" t="n">
        <v>46221</v>
      </c>
      <c r="F243" t="inlineStr">
        <is>
          <t>NORRBOTTENS LÄN</t>
        </is>
      </c>
      <c r="G243" t="inlineStr">
        <is>
          <t>BODEN</t>
        </is>
      </c>
      <c r="H243" t="inlineStr">
        <is>
          <t>Naturvårdsverket</t>
        </is>
      </c>
      <c r="I243" t="n">
        <v>1.6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61107-2022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44908</v>
      </c>
      <c r="E244" s="1" t="n">
        <v>46221</v>
      </c>
      <c r="F244" t="inlineStr">
        <is>
          <t>NORRBOTTENS LÄN</t>
        </is>
      </c>
      <c r="G244" t="inlineStr">
        <is>
          <t>BODEN</t>
        </is>
      </c>
      <c r="I244" t="n">
        <v>2.5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19528-2024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45429</v>
      </c>
      <c r="E245" s="1" t="n">
        <v>46221</v>
      </c>
      <c r="F245" t="inlineStr">
        <is>
          <t>NORRBOTTENS LÄN</t>
        </is>
      </c>
      <c r="G245" t="inlineStr">
        <is>
          <t>BODEN</t>
        </is>
      </c>
      <c r="I245" t="n">
        <v>3.9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19533-2024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45429</v>
      </c>
      <c r="E246" s="1" t="n">
        <v>46221</v>
      </c>
      <c r="F246" t="inlineStr">
        <is>
          <t>NORRBOTTENS LÄN</t>
        </is>
      </c>
      <c r="G246" t="inlineStr">
        <is>
          <t>BODEN</t>
        </is>
      </c>
      <c r="I246" t="n">
        <v>3.2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46183-2021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44441</v>
      </c>
      <c r="E247" s="1" t="n">
        <v>46221</v>
      </c>
      <c r="F247" t="inlineStr">
        <is>
          <t>NORRBOTTENS LÄN</t>
        </is>
      </c>
      <c r="G247" t="inlineStr">
        <is>
          <t>BODEN</t>
        </is>
      </c>
      <c r="I247" t="n">
        <v>13.6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38583-2025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45884</v>
      </c>
      <c r="E248" s="1" t="n">
        <v>46221</v>
      </c>
      <c r="F248" t="inlineStr">
        <is>
          <t>NORRBOTTENS LÄN</t>
        </is>
      </c>
      <c r="G248" t="inlineStr">
        <is>
          <t>BODEN</t>
        </is>
      </c>
      <c r="H248" t="inlineStr">
        <is>
          <t>SCA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48431-2024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45590</v>
      </c>
      <c r="E249" s="1" t="n">
        <v>46221</v>
      </c>
      <c r="F249" t="inlineStr">
        <is>
          <t>NORRBOTTENS LÄN</t>
        </is>
      </c>
      <c r="G249" t="inlineStr">
        <is>
          <t>BODEN</t>
        </is>
      </c>
      <c r="I249" t="n">
        <v>2.4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52247-2024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45608</v>
      </c>
      <c r="E250" s="1" t="n">
        <v>46221</v>
      </c>
      <c r="F250" t="inlineStr">
        <is>
          <t>NORRBOTTENS LÄN</t>
        </is>
      </c>
      <c r="G250" t="inlineStr">
        <is>
          <t>BODEN</t>
        </is>
      </c>
      <c r="I250" t="n">
        <v>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11651-2023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44994</v>
      </c>
      <c r="E251" s="1" t="n">
        <v>46221</v>
      </c>
      <c r="F251" t="inlineStr">
        <is>
          <t>NORRBOTTENS LÄN</t>
        </is>
      </c>
      <c r="G251" t="inlineStr">
        <is>
          <t>BODEN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3457-2026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46042</v>
      </c>
      <c r="E252" s="1" t="n">
        <v>46221</v>
      </c>
      <c r="F252" t="inlineStr">
        <is>
          <t>NORRBOTTENS LÄN</t>
        </is>
      </c>
      <c r="G252" t="inlineStr">
        <is>
          <t>BODEN</t>
        </is>
      </c>
      <c r="I252" t="n">
        <v>7.8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52248-2024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45608</v>
      </c>
      <c r="E253" s="1" t="n">
        <v>46221</v>
      </c>
      <c r="F253" t="inlineStr">
        <is>
          <t>NORRBOTTENS LÄN</t>
        </is>
      </c>
      <c r="G253" t="inlineStr">
        <is>
          <t>BODEN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48415-2024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45590</v>
      </c>
      <c r="E254" s="1" t="n">
        <v>46221</v>
      </c>
      <c r="F254" t="inlineStr">
        <is>
          <t>NORRBOTTENS LÄN</t>
        </is>
      </c>
      <c r="G254" t="inlineStr">
        <is>
          <t>BODEN</t>
        </is>
      </c>
      <c r="H254" t="inlineStr">
        <is>
          <t>SCA</t>
        </is>
      </c>
      <c r="I254" t="n">
        <v>0.1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18671-2025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45763</v>
      </c>
      <c r="E255" s="1" t="n">
        <v>46221</v>
      </c>
      <c r="F255" t="inlineStr">
        <is>
          <t>NORRBOTTENS LÄN</t>
        </is>
      </c>
      <c r="G255" t="inlineStr">
        <is>
          <t>BODEN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3493-2026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46042</v>
      </c>
      <c r="E256" s="1" t="n">
        <v>46221</v>
      </c>
      <c r="F256" t="inlineStr">
        <is>
          <t>NORRBOTTENS LÄN</t>
        </is>
      </c>
      <c r="G256" t="inlineStr">
        <is>
          <t>BODEN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49113-2023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45204</v>
      </c>
      <c r="E257" s="1" t="n">
        <v>46221</v>
      </c>
      <c r="F257" t="inlineStr">
        <is>
          <t>NORRBOTTENS LÄN</t>
        </is>
      </c>
      <c r="G257" t="inlineStr">
        <is>
          <t>BODEN</t>
        </is>
      </c>
      <c r="I257" t="n">
        <v>5.6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56163-2022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44889</v>
      </c>
      <c r="E258" s="1" t="n">
        <v>46221</v>
      </c>
      <c r="F258" t="inlineStr">
        <is>
          <t>NORRBOTTENS LÄN</t>
        </is>
      </c>
      <c r="G258" t="inlineStr">
        <is>
          <t>BODEN</t>
        </is>
      </c>
      <c r="I258" t="n">
        <v>6.1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58373-2022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44901</v>
      </c>
      <c r="E259" s="1" t="n">
        <v>46221</v>
      </c>
      <c r="F259" t="inlineStr">
        <is>
          <t>NORRBOTTENS LÄN</t>
        </is>
      </c>
      <c r="G259" t="inlineStr">
        <is>
          <t>BODEN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38652-2024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45546</v>
      </c>
      <c r="E260" s="1" t="n">
        <v>46221</v>
      </c>
      <c r="F260" t="inlineStr">
        <is>
          <t>NORRBOTTENS LÄN</t>
        </is>
      </c>
      <c r="G260" t="inlineStr">
        <is>
          <t>BODEN</t>
        </is>
      </c>
      <c r="H260" t="inlineStr">
        <is>
          <t>Sveaskog</t>
        </is>
      </c>
      <c r="I260" t="n">
        <v>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25735-2024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45464</v>
      </c>
      <c r="E261" s="1" t="n">
        <v>46221</v>
      </c>
      <c r="F261" t="inlineStr">
        <is>
          <t>NORRBOTTENS LÄN</t>
        </is>
      </c>
      <c r="G261" t="inlineStr">
        <is>
          <t>BODEN</t>
        </is>
      </c>
      <c r="H261" t="inlineStr">
        <is>
          <t>SCA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56474-2023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45243</v>
      </c>
      <c r="E262" s="1" t="n">
        <v>46221</v>
      </c>
      <c r="F262" t="inlineStr">
        <is>
          <t>NORRBOTTENS LÄN</t>
        </is>
      </c>
      <c r="G262" t="inlineStr">
        <is>
          <t>BODEN</t>
        </is>
      </c>
      <c r="I262" t="n">
        <v>2.7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59028-2022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44903</v>
      </c>
      <c r="E263" s="1" t="n">
        <v>46221</v>
      </c>
      <c r="F263" t="inlineStr">
        <is>
          <t>NORRBOTTENS LÄN</t>
        </is>
      </c>
      <c r="G263" t="inlineStr">
        <is>
          <t>BODEN</t>
        </is>
      </c>
      <c r="I263" t="n">
        <v>16.1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68565-2021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44529</v>
      </c>
      <c r="E264" s="1" t="n">
        <v>46221</v>
      </c>
      <c r="F264" t="inlineStr">
        <is>
          <t>NORRBOTTENS LÄN</t>
        </is>
      </c>
      <c r="G264" t="inlineStr">
        <is>
          <t>BODEN</t>
        </is>
      </c>
      <c r="I264" t="n">
        <v>2.2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61031-2024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45645</v>
      </c>
      <c r="E265" s="1" t="n">
        <v>46221</v>
      </c>
      <c r="F265" t="inlineStr">
        <is>
          <t>NORRBOTTENS LÄN</t>
        </is>
      </c>
      <c r="G265" t="inlineStr">
        <is>
          <t>BODEN</t>
        </is>
      </c>
      <c r="I265" t="n">
        <v>6.3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19564-2024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45429</v>
      </c>
      <c r="E266" s="1" t="n">
        <v>46221</v>
      </c>
      <c r="F266" t="inlineStr">
        <is>
          <t>NORRBOTTENS LÄN</t>
        </is>
      </c>
      <c r="G266" t="inlineStr">
        <is>
          <t>BODEN</t>
        </is>
      </c>
      <c r="I266" t="n">
        <v>2.5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5071-2025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45691</v>
      </c>
      <c r="E267" s="1" t="n">
        <v>46221</v>
      </c>
      <c r="F267" t="inlineStr">
        <is>
          <t>NORRBOTTENS LÄN</t>
        </is>
      </c>
      <c r="G267" t="inlineStr">
        <is>
          <t>BODEN</t>
        </is>
      </c>
      <c r="H267" t="inlineStr">
        <is>
          <t>SCA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27543-2025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45813</v>
      </c>
      <c r="E268" s="1" t="n">
        <v>46221</v>
      </c>
      <c r="F268" t="inlineStr">
        <is>
          <t>NORRBOTTENS LÄN</t>
        </is>
      </c>
      <c r="G268" t="inlineStr">
        <is>
          <t>BODEN</t>
        </is>
      </c>
      <c r="H268" t="inlineStr">
        <is>
          <t>SCA</t>
        </is>
      </c>
      <c r="I268" t="n">
        <v>2.1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27508-2025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45813</v>
      </c>
      <c r="E269" s="1" t="n">
        <v>46221</v>
      </c>
      <c r="F269" t="inlineStr">
        <is>
          <t>NORRBOTTENS LÄN</t>
        </is>
      </c>
      <c r="G269" t="inlineStr">
        <is>
          <t>BODEN</t>
        </is>
      </c>
      <c r="H269" t="inlineStr">
        <is>
          <t>SCA</t>
        </is>
      </c>
      <c r="I269" t="n">
        <v>13.9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54240-2022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44881</v>
      </c>
      <c r="E270" s="1" t="n">
        <v>46221</v>
      </c>
      <c r="F270" t="inlineStr">
        <is>
          <t>NORRBOTTENS LÄN</t>
        </is>
      </c>
      <c r="G270" t="inlineStr">
        <is>
          <t>BODEN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6776-2023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44966</v>
      </c>
      <c r="E271" s="1" t="n">
        <v>46221</v>
      </c>
      <c r="F271" t="inlineStr">
        <is>
          <t>NORRBOTTENS LÄN</t>
        </is>
      </c>
      <c r="G271" t="inlineStr">
        <is>
          <t>BODEN</t>
        </is>
      </c>
      <c r="H271" t="inlineStr">
        <is>
          <t>SCA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27604-2025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45813</v>
      </c>
      <c r="E272" s="1" t="n">
        <v>46221</v>
      </c>
      <c r="F272" t="inlineStr">
        <is>
          <t>NORRBOTTENS LÄN</t>
        </is>
      </c>
      <c r="G272" t="inlineStr">
        <is>
          <t>BODEN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19080-2025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45766</v>
      </c>
      <c r="E273" s="1" t="n">
        <v>46221</v>
      </c>
      <c r="F273" t="inlineStr">
        <is>
          <t>NORRBOTTENS LÄN</t>
        </is>
      </c>
      <c r="G273" t="inlineStr">
        <is>
          <t>BODEN</t>
        </is>
      </c>
      <c r="H273" t="inlineStr">
        <is>
          <t>SCA</t>
        </is>
      </c>
      <c r="I273" t="n">
        <v>3.6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28134-2025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45818</v>
      </c>
      <c r="E274" s="1" t="n">
        <v>46221</v>
      </c>
      <c r="F274" t="inlineStr">
        <is>
          <t>NORRBOTTENS LÄN</t>
        </is>
      </c>
      <c r="G274" t="inlineStr">
        <is>
          <t>BODEN</t>
        </is>
      </c>
      <c r="H274" t="inlineStr">
        <is>
          <t>SCA</t>
        </is>
      </c>
      <c r="I274" t="n">
        <v>5.3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28297-2025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45818</v>
      </c>
      <c r="E275" s="1" t="n">
        <v>46221</v>
      </c>
      <c r="F275" t="inlineStr">
        <is>
          <t>NORRBOTTENS LÄN</t>
        </is>
      </c>
      <c r="G275" t="inlineStr">
        <is>
          <t>BODEN</t>
        </is>
      </c>
      <c r="H275" t="inlineStr">
        <is>
          <t>Sveaskog</t>
        </is>
      </c>
      <c r="I275" t="n">
        <v>5.3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3090-2024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45316</v>
      </c>
      <c r="E276" s="1" t="n">
        <v>46221</v>
      </c>
      <c r="F276" t="inlineStr">
        <is>
          <t>NORRBOTTENS LÄN</t>
        </is>
      </c>
      <c r="G276" t="inlineStr">
        <is>
          <t>BODEN</t>
        </is>
      </c>
      <c r="I276" t="n">
        <v>2.3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19060-2024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45427</v>
      </c>
      <c r="E277" s="1" t="n">
        <v>46221</v>
      </c>
      <c r="F277" t="inlineStr">
        <is>
          <t>NORRBOTTENS LÄN</t>
        </is>
      </c>
      <c r="G277" t="inlineStr">
        <is>
          <t>BODEN</t>
        </is>
      </c>
      <c r="I277" t="n">
        <v>3.3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16180-2025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45750</v>
      </c>
      <c r="E278" s="1" t="n">
        <v>46221</v>
      </c>
      <c r="F278" t="inlineStr">
        <is>
          <t>NORRBOTTENS LÄN</t>
        </is>
      </c>
      <c r="G278" t="inlineStr">
        <is>
          <t>BODEN</t>
        </is>
      </c>
      <c r="H278" t="inlineStr">
        <is>
          <t>Övriga Aktiebolag</t>
        </is>
      </c>
      <c r="I278" t="n">
        <v>7.1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44625-2024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45574</v>
      </c>
      <c r="E279" s="1" t="n">
        <v>46221</v>
      </c>
      <c r="F279" t="inlineStr">
        <is>
          <t>NORRBOTTENS LÄN</t>
        </is>
      </c>
      <c r="G279" t="inlineStr">
        <is>
          <t>BODEN</t>
        </is>
      </c>
      <c r="H279" t="inlineStr">
        <is>
          <t>Sveaskog</t>
        </is>
      </c>
      <c r="I279" t="n">
        <v>4.2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33697-2023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45132</v>
      </c>
      <c r="E280" s="1" t="n">
        <v>46221</v>
      </c>
      <c r="F280" t="inlineStr">
        <is>
          <t>NORRBOTTENS LÄN</t>
        </is>
      </c>
      <c r="G280" t="inlineStr">
        <is>
          <t>BODEN</t>
        </is>
      </c>
      <c r="I280" t="n">
        <v>4.5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29109-2024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45481</v>
      </c>
      <c r="E281" s="1" t="n">
        <v>46221</v>
      </c>
      <c r="F281" t="inlineStr">
        <is>
          <t>NORRBOTTENS LÄN</t>
        </is>
      </c>
      <c r="G281" t="inlineStr">
        <is>
          <t>BODEN</t>
        </is>
      </c>
      <c r="H281" t="inlineStr">
        <is>
          <t>SCA</t>
        </is>
      </c>
      <c r="I281" t="n">
        <v>2.7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14743-2023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45013</v>
      </c>
      <c r="E282" s="1" t="n">
        <v>46221</v>
      </c>
      <c r="F282" t="inlineStr">
        <is>
          <t>NORRBOTTENS LÄN</t>
        </is>
      </c>
      <c r="G282" t="inlineStr">
        <is>
          <t>BODEN</t>
        </is>
      </c>
      <c r="I282" t="n">
        <v>2.2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61771-2024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45649</v>
      </c>
      <c r="E283" s="1" t="n">
        <v>46221</v>
      </c>
      <c r="F283" t="inlineStr">
        <is>
          <t>NORRBOTTENS LÄN</t>
        </is>
      </c>
      <c r="G283" t="inlineStr">
        <is>
          <t>BODEN</t>
        </is>
      </c>
      <c r="I283" t="n">
        <v>1.8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28270-2025</t>
        </is>
      </c>
      <c r="B284" t="inlineStr">
        <is>
          <t>avverkningsanmälan</t>
        </is>
      </c>
      <c r="C284" t="inlineStr">
        <is>
          <t>Avverkning för att bevara och utveckla /försöksver</t>
        </is>
      </c>
      <c r="D284" s="1" t="n">
        <v>45818</v>
      </c>
      <c r="E284" s="1" t="n">
        <v>46221</v>
      </c>
      <c r="F284" t="inlineStr">
        <is>
          <t>NORRBOTTENS LÄN</t>
        </is>
      </c>
      <c r="G284" t="inlineStr">
        <is>
          <t>BODEN</t>
        </is>
      </c>
      <c r="H284" t="inlineStr">
        <is>
          <t>Sveaskog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61260-2023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45264</v>
      </c>
      <c r="E285" s="1" t="n">
        <v>46221</v>
      </c>
      <c r="F285" t="inlineStr">
        <is>
          <t>NORRBOTTENS LÄN</t>
        </is>
      </c>
      <c r="G285" t="inlineStr">
        <is>
          <t>BODEN</t>
        </is>
      </c>
      <c r="I285" t="n">
        <v>2.1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61770-2024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45649</v>
      </c>
      <c r="E286" s="1" t="n">
        <v>46221</v>
      </c>
      <c r="F286" t="inlineStr">
        <is>
          <t>NORRBOTTENS LÄN</t>
        </is>
      </c>
      <c r="G286" t="inlineStr">
        <is>
          <t>BODEN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60466-2024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45643</v>
      </c>
      <c r="E287" s="1" t="n">
        <v>46221</v>
      </c>
      <c r="F287" t="inlineStr">
        <is>
          <t>NORRBOTTENS LÄN</t>
        </is>
      </c>
      <c r="G287" t="inlineStr">
        <is>
          <t>BODEN</t>
        </is>
      </c>
      <c r="H287" t="inlineStr">
        <is>
          <t>Sveaskog</t>
        </is>
      </c>
      <c r="I287" t="n">
        <v>4.1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8170-2025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45708</v>
      </c>
      <c r="E288" s="1" t="n">
        <v>46221</v>
      </c>
      <c r="F288" t="inlineStr">
        <is>
          <t>NORRBOTTENS LÄN</t>
        </is>
      </c>
      <c r="G288" t="inlineStr">
        <is>
          <t>BODEN</t>
        </is>
      </c>
      <c r="H288" t="inlineStr">
        <is>
          <t>Övriga Aktiebolag</t>
        </is>
      </c>
      <c r="I288" t="n">
        <v>15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18900-2025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45764</v>
      </c>
      <c r="E289" s="1" t="n">
        <v>46221</v>
      </c>
      <c r="F289" t="inlineStr">
        <is>
          <t>NORRBOTTENS LÄN</t>
        </is>
      </c>
      <c r="G289" t="inlineStr">
        <is>
          <t>BODEN</t>
        </is>
      </c>
      <c r="I289" t="n">
        <v>2.8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61921-2024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45653</v>
      </c>
      <c r="E290" s="1" t="n">
        <v>46221</v>
      </c>
      <c r="F290" t="inlineStr">
        <is>
          <t>NORRBOTTENS LÄN</t>
        </is>
      </c>
      <c r="G290" t="inlineStr">
        <is>
          <t>BODEN</t>
        </is>
      </c>
      <c r="I290" t="n">
        <v>47.3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4897-2026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46048</v>
      </c>
      <c r="E291" s="1" t="n">
        <v>46221</v>
      </c>
      <c r="F291" t="inlineStr">
        <is>
          <t>NORRBOTTENS LÄN</t>
        </is>
      </c>
      <c r="G291" t="inlineStr">
        <is>
          <t>BODEN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18915-2025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45764</v>
      </c>
      <c r="E292" s="1" t="n">
        <v>46221</v>
      </c>
      <c r="F292" t="inlineStr">
        <is>
          <t>NORRBOTTENS LÄN</t>
        </is>
      </c>
      <c r="G292" t="inlineStr">
        <is>
          <t>BODEN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40183-2025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45894</v>
      </c>
      <c r="E293" s="1" t="n">
        <v>46221</v>
      </c>
      <c r="F293" t="inlineStr">
        <is>
          <t>NORRBOTTENS LÄN</t>
        </is>
      </c>
      <c r="G293" t="inlineStr">
        <is>
          <t>BODEN</t>
        </is>
      </c>
      <c r="H293" t="inlineStr">
        <is>
          <t>Sveaskog</t>
        </is>
      </c>
      <c r="I293" t="n">
        <v>10.7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18910-2025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45764</v>
      </c>
      <c r="E294" s="1" t="n">
        <v>46221</v>
      </c>
      <c r="F294" t="inlineStr">
        <is>
          <t>NORRBOTTENS LÄN</t>
        </is>
      </c>
      <c r="G294" t="inlineStr">
        <is>
          <t>BODEN</t>
        </is>
      </c>
      <c r="I294" t="n">
        <v>2.8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39717-2025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45891</v>
      </c>
      <c r="E295" s="1" t="n">
        <v>46221</v>
      </c>
      <c r="F295" t="inlineStr">
        <is>
          <t>NORRBOTTENS LÄN</t>
        </is>
      </c>
      <c r="G295" t="inlineStr">
        <is>
          <t>BODEN</t>
        </is>
      </c>
      <c r="I295" t="n">
        <v>13.9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30089-2025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45826</v>
      </c>
      <c r="E296" s="1" t="n">
        <v>46221</v>
      </c>
      <c r="F296" t="inlineStr">
        <is>
          <t>NORRBOTTENS LÄN</t>
        </is>
      </c>
      <c r="G296" t="inlineStr">
        <is>
          <t>BODEN</t>
        </is>
      </c>
      <c r="H296" t="inlineStr">
        <is>
          <t>SCA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33915-2024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45523</v>
      </c>
      <c r="E297" s="1" t="n">
        <v>46221</v>
      </c>
      <c r="F297" t="inlineStr">
        <is>
          <t>NORRBOTTENS LÄN</t>
        </is>
      </c>
      <c r="G297" t="inlineStr">
        <is>
          <t>BODEN</t>
        </is>
      </c>
      <c r="H297" t="inlineStr">
        <is>
          <t>SCA</t>
        </is>
      </c>
      <c r="I297" t="n">
        <v>1.2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46541-2021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44445</v>
      </c>
      <c r="E298" s="1" t="n">
        <v>46221</v>
      </c>
      <c r="F298" t="inlineStr">
        <is>
          <t>NORRBOTTENS LÄN</t>
        </is>
      </c>
      <c r="G298" t="inlineStr">
        <is>
          <t>BODEN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40117-2025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45894</v>
      </c>
      <c r="E299" s="1" t="n">
        <v>46221</v>
      </c>
      <c r="F299" t="inlineStr">
        <is>
          <t>NORRBOTTENS LÄN</t>
        </is>
      </c>
      <c r="G299" t="inlineStr">
        <is>
          <t>BODEN</t>
        </is>
      </c>
      <c r="I299" t="n">
        <v>3.6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47424-2024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45587</v>
      </c>
      <c r="E300" s="1" t="n">
        <v>46221</v>
      </c>
      <c r="F300" t="inlineStr">
        <is>
          <t>NORRBOTTENS LÄN</t>
        </is>
      </c>
      <c r="G300" t="inlineStr">
        <is>
          <t>BODEN</t>
        </is>
      </c>
      <c r="I300" t="n">
        <v>1.9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46901-2024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45583</v>
      </c>
      <c r="E301" s="1" t="n">
        <v>46221</v>
      </c>
      <c r="F301" t="inlineStr">
        <is>
          <t>NORRBOTTENS LÄN</t>
        </is>
      </c>
      <c r="G301" t="inlineStr">
        <is>
          <t>BODEN</t>
        </is>
      </c>
      <c r="H301" t="inlineStr">
        <is>
          <t>SCA</t>
        </is>
      </c>
      <c r="I301" t="n">
        <v>4.4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40814-2025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45897</v>
      </c>
      <c r="E302" s="1" t="n">
        <v>46221</v>
      </c>
      <c r="F302" t="inlineStr">
        <is>
          <t>NORRBOTTENS LÄN</t>
        </is>
      </c>
      <c r="G302" t="inlineStr">
        <is>
          <t>BODEN</t>
        </is>
      </c>
      <c r="I302" t="n">
        <v>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40816-2025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45897</v>
      </c>
      <c r="E303" s="1" t="n">
        <v>46221</v>
      </c>
      <c r="F303" t="inlineStr">
        <is>
          <t>NORRBOTTENS LÄN</t>
        </is>
      </c>
      <c r="G303" t="inlineStr">
        <is>
          <t>BODEN</t>
        </is>
      </c>
      <c r="I303" t="n">
        <v>3.3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61748-2024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45649</v>
      </c>
      <c r="E304" s="1" t="n">
        <v>46221</v>
      </c>
      <c r="F304" t="inlineStr">
        <is>
          <t>NORRBOTTENS LÄN</t>
        </is>
      </c>
      <c r="G304" t="inlineStr">
        <is>
          <t>BODEN</t>
        </is>
      </c>
      <c r="I304" t="n">
        <v>7.3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61757-2024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45649</v>
      </c>
      <c r="E305" s="1" t="n">
        <v>46221</v>
      </c>
      <c r="F305" t="inlineStr">
        <is>
          <t>NORRBOTTENS LÄN</t>
        </is>
      </c>
      <c r="G305" t="inlineStr">
        <is>
          <t>BODEN</t>
        </is>
      </c>
      <c r="I305" t="n">
        <v>2.2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8008-2025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45707</v>
      </c>
      <c r="E306" s="1" t="n">
        <v>46221</v>
      </c>
      <c r="F306" t="inlineStr">
        <is>
          <t>NORRBOTTENS LÄN</t>
        </is>
      </c>
      <c r="G306" t="inlineStr">
        <is>
          <t>BODEN</t>
        </is>
      </c>
      <c r="I306" t="n">
        <v>11.3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41691-2025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45902</v>
      </c>
      <c r="E307" s="1" t="n">
        <v>46221</v>
      </c>
      <c r="F307" t="inlineStr">
        <is>
          <t>NORRBOTTENS LÄN</t>
        </is>
      </c>
      <c r="G307" t="inlineStr">
        <is>
          <t>BODEN</t>
        </is>
      </c>
      <c r="H307" t="inlineStr">
        <is>
          <t>Sveaskog</t>
        </is>
      </c>
      <c r="I307" t="n">
        <v>0.2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31203-2025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45832</v>
      </c>
      <c r="E308" s="1" t="n">
        <v>46221</v>
      </c>
      <c r="F308" t="inlineStr">
        <is>
          <t>NORRBOTTENS LÄN</t>
        </is>
      </c>
      <c r="G308" t="inlineStr">
        <is>
          <t>BODEN</t>
        </is>
      </c>
      <c r="I308" t="n">
        <v>2.9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41601-2025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45901</v>
      </c>
      <c r="E309" s="1" t="n">
        <v>46221</v>
      </c>
      <c r="F309" t="inlineStr">
        <is>
          <t>NORRBOTTENS LÄN</t>
        </is>
      </c>
      <c r="G309" t="inlineStr">
        <is>
          <t>BODEN</t>
        </is>
      </c>
      <c r="H309" t="inlineStr">
        <is>
          <t>Sveaskog</t>
        </is>
      </c>
      <c r="I309" t="n">
        <v>3.1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24400-2022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44726</v>
      </c>
      <c r="E310" s="1" t="n">
        <v>46221</v>
      </c>
      <c r="F310" t="inlineStr">
        <is>
          <t>NORRBOTTENS LÄN</t>
        </is>
      </c>
      <c r="G310" t="inlineStr">
        <is>
          <t>BODEN</t>
        </is>
      </c>
      <c r="I310" t="n">
        <v>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31200-2025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45832</v>
      </c>
      <c r="E311" s="1" t="n">
        <v>46221</v>
      </c>
      <c r="F311" t="inlineStr">
        <is>
          <t>NORRBOTTENS LÄN</t>
        </is>
      </c>
      <c r="G311" t="inlineStr">
        <is>
          <t>BODEN</t>
        </is>
      </c>
      <c r="I311" t="n">
        <v>2.9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31363-2025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45833</v>
      </c>
      <c r="E312" s="1" t="n">
        <v>46221</v>
      </c>
      <c r="F312" t="inlineStr">
        <is>
          <t>NORRBOTTENS LÄN</t>
        </is>
      </c>
      <c r="G312" t="inlineStr">
        <is>
          <t>BODEN</t>
        </is>
      </c>
      <c r="H312" t="inlineStr">
        <is>
          <t>Sveaskog</t>
        </is>
      </c>
      <c r="I312" t="n">
        <v>5.3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31487-2025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45833</v>
      </c>
      <c r="E313" s="1" t="n">
        <v>46221</v>
      </c>
      <c r="F313" t="inlineStr">
        <is>
          <t>NORRBOTTENS LÄN</t>
        </is>
      </c>
      <c r="G313" t="inlineStr">
        <is>
          <t>BODEN</t>
        </is>
      </c>
      <c r="H313" t="inlineStr">
        <is>
          <t>Övriga Aktiebolag</t>
        </is>
      </c>
      <c r="I313" t="n">
        <v>9.800000000000001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5457-2026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46050</v>
      </c>
      <c r="E314" s="1" t="n">
        <v>46221</v>
      </c>
      <c r="F314" t="inlineStr">
        <is>
          <t>NORRBOTTENS LÄN</t>
        </is>
      </c>
      <c r="G314" t="inlineStr">
        <is>
          <t>BODEN</t>
        </is>
      </c>
      <c r="I314" t="n">
        <v>7.5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31531-2025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45833</v>
      </c>
      <c r="E315" s="1" t="n">
        <v>46221</v>
      </c>
      <c r="F315" t="inlineStr">
        <is>
          <t>NORRBOTTENS LÄN</t>
        </is>
      </c>
      <c r="G315" t="inlineStr">
        <is>
          <t>BODEN</t>
        </is>
      </c>
      <c r="H315" t="inlineStr">
        <is>
          <t>Övriga Aktiebolag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12893-2022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44642</v>
      </c>
      <c r="E316" s="1" t="n">
        <v>46221</v>
      </c>
      <c r="F316" t="inlineStr">
        <is>
          <t>NORRBOTTENS LÄN</t>
        </is>
      </c>
      <c r="G316" t="inlineStr">
        <is>
          <t>BODEN</t>
        </is>
      </c>
      <c r="H316" t="inlineStr">
        <is>
          <t>Övriga statliga verk och myndigheter</t>
        </is>
      </c>
      <c r="I316" t="n">
        <v>15.8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42436-2025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45905</v>
      </c>
      <c r="E317" s="1" t="n">
        <v>46221</v>
      </c>
      <c r="F317" t="inlineStr">
        <is>
          <t>NORRBOTTENS LÄN</t>
        </is>
      </c>
      <c r="G317" t="inlineStr">
        <is>
          <t>BODEN</t>
        </is>
      </c>
      <c r="H317" t="inlineStr">
        <is>
          <t>SCA</t>
        </is>
      </c>
      <c r="I317" t="n">
        <v>4.1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38994-2024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45548</v>
      </c>
      <c r="E318" s="1" t="n">
        <v>46221</v>
      </c>
      <c r="F318" t="inlineStr">
        <is>
          <t>NORRBOTTENS LÄN</t>
        </is>
      </c>
      <c r="G318" t="inlineStr">
        <is>
          <t>BODEN</t>
        </is>
      </c>
      <c r="I318" t="n">
        <v>1.2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42656-2025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45907</v>
      </c>
      <c r="E319" s="1" t="n">
        <v>46221</v>
      </c>
      <c r="F319" t="inlineStr">
        <is>
          <t>NORRBOTTENS LÄN</t>
        </is>
      </c>
      <c r="G319" t="inlineStr">
        <is>
          <t>BODEN</t>
        </is>
      </c>
      <c r="H319" t="inlineStr">
        <is>
          <t>SCA</t>
        </is>
      </c>
      <c r="I319" t="n">
        <v>9.6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20505-2023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45054</v>
      </c>
      <c r="E320" s="1" t="n">
        <v>46221</v>
      </c>
      <c r="F320" t="inlineStr">
        <is>
          <t>NORRBOTTENS LÄN</t>
        </is>
      </c>
      <c r="G320" t="inlineStr">
        <is>
          <t>BODEN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6693-2023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44963</v>
      </c>
      <c r="E321" s="1" t="n">
        <v>46221</v>
      </c>
      <c r="F321" t="inlineStr">
        <is>
          <t>NORRBOTTENS LÄN</t>
        </is>
      </c>
      <c r="G321" t="inlineStr">
        <is>
          <t>BODEN</t>
        </is>
      </c>
      <c r="I321" t="n">
        <v>2.6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25926-2025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45803</v>
      </c>
      <c r="E322" s="1" t="n">
        <v>46221</v>
      </c>
      <c r="F322" t="inlineStr">
        <is>
          <t>NORRBOTTENS LÄN</t>
        </is>
      </c>
      <c r="G322" t="inlineStr">
        <is>
          <t>BODEN</t>
        </is>
      </c>
      <c r="I322" t="n">
        <v>2.9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43299-2025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45910</v>
      </c>
      <c r="E323" s="1" t="n">
        <v>46221</v>
      </c>
      <c r="F323" t="inlineStr">
        <is>
          <t>NORRBOTTENS LÄN</t>
        </is>
      </c>
      <c r="G323" t="inlineStr">
        <is>
          <t>BODEN</t>
        </is>
      </c>
      <c r="H323" t="inlineStr">
        <is>
          <t>Sveaskog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55628-2023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45238</v>
      </c>
      <c r="E324" s="1" t="n">
        <v>46221</v>
      </c>
      <c r="F324" t="inlineStr">
        <is>
          <t>NORRBOTTENS LÄN</t>
        </is>
      </c>
      <c r="G324" t="inlineStr">
        <is>
          <t>BODEN</t>
        </is>
      </c>
      <c r="I324" t="n">
        <v>1.7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32052-2025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45835</v>
      </c>
      <c r="E325" s="1" t="n">
        <v>46221</v>
      </c>
      <c r="F325" t="inlineStr">
        <is>
          <t>NORRBOTTENS LÄN</t>
        </is>
      </c>
      <c r="G325" t="inlineStr">
        <is>
          <t>BODEN</t>
        </is>
      </c>
      <c r="H325" t="inlineStr">
        <is>
          <t>Sveaskog</t>
        </is>
      </c>
      <c r="I325" t="n">
        <v>7.3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43205-2025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45910</v>
      </c>
      <c r="E326" s="1" t="n">
        <v>46221</v>
      </c>
      <c r="F326" t="inlineStr">
        <is>
          <t>NORRBOTTENS LÄN</t>
        </is>
      </c>
      <c r="G326" t="inlineStr">
        <is>
          <t>BODEN</t>
        </is>
      </c>
      <c r="H326" t="inlineStr">
        <is>
          <t>SCA</t>
        </is>
      </c>
      <c r="I326" t="n">
        <v>5.5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43402-2025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45911</v>
      </c>
      <c r="E327" s="1" t="n">
        <v>46221</v>
      </c>
      <c r="F327" t="inlineStr">
        <is>
          <t>NORRBOTTENS LÄN</t>
        </is>
      </c>
      <c r="G327" t="inlineStr">
        <is>
          <t>BODEN</t>
        </is>
      </c>
      <c r="I327" t="n">
        <v>9.699999999999999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43710-2025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45912</v>
      </c>
      <c r="E328" s="1" t="n">
        <v>46221</v>
      </c>
      <c r="F328" t="inlineStr">
        <is>
          <t>NORRBOTTENS LÄN</t>
        </is>
      </c>
      <c r="G328" t="inlineStr">
        <is>
          <t>BODEN</t>
        </is>
      </c>
      <c r="I328" t="n">
        <v>4.8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43711-2025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45912</v>
      </c>
      <c r="E329" s="1" t="n">
        <v>46221</v>
      </c>
      <c r="F329" t="inlineStr">
        <is>
          <t>NORRBOTTENS LÄN</t>
        </is>
      </c>
      <c r="G329" t="inlineStr">
        <is>
          <t>BODEN</t>
        </is>
      </c>
      <c r="I329" t="n">
        <v>10.1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43838-2025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45912</v>
      </c>
      <c r="E330" s="1" t="n">
        <v>46221</v>
      </c>
      <c r="F330" t="inlineStr">
        <is>
          <t>NORRBOTTENS LÄN</t>
        </is>
      </c>
      <c r="G330" t="inlineStr">
        <is>
          <t>BODEN</t>
        </is>
      </c>
      <c r="H330" t="inlineStr">
        <is>
          <t>Sveaskog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33276-2025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45840</v>
      </c>
      <c r="E331" s="1" t="n">
        <v>46221</v>
      </c>
      <c r="F331" t="inlineStr">
        <is>
          <t>NORRBOTTENS LÄN</t>
        </is>
      </c>
      <c r="G331" t="inlineStr">
        <is>
          <t>BODEN</t>
        </is>
      </c>
      <c r="H331" t="inlineStr">
        <is>
          <t>Sveaskog</t>
        </is>
      </c>
      <c r="I331" t="n">
        <v>1.4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19051-2025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45764</v>
      </c>
      <c r="E332" s="1" t="n">
        <v>46221</v>
      </c>
      <c r="F332" t="inlineStr">
        <is>
          <t>NORRBOTTENS LÄN</t>
        </is>
      </c>
      <c r="G332" t="inlineStr">
        <is>
          <t>BODEN</t>
        </is>
      </c>
      <c r="I332" t="n">
        <v>2.6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18866-2025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45764</v>
      </c>
      <c r="E333" s="1" t="n">
        <v>46221</v>
      </c>
      <c r="F333" t="inlineStr">
        <is>
          <t>NORRBOTTENS LÄN</t>
        </is>
      </c>
      <c r="G333" t="inlineStr">
        <is>
          <t>BODEN</t>
        </is>
      </c>
      <c r="I333" t="n">
        <v>1.9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15486-2025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45747</v>
      </c>
      <c r="E334" s="1" t="n">
        <v>46221</v>
      </c>
      <c r="F334" t="inlineStr">
        <is>
          <t>NORRBOTTENS LÄN</t>
        </is>
      </c>
      <c r="G334" t="inlineStr">
        <is>
          <t>BODEN</t>
        </is>
      </c>
      <c r="I334" t="n">
        <v>3.4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33130-2025</t>
        </is>
      </c>
      <c r="B335" t="inlineStr">
        <is>
          <t>avverkningsanmälan</t>
        </is>
      </c>
      <c r="C335" t="inlineStr">
        <is>
          <t>Avverkning för att bevara och utveckla /försöksver</t>
        </is>
      </c>
      <c r="D335" s="1" t="n">
        <v>45840</v>
      </c>
      <c r="E335" s="1" t="n">
        <v>46221</v>
      </c>
      <c r="F335" t="inlineStr">
        <is>
          <t>NORRBOTTENS LÄN</t>
        </is>
      </c>
      <c r="G335" t="inlineStr">
        <is>
          <t>BODEN</t>
        </is>
      </c>
      <c r="H335" t="inlineStr">
        <is>
          <t>Sveaskog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19584-2025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45770</v>
      </c>
      <c r="E336" s="1" t="n">
        <v>46221</v>
      </c>
      <c r="F336" t="inlineStr">
        <is>
          <t>NORRBOTTENS LÄN</t>
        </is>
      </c>
      <c r="G336" t="inlineStr">
        <is>
          <t>BODEN</t>
        </is>
      </c>
      <c r="I336" t="n">
        <v>1.7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43973-2025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45915</v>
      </c>
      <c r="E337" s="1" t="n">
        <v>46221</v>
      </c>
      <c r="F337" t="inlineStr">
        <is>
          <t>NORRBOTTENS LÄN</t>
        </is>
      </c>
      <c r="G337" t="inlineStr">
        <is>
          <t>BODEN</t>
        </is>
      </c>
      <c r="H337" t="inlineStr">
        <is>
          <t>SCA</t>
        </is>
      </c>
      <c r="I337" t="n">
        <v>7.9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43993-2025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45915</v>
      </c>
      <c r="E338" s="1" t="n">
        <v>46221</v>
      </c>
      <c r="F338" t="inlineStr">
        <is>
          <t>NORRBOTTENS LÄN</t>
        </is>
      </c>
      <c r="G338" t="inlineStr">
        <is>
          <t>BODEN</t>
        </is>
      </c>
      <c r="I338" t="n">
        <v>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44249-2025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45915</v>
      </c>
      <c r="E339" s="1" t="n">
        <v>46221</v>
      </c>
      <c r="F339" t="inlineStr">
        <is>
          <t>NORRBOTTENS LÄN</t>
        </is>
      </c>
      <c r="G339" t="inlineStr">
        <is>
          <t>BODEN</t>
        </is>
      </c>
      <c r="H339" t="inlineStr">
        <is>
          <t>Sveaskog</t>
        </is>
      </c>
      <c r="I339" t="n">
        <v>4.4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14995-2022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44657</v>
      </c>
      <c r="E340" s="1" t="n">
        <v>46221</v>
      </c>
      <c r="F340" t="inlineStr">
        <is>
          <t>NORRBOTTENS LÄN</t>
        </is>
      </c>
      <c r="G340" t="inlineStr">
        <is>
          <t>BODEN</t>
        </is>
      </c>
      <c r="I340" t="n">
        <v>1.3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15000-2022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44657</v>
      </c>
      <c r="E341" s="1" t="n">
        <v>46221</v>
      </c>
      <c r="F341" t="inlineStr">
        <is>
          <t>NORRBOTTENS LÄN</t>
        </is>
      </c>
      <c r="G341" t="inlineStr">
        <is>
          <t>BODEN</t>
        </is>
      </c>
      <c r="I341" t="n">
        <v>2.6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11647-2023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44994</v>
      </c>
      <c r="E342" s="1" t="n">
        <v>46221</v>
      </c>
      <c r="F342" t="inlineStr">
        <is>
          <t>NORRBOTTENS LÄN</t>
        </is>
      </c>
      <c r="G342" t="inlineStr">
        <is>
          <t>BODEN</t>
        </is>
      </c>
      <c r="I342" t="n">
        <v>0.3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6085-2026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46052</v>
      </c>
      <c r="E343" s="1" t="n">
        <v>46221</v>
      </c>
      <c r="F343" t="inlineStr">
        <is>
          <t>NORRBOTTENS LÄN</t>
        </is>
      </c>
      <c r="G343" t="inlineStr">
        <is>
          <t>BODEN</t>
        </is>
      </c>
      <c r="I343" t="n">
        <v>2.2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45209-2025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45919</v>
      </c>
      <c r="E344" s="1" t="n">
        <v>46221</v>
      </c>
      <c r="F344" t="inlineStr">
        <is>
          <t>NORRBOTTENS LÄN</t>
        </is>
      </c>
      <c r="G344" t="inlineStr">
        <is>
          <t>BODEN</t>
        </is>
      </c>
      <c r="H344" t="inlineStr">
        <is>
          <t>Sveaskog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45211-2025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45919</v>
      </c>
      <c r="E345" s="1" t="n">
        <v>46221</v>
      </c>
      <c r="F345" t="inlineStr">
        <is>
          <t>NORRBOTTENS LÄN</t>
        </is>
      </c>
      <c r="G345" t="inlineStr">
        <is>
          <t>BODEN</t>
        </is>
      </c>
      <c r="H345" t="inlineStr">
        <is>
          <t>Sveaskog</t>
        </is>
      </c>
      <c r="I345" t="n">
        <v>0.8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16741-2022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44673</v>
      </c>
      <c r="E346" s="1" t="n">
        <v>46221</v>
      </c>
      <c r="F346" t="inlineStr">
        <is>
          <t>NORRBOTTENS LÄN</t>
        </is>
      </c>
      <c r="G346" t="inlineStr">
        <is>
          <t>BODEN</t>
        </is>
      </c>
      <c r="I346" t="n">
        <v>2.5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45616-2025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45922</v>
      </c>
      <c r="E347" s="1" t="n">
        <v>46221</v>
      </c>
      <c r="F347" t="inlineStr">
        <is>
          <t>NORRBOTTENS LÄN</t>
        </is>
      </c>
      <c r="G347" t="inlineStr">
        <is>
          <t>BODEN</t>
        </is>
      </c>
      <c r="I347" t="n">
        <v>1.6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42196-2024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45562</v>
      </c>
      <c r="E348" s="1" t="n">
        <v>46221</v>
      </c>
      <c r="F348" t="inlineStr">
        <is>
          <t>NORRBOTTENS LÄN</t>
        </is>
      </c>
      <c r="G348" t="inlineStr">
        <is>
          <t>BODEN</t>
        </is>
      </c>
      <c r="H348" t="inlineStr">
        <is>
          <t>SCA</t>
        </is>
      </c>
      <c r="I348" t="n">
        <v>1.7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45617-2025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45922</v>
      </c>
      <c r="E349" s="1" t="n">
        <v>46221</v>
      </c>
      <c r="F349" t="inlineStr">
        <is>
          <t>NORRBOTTENS LÄN</t>
        </is>
      </c>
      <c r="G349" t="inlineStr">
        <is>
          <t>BODEN</t>
        </is>
      </c>
      <c r="I349" t="n">
        <v>0.3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45544-2025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45922</v>
      </c>
      <c r="E350" s="1" t="n">
        <v>46221</v>
      </c>
      <c r="F350" t="inlineStr">
        <is>
          <t>NORRBOTTENS LÄN</t>
        </is>
      </c>
      <c r="G350" t="inlineStr">
        <is>
          <t>BODEN</t>
        </is>
      </c>
      <c r="I350" t="n">
        <v>1.2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46052-2025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45924</v>
      </c>
      <c r="E351" s="1" t="n">
        <v>46221</v>
      </c>
      <c r="F351" t="inlineStr">
        <is>
          <t>NORRBOTTENS LÄN</t>
        </is>
      </c>
      <c r="G351" t="inlineStr">
        <is>
          <t>BODEN</t>
        </is>
      </c>
      <c r="I351" t="n">
        <v>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33981-2025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45843</v>
      </c>
      <c r="E352" s="1" t="n">
        <v>46221</v>
      </c>
      <c r="F352" t="inlineStr">
        <is>
          <t>NORRBOTTENS LÄN</t>
        </is>
      </c>
      <c r="G352" t="inlineStr">
        <is>
          <t>BODEN</t>
        </is>
      </c>
      <c r="H352" t="inlineStr">
        <is>
          <t>SCA</t>
        </is>
      </c>
      <c r="I352" t="n">
        <v>4.9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47922-2024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45589</v>
      </c>
      <c r="E353" s="1" t="n">
        <v>46221</v>
      </c>
      <c r="F353" t="inlineStr">
        <is>
          <t>NORRBOTTENS LÄN</t>
        </is>
      </c>
      <c r="G353" t="inlineStr">
        <is>
          <t>BODEN</t>
        </is>
      </c>
      <c r="H353" t="inlineStr">
        <is>
          <t>Naturvårdsverket</t>
        </is>
      </c>
      <c r="I353" t="n">
        <v>4.9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47924-2024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45589</v>
      </c>
      <c r="E354" s="1" t="n">
        <v>46221</v>
      </c>
      <c r="F354" t="inlineStr">
        <is>
          <t>NORRBOTTENS LÄN</t>
        </is>
      </c>
      <c r="G354" t="inlineStr">
        <is>
          <t>BODEN</t>
        </is>
      </c>
      <c r="H354" t="inlineStr">
        <is>
          <t>SCA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46053-2025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45924</v>
      </c>
      <c r="E355" s="1" t="n">
        <v>46221</v>
      </c>
      <c r="F355" t="inlineStr">
        <is>
          <t>NORRBOTTENS LÄN</t>
        </is>
      </c>
      <c r="G355" t="inlineStr">
        <is>
          <t>BODEN</t>
        </is>
      </c>
      <c r="I355" t="n">
        <v>1.5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45969-2025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45924</v>
      </c>
      <c r="E356" s="1" t="n">
        <v>46221</v>
      </c>
      <c r="F356" t="inlineStr">
        <is>
          <t>NORRBOTTENS LÄN</t>
        </is>
      </c>
      <c r="G356" t="inlineStr">
        <is>
          <t>BODEN</t>
        </is>
      </c>
      <c r="I356" t="n">
        <v>1.4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46700-2025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45926</v>
      </c>
      <c r="E357" s="1" t="n">
        <v>46221</v>
      </c>
      <c r="F357" t="inlineStr">
        <is>
          <t>NORRBOTTENS LÄN</t>
        </is>
      </c>
      <c r="G357" t="inlineStr">
        <is>
          <t>BODEN</t>
        </is>
      </c>
      <c r="H357" t="inlineStr">
        <is>
          <t>Övriga Aktiebolag</t>
        </is>
      </c>
      <c r="I357" t="n">
        <v>1.8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46585-2025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45926</v>
      </c>
      <c r="E358" s="1" t="n">
        <v>46221</v>
      </c>
      <c r="F358" t="inlineStr">
        <is>
          <t>NORRBOTTENS LÄN</t>
        </is>
      </c>
      <c r="G358" t="inlineStr">
        <is>
          <t>BODEN</t>
        </is>
      </c>
      <c r="I358" t="n">
        <v>6.4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51280-2024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45603</v>
      </c>
      <c r="E359" s="1" t="n">
        <v>46221</v>
      </c>
      <c r="F359" t="inlineStr">
        <is>
          <t>NORRBOTTENS LÄN</t>
        </is>
      </c>
      <c r="G359" t="inlineStr">
        <is>
          <t>BODEN</t>
        </is>
      </c>
      <c r="I359" t="n">
        <v>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46770-2025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45926</v>
      </c>
      <c r="E360" s="1" t="n">
        <v>46221</v>
      </c>
      <c r="F360" t="inlineStr">
        <is>
          <t>NORRBOTTENS LÄN</t>
        </is>
      </c>
      <c r="G360" t="inlineStr">
        <is>
          <t>BODEN</t>
        </is>
      </c>
      <c r="I360" t="n">
        <v>2.1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46454-2025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45925</v>
      </c>
      <c r="E361" s="1" t="n">
        <v>46221</v>
      </c>
      <c r="F361" t="inlineStr">
        <is>
          <t>NORRBOTTENS LÄN</t>
        </is>
      </c>
      <c r="G361" t="inlineStr">
        <is>
          <t>BODEN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46455-2025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45925</v>
      </c>
      <c r="E362" s="1" t="n">
        <v>46221</v>
      </c>
      <c r="F362" t="inlineStr">
        <is>
          <t>NORRBOTTENS LÄN</t>
        </is>
      </c>
      <c r="G362" t="inlineStr">
        <is>
          <t>BODEN</t>
        </is>
      </c>
      <c r="I362" t="n">
        <v>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35561-2025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45856</v>
      </c>
      <c r="E363" s="1" t="n">
        <v>46221</v>
      </c>
      <c r="F363" t="inlineStr">
        <is>
          <t>NORRBOTTENS LÄN</t>
        </is>
      </c>
      <c r="G363" t="inlineStr">
        <is>
          <t>BODEN</t>
        </is>
      </c>
      <c r="H363" t="inlineStr">
        <is>
          <t>SCA</t>
        </is>
      </c>
      <c r="I363" t="n">
        <v>10.8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47204-2025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45930</v>
      </c>
      <c r="E364" s="1" t="n">
        <v>46221</v>
      </c>
      <c r="F364" t="inlineStr">
        <is>
          <t>NORRBOTTENS LÄN</t>
        </is>
      </c>
      <c r="G364" t="inlineStr">
        <is>
          <t>BODEN</t>
        </is>
      </c>
      <c r="H364" t="inlineStr">
        <is>
          <t>SCA</t>
        </is>
      </c>
      <c r="I364" t="n">
        <v>1.9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47483-2025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45930</v>
      </c>
      <c r="E365" s="1" t="n">
        <v>46221</v>
      </c>
      <c r="F365" t="inlineStr">
        <is>
          <t>NORRBOTTENS LÄN</t>
        </is>
      </c>
      <c r="G365" t="inlineStr">
        <is>
          <t>BODEN</t>
        </is>
      </c>
      <c r="H365" t="inlineStr">
        <is>
          <t>SCA</t>
        </is>
      </c>
      <c r="I365" t="n">
        <v>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56139-2024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45624</v>
      </c>
      <c r="E366" s="1" t="n">
        <v>46221</v>
      </c>
      <c r="F366" t="inlineStr">
        <is>
          <t>NORRBOTTENS LÄN</t>
        </is>
      </c>
      <c r="G366" t="inlineStr">
        <is>
          <t>BODEN</t>
        </is>
      </c>
      <c r="I366" t="n">
        <v>2.5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6516-2026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46056</v>
      </c>
      <c r="E367" s="1" t="n">
        <v>46221</v>
      </c>
      <c r="F367" t="inlineStr">
        <is>
          <t>NORRBOTTENS LÄN</t>
        </is>
      </c>
      <c r="G367" t="inlineStr">
        <is>
          <t>BODEN</t>
        </is>
      </c>
      <c r="I367" t="n">
        <v>9.800000000000001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6708-2026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46056</v>
      </c>
      <c r="E368" s="1" t="n">
        <v>46221</v>
      </c>
      <c r="F368" t="inlineStr">
        <is>
          <t>NORRBOTTENS LÄN</t>
        </is>
      </c>
      <c r="G368" t="inlineStr">
        <is>
          <t>BODEN</t>
        </is>
      </c>
      <c r="I368" t="n">
        <v>6.3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47935-2025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45932</v>
      </c>
      <c r="E369" s="1" t="n">
        <v>46221</v>
      </c>
      <c r="F369" t="inlineStr">
        <is>
          <t>NORRBOTTENS LÄN</t>
        </is>
      </c>
      <c r="G369" t="inlineStr">
        <is>
          <t>BODEN</t>
        </is>
      </c>
      <c r="I369" t="n">
        <v>6.1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2601-2025</t>
        </is>
      </c>
      <c r="B370" t="inlineStr">
        <is>
          <t>avverkningsanmälan</t>
        </is>
      </c>
      <c r="C370" t="inlineStr">
        <is>
          <t>Avverkning för annat ändamål</t>
        </is>
      </c>
      <c r="D370" s="1" t="n">
        <v>45674</v>
      </c>
      <c r="E370" s="1" t="n">
        <v>46221</v>
      </c>
      <c r="F370" t="inlineStr">
        <is>
          <t>NORRBOTTENS LÄN</t>
        </is>
      </c>
      <c r="G370" t="inlineStr">
        <is>
          <t>BODEN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49728-2024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45596</v>
      </c>
      <c r="E371" s="1" t="n">
        <v>46221</v>
      </c>
      <c r="F371" t="inlineStr">
        <is>
          <t>NORRBOTTENS LÄN</t>
        </is>
      </c>
      <c r="G371" t="inlineStr">
        <is>
          <t>BODEN</t>
        </is>
      </c>
      <c r="I371" t="n">
        <v>22.7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47595-2025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45931</v>
      </c>
      <c r="E372" s="1" t="n">
        <v>46221</v>
      </c>
      <c r="F372" t="inlineStr">
        <is>
          <t>NORRBOTTENS LÄN</t>
        </is>
      </c>
      <c r="G372" t="inlineStr">
        <is>
          <t>BODEN</t>
        </is>
      </c>
      <c r="H372" t="inlineStr">
        <is>
          <t>Övriga Aktiebolag</t>
        </is>
      </c>
      <c r="I372" t="n">
        <v>7.2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24058-2025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45796</v>
      </c>
      <c r="E373" s="1" t="n">
        <v>46221</v>
      </c>
      <c r="F373" t="inlineStr">
        <is>
          <t>NORRBOTTENS LÄN</t>
        </is>
      </c>
      <c r="G373" t="inlineStr">
        <is>
          <t>BODEN</t>
        </is>
      </c>
      <c r="H373" t="inlineStr">
        <is>
          <t>SCA</t>
        </is>
      </c>
      <c r="I373" t="n">
        <v>1.4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56457-2024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45625</v>
      </c>
      <c r="E374" s="1" t="n">
        <v>46221</v>
      </c>
      <c r="F374" t="inlineStr">
        <is>
          <t>NORRBOTTENS LÄN</t>
        </is>
      </c>
      <c r="G374" t="inlineStr">
        <is>
          <t>BODEN</t>
        </is>
      </c>
      <c r="H374" t="inlineStr">
        <is>
          <t>SCA</t>
        </is>
      </c>
      <c r="I374" t="n">
        <v>1.3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48549-2025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45936</v>
      </c>
      <c r="E375" s="1" t="n">
        <v>46221</v>
      </c>
      <c r="F375" t="inlineStr">
        <is>
          <t>NORRBOTTENS LÄN</t>
        </is>
      </c>
      <c r="G375" t="inlineStr">
        <is>
          <t>BODEN</t>
        </is>
      </c>
      <c r="I375" t="n">
        <v>4.1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36019-2025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45863</v>
      </c>
      <c r="E376" s="1" t="n">
        <v>46221</v>
      </c>
      <c r="F376" t="inlineStr">
        <is>
          <t>NORRBOTTENS LÄN</t>
        </is>
      </c>
      <c r="G376" t="inlineStr">
        <is>
          <t>BODEN</t>
        </is>
      </c>
      <c r="I376" t="n">
        <v>6.2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48172-2025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45933</v>
      </c>
      <c r="E377" s="1" t="n">
        <v>46221</v>
      </c>
      <c r="F377" t="inlineStr">
        <is>
          <t>NORRBOTTENS LÄN</t>
        </is>
      </c>
      <c r="G377" t="inlineStr">
        <is>
          <t>BODEN</t>
        </is>
      </c>
      <c r="H377" t="inlineStr">
        <is>
          <t>Sveaskog</t>
        </is>
      </c>
      <c r="I377" t="n">
        <v>6.1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59029-2022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44903</v>
      </c>
      <c r="E378" s="1" t="n">
        <v>46221</v>
      </c>
      <c r="F378" t="inlineStr">
        <is>
          <t>NORRBOTTENS LÄN</t>
        </is>
      </c>
      <c r="G378" t="inlineStr">
        <is>
          <t>BODEN</t>
        </is>
      </c>
      <c r="I378" t="n">
        <v>7.3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42653-2025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45906</v>
      </c>
      <c r="E379" s="1" t="n">
        <v>46221</v>
      </c>
      <c r="F379" t="inlineStr">
        <is>
          <t>NORRBOTTENS LÄN</t>
        </is>
      </c>
      <c r="G379" t="inlineStr">
        <is>
          <t>BODEN</t>
        </is>
      </c>
      <c r="I379" t="n">
        <v>0.8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564-2026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46029</v>
      </c>
      <c r="E380" s="1" t="n">
        <v>46221</v>
      </c>
      <c r="F380" t="inlineStr">
        <is>
          <t>NORRBOTTENS LÄN</t>
        </is>
      </c>
      <c r="G380" t="inlineStr">
        <is>
          <t>BODEN</t>
        </is>
      </c>
      <c r="H380" t="inlineStr">
        <is>
          <t>Naturvårdsverket</t>
        </is>
      </c>
      <c r="I380" t="n">
        <v>5.2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51193-2023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45212</v>
      </c>
      <c r="E381" s="1" t="n">
        <v>46221</v>
      </c>
      <c r="F381" t="inlineStr">
        <is>
          <t>NORRBOTTENS LÄN</t>
        </is>
      </c>
      <c r="G381" t="inlineStr">
        <is>
          <t>BODEN</t>
        </is>
      </c>
      <c r="I381" t="n">
        <v>1.1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48173-2025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45933</v>
      </c>
      <c r="E382" s="1" t="n">
        <v>46221</v>
      </c>
      <c r="F382" t="inlineStr">
        <is>
          <t>NORRBOTTENS LÄN</t>
        </is>
      </c>
      <c r="G382" t="inlineStr">
        <is>
          <t>BODEN</t>
        </is>
      </c>
      <c r="H382" t="inlineStr">
        <is>
          <t>Sveaskog</t>
        </is>
      </c>
      <c r="I382" t="n">
        <v>3.2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32582-2025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45838</v>
      </c>
      <c r="E383" s="1" t="n">
        <v>46221</v>
      </c>
      <c r="F383" t="inlineStr">
        <is>
          <t>NORRBOTTENS LÄN</t>
        </is>
      </c>
      <c r="G383" t="inlineStr">
        <is>
          <t>BODEN</t>
        </is>
      </c>
      <c r="I383" t="n">
        <v>1.2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48091-2025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45933</v>
      </c>
      <c r="E384" s="1" t="n">
        <v>46221</v>
      </c>
      <c r="F384" t="inlineStr">
        <is>
          <t>NORRBOTTENS LÄN</t>
        </is>
      </c>
      <c r="G384" t="inlineStr">
        <is>
          <t>BODEN</t>
        </is>
      </c>
      <c r="H384" t="inlineStr">
        <is>
          <t>Sveaskog</t>
        </is>
      </c>
      <c r="I384" t="n">
        <v>0.1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24193-2024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45456</v>
      </c>
      <c r="E385" s="1" t="n">
        <v>46221</v>
      </c>
      <c r="F385" t="inlineStr">
        <is>
          <t>NORRBOTTENS LÄN</t>
        </is>
      </c>
      <c r="G385" t="inlineStr">
        <is>
          <t>BODEN</t>
        </is>
      </c>
      <c r="I385" t="n">
        <v>5.1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48805-2025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45937</v>
      </c>
      <c r="E386" s="1" t="n">
        <v>46221</v>
      </c>
      <c r="F386" t="inlineStr">
        <is>
          <t>NORRBOTTENS LÄN</t>
        </is>
      </c>
      <c r="G386" t="inlineStr">
        <is>
          <t>BODEN</t>
        </is>
      </c>
      <c r="I386" t="n">
        <v>10.2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49379-2025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45938</v>
      </c>
      <c r="E387" s="1" t="n">
        <v>46221</v>
      </c>
      <c r="F387" t="inlineStr">
        <is>
          <t>NORRBOTTENS LÄN</t>
        </is>
      </c>
      <c r="G387" t="inlineStr">
        <is>
          <t>BODEN</t>
        </is>
      </c>
      <c r="H387" t="inlineStr">
        <is>
          <t>SCA</t>
        </is>
      </c>
      <c r="I387" t="n">
        <v>4.5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49357-2025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45938</v>
      </c>
      <c r="E388" s="1" t="n">
        <v>46221</v>
      </c>
      <c r="F388" t="inlineStr">
        <is>
          <t>NORRBOTTENS LÄN</t>
        </is>
      </c>
      <c r="G388" t="inlineStr">
        <is>
          <t>BODEN</t>
        </is>
      </c>
      <c r="H388" t="inlineStr">
        <is>
          <t>SCA</t>
        </is>
      </c>
      <c r="I388" t="n">
        <v>5.1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38370-2023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45161</v>
      </c>
      <c r="E389" s="1" t="n">
        <v>46221</v>
      </c>
      <c r="F389" t="inlineStr">
        <is>
          <t>NORRBOTTENS LÄN</t>
        </is>
      </c>
      <c r="G389" t="inlineStr">
        <is>
          <t>BODEN</t>
        </is>
      </c>
      <c r="H389" t="inlineStr">
        <is>
          <t>SCA</t>
        </is>
      </c>
      <c r="I389" t="n">
        <v>6.2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49215-2025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45938</v>
      </c>
      <c r="E390" s="1" t="n">
        <v>46221</v>
      </c>
      <c r="F390" t="inlineStr">
        <is>
          <t>NORRBOTTENS LÄN</t>
        </is>
      </c>
      <c r="G390" t="inlineStr">
        <is>
          <t>BODEN</t>
        </is>
      </c>
      <c r="I390" t="n">
        <v>1.9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11930-2023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44994</v>
      </c>
      <c r="E391" s="1" t="n">
        <v>46221</v>
      </c>
      <c r="F391" t="inlineStr">
        <is>
          <t>NORRBOTTENS LÄN</t>
        </is>
      </c>
      <c r="G391" t="inlineStr">
        <is>
          <t>BODEN</t>
        </is>
      </c>
      <c r="I391" t="n">
        <v>1.1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7004-2026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46057</v>
      </c>
      <c r="E392" s="1" t="n">
        <v>46221</v>
      </c>
      <c r="F392" t="inlineStr">
        <is>
          <t>NORRBOTTENS LÄN</t>
        </is>
      </c>
      <c r="G392" t="inlineStr">
        <is>
          <t>BODEN</t>
        </is>
      </c>
      <c r="I392" t="n">
        <v>2.2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10730-2024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45369</v>
      </c>
      <c r="E393" s="1" t="n">
        <v>46221</v>
      </c>
      <c r="F393" t="inlineStr">
        <is>
          <t>NORRBOTTENS LÄN</t>
        </is>
      </c>
      <c r="G393" t="inlineStr">
        <is>
          <t>BODEN</t>
        </is>
      </c>
      <c r="I393" t="n">
        <v>3.4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36926-2025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45874</v>
      </c>
      <c r="E394" s="1" t="n">
        <v>46221</v>
      </c>
      <c r="F394" t="inlineStr">
        <is>
          <t>NORRBOTTENS LÄN</t>
        </is>
      </c>
      <c r="G394" t="inlineStr">
        <is>
          <t>BODEN</t>
        </is>
      </c>
      <c r="H394" t="inlineStr">
        <is>
          <t>SCA</t>
        </is>
      </c>
      <c r="I394" t="n">
        <v>8.4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49588-2025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45939</v>
      </c>
      <c r="E395" s="1" t="n">
        <v>46221</v>
      </c>
      <c r="F395" t="inlineStr">
        <is>
          <t>NORRBOTTENS LÄN</t>
        </is>
      </c>
      <c r="G395" t="inlineStr">
        <is>
          <t>BODEN</t>
        </is>
      </c>
      <c r="H395" t="inlineStr">
        <is>
          <t>SCA</t>
        </is>
      </c>
      <c r="I395" t="n">
        <v>1.8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50410-2025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45944</v>
      </c>
      <c r="E396" s="1" t="n">
        <v>46221</v>
      </c>
      <c r="F396" t="inlineStr">
        <is>
          <t>NORRBOTTENS LÄN</t>
        </is>
      </c>
      <c r="G396" t="inlineStr">
        <is>
          <t>BODEN</t>
        </is>
      </c>
      <c r="I396" t="n">
        <v>5.5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7185-2026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46058</v>
      </c>
      <c r="E397" s="1" t="n">
        <v>46221</v>
      </c>
      <c r="F397" t="inlineStr">
        <is>
          <t>NORRBOTTENS LÄN</t>
        </is>
      </c>
      <c r="G397" t="inlineStr">
        <is>
          <t>BODEN</t>
        </is>
      </c>
      <c r="I397" t="n">
        <v>0.7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50419-2025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45944</v>
      </c>
      <c r="E398" s="1" t="n">
        <v>46221</v>
      </c>
      <c r="F398" t="inlineStr">
        <is>
          <t>NORRBOTTENS LÄN</t>
        </is>
      </c>
      <c r="G398" t="inlineStr">
        <is>
          <t>BODEN</t>
        </is>
      </c>
      <c r="I398" t="n">
        <v>2.1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36310-2025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45868</v>
      </c>
      <c r="E399" s="1" t="n">
        <v>46221</v>
      </c>
      <c r="F399" t="inlineStr">
        <is>
          <t>NORRBOTTENS LÄN</t>
        </is>
      </c>
      <c r="G399" t="inlineStr">
        <is>
          <t>BODEN</t>
        </is>
      </c>
      <c r="H399" t="inlineStr">
        <is>
          <t>SCA</t>
        </is>
      </c>
      <c r="I399" t="n">
        <v>4.2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50390-2025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45944</v>
      </c>
      <c r="E400" s="1" t="n">
        <v>46221</v>
      </c>
      <c r="F400" t="inlineStr">
        <is>
          <t>NORRBOTTENS LÄN</t>
        </is>
      </c>
      <c r="G400" t="inlineStr">
        <is>
          <t>BODEN</t>
        </is>
      </c>
      <c r="H400" t="inlineStr">
        <is>
          <t>Sveaskog</t>
        </is>
      </c>
      <c r="I400" t="n">
        <v>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45929-2023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45195</v>
      </c>
      <c r="E401" s="1" t="n">
        <v>46221</v>
      </c>
      <c r="F401" t="inlineStr">
        <is>
          <t>NORRBOTTENS LÄN</t>
        </is>
      </c>
      <c r="G401" t="inlineStr">
        <is>
          <t>BODEN</t>
        </is>
      </c>
      <c r="H401" t="inlineStr">
        <is>
          <t>SCA</t>
        </is>
      </c>
      <c r="I401" t="n">
        <v>0.8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50387-2025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45944</v>
      </c>
      <c r="E402" s="1" t="n">
        <v>46221</v>
      </c>
      <c r="F402" t="inlineStr">
        <is>
          <t>NORRBOTTENS LÄN</t>
        </is>
      </c>
      <c r="G402" t="inlineStr">
        <is>
          <t>BODEN</t>
        </is>
      </c>
      <c r="H402" t="inlineStr">
        <is>
          <t>Sveaskog</t>
        </is>
      </c>
      <c r="I402" t="n">
        <v>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37404-2025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45877</v>
      </c>
      <c r="E403" s="1" t="n">
        <v>46221</v>
      </c>
      <c r="F403" t="inlineStr">
        <is>
          <t>NORRBOTTENS LÄN</t>
        </is>
      </c>
      <c r="G403" t="inlineStr">
        <is>
          <t>BODEN</t>
        </is>
      </c>
      <c r="H403" t="inlineStr">
        <is>
          <t>SCA</t>
        </is>
      </c>
      <c r="I403" t="n">
        <v>4.7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38511-2025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45884</v>
      </c>
      <c r="E404" s="1" t="n">
        <v>46221</v>
      </c>
      <c r="F404" t="inlineStr">
        <is>
          <t>NORRBOTTENS LÄN</t>
        </is>
      </c>
      <c r="G404" t="inlineStr">
        <is>
          <t>BODEN</t>
        </is>
      </c>
      <c r="H404" t="inlineStr">
        <is>
          <t>Sveaskog</t>
        </is>
      </c>
      <c r="I404" t="n">
        <v>5.3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50147-2025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45943</v>
      </c>
      <c r="E405" s="1" t="n">
        <v>46221</v>
      </c>
      <c r="F405" t="inlineStr">
        <is>
          <t>NORRBOTTENS LÄN</t>
        </is>
      </c>
      <c r="G405" t="inlineStr">
        <is>
          <t>BODEN</t>
        </is>
      </c>
      <c r="I405" t="n">
        <v>1.4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50361-2025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45944</v>
      </c>
      <c r="E406" s="1" t="n">
        <v>46221</v>
      </c>
      <c r="F406" t="inlineStr">
        <is>
          <t>NORRBOTTENS LÄN</t>
        </is>
      </c>
      <c r="G406" t="inlineStr">
        <is>
          <t>BODEN</t>
        </is>
      </c>
      <c r="H406" t="inlineStr">
        <is>
          <t>Sveaskog</t>
        </is>
      </c>
      <c r="I406" t="n">
        <v>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50471-2025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45945</v>
      </c>
      <c r="E407" s="1" t="n">
        <v>46221</v>
      </c>
      <c r="F407" t="inlineStr">
        <is>
          <t>NORRBOTTENS LÄN</t>
        </is>
      </c>
      <c r="G407" t="inlineStr">
        <is>
          <t>BODEN</t>
        </is>
      </c>
      <c r="I407" t="n">
        <v>1.5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37653-2025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45880</v>
      </c>
      <c r="E408" s="1" t="n">
        <v>46221</v>
      </c>
      <c r="F408" t="inlineStr">
        <is>
          <t>NORRBOTTENS LÄN</t>
        </is>
      </c>
      <c r="G408" t="inlineStr">
        <is>
          <t>BODEN</t>
        </is>
      </c>
      <c r="H408" t="inlineStr">
        <is>
          <t>SCA</t>
        </is>
      </c>
      <c r="I408" t="n">
        <v>3.3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37854-2025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45881</v>
      </c>
      <c r="E409" s="1" t="n">
        <v>46221</v>
      </c>
      <c r="F409" t="inlineStr">
        <is>
          <t>NORRBOTTENS LÄN</t>
        </is>
      </c>
      <c r="G409" t="inlineStr">
        <is>
          <t>BODEN</t>
        </is>
      </c>
      <c r="I409" t="n">
        <v>5.3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38286-2025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45882</v>
      </c>
      <c r="E410" s="1" t="n">
        <v>46221</v>
      </c>
      <c r="F410" t="inlineStr">
        <is>
          <t>NORRBOTTENS LÄN</t>
        </is>
      </c>
      <c r="G410" t="inlineStr">
        <is>
          <t>BODEN</t>
        </is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38288-2025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45882</v>
      </c>
      <c r="E411" s="1" t="n">
        <v>46221</v>
      </c>
      <c r="F411" t="inlineStr">
        <is>
          <t>NORRBOTTENS LÄN</t>
        </is>
      </c>
      <c r="G411" t="inlineStr">
        <is>
          <t>BODEN</t>
        </is>
      </c>
      <c r="I411" t="n">
        <v>0.5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50479-2025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45945</v>
      </c>
      <c r="E412" s="1" t="n">
        <v>46221</v>
      </c>
      <c r="F412" t="inlineStr">
        <is>
          <t>NORRBOTTENS LÄN</t>
        </is>
      </c>
      <c r="G412" t="inlineStr">
        <is>
          <t>BODEN</t>
        </is>
      </c>
      <c r="I412" t="n">
        <v>0.8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7669-2026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46062</v>
      </c>
      <c r="E413" s="1" t="n">
        <v>46221</v>
      </c>
      <c r="F413" t="inlineStr">
        <is>
          <t>NORRBOTTENS LÄN</t>
        </is>
      </c>
      <c r="G413" t="inlineStr">
        <is>
          <t>BODEN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50449-2025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45945</v>
      </c>
      <c r="E414" s="1" t="n">
        <v>46221</v>
      </c>
      <c r="F414" t="inlineStr">
        <is>
          <t>NORRBOTTENS LÄN</t>
        </is>
      </c>
      <c r="G414" t="inlineStr">
        <is>
          <t>BODEN</t>
        </is>
      </c>
      <c r="H414" t="inlineStr">
        <is>
          <t>Sveaskog</t>
        </is>
      </c>
      <c r="I414" t="n">
        <v>7.3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35040-2022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44796</v>
      </c>
      <c r="E415" s="1" t="n">
        <v>46221</v>
      </c>
      <c r="F415" t="inlineStr">
        <is>
          <t>NORRBOTTENS LÄN</t>
        </is>
      </c>
      <c r="G415" t="inlineStr">
        <is>
          <t>BODEN</t>
        </is>
      </c>
      <c r="I415" t="n">
        <v>1.4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51460-2025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45950</v>
      </c>
      <c r="E416" s="1" t="n">
        <v>46221</v>
      </c>
      <c r="F416" t="inlineStr">
        <is>
          <t>NORRBOTTENS LÄN</t>
        </is>
      </c>
      <c r="G416" t="inlineStr">
        <is>
          <t>BODEN</t>
        </is>
      </c>
      <c r="I416" t="n">
        <v>3.1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51061-2025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45947</v>
      </c>
      <c r="E417" s="1" t="n">
        <v>46221</v>
      </c>
      <c r="F417" t="inlineStr">
        <is>
          <t>NORRBOTTENS LÄN</t>
        </is>
      </c>
      <c r="G417" t="inlineStr">
        <is>
          <t>BODEN</t>
        </is>
      </c>
      <c r="H417" t="inlineStr">
        <is>
          <t>Sveaskog</t>
        </is>
      </c>
      <c r="I417" t="n">
        <v>2.4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38584-2025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45884</v>
      </c>
      <c r="E418" s="1" t="n">
        <v>46221</v>
      </c>
      <c r="F418" t="inlineStr">
        <is>
          <t>NORRBOTTENS LÄN</t>
        </is>
      </c>
      <c r="G418" t="inlineStr">
        <is>
          <t>BODEN</t>
        </is>
      </c>
      <c r="H418" t="inlineStr">
        <is>
          <t>SCA</t>
        </is>
      </c>
      <c r="I418" t="n">
        <v>1.2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22447-2024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45446</v>
      </c>
      <c r="E419" s="1" t="n">
        <v>46221</v>
      </c>
      <c r="F419" t="inlineStr">
        <is>
          <t>NORRBOTTENS LÄN</t>
        </is>
      </c>
      <c r="G419" t="inlineStr">
        <is>
          <t>BODEN</t>
        </is>
      </c>
      <c r="I419" t="n">
        <v>6.7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7370-2026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46059</v>
      </c>
      <c r="E420" s="1" t="n">
        <v>46221</v>
      </c>
      <c r="F420" t="inlineStr">
        <is>
          <t>NORRBOTTENS LÄN</t>
        </is>
      </c>
      <c r="G420" t="inlineStr">
        <is>
          <t>BODEN</t>
        </is>
      </c>
      <c r="I420" t="n">
        <v>2.7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50434-2025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45944</v>
      </c>
      <c r="E421" s="1" t="n">
        <v>46221</v>
      </c>
      <c r="F421" t="inlineStr">
        <is>
          <t>NORRBOTTENS LÄN</t>
        </is>
      </c>
      <c r="G421" t="inlineStr">
        <is>
          <t>BODEN</t>
        </is>
      </c>
      <c r="I421" t="n">
        <v>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25916-2023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45085</v>
      </c>
      <c r="E422" s="1" t="n">
        <v>46221</v>
      </c>
      <c r="F422" t="inlineStr">
        <is>
          <t>NORRBOTTENS LÄN</t>
        </is>
      </c>
      <c r="G422" t="inlineStr">
        <is>
          <t>BODEN</t>
        </is>
      </c>
      <c r="I422" t="n">
        <v>0.5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59331-2021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44490</v>
      </c>
      <c r="E423" s="1" t="n">
        <v>46221</v>
      </c>
      <c r="F423" t="inlineStr">
        <is>
          <t>NORRBOTTENS LÄN</t>
        </is>
      </c>
      <c r="G423" t="inlineStr">
        <is>
          <t>BODEN</t>
        </is>
      </c>
      <c r="H423" t="inlineStr">
        <is>
          <t>SCA</t>
        </is>
      </c>
      <c r="I423" t="n">
        <v>2.3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36915-2023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45153</v>
      </c>
      <c r="E424" s="1" t="n">
        <v>46221</v>
      </c>
      <c r="F424" t="inlineStr">
        <is>
          <t>NORRBOTTENS LÄN</t>
        </is>
      </c>
      <c r="G424" t="inlineStr">
        <is>
          <t>BODEN</t>
        </is>
      </c>
      <c r="I424" t="n">
        <v>7.5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8056-2026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46063</v>
      </c>
      <c r="E425" s="1" t="n">
        <v>46221</v>
      </c>
      <c r="F425" t="inlineStr">
        <is>
          <t>NORRBOTTENS LÄN</t>
        </is>
      </c>
      <c r="G425" t="inlineStr">
        <is>
          <t>BODEN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7923-2026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46063</v>
      </c>
      <c r="E426" s="1" t="n">
        <v>46221</v>
      </c>
      <c r="F426" t="inlineStr">
        <is>
          <t>NORRBOTTENS LÄN</t>
        </is>
      </c>
      <c r="G426" t="inlineStr">
        <is>
          <t>BODEN</t>
        </is>
      </c>
      <c r="I426" t="n">
        <v>3.4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52284-2025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45953</v>
      </c>
      <c r="E427" s="1" t="n">
        <v>46221</v>
      </c>
      <c r="F427" t="inlineStr">
        <is>
          <t>NORRBOTTENS LÄN</t>
        </is>
      </c>
      <c r="G427" t="inlineStr">
        <is>
          <t>BODEN</t>
        </is>
      </c>
      <c r="I427" t="n">
        <v>3.3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52169-2025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45953</v>
      </c>
      <c r="E428" s="1" t="n">
        <v>46221</v>
      </c>
      <c r="F428" t="inlineStr">
        <is>
          <t>NORRBOTTENS LÄN</t>
        </is>
      </c>
      <c r="G428" t="inlineStr">
        <is>
          <t>BODEN</t>
        </is>
      </c>
      <c r="H428" t="inlineStr">
        <is>
          <t>SCA</t>
        </is>
      </c>
      <c r="I428" t="n">
        <v>2.4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52166-2025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45953</v>
      </c>
      <c r="E429" s="1" t="n">
        <v>46221</v>
      </c>
      <c r="F429" t="inlineStr">
        <is>
          <t>NORRBOTTENS LÄN</t>
        </is>
      </c>
      <c r="G429" t="inlineStr">
        <is>
          <t>BODEN</t>
        </is>
      </c>
      <c r="H429" t="inlineStr">
        <is>
          <t>SCA</t>
        </is>
      </c>
      <c r="I429" t="n">
        <v>3.4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61750-2024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45649</v>
      </c>
      <c r="E430" s="1" t="n">
        <v>46221</v>
      </c>
      <c r="F430" t="inlineStr">
        <is>
          <t>NORRBOTTENS LÄN</t>
        </is>
      </c>
      <c r="G430" t="inlineStr">
        <is>
          <t>BODEN</t>
        </is>
      </c>
      <c r="I430" t="n">
        <v>1.8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51525-2025</t>
        </is>
      </c>
      <c r="B431" t="inlineStr">
        <is>
          <t>avverkningsanmälan</t>
        </is>
      </c>
      <c r="C431" t="inlineStr">
        <is>
          <t>Avverkning för annat ändamål</t>
        </is>
      </c>
      <c r="D431" s="1" t="n">
        <v>45950</v>
      </c>
      <c r="E431" s="1" t="n">
        <v>46221</v>
      </c>
      <c r="F431" t="inlineStr">
        <is>
          <t>NORRBOTTENS LÄN</t>
        </is>
      </c>
      <c r="G431" t="inlineStr">
        <is>
          <t>BODEN</t>
        </is>
      </c>
      <c r="I431" t="n">
        <v>0.9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36112-2023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45149</v>
      </c>
      <c r="E432" s="1" t="n">
        <v>46221</v>
      </c>
      <c r="F432" t="inlineStr">
        <is>
          <t>NORRBOTTENS LÄN</t>
        </is>
      </c>
      <c r="G432" t="inlineStr">
        <is>
          <t>BODEN</t>
        </is>
      </c>
      <c r="I432" t="n">
        <v>16.1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8433-2026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46065</v>
      </c>
      <c r="E433" s="1" t="n">
        <v>46221</v>
      </c>
      <c r="F433" t="inlineStr">
        <is>
          <t>NORRBOTTENS LÄN</t>
        </is>
      </c>
      <c r="G433" t="inlineStr">
        <is>
          <t>BODEN</t>
        </is>
      </c>
      <c r="H433" t="inlineStr">
        <is>
          <t>SCA</t>
        </is>
      </c>
      <c r="I433" t="n">
        <v>9.699999999999999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52763-2025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45957</v>
      </c>
      <c r="E434" s="1" t="n">
        <v>46221</v>
      </c>
      <c r="F434" t="inlineStr">
        <is>
          <t>NORRBOTTENS LÄN</t>
        </is>
      </c>
      <c r="G434" t="inlineStr">
        <is>
          <t>BODEN</t>
        </is>
      </c>
      <c r="H434" t="inlineStr">
        <is>
          <t>Sveaskog</t>
        </is>
      </c>
      <c r="I434" t="n">
        <v>3.9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52645-2025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45955</v>
      </c>
      <c r="E435" s="1" t="n">
        <v>46221</v>
      </c>
      <c r="F435" t="inlineStr">
        <is>
          <t>NORRBOTTENS LÄN</t>
        </is>
      </c>
      <c r="G435" t="inlineStr">
        <is>
          <t>BODEN</t>
        </is>
      </c>
      <c r="I435" t="n">
        <v>2.6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52646-2025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45955</v>
      </c>
      <c r="E436" s="1" t="n">
        <v>46221</v>
      </c>
      <c r="F436" t="inlineStr">
        <is>
          <t>NORRBOTTENS LÄN</t>
        </is>
      </c>
      <c r="G436" t="inlineStr">
        <is>
          <t>BODEN</t>
        </is>
      </c>
      <c r="I436" t="n">
        <v>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48107-2022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44856</v>
      </c>
      <c r="E437" s="1" t="n">
        <v>46221</v>
      </c>
      <c r="F437" t="inlineStr">
        <is>
          <t>NORRBOTTENS LÄN</t>
        </is>
      </c>
      <c r="G437" t="inlineStr">
        <is>
          <t>BODEN</t>
        </is>
      </c>
      <c r="I437" t="n">
        <v>3.3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28745-2023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45103</v>
      </c>
      <c r="E438" s="1" t="n">
        <v>46221</v>
      </c>
      <c r="F438" t="inlineStr">
        <is>
          <t>NORRBOTTENS LÄN</t>
        </is>
      </c>
      <c r="G438" t="inlineStr">
        <is>
          <t>BODEN</t>
        </is>
      </c>
      <c r="I438" t="n">
        <v>0.8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40624-2022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44823</v>
      </c>
      <c r="E439" s="1" t="n">
        <v>46221</v>
      </c>
      <c r="F439" t="inlineStr">
        <is>
          <t>NORRBOTTENS LÄN</t>
        </is>
      </c>
      <c r="G439" t="inlineStr">
        <is>
          <t>BODEN</t>
        </is>
      </c>
      <c r="H439" t="inlineStr">
        <is>
          <t>SCA</t>
        </is>
      </c>
      <c r="I439" t="n">
        <v>6.4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53623-2025</t>
        </is>
      </c>
      <c r="B440" t="inlineStr">
        <is>
          <t>avverkningsanmälan</t>
        </is>
      </c>
      <c r="C440" t="inlineStr">
        <is>
          <t>Avverkning för annat ändamål</t>
        </is>
      </c>
      <c r="D440" s="1" t="n">
        <v>45960</v>
      </c>
      <c r="E440" s="1" t="n">
        <v>46221</v>
      </c>
      <c r="F440" t="inlineStr">
        <is>
          <t>NORRBOTTENS LÄN</t>
        </is>
      </c>
      <c r="G440" t="inlineStr">
        <is>
          <t>BODEN</t>
        </is>
      </c>
      <c r="H440" t="inlineStr">
        <is>
          <t>SCA</t>
        </is>
      </c>
      <c r="I440" t="n">
        <v>11.7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53893-2025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45961</v>
      </c>
      <c r="E441" s="1" t="n">
        <v>46221</v>
      </c>
      <c r="F441" t="inlineStr">
        <is>
          <t>NORRBOTTENS LÄN</t>
        </is>
      </c>
      <c r="G441" t="inlineStr">
        <is>
          <t>BODEN</t>
        </is>
      </c>
      <c r="I441" t="n">
        <v>3.4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54172-2025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45964</v>
      </c>
      <c r="E442" s="1" t="n">
        <v>46221</v>
      </c>
      <c r="F442" t="inlineStr">
        <is>
          <t>NORRBOTTENS LÄN</t>
        </is>
      </c>
      <c r="G442" t="inlineStr">
        <is>
          <t>BODEN</t>
        </is>
      </c>
      <c r="I442" t="n">
        <v>4.7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718-2022</t>
        </is>
      </c>
      <c r="B443" t="inlineStr">
        <is>
          <t>avverkningsanmälan</t>
        </is>
      </c>
      <c r="C443" t="inlineStr">
        <is>
          <t>Avverkning för att bevara och utveckla /försöksver</t>
        </is>
      </c>
      <c r="D443" s="1" t="n">
        <v>44568</v>
      </c>
      <c r="E443" s="1" t="n">
        <v>46221</v>
      </c>
      <c r="F443" t="inlineStr">
        <is>
          <t>NORRBOTTENS LÄN</t>
        </is>
      </c>
      <c r="G443" t="inlineStr">
        <is>
          <t>BODEN</t>
        </is>
      </c>
      <c r="I443" t="n">
        <v>5.5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1205-2025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45667</v>
      </c>
      <c r="E444" s="1" t="n">
        <v>46221</v>
      </c>
      <c r="F444" t="inlineStr">
        <is>
          <t>NORRBOTTENS LÄN</t>
        </is>
      </c>
      <c r="G444" t="inlineStr">
        <is>
          <t>BODEN</t>
        </is>
      </c>
      <c r="I444" t="n">
        <v>1.4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10234-2026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46076</v>
      </c>
      <c r="E445" s="1" t="n">
        <v>46221</v>
      </c>
      <c r="F445" t="inlineStr">
        <is>
          <t>NORRBOTTENS LÄN</t>
        </is>
      </c>
      <c r="G445" t="inlineStr">
        <is>
          <t>BODEN</t>
        </is>
      </c>
      <c r="I445" t="n">
        <v>2.5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13714-2022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44648</v>
      </c>
      <c r="E446" s="1" t="n">
        <v>46221</v>
      </c>
      <c r="F446" t="inlineStr">
        <is>
          <t>NORRBOTTENS LÄN</t>
        </is>
      </c>
      <c r="G446" t="inlineStr">
        <is>
          <t>BODEN</t>
        </is>
      </c>
      <c r="H446" t="inlineStr">
        <is>
          <t>Sveaskog</t>
        </is>
      </c>
      <c r="I446" t="n">
        <v>4.5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54417-2025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45965</v>
      </c>
      <c r="E447" s="1" t="n">
        <v>46221</v>
      </c>
      <c r="F447" t="inlineStr">
        <is>
          <t>NORRBOTTENS LÄN</t>
        </is>
      </c>
      <c r="G447" t="inlineStr">
        <is>
          <t>BODEN</t>
        </is>
      </c>
      <c r="I447" t="n">
        <v>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10231-2026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46076</v>
      </c>
      <c r="E448" s="1" t="n">
        <v>46221</v>
      </c>
      <c r="F448" t="inlineStr">
        <is>
          <t>NORRBOTTENS LÄN</t>
        </is>
      </c>
      <c r="G448" t="inlineStr">
        <is>
          <t>BODEN</t>
        </is>
      </c>
      <c r="I448" t="n">
        <v>3.9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54845-2025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45966</v>
      </c>
      <c r="E449" s="1" t="n">
        <v>46221</v>
      </c>
      <c r="F449" t="inlineStr">
        <is>
          <t>NORRBOTTENS LÄN</t>
        </is>
      </c>
      <c r="G449" t="inlineStr">
        <is>
          <t>BODEN</t>
        </is>
      </c>
      <c r="I449" t="n">
        <v>1.7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31007-2024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45499</v>
      </c>
      <c r="E450" s="1" t="n">
        <v>46221</v>
      </c>
      <c r="F450" t="inlineStr">
        <is>
          <t>NORRBOTTENS LÄN</t>
        </is>
      </c>
      <c r="G450" t="inlineStr">
        <is>
          <t>BODEN</t>
        </is>
      </c>
      <c r="I450" t="n">
        <v>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54578-2025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45965</v>
      </c>
      <c r="E451" s="1" t="n">
        <v>46221</v>
      </c>
      <c r="F451" t="inlineStr">
        <is>
          <t>NORRBOTTENS LÄN</t>
        </is>
      </c>
      <c r="G451" t="inlineStr">
        <is>
          <t>BODEN</t>
        </is>
      </c>
      <c r="I451" t="n">
        <v>1.4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54834-2025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45966</v>
      </c>
      <c r="E452" s="1" t="n">
        <v>46221</v>
      </c>
      <c r="F452" t="inlineStr">
        <is>
          <t>NORRBOTTENS LÄN</t>
        </is>
      </c>
      <c r="G452" t="inlineStr">
        <is>
          <t>BODEN</t>
        </is>
      </c>
      <c r="I452" t="n">
        <v>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54833-2025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45966</v>
      </c>
      <c r="E453" s="1" t="n">
        <v>46221</v>
      </c>
      <c r="F453" t="inlineStr">
        <is>
          <t>NORRBOTTENS LÄN</t>
        </is>
      </c>
      <c r="G453" t="inlineStr">
        <is>
          <t>BODEN</t>
        </is>
      </c>
      <c r="I453" t="n">
        <v>2.5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54523-2025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45965</v>
      </c>
      <c r="E454" s="1" t="n">
        <v>46221</v>
      </c>
      <c r="F454" t="inlineStr">
        <is>
          <t>NORRBOTTENS LÄN</t>
        </is>
      </c>
      <c r="G454" t="inlineStr">
        <is>
          <t>BODEN</t>
        </is>
      </c>
      <c r="I454" t="n">
        <v>0.4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54416-2025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45965</v>
      </c>
      <c r="E455" s="1" t="n">
        <v>46221</v>
      </c>
      <c r="F455" t="inlineStr">
        <is>
          <t>NORRBOTTENS LÄN</t>
        </is>
      </c>
      <c r="G455" t="inlineStr">
        <is>
          <t>BODEN</t>
        </is>
      </c>
      <c r="I455" t="n">
        <v>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45446-2023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45194</v>
      </c>
      <c r="E456" s="1" t="n">
        <v>46221</v>
      </c>
      <c r="F456" t="inlineStr">
        <is>
          <t>NORRBOTTENS LÄN</t>
        </is>
      </c>
      <c r="G456" t="inlineStr">
        <is>
          <t>BODEN</t>
        </is>
      </c>
      <c r="H456" t="inlineStr">
        <is>
          <t>Sveaskog</t>
        </is>
      </c>
      <c r="I456" t="n">
        <v>2.2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61743-2024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45649</v>
      </c>
      <c r="E457" s="1" t="n">
        <v>46221</v>
      </c>
      <c r="F457" t="inlineStr">
        <is>
          <t>NORRBOTTENS LÄN</t>
        </is>
      </c>
      <c r="G457" t="inlineStr">
        <is>
          <t>BODEN</t>
        </is>
      </c>
      <c r="I457" t="n">
        <v>1.9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8571-2025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45709</v>
      </c>
      <c r="E458" s="1" t="n">
        <v>46221</v>
      </c>
      <c r="F458" t="inlineStr">
        <is>
          <t>NORRBOTTENS LÄN</t>
        </is>
      </c>
      <c r="G458" t="inlineStr">
        <is>
          <t>BODEN</t>
        </is>
      </c>
      <c r="H458" t="inlineStr">
        <is>
          <t>Övriga Aktiebolag</t>
        </is>
      </c>
      <c r="I458" t="n">
        <v>14.3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10251-2026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46076</v>
      </c>
      <c r="E459" s="1" t="n">
        <v>46221</v>
      </c>
      <c r="F459" t="inlineStr">
        <is>
          <t>NORRBOTTENS LÄN</t>
        </is>
      </c>
      <c r="G459" t="inlineStr">
        <is>
          <t>BODEN</t>
        </is>
      </c>
      <c r="I459" t="n">
        <v>0.7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18871-2025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45764</v>
      </c>
      <c r="E460" s="1" t="n">
        <v>46221</v>
      </c>
      <c r="F460" t="inlineStr">
        <is>
          <t>NORRBOTTENS LÄN</t>
        </is>
      </c>
      <c r="G460" t="inlineStr">
        <is>
          <t>BODEN</t>
        </is>
      </c>
      <c r="I460" t="n">
        <v>2.5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20260-2025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45773</v>
      </c>
      <c r="E461" s="1" t="n">
        <v>46221</v>
      </c>
      <c r="F461" t="inlineStr">
        <is>
          <t>NORRBOTTENS LÄN</t>
        </is>
      </c>
      <c r="G461" t="inlineStr">
        <is>
          <t>BODEN</t>
        </is>
      </c>
      <c r="H461" t="inlineStr">
        <is>
          <t>SCA</t>
        </is>
      </c>
      <c r="I461" t="n">
        <v>3.3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55562-2025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45971</v>
      </c>
      <c r="E462" s="1" t="n">
        <v>46221</v>
      </c>
      <c r="F462" t="inlineStr">
        <is>
          <t>NORRBOTTENS LÄN</t>
        </is>
      </c>
      <c r="G462" t="inlineStr">
        <is>
          <t>BODEN</t>
        </is>
      </c>
      <c r="I462" t="n">
        <v>1.6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46512-2021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44445</v>
      </c>
      <c r="E463" s="1" t="n">
        <v>46221</v>
      </c>
      <c r="F463" t="inlineStr">
        <is>
          <t>NORRBOTTENS LÄN</t>
        </is>
      </c>
      <c r="G463" t="inlineStr">
        <is>
          <t>BODEN</t>
        </is>
      </c>
      <c r="I463" t="n">
        <v>7.2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55676-2025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45972</v>
      </c>
      <c r="E464" s="1" t="n">
        <v>46221</v>
      </c>
      <c r="F464" t="inlineStr">
        <is>
          <t>NORRBOTTENS LÄN</t>
        </is>
      </c>
      <c r="G464" t="inlineStr">
        <is>
          <t>BODEN</t>
        </is>
      </c>
      <c r="I464" t="n">
        <v>11.9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10694-2026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46078</v>
      </c>
      <c r="E465" s="1" t="n">
        <v>46221</v>
      </c>
      <c r="F465" t="inlineStr">
        <is>
          <t>NORRBOTTENS LÄN</t>
        </is>
      </c>
      <c r="G465" t="inlineStr">
        <is>
          <t>BODEN</t>
        </is>
      </c>
      <c r="I465" t="n">
        <v>1.3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1962-2025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45672</v>
      </c>
      <c r="E466" s="1" t="n">
        <v>46221</v>
      </c>
      <c r="F466" t="inlineStr">
        <is>
          <t>NORRBOTTENS LÄN</t>
        </is>
      </c>
      <c r="G466" t="inlineStr">
        <is>
          <t>BODEN</t>
        </is>
      </c>
      <c r="I466" t="n">
        <v>0.1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55080-2021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44474</v>
      </c>
      <c r="E467" s="1" t="n">
        <v>46221</v>
      </c>
      <c r="F467" t="inlineStr">
        <is>
          <t>NORRBOTTENS LÄN</t>
        </is>
      </c>
      <c r="G467" t="inlineStr">
        <is>
          <t>BODEN</t>
        </is>
      </c>
      <c r="I467" t="n">
        <v>2.8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56560-2025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45975</v>
      </c>
      <c r="E468" s="1" t="n">
        <v>46221</v>
      </c>
      <c r="F468" t="inlineStr">
        <is>
          <t>NORRBOTTENS LÄN</t>
        </is>
      </c>
      <c r="G468" t="inlineStr">
        <is>
          <t>BODEN</t>
        </is>
      </c>
      <c r="H468" t="inlineStr">
        <is>
          <t>Naturvårdsverket</t>
        </is>
      </c>
      <c r="I468" t="n">
        <v>9.800000000000001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56947-2025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45978</v>
      </c>
      <c r="E469" s="1" t="n">
        <v>46221</v>
      </c>
      <c r="F469" t="inlineStr">
        <is>
          <t>NORRBOTTENS LÄN</t>
        </is>
      </c>
      <c r="G469" t="inlineStr">
        <is>
          <t>BODEN</t>
        </is>
      </c>
      <c r="H469" t="inlineStr">
        <is>
          <t>Naturvårdsverket</t>
        </is>
      </c>
      <c r="I469" t="n">
        <v>10.4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56440-2025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45975</v>
      </c>
      <c r="E470" s="1" t="n">
        <v>46221</v>
      </c>
      <c r="F470" t="inlineStr">
        <is>
          <t>NORRBOTTENS LÄN</t>
        </is>
      </c>
      <c r="G470" t="inlineStr">
        <is>
          <t>BODEN</t>
        </is>
      </c>
      <c r="H470" t="inlineStr">
        <is>
          <t>SCA</t>
        </is>
      </c>
      <c r="I470" t="n">
        <v>2.3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56439-2025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45975</v>
      </c>
      <c r="E471" s="1" t="n">
        <v>46221</v>
      </c>
      <c r="F471" t="inlineStr">
        <is>
          <t>NORRBOTTENS LÄN</t>
        </is>
      </c>
      <c r="G471" t="inlineStr">
        <is>
          <t>BODEN</t>
        </is>
      </c>
      <c r="H471" t="inlineStr">
        <is>
          <t>SCA</t>
        </is>
      </c>
      <c r="I471" t="n">
        <v>0.6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56867-2025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45978</v>
      </c>
      <c r="E472" s="1" t="n">
        <v>46221</v>
      </c>
      <c r="F472" t="inlineStr">
        <is>
          <t>NORRBOTTENS LÄN</t>
        </is>
      </c>
      <c r="G472" t="inlineStr">
        <is>
          <t>BODEN</t>
        </is>
      </c>
      <c r="I472" t="n">
        <v>5.8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10727-2025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45722</v>
      </c>
      <c r="E473" s="1" t="n">
        <v>46221</v>
      </c>
      <c r="F473" t="inlineStr">
        <is>
          <t>NORRBOTTENS LÄN</t>
        </is>
      </c>
      <c r="G473" t="inlineStr">
        <is>
          <t>BODEN</t>
        </is>
      </c>
      <c r="I473" t="n">
        <v>5.4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11636-2026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46084</v>
      </c>
      <c r="E474" s="1" t="n">
        <v>46221</v>
      </c>
      <c r="F474" t="inlineStr">
        <is>
          <t>NORRBOTTENS LÄN</t>
        </is>
      </c>
      <c r="G474" t="inlineStr">
        <is>
          <t>BODEN</t>
        </is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11631-2026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46084</v>
      </c>
      <c r="E475" s="1" t="n">
        <v>46221</v>
      </c>
      <c r="F475" t="inlineStr">
        <is>
          <t>NORRBOTTENS LÄN</t>
        </is>
      </c>
      <c r="G475" t="inlineStr">
        <is>
          <t>BODEN</t>
        </is>
      </c>
      <c r="I475" t="n">
        <v>1.5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11633-2026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46084</v>
      </c>
      <c r="E476" s="1" t="n">
        <v>46221</v>
      </c>
      <c r="F476" t="inlineStr">
        <is>
          <t>NORRBOTTENS LÄN</t>
        </is>
      </c>
      <c r="G476" t="inlineStr">
        <is>
          <t>BODEN</t>
        </is>
      </c>
      <c r="I476" t="n">
        <v>0.5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11632-2026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46084</v>
      </c>
      <c r="E477" s="1" t="n">
        <v>46221</v>
      </c>
      <c r="F477" t="inlineStr">
        <is>
          <t>NORRBOTTENS LÄN</t>
        </is>
      </c>
      <c r="G477" t="inlineStr">
        <is>
          <t>BODEN</t>
        </is>
      </c>
      <c r="I477" t="n">
        <v>1.4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16020-2025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45748</v>
      </c>
      <c r="E478" s="1" t="n">
        <v>46221</v>
      </c>
      <c r="F478" t="inlineStr">
        <is>
          <t>NORRBOTTENS LÄN</t>
        </is>
      </c>
      <c r="G478" t="inlineStr">
        <is>
          <t>BODEN</t>
        </is>
      </c>
      <c r="I478" t="n">
        <v>2.5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67438-2021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44524</v>
      </c>
      <c r="E479" s="1" t="n">
        <v>46221</v>
      </c>
      <c r="F479" t="inlineStr">
        <is>
          <t>NORRBOTTENS LÄN</t>
        </is>
      </c>
      <c r="G479" t="inlineStr">
        <is>
          <t>BODEN</t>
        </is>
      </c>
      <c r="I479" t="n">
        <v>3.2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18173-2025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45761</v>
      </c>
      <c r="E480" s="1" t="n">
        <v>46221</v>
      </c>
      <c r="F480" t="inlineStr">
        <is>
          <t>NORRBOTTENS LÄN</t>
        </is>
      </c>
      <c r="G480" t="inlineStr">
        <is>
          <t>BODEN</t>
        </is>
      </c>
      <c r="I480" t="n">
        <v>7.2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54104-2022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44881</v>
      </c>
      <c r="E481" s="1" t="n">
        <v>46221</v>
      </c>
      <c r="F481" t="inlineStr">
        <is>
          <t>NORRBOTTENS LÄN</t>
        </is>
      </c>
      <c r="G481" t="inlineStr">
        <is>
          <t>BODEN</t>
        </is>
      </c>
      <c r="H481" t="inlineStr">
        <is>
          <t>Sveaskog</t>
        </is>
      </c>
      <c r="I481" t="n">
        <v>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11569-2026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46084</v>
      </c>
      <c r="E482" s="1" t="n">
        <v>46221</v>
      </c>
      <c r="F482" t="inlineStr">
        <is>
          <t>NORRBOTTENS LÄN</t>
        </is>
      </c>
      <c r="G482" t="inlineStr">
        <is>
          <t>BODEN</t>
        </is>
      </c>
      <c r="I482" t="n">
        <v>9.199999999999999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57777-2025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45981</v>
      </c>
      <c r="E483" s="1" t="n">
        <v>46221</v>
      </c>
      <c r="F483" t="inlineStr">
        <is>
          <t>NORRBOTTENS LÄN</t>
        </is>
      </c>
      <c r="G483" t="inlineStr">
        <is>
          <t>BODEN</t>
        </is>
      </c>
      <c r="H483" t="inlineStr">
        <is>
          <t>Sveaskog</t>
        </is>
      </c>
      <c r="I483" t="n">
        <v>3.4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57778-2025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45981</v>
      </c>
      <c r="E484" s="1" t="n">
        <v>46221</v>
      </c>
      <c r="F484" t="inlineStr">
        <is>
          <t>NORRBOTTENS LÄN</t>
        </is>
      </c>
      <c r="G484" t="inlineStr">
        <is>
          <t>BODEN</t>
        </is>
      </c>
      <c r="H484" t="inlineStr">
        <is>
          <t>Sveaskog</t>
        </is>
      </c>
      <c r="I484" t="n">
        <v>3.8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58490-2025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45985</v>
      </c>
      <c r="E485" s="1" t="n">
        <v>46221</v>
      </c>
      <c r="F485" t="inlineStr">
        <is>
          <t>NORRBOTTENS LÄN</t>
        </is>
      </c>
      <c r="G485" t="inlineStr">
        <is>
          <t>BODEN</t>
        </is>
      </c>
      <c r="I485" t="n">
        <v>1.6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12183-2026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46086</v>
      </c>
      <c r="E486" s="1" t="n">
        <v>46221</v>
      </c>
      <c r="F486" t="inlineStr">
        <is>
          <t>NORRBOTTENS LÄN</t>
        </is>
      </c>
      <c r="G486" t="inlineStr">
        <is>
          <t>BODEN</t>
        </is>
      </c>
      <c r="I486" t="n">
        <v>0.7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58099-2023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45248</v>
      </c>
      <c r="E487" s="1" t="n">
        <v>46221</v>
      </c>
      <c r="F487" t="inlineStr">
        <is>
          <t>NORRBOTTENS LÄN</t>
        </is>
      </c>
      <c r="G487" t="inlineStr">
        <is>
          <t>BODEN</t>
        </is>
      </c>
      <c r="I487" t="n">
        <v>0.7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58662-2025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45986</v>
      </c>
      <c r="E488" s="1" t="n">
        <v>46221</v>
      </c>
      <c r="F488" t="inlineStr">
        <is>
          <t>NORRBOTTENS LÄN</t>
        </is>
      </c>
      <c r="G488" t="inlineStr">
        <is>
          <t>BODEN</t>
        </is>
      </c>
      <c r="I488" t="n">
        <v>1.1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12338-2026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46087</v>
      </c>
      <c r="E489" s="1" t="n">
        <v>46221</v>
      </c>
      <c r="F489" t="inlineStr">
        <is>
          <t>NORRBOTTENS LÄN</t>
        </is>
      </c>
      <c r="G489" t="inlineStr">
        <is>
          <t>BODEN</t>
        </is>
      </c>
      <c r="H489" t="inlineStr">
        <is>
          <t>SCA</t>
        </is>
      </c>
      <c r="I489" t="n">
        <v>6.4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58294-2025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45985</v>
      </c>
      <c r="E490" s="1" t="n">
        <v>46221</v>
      </c>
      <c r="F490" t="inlineStr">
        <is>
          <t>NORRBOTTENS LÄN</t>
        </is>
      </c>
      <c r="G490" t="inlineStr">
        <is>
          <t>BODEN</t>
        </is>
      </c>
      <c r="H490" t="inlineStr">
        <is>
          <t>Sveaskog</t>
        </is>
      </c>
      <c r="I490" t="n">
        <v>3.4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58203-2025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45984</v>
      </c>
      <c r="E491" s="1" t="n">
        <v>46221</v>
      </c>
      <c r="F491" t="inlineStr">
        <is>
          <t>NORRBOTTENS LÄN</t>
        </is>
      </c>
      <c r="G491" t="inlineStr">
        <is>
          <t>BODEN</t>
        </is>
      </c>
      <c r="I491" t="n">
        <v>4.7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59031-2025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45988</v>
      </c>
      <c r="E492" s="1" t="n">
        <v>46221</v>
      </c>
      <c r="F492" t="inlineStr">
        <is>
          <t>NORRBOTTENS LÄN</t>
        </is>
      </c>
      <c r="G492" t="inlineStr">
        <is>
          <t>BODEN</t>
        </is>
      </c>
      <c r="I492" t="n">
        <v>6.3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59032-2025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45988</v>
      </c>
      <c r="E493" s="1" t="n">
        <v>46221</v>
      </c>
      <c r="F493" t="inlineStr">
        <is>
          <t>NORRBOTTENS LÄN</t>
        </is>
      </c>
      <c r="G493" t="inlineStr">
        <is>
          <t>BODEN</t>
        </is>
      </c>
      <c r="I493" t="n">
        <v>1.5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59263-2025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45988</v>
      </c>
      <c r="E494" s="1" t="n">
        <v>46221</v>
      </c>
      <c r="F494" t="inlineStr">
        <is>
          <t>NORRBOTTENS LÄN</t>
        </is>
      </c>
      <c r="G494" t="inlineStr">
        <is>
          <t>BODEN</t>
        </is>
      </c>
      <c r="I494" t="n">
        <v>6.7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59264-2025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45988</v>
      </c>
      <c r="E495" s="1" t="n">
        <v>46221</v>
      </c>
      <c r="F495" t="inlineStr">
        <is>
          <t>NORRBOTTENS LÄN</t>
        </is>
      </c>
      <c r="G495" t="inlineStr">
        <is>
          <t>BODEN</t>
        </is>
      </c>
      <c r="I495" t="n">
        <v>3.3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49127-2023</t>
        </is>
      </c>
      <c r="B496" t="inlineStr">
        <is>
          <t>avverkningsanmälan</t>
        </is>
      </c>
      <c r="C496" t="inlineStr">
        <is>
          <t>Avverkning för annat ändamål</t>
        </is>
      </c>
      <c r="D496" s="1" t="n">
        <v>45210</v>
      </c>
      <c r="E496" s="1" t="n">
        <v>46221</v>
      </c>
      <c r="F496" t="inlineStr">
        <is>
          <t>NORRBOTTENS LÄN</t>
        </is>
      </c>
      <c r="G496" t="inlineStr">
        <is>
          <t>BODEN</t>
        </is>
      </c>
      <c r="H496" t="inlineStr">
        <is>
          <t>Sveaskog</t>
        </is>
      </c>
      <c r="I496" t="n">
        <v>1.8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55540-2022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44887</v>
      </c>
      <c r="E497" s="1" t="n">
        <v>46221</v>
      </c>
      <c r="F497" t="inlineStr">
        <is>
          <t>NORRBOTTENS LÄN</t>
        </is>
      </c>
      <c r="G497" t="inlineStr">
        <is>
          <t>BODEN</t>
        </is>
      </c>
      <c r="H497" t="inlineStr">
        <is>
          <t>SCA</t>
        </is>
      </c>
      <c r="I497" t="n">
        <v>2.5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467-2022</t>
        </is>
      </c>
      <c r="B498" t="inlineStr">
        <is>
          <t>avverkningsanmälan</t>
        </is>
      </c>
      <c r="C498" t="inlineStr">
        <is>
          <t>Avverkning för att bevara och utveckla /försöksver</t>
        </is>
      </c>
      <c r="D498" s="1" t="n">
        <v>44565</v>
      </c>
      <c r="E498" s="1" t="n">
        <v>46221</v>
      </c>
      <c r="F498" t="inlineStr">
        <is>
          <t>NORRBOTTENS LÄN</t>
        </is>
      </c>
      <c r="G498" t="inlineStr">
        <is>
          <t>BODEN</t>
        </is>
      </c>
      <c r="I498" t="n">
        <v>3.4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54616-2023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45233</v>
      </c>
      <c r="E499" s="1" t="n">
        <v>46221</v>
      </c>
      <c r="F499" t="inlineStr">
        <is>
          <t>NORRBOTTENS LÄN</t>
        </is>
      </c>
      <c r="G499" t="inlineStr">
        <is>
          <t>BODEN</t>
        </is>
      </c>
      <c r="H499" t="inlineStr">
        <is>
          <t>SCA</t>
        </is>
      </c>
      <c r="I499" t="n">
        <v>2.9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22460-2023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45070</v>
      </c>
      <c r="E500" s="1" t="n">
        <v>46221</v>
      </c>
      <c r="F500" t="inlineStr">
        <is>
          <t>NORRBOTTENS LÄN</t>
        </is>
      </c>
      <c r="G500" t="inlineStr">
        <is>
          <t>BODEN</t>
        </is>
      </c>
      <c r="I500" t="n">
        <v>1.4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25920-2023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45085</v>
      </c>
      <c r="E501" s="1" t="n">
        <v>46221</v>
      </c>
      <c r="F501" t="inlineStr">
        <is>
          <t>NORRBOTTENS LÄN</t>
        </is>
      </c>
      <c r="G501" t="inlineStr">
        <is>
          <t>BODEN</t>
        </is>
      </c>
      <c r="I501" t="n">
        <v>0.5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60238-2025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45994</v>
      </c>
      <c r="E502" s="1" t="n">
        <v>46221</v>
      </c>
      <c r="F502" t="inlineStr">
        <is>
          <t>NORRBOTTENS LÄN</t>
        </is>
      </c>
      <c r="G502" t="inlineStr">
        <is>
          <t>BODEN</t>
        </is>
      </c>
      <c r="I502" t="n">
        <v>2.1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12875-2026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46092</v>
      </c>
      <c r="E503" s="1" t="n">
        <v>46221</v>
      </c>
      <c r="F503" t="inlineStr">
        <is>
          <t>NORRBOTTENS LÄN</t>
        </is>
      </c>
      <c r="G503" t="inlineStr">
        <is>
          <t>BODEN</t>
        </is>
      </c>
      <c r="H503" t="inlineStr">
        <is>
          <t>SCA</t>
        </is>
      </c>
      <c r="I503" t="n">
        <v>6.3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45115-2021</t>
        </is>
      </c>
      <c r="B504" t="inlineStr">
        <is>
          <t>avverkningsanmälan</t>
        </is>
      </c>
      <c r="C504" t="inlineStr">
        <is>
          <t>Avverkning för att bevara och utveckla /försöksver</t>
        </is>
      </c>
      <c r="D504" s="1" t="n">
        <v>44438</v>
      </c>
      <c r="E504" s="1" t="n">
        <v>46221</v>
      </c>
      <c r="F504" t="inlineStr">
        <is>
          <t>NORRBOTTENS LÄN</t>
        </is>
      </c>
      <c r="G504" t="inlineStr">
        <is>
          <t>BODEN</t>
        </is>
      </c>
      <c r="I504" t="n">
        <v>4.7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45677-2021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44441</v>
      </c>
      <c r="E505" s="1" t="n">
        <v>46221</v>
      </c>
      <c r="F505" t="inlineStr">
        <is>
          <t>NORRBOTTENS LÄN</t>
        </is>
      </c>
      <c r="G505" t="inlineStr">
        <is>
          <t>BODEN</t>
        </is>
      </c>
      <c r="H505" t="inlineStr">
        <is>
          <t>Sveaskog</t>
        </is>
      </c>
      <c r="I505" t="n">
        <v>1.2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68591-2021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44529</v>
      </c>
      <c r="E506" s="1" t="n">
        <v>46221</v>
      </c>
      <c r="F506" t="inlineStr">
        <is>
          <t>NORRBOTTENS LÄN</t>
        </is>
      </c>
      <c r="G506" t="inlineStr">
        <is>
          <t>BODEN</t>
        </is>
      </c>
      <c r="I506" t="n">
        <v>2.2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60233-2025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45994</v>
      </c>
      <c r="E507" s="1" t="n">
        <v>46221</v>
      </c>
      <c r="F507" t="inlineStr">
        <is>
          <t>NORRBOTTENS LÄN</t>
        </is>
      </c>
      <c r="G507" t="inlineStr">
        <is>
          <t>BODEN</t>
        </is>
      </c>
      <c r="I507" t="n">
        <v>3.5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22458-2023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45070</v>
      </c>
      <c r="E508" s="1" t="n">
        <v>46221</v>
      </c>
      <c r="F508" t="inlineStr">
        <is>
          <t>NORRBOTTENS LÄN</t>
        </is>
      </c>
      <c r="G508" t="inlineStr">
        <is>
          <t>BODEN</t>
        </is>
      </c>
      <c r="I508" t="n">
        <v>2.4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60235-2025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45994</v>
      </c>
      <c r="E509" s="1" t="n">
        <v>46221</v>
      </c>
      <c r="F509" t="inlineStr">
        <is>
          <t>NORRBOTTENS LÄN</t>
        </is>
      </c>
      <c r="G509" t="inlineStr">
        <is>
          <t>BODEN</t>
        </is>
      </c>
      <c r="I509" t="n">
        <v>2.5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60225-2025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45994</v>
      </c>
      <c r="E510" s="1" t="n">
        <v>46221</v>
      </c>
      <c r="F510" t="inlineStr">
        <is>
          <t>NORRBOTTENS LÄN</t>
        </is>
      </c>
      <c r="G510" t="inlineStr">
        <is>
          <t>BODEN</t>
        </is>
      </c>
      <c r="I510" t="n">
        <v>2.2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60236-2025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45994</v>
      </c>
      <c r="E511" s="1" t="n">
        <v>46221</v>
      </c>
      <c r="F511" t="inlineStr">
        <is>
          <t>NORRBOTTENS LÄN</t>
        </is>
      </c>
      <c r="G511" t="inlineStr">
        <is>
          <t>BODEN</t>
        </is>
      </c>
      <c r="I511" t="n">
        <v>5.2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45376-2025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45922</v>
      </c>
      <c r="E512" s="1" t="n">
        <v>46221</v>
      </c>
      <c r="F512" t="inlineStr">
        <is>
          <t>NORRBOTTENS LÄN</t>
        </is>
      </c>
      <c r="G512" t="inlineStr">
        <is>
          <t>BODEN</t>
        </is>
      </c>
      <c r="I512" t="n">
        <v>1.4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60428-2025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45995</v>
      </c>
      <c r="E513" s="1" t="n">
        <v>46221</v>
      </c>
      <c r="F513" t="inlineStr">
        <is>
          <t>NORRBOTTENS LÄN</t>
        </is>
      </c>
      <c r="G513" t="inlineStr">
        <is>
          <t>BODEN</t>
        </is>
      </c>
      <c r="I513" t="n">
        <v>1.2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13717-2026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46097</v>
      </c>
      <c r="E514" s="1" t="n">
        <v>46221</v>
      </c>
      <c r="F514" t="inlineStr">
        <is>
          <t>NORRBOTTENS LÄN</t>
        </is>
      </c>
      <c r="G514" t="inlineStr">
        <is>
          <t>BODEN</t>
        </is>
      </c>
      <c r="H514" t="inlineStr">
        <is>
          <t>SCA</t>
        </is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60397-2025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45995</v>
      </c>
      <c r="E515" s="1" t="n">
        <v>46221</v>
      </c>
      <c r="F515" t="inlineStr">
        <is>
          <t>NORRBOTTENS LÄN</t>
        </is>
      </c>
      <c r="G515" t="inlineStr">
        <is>
          <t>BODEN</t>
        </is>
      </c>
      <c r="I515" t="n">
        <v>0.9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60395-2025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45995</v>
      </c>
      <c r="E516" s="1" t="n">
        <v>46221</v>
      </c>
      <c r="F516" t="inlineStr">
        <is>
          <t>NORRBOTTENS LÄN</t>
        </is>
      </c>
      <c r="G516" t="inlineStr">
        <is>
          <t>BODEN</t>
        </is>
      </c>
      <c r="I516" t="n">
        <v>2.5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60423-2025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45995</v>
      </c>
      <c r="E517" s="1" t="n">
        <v>46221</v>
      </c>
      <c r="F517" t="inlineStr">
        <is>
          <t>NORRBOTTENS LÄN</t>
        </is>
      </c>
      <c r="G517" t="inlineStr">
        <is>
          <t>BODEN</t>
        </is>
      </c>
      <c r="I517" t="n">
        <v>2.8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60424-2025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45995</v>
      </c>
      <c r="E518" s="1" t="n">
        <v>46221</v>
      </c>
      <c r="F518" t="inlineStr">
        <is>
          <t>NORRBOTTENS LÄN</t>
        </is>
      </c>
      <c r="G518" t="inlineStr">
        <is>
          <t>BODEN</t>
        </is>
      </c>
      <c r="I518" t="n">
        <v>3.6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60613-2025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45996</v>
      </c>
      <c r="E519" s="1" t="n">
        <v>46221</v>
      </c>
      <c r="F519" t="inlineStr">
        <is>
          <t>NORRBOTTENS LÄN</t>
        </is>
      </c>
      <c r="G519" t="inlineStr">
        <is>
          <t>BODEN</t>
        </is>
      </c>
      <c r="I519" t="n">
        <v>1.1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60429-2025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45995</v>
      </c>
      <c r="E520" s="1" t="n">
        <v>46221</v>
      </c>
      <c r="F520" t="inlineStr">
        <is>
          <t>NORRBOTTENS LÄN</t>
        </is>
      </c>
      <c r="G520" t="inlineStr">
        <is>
          <t>BODEN</t>
        </is>
      </c>
      <c r="I520" t="n">
        <v>2.4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14245-2026</t>
        </is>
      </c>
      <c r="B521" t="inlineStr">
        <is>
          <t>avverkningsanmälan</t>
        </is>
      </c>
      <c r="C521" t="inlineStr">
        <is>
          <t>Avverkning för annat ändamål</t>
        </is>
      </c>
      <c r="D521" s="1" t="n">
        <v>46099</v>
      </c>
      <c r="E521" s="1" t="n">
        <v>46221</v>
      </c>
      <c r="F521" t="inlineStr">
        <is>
          <t>NORRBOTTENS LÄN</t>
        </is>
      </c>
      <c r="G521" t="inlineStr">
        <is>
          <t>BODEN</t>
        </is>
      </c>
      <c r="H521" t="inlineStr">
        <is>
          <t>Sveaskog</t>
        </is>
      </c>
      <c r="I521" t="n">
        <v>1.3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52075-2021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44463</v>
      </c>
      <c r="E522" s="1" t="n">
        <v>46221</v>
      </c>
      <c r="F522" t="inlineStr">
        <is>
          <t>NORRBOTTENS LÄN</t>
        </is>
      </c>
      <c r="G522" t="inlineStr">
        <is>
          <t>BODEN</t>
        </is>
      </c>
      <c r="H522" t="inlineStr">
        <is>
          <t>Sveaskog</t>
        </is>
      </c>
      <c r="I522" t="n">
        <v>0.7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42652-2025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45906</v>
      </c>
      <c r="E523" s="1" t="n">
        <v>46221</v>
      </c>
      <c r="F523" t="inlineStr">
        <is>
          <t>NORRBOTTENS LÄN</t>
        </is>
      </c>
      <c r="G523" t="inlineStr">
        <is>
          <t>BODEN</t>
        </is>
      </c>
      <c r="I523" t="n">
        <v>5.1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61034-2025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45999</v>
      </c>
      <c r="E524" s="1" t="n">
        <v>46221</v>
      </c>
      <c r="F524" t="inlineStr">
        <is>
          <t>NORRBOTTENS LÄN</t>
        </is>
      </c>
      <c r="G524" t="inlineStr">
        <is>
          <t>BODEN</t>
        </is>
      </c>
      <c r="I524" t="n">
        <v>5.3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61227-2025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46000</v>
      </c>
      <c r="E525" s="1" t="n">
        <v>46221</v>
      </c>
      <c r="F525" t="inlineStr">
        <is>
          <t>NORRBOTTENS LÄN</t>
        </is>
      </c>
      <c r="G525" t="inlineStr">
        <is>
          <t>BODEN</t>
        </is>
      </c>
      <c r="I525" t="n">
        <v>7.2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61384-2025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46001</v>
      </c>
      <c r="E526" s="1" t="n">
        <v>46221</v>
      </c>
      <c r="F526" t="inlineStr">
        <is>
          <t>NORRBOTTENS LÄN</t>
        </is>
      </c>
      <c r="G526" t="inlineStr">
        <is>
          <t>BODEN</t>
        </is>
      </c>
      <c r="I526" t="n">
        <v>17.1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61560-2025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46001</v>
      </c>
      <c r="E527" s="1" t="n">
        <v>46221</v>
      </c>
      <c r="F527" t="inlineStr">
        <is>
          <t>NORRBOTTENS LÄN</t>
        </is>
      </c>
      <c r="G527" t="inlineStr">
        <is>
          <t>BODEN</t>
        </is>
      </c>
      <c r="I527" t="n">
        <v>4.7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38219-2022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44812</v>
      </c>
      <c r="E528" s="1" t="n">
        <v>46221</v>
      </c>
      <c r="F528" t="inlineStr">
        <is>
          <t>NORRBOTTENS LÄN</t>
        </is>
      </c>
      <c r="G528" t="inlineStr">
        <is>
          <t>BODEN</t>
        </is>
      </c>
      <c r="I528" t="n">
        <v>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18002-2025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45761</v>
      </c>
      <c r="E529" s="1" t="n">
        <v>46221</v>
      </c>
      <c r="F529" t="inlineStr">
        <is>
          <t>NORRBOTTENS LÄN</t>
        </is>
      </c>
      <c r="G529" t="inlineStr">
        <is>
          <t>BODEN</t>
        </is>
      </c>
      <c r="H529" t="inlineStr">
        <is>
          <t>Övriga statliga verk och myndigheter</t>
        </is>
      </c>
      <c r="I529" t="n">
        <v>11.5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25387-2023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45079</v>
      </c>
      <c r="E530" s="1" t="n">
        <v>46221</v>
      </c>
      <c r="F530" t="inlineStr">
        <is>
          <t>NORRBOTTENS LÄN</t>
        </is>
      </c>
      <c r="G530" t="inlineStr">
        <is>
          <t>BODEN</t>
        </is>
      </c>
      <c r="I530" t="n">
        <v>6.7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28444-2023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45102</v>
      </c>
      <c r="E531" s="1" t="n">
        <v>46221</v>
      </c>
      <c r="F531" t="inlineStr">
        <is>
          <t>NORRBOTTENS LÄN</t>
        </is>
      </c>
      <c r="G531" t="inlineStr">
        <is>
          <t>BODEN</t>
        </is>
      </c>
      <c r="I531" t="n">
        <v>1.7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48592-2024</t>
        </is>
      </c>
      <c r="B532" t="inlineStr">
        <is>
          <t>avverkningsanmälan</t>
        </is>
      </c>
      <c r="C532" t="inlineStr">
        <is>
          <t>Avverkning för annat ändamål</t>
        </is>
      </c>
      <c r="D532" s="1" t="n">
        <v>45593</v>
      </c>
      <c r="E532" s="1" t="n">
        <v>46221</v>
      </c>
      <c r="F532" t="inlineStr">
        <is>
          <t>NORRBOTTENS LÄN</t>
        </is>
      </c>
      <c r="G532" t="inlineStr">
        <is>
          <t>BODEN</t>
        </is>
      </c>
      <c r="H532" t="inlineStr">
        <is>
          <t>Sveaskog</t>
        </is>
      </c>
      <c r="I532" t="n">
        <v>1.1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61559-2025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46001</v>
      </c>
      <c r="E533" s="1" t="n">
        <v>46221</v>
      </c>
      <c r="F533" t="inlineStr">
        <is>
          <t>NORRBOTTENS LÄN</t>
        </is>
      </c>
      <c r="G533" t="inlineStr">
        <is>
          <t>BODEN</t>
        </is>
      </c>
      <c r="I533" t="n">
        <v>6.7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61959-2025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46003</v>
      </c>
      <c r="E534" s="1" t="n">
        <v>46221</v>
      </c>
      <c r="F534" t="inlineStr">
        <is>
          <t>NORRBOTTENS LÄN</t>
        </is>
      </c>
      <c r="G534" t="inlineStr">
        <is>
          <t>BODEN</t>
        </is>
      </c>
      <c r="I534" t="n">
        <v>2.6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61949-2025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46003</v>
      </c>
      <c r="E535" s="1" t="n">
        <v>46221</v>
      </c>
      <c r="F535" t="inlineStr">
        <is>
          <t>NORRBOTTENS LÄN</t>
        </is>
      </c>
      <c r="G535" t="inlineStr">
        <is>
          <t>BODEN</t>
        </is>
      </c>
      <c r="I535" t="n">
        <v>6.2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14325-2026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46100</v>
      </c>
      <c r="E536" s="1" t="n">
        <v>46221</v>
      </c>
      <c r="F536" t="inlineStr">
        <is>
          <t>NORRBOTTENS LÄN</t>
        </is>
      </c>
      <c r="G536" t="inlineStr">
        <is>
          <t>BODEN</t>
        </is>
      </c>
      <c r="I536" t="n">
        <v>0.8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62687-2025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46008</v>
      </c>
      <c r="E537" s="1" t="n">
        <v>46221</v>
      </c>
      <c r="F537" t="inlineStr">
        <is>
          <t>NORRBOTTENS LÄN</t>
        </is>
      </c>
      <c r="G537" t="inlineStr">
        <is>
          <t>BODEN</t>
        </is>
      </c>
      <c r="I537" t="n">
        <v>10.1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62673-2025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46008</v>
      </c>
      <c r="E538" s="1" t="n">
        <v>46221</v>
      </c>
      <c r="F538" t="inlineStr">
        <is>
          <t>NORRBOTTENS LÄN</t>
        </is>
      </c>
      <c r="G538" t="inlineStr">
        <is>
          <t>BODEN</t>
        </is>
      </c>
      <c r="I538" t="n">
        <v>18.6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63329-2025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46009</v>
      </c>
      <c r="E539" s="1" t="n">
        <v>46221</v>
      </c>
      <c r="F539" t="inlineStr">
        <is>
          <t>NORRBOTTENS LÄN</t>
        </is>
      </c>
      <c r="G539" t="inlineStr">
        <is>
          <t>BODEN</t>
        </is>
      </c>
      <c r="I539" t="n">
        <v>3.3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63333-2025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46009</v>
      </c>
      <c r="E540" s="1" t="n">
        <v>46221</v>
      </c>
      <c r="F540" t="inlineStr">
        <is>
          <t>NORRBOTTENS LÄN</t>
        </is>
      </c>
      <c r="G540" t="inlineStr">
        <is>
          <t>BODEN</t>
        </is>
      </c>
      <c r="I540" t="n">
        <v>1.3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62994-2025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46009</v>
      </c>
      <c r="E541" s="1" t="n">
        <v>46221</v>
      </c>
      <c r="F541" t="inlineStr">
        <is>
          <t>NORRBOTTENS LÄN</t>
        </is>
      </c>
      <c r="G541" t="inlineStr">
        <is>
          <t>BODEN</t>
        </is>
      </c>
      <c r="I541" t="n">
        <v>3.7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60237-2025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45994</v>
      </c>
      <c r="E542" s="1" t="n">
        <v>46221</v>
      </c>
      <c r="F542" t="inlineStr">
        <is>
          <t>NORRBOTTENS LÄN</t>
        </is>
      </c>
      <c r="G542" t="inlineStr">
        <is>
          <t>BODEN</t>
        </is>
      </c>
      <c r="I542" t="n">
        <v>3.4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62992-2025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46009</v>
      </c>
      <c r="E543" s="1" t="n">
        <v>46221</v>
      </c>
      <c r="F543" t="inlineStr">
        <is>
          <t>NORRBOTTENS LÄN</t>
        </is>
      </c>
      <c r="G543" t="inlineStr">
        <is>
          <t>BODEN</t>
        </is>
      </c>
      <c r="I543" t="n">
        <v>5.6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16222-2024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45406</v>
      </c>
      <c r="E544" s="1" t="n">
        <v>46221</v>
      </c>
      <c r="F544" t="inlineStr">
        <is>
          <t>NORRBOTTENS LÄN</t>
        </is>
      </c>
      <c r="G544" t="inlineStr">
        <is>
          <t>BODEN</t>
        </is>
      </c>
      <c r="I544" t="n">
        <v>5.2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63398-2025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46012</v>
      </c>
      <c r="E545" s="1" t="n">
        <v>46221</v>
      </c>
      <c r="F545" t="inlineStr">
        <is>
          <t>NORRBOTTENS LÄN</t>
        </is>
      </c>
      <c r="G545" t="inlineStr">
        <is>
          <t>BODEN</t>
        </is>
      </c>
      <c r="I545" t="n">
        <v>1.6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63399-2025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46012</v>
      </c>
      <c r="E546" s="1" t="n">
        <v>46221</v>
      </c>
      <c r="F546" t="inlineStr">
        <is>
          <t>NORRBOTTENS LÄN</t>
        </is>
      </c>
      <c r="G546" t="inlineStr">
        <is>
          <t>BODEN</t>
        </is>
      </c>
      <c r="I546" t="n">
        <v>2.1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63400-2025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46012</v>
      </c>
      <c r="E547" s="1" t="n">
        <v>46221</v>
      </c>
      <c r="F547" t="inlineStr">
        <is>
          <t>NORRBOTTENS LÄN</t>
        </is>
      </c>
      <c r="G547" t="inlineStr">
        <is>
          <t>BODEN</t>
        </is>
      </c>
      <c r="I547" t="n">
        <v>2.4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42173-2025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45902</v>
      </c>
      <c r="E548" s="1" t="n">
        <v>46221</v>
      </c>
      <c r="F548" t="inlineStr">
        <is>
          <t>NORRBOTTENS LÄN</t>
        </is>
      </c>
      <c r="G548" t="inlineStr">
        <is>
          <t>BODEN</t>
        </is>
      </c>
      <c r="H548" t="inlineStr">
        <is>
          <t>Övriga statliga verk och myndigheter</t>
        </is>
      </c>
      <c r="I548" t="n">
        <v>1.6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58877-2021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44489</v>
      </c>
      <c r="E549" s="1" t="n">
        <v>46221</v>
      </c>
      <c r="F549" t="inlineStr">
        <is>
          <t>NORRBOTTENS LÄN</t>
        </is>
      </c>
      <c r="G549" t="inlineStr">
        <is>
          <t>BODEN</t>
        </is>
      </c>
      <c r="I549" t="n">
        <v>5.9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15342-2026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46105</v>
      </c>
      <c r="E550" s="1" t="n">
        <v>46221</v>
      </c>
      <c r="F550" t="inlineStr">
        <is>
          <t>NORRBOTTENS LÄN</t>
        </is>
      </c>
      <c r="G550" t="inlineStr">
        <is>
          <t>BODEN</t>
        </is>
      </c>
      <c r="I550" t="n">
        <v>3.7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14984-2026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46104</v>
      </c>
      <c r="E551" s="1" t="n">
        <v>46221</v>
      </c>
      <c r="F551" t="inlineStr">
        <is>
          <t>NORRBOTTENS LÄN</t>
        </is>
      </c>
      <c r="G551" t="inlineStr">
        <is>
          <t>BODEN</t>
        </is>
      </c>
      <c r="I551" t="n">
        <v>5.6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63891-2025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46020</v>
      </c>
      <c r="E552" s="1" t="n">
        <v>46221</v>
      </c>
      <c r="F552" t="inlineStr">
        <is>
          <t>NORRBOTTENS LÄN</t>
        </is>
      </c>
      <c r="G552" t="inlineStr">
        <is>
          <t>BODEN</t>
        </is>
      </c>
      <c r="I552" t="n">
        <v>12.5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8752-2026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46066</v>
      </c>
      <c r="E553" s="1" t="n">
        <v>46221</v>
      </c>
      <c r="F553" t="inlineStr">
        <is>
          <t>NORRBOTTENS LÄN</t>
        </is>
      </c>
      <c r="G553" t="inlineStr">
        <is>
          <t>BODEN</t>
        </is>
      </c>
      <c r="I553" t="n">
        <v>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8701-2026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46066</v>
      </c>
      <c r="E554" s="1" t="n">
        <v>46221</v>
      </c>
      <c r="F554" t="inlineStr">
        <is>
          <t>NORRBOTTENS LÄN</t>
        </is>
      </c>
      <c r="G554" t="inlineStr">
        <is>
          <t>BODEN</t>
        </is>
      </c>
      <c r="I554" t="n">
        <v>9.6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61103-2022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44908</v>
      </c>
      <c r="E555" s="1" t="n">
        <v>46221</v>
      </c>
      <c r="F555" t="inlineStr">
        <is>
          <t>NORRBOTTENS LÄN</t>
        </is>
      </c>
      <c r="G555" t="inlineStr">
        <is>
          <t>BODEN</t>
        </is>
      </c>
      <c r="I555" t="n">
        <v>1.4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28359-2023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45099</v>
      </c>
      <c r="E556" s="1" t="n">
        <v>46221</v>
      </c>
      <c r="F556" t="inlineStr">
        <is>
          <t>NORRBOTTENS LÄN</t>
        </is>
      </c>
      <c r="G556" t="inlineStr">
        <is>
          <t>BODEN</t>
        </is>
      </c>
      <c r="I556" t="n">
        <v>7.6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928-2026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46030</v>
      </c>
      <c r="E557" s="1" t="n">
        <v>46221</v>
      </c>
      <c r="F557" t="inlineStr">
        <is>
          <t>NORRBOTTENS LÄN</t>
        </is>
      </c>
      <c r="G557" t="inlineStr">
        <is>
          <t>BODEN</t>
        </is>
      </c>
      <c r="H557" t="inlineStr">
        <is>
          <t>SCA</t>
        </is>
      </c>
      <c r="I557" t="n">
        <v>31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977-2026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46030</v>
      </c>
      <c r="E558" s="1" t="n">
        <v>46221</v>
      </c>
      <c r="F558" t="inlineStr">
        <is>
          <t>NORRBOTTENS LÄN</t>
        </is>
      </c>
      <c r="G558" t="inlineStr">
        <is>
          <t>BODEN</t>
        </is>
      </c>
      <c r="H558" t="inlineStr">
        <is>
          <t>SCA</t>
        </is>
      </c>
      <c r="I558" t="n">
        <v>10.3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664-2026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46029</v>
      </c>
      <c r="E559" s="1" t="n">
        <v>46221</v>
      </c>
      <c r="F559" t="inlineStr">
        <is>
          <t>NORRBOTTENS LÄN</t>
        </is>
      </c>
      <c r="G559" t="inlineStr">
        <is>
          <t>BODEN</t>
        </is>
      </c>
      <c r="I559" t="n">
        <v>1.1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901-2026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46030</v>
      </c>
      <c r="E560" s="1" t="n">
        <v>46221</v>
      </c>
      <c r="F560" t="inlineStr">
        <is>
          <t>NORRBOTTENS LÄN</t>
        </is>
      </c>
      <c r="G560" t="inlineStr">
        <is>
          <t>BODEN</t>
        </is>
      </c>
      <c r="H560" t="inlineStr">
        <is>
          <t>SCA</t>
        </is>
      </c>
      <c r="I560" t="n">
        <v>6.8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9319-2024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45358</v>
      </c>
      <c r="E561" s="1" t="n">
        <v>46221</v>
      </c>
      <c r="F561" t="inlineStr">
        <is>
          <t>NORRBOTTENS LÄN</t>
        </is>
      </c>
      <c r="G561" t="inlineStr">
        <is>
          <t>BODEN</t>
        </is>
      </c>
      <c r="I561" t="n">
        <v>0.6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63841-2025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46020</v>
      </c>
      <c r="E562" s="1" t="n">
        <v>46221</v>
      </c>
      <c r="F562" t="inlineStr">
        <is>
          <t>NORRBOTTENS LÄN</t>
        </is>
      </c>
      <c r="G562" t="inlineStr">
        <is>
          <t>BODEN</t>
        </is>
      </c>
      <c r="I562" t="n">
        <v>10.9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30299-2023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45110</v>
      </c>
      <c r="E563" s="1" t="n">
        <v>46221</v>
      </c>
      <c r="F563" t="inlineStr">
        <is>
          <t>NORRBOTTENS LÄN</t>
        </is>
      </c>
      <c r="G563" t="inlineStr">
        <is>
          <t>BODEN</t>
        </is>
      </c>
      <c r="H563" t="inlineStr">
        <is>
          <t>SCA</t>
        </is>
      </c>
      <c r="I563" t="n">
        <v>5.5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2771-2026</t>
        </is>
      </c>
      <c r="B564" t="inlineStr">
        <is>
          <t>avverkningsanmälan</t>
        </is>
      </c>
      <c r="C564" t="inlineStr">
        <is>
          <t>Avverkning för annat ändamål</t>
        </is>
      </c>
      <c r="D564" s="1" t="n">
        <v>46036</v>
      </c>
      <c r="E564" s="1" t="n">
        <v>46221</v>
      </c>
      <c r="F564" t="inlineStr">
        <is>
          <t>NORRBOTTENS LÄN</t>
        </is>
      </c>
      <c r="G564" t="inlineStr">
        <is>
          <t>BODEN</t>
        </is>
      </c>
      <c r="H564" t="inlineStr">
        <is>
          <t>Kommuner</t>
        </is>
      </c>
      <c r="I564" t="n">
        <v>5.5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39272-2024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45551</v>
      </c>
      <c r="E565" s="1" t="n">
        <v>46221</v>
      </c>
      <c r="F565" t="inlineStr">
        <is>
          <t>NORRBOTTENS LÄN</t>
        </is>
      </c>
      <c r="G565" t="inlineStr">
        <is>
          <t>BODEN</t>
        </is>
      </c>
      <c r="H565" t="inlineStr">
        <is>
          <t>SCA</t>
        </is>
      </c>
      <c r="I565" t="n">
        <v>2.1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37866-2024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45544</v>
      </c>
      <c r="E566" s="1" t="n">
        <v>46221</v>
      </c>
      <c r="F566" t="inlineStr">
        <is>
          <t>NORRBOTTENS LÄN</t>
        </is>
      </c>
      <c r="G566" t="inlineStr">
        <is>
          <t>BODEN</t>
        </is>
      </c>
      <c r="I566" t="n">
        <v>4.5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44553-2024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45574</v>
      </c>
      <c r="E567" s="1" t="n">
        <v>46221</v>
      </c>
      <c r="F567" t="inlineStr">
        <is>
          <t>NORRBOTTENS LÄN</t>
        </is>
      </c>
      <c r="G567" t="inlineStr">
        <is>
          <t>BODEN</t>
        </is>
      </c>
      <c r="H567" t="inlineStr">
        <is>
          <t>SCA</t>
        </is>
      </c>
      <c r="I567" t="n">
        <v>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44567-2024</t>
        </is>
      </c>
      <c r="B568" t="inlineStr">
        <is>
          <t>avverkningsanmälan</t>
        </is>
      </c>
      <c r="C568" t="inlineStr">
        <is>
          <t>Avverkning för annat ändamål</t>
        </is>
      </c>
      <c r="D568" s="1" t="n">
        <v>45574</v>
      </c>
      <c r="E568" s="1" t="n">
        <v>46221</v>
      </c>
      <c r="F568" t="inlineStr">
        <is>
          <t>NORRBOTTENS LÄN</t>
        </is>
      </c>
      <c r="G568" t="inlineStr">
        <is>
          <t>BODEN</t>
        </is>
      </c>
      <c r="H568" t="inlineStr">
        <is>
          <t>SCA</t>
        </is>
      </c>
      <c r="I568" t="n">
        <v>3.1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64649-2023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45281</v>
      </c>
      <c r="E569" s="1" t="n">
        <v>46221</v>
      </c>
      <c r="F569" t="inlineStr">
        <is>
          <t>NORRBOTTENS LÄN</t>
        </is>
      </c>
      <c r="G569" t="inlineStr">
        <is>
          <t>BODEN</t>
        </is>
      </c>
      <c r="H569" t="inlineStr">
        <is>
          <t>Sveaskog</t>
        </is>
      </c>
      <c r="I569" t="n">
        <v>1.6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68611-2021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44529</v>
      </c>
      <c r="E570" s="1" t="n">
        <v>46221</v>
      </c>
      <c r="F570" t="inlineStr">
        <is>
          <t>NORRBOTTENS LÄN</t>
        </is>
      </c>
      <c r="G570" t="inlineStr">
        <is>
          <t>BODEN</t>
        </is>
      </c>
      <c r="I570" t="n">
        <v>1.9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57575-2025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45980</v>
      </c>
      <c r="E571" s="1" t="n">
        <v>46221</v>
      </c>
      <c r="F571" t="inlineStr">
        <is>
          <t>NORRBOTTENS LÄN</t>
        </is>
      </c>
      <c r="G571" t="inlineStr">
        <is>
          <t>BODEN</t>
        </is>
      </c>
      <c r="I571" t="n">
        <v>19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37384-2023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45156</v>
      </c>
      <c r="E572" s="1" t="n">
        <v>46221</v>
      </c>
      <c r="F572" t="inlineStr">
        <is>
          <t>NORRBOTTENS LÄN</t>
        </is>
      </c>
      <c r="G572" t="inlineStr">
        <is>
          <t>BODEN</t>
        </is>
      </c>
      <c r="I572" t="n">
        <v>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17909-2026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46122</v>
      </c>
      <c r="E573" s="1" t="n">
        <v>46221</v>
      </c>
      <c r="F573" t="inlineStr">
        <is>
          <t>NORRBOTTENS LÄN</t>
        </is>
      </c>
      <c r="G573" t="inlineStr">
        <is>
          <t>BODEN</t>
        </is>
      </c>
      <c r="H573" t="inlineStr">
        <is>
          <t>SCA</t>
        </is>
      </c>
      <c r="I573" t="n">
        <v>6.6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17810-2026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46122</v>
      </c>
      <c r="E574" s="1" t="n">
        <v>46221</v>
      </c>
      <c r="F574" t="inlineStr">
        <is>
          <t>NORRBOTTENS LÄN</t>
        </is>
      </c>
      <c r="G574" t="inlineStr">
        <is>
          <t>BODEN</t>
        </is>
      </c>
      <c r="I574" t="n">
        <v>0.6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9596-2023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44983</v>
      </c>
      <c r="E575" s="1" t="n">
        <v>46221</v>
      </c>
      <c r="F575" t="inlineStr">
        <is>
          <t>NORRBOTTENS LÄN</t>
        </is>
      </c>
      <c r="G575" t="inlineStr">
        <is>
          <t>BODEN</t>
        </is>
      </c>
      <c r="I575" t="n">
        <v>37.1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54718-2024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45618</v>
      </c>
      <c r="E576" s="1" t="n">
        <v>46221</v>
      </c>
      <c r="F576" t="inlineStr">
        <is>
          <t>NORRBOTTENS LÄN</t>
        </is>
      </c>
      <c r="G576" t="inlineStr">
        <is>
          <t>BODEN</t>
        </is>
      </c>
      <c r="H576" t="inlineStr">
        <is>
          <t>SCA</t>
        </is>
      </c>
      <c r="I576" t="n">
        <v>1.2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18401-2026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46126</v>
      </c>
      <c r="E577" s="1" t="n">
        <v>46221</v>
      </c>
      <c r="F577" t="inlineStr">
        <is>
          <t>NORRBOTTENS LÄN</t>
        </is>
      </c>
      <c r="G577" t="inlineStr">
        <is>
          <t>BODEN</t>
        </is>
      </c>
      <c r="I577" t="n">
        <v>7.8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51614-2024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45604</v>
      </c>
      <c r="E578" s="1" t="n">
        <v>46221</v>
      </c>
      <c r="F578" t="inlineStr">
        <is>
          <t>NORRBOTTENS LÄN</t>
        </is>
      </c>
      <c r="G578" t="inlineStr">
        <is>
          <t>BODEN</t>
        </is>
      </c>
      <c r="I578" t="n">
        <v>2.2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18221-2026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46126</v>
      </c>
      <c r="E579" s="1" t="n">
        <v>46221</v>
      </c>
      <c r="F579" t="inlineStr">
        <is>
          <t>NORRBOTTENS LÄN</t>
        </is>
      </c>
      <c r="G579" t="inlineStr">
        <is>
          <t>BODEN</t>
        </is>
      </c>
      <c r="I579" t="n">
        <v>3.8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18448-2026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46127</v>
      </c>
      <c r="E580" s="1" t="n">
        <v>46221</v>
      </c>
      <c r="F580" t="inlineStr">
        <is>
          <t>NORRBOTTENS LÄN</t>
        </is>
      </c>
      <c r="G580" t="inlineStr">
        <is>
          <t>BODEN</t>
        </is>
      </c>
      <c r="I580" t="n">
        <v>0.8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19091-2026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46132</v>
      </c>
      <c r="E581" s="1" t="n">
        <v>46221</v>
      </c>
      <c r="F581" t="inlineStr">
        <is>
          <t>NORRBOTTENS LÄN</t>
        </is>
      </c>
      <c r="G581" t="inlineStr">
        <is>
          <t>BODEN</t>
        </is>
      </c>
      <c r="I581" t="n">
        <v>11.7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20041-2025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45772</v>
      </c>
      <c r="E582" s="1" t="n">
        <v>46221</v>
      </c>
      <c r="F582" t="inlineStr">
        <is>
          <t>NORRBOTTENS LÄN</t>
        </is>
      </c>
      <c r="G582" t="inlineStr">
        <is>
          <t>BODEN</t>
        </is>
      </c>
      <c r="I582" t="n">
        <v>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60337-2024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45643</v>
      </c>
      <c r="E583" s="1" t="n">
        <v>46221</v>
      </c>
      <c r="F583" t="inlineStr">
        <is>
          <t>NORRBOTTENS LÄN</t>
        </is>
      </c>
      <c r="G583" t="inlineStr">
        <is>
          <t>BODEN</t>
        </is>
      </c>
      <c r="I583" t="n">
        <v>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19049-2026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46132</v>
      </c>
      <c r="E584" s="1" t="n">
        <v>46221</v>
      </c>
      <c r="F584" t="inlineStr">
        <is>
          <t>NORRBOTTENS LÄN</t>
        </is>
      </c>
      <c r="G584" t="inlineStr">
        <is>
          <t>BODEN</t>
        </is>
      </c>
      <c r="H584" t="inlineStr">
        <is>
          <t>SCA</t>
        </is>
      </c>
      <c r="I584" t="n">
        <v>0.9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19200-2026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46132</v>
      </c>
      <c r="E585" s="1" t="n">
        <v>46221</v>
      </c>
      <c r="F585" t="inlineStr">
        <is>
          <t>NORRBOTTENS LÄN</t>
        </is>
      </c>
      <c r="G585" t="inlineStr">
        <is>
          <t>BODEN</t>
        </is>
      </c>
      <c r="H585" t="inlineStr">
        <is>
          <t>SCA</t>
        </is>
      </c>
      <c r="I585" t="n">
        <v>2.7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67068-2021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44522</v>
      </c>
      <c r="E586" s="1" t="n">
        <v>46221</v>
      </c>
      <c r="F586" t="inlineStr">
        <is>
          <t>NORRBOTTENS LÄN</t>
        </is>
      </c>
      <c r="G586" t="inlineStr">
        <is>
          <t>BODEN</t>
        </is>
      </c>
      <c r="I586" t="n">
        <v>5.1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48472-2024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45591</v>
      </c>
      <c r="E587" s="1" t="n">
        <v>46221</v>
      </c>
      <c r="F587" t="inlineStr">
        <is>
          <t>NORRBOTTENS LÄN</t>
        </is>
      </c>
      <c r="G587" t="inlineStr">
        <is>
          <t>BODEN</t>
        </is>
      </c>
      <c r="H587" t="inlineStr">
        <is>
          <t>SCA</t>
        </is>
      </c>
      <c r="I587" t="n">
        <v>7.7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8120-2022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44609</v>
      </c>
      <c r="E588" s="1" t="n">
        <v>46221</v>
      </c>
      <c r="F588" t="inlineStr">
        <is>
          <t>NORRBOTTENS LÄN</t>
        </is>
      </c>
      <c r="G588" t="inlineStr">
        <is>
          <t>BODEN</t>
        </is>
      </c>
      <c r="I588" t="n">
        <v>1.7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19050-2026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46132</v>
      </c>
      <c r="E589" s="1" t="n">
        <v>46221</v>
      </c>
      <c r="F589" t="inlineStr">
        <is>
          <t>NORRBOTTENS LÄN</t>
        </is>
      </c>
      <c r="G589" t="inlineStr">
        <is>
          <t>BODEN</t>
        </is>
      </c>
      <c r="H589" t="inlineStr">
        <is>
          <t>SCA</t>
        </is>
      </c>
      <c r="I589" t="n">
        <v>0.3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38371-2023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45161</v>
      </c>
      <c r="E590" s="1" t="n">
        <v>46221</v>
      </c>
      <c r="F590" t="inlineStr">
        <is>
          <t>NORRBOTTENS LÄN</t>
        </is>
      </c>
      <c r="G590" t="inlineStr">
        <is>
          <t>BODEN</t>
        </is>
      </c>
      <c r="H590" t="inlineStr">
        <is>
          <t>SCA</t>
        </is>
      </c>
      <c r="I590" t="n">
        <v>0.7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38372-2023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45161</v>
      </c>
      <c r="E591" s="1" t="n">
        <v>46221</v>
      </c>
      <c r="F591" t="inlineStr">
        <is>
          <t>NORRBOTTENS LÄN</t>
        </is>
      </c>
      <c r="G591" t="inlineStr">
        <is>
          <t>BODEN</t>
        </is>
      </c>
      <c r="H591" t="inlineStr">
        <is>
          <t>SCA</t>
        </is>
      </c>
      <c r="I591" t="n">
        <v>7.9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17839-2025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45758</v>
      </c>
      <c r="E592" s="1" t="n">
        <v>46221</v>
      </c>
      <c r="F592" t="inlineStr">
        <is>
          <t>NORRBOTTENS LÄN</t>
        </is>
      </c>
      <c r="G592" t="inlineStr">
        <is>
          <t>BODEN</t>
        </is>
      </c>
      <c r="I592" t="n">
        <v>0.9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34760-2022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44795</v>
      </c>
      <c r="E593" s="1" t="n">
        <v>46221</v>
      </c>
      <c r="F593" t="inlineStr">
        <is>
          <t>NORRBOTTENS LÄN</t>
        </is>
      </c>
      <c r="G593" t="inlineStr">
        <is>
          <t>BODEN</t>
        </is>
      </c>
      <c r="I593" t="n">
        <v>4.9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50327-2023</t>
        </is>
      </c>
      <c r="B594" t="inlineStr">
        <is>
          <t>avverkningsanmälan</t>
        </is>
      </c>
      <c r="C594" t="inlineStr">
        <is>
          <t>Avverkning för annat ändamål</t>
        </is>
      </c>
      <c r="D594" s="1" t="n">
        <v>45216</v>
      </c>
      <c r="E594" s="1" t="n">
        <v>46221</v>
      </c>
      <c r="F594" t="inlineStr">
        <is>
          <t>NORRBOTTENS LÄN</t>
        </is>
      </c>
      <c r="G594" t="inlineStr">
        <is>
          <t>BODEN</t>
        </is>
      </c>
      <c r="H594" t="inlineStr">
        <is>
          <t>Sveaskog</t>
        </is>
      </c>
      <c r="I594" t="n">
        <v>4.3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49730-2024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45596</v>
      </c>
      <c r="E595" s="1" t="n">
        <v>46221</v>
      </c>
      <c r="F595" t="inlineStr">
        <is>
          <t>NORRBOTTENS LÄN</t>
        </is>
      </c>
      <c r="G595" t="inlineStr">
        <is>
          <t>BODEN</t>
        </is>
      </c>
      <c r="I595" t="n">
        <v>5.6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50103-2024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45600</v>
      </c>
      <c r="E596" s="1" t="n">
        <v>46221</v>
      </c>
      <c r="F596" t="inlineStr">
        <is>
          <t>NORRBOTTENS LÄN</t>
        </is>
      </c>
      <c r="G596" t="inlineStr">
        <is>
          <t>BODEN</t>
        </is>
      </c>
      <c r="I596" t="n">
        <v>0.9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50107-2024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45600</v>
      </c>
      <c r="E597" s="1" t="n">
        <v>46221</v>
      </c>
      <c r="F597" t="inlineStr">
        <is>
          <t>NORRBOTTENS LÄN</t>
        </is>
      </c>
      <c r="G597" t="inlineStr">
        <is>
          <t>BODEN</t>
        </is>
      </c>
      <c r="I597" t="n">
        <v>0.9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706-2022</t>
        </is>
      </c>
      <c r="B598" t="inlineStr">
        <is>
          <t>avverkningsanmälan</t>
        </is>
      </c>
      <c r="C598" t="inlineStr">
        <is>
          <t>Avverkning för att bevara och utveckla /försöksver</t>
        </is>
      </c>
      <c r="D598" s="1" t="n">
        <v>44566</v>
      </c>
      <c r="E598" s="1" t="n">
        <v>46221</v>
      </c>
      <c r="F598" t="inlineStr">
        <is>
          <t>NORRBOTTENS LÄN</t>
        </is>
      </c>
      <c r="G598" t="inlineStr">
        <is>
          <t>BODEN</t>
        </is>
      </c>
      <c r="I598" t="n">
        <v>12.4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62589-2025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46007</v>
      </c>
      <c r="E599" s="1" t="n">
        <v>46221</v>
      </c>
      <c r="F599" t="inlineStr">
        <is>
          <t>NORRBOTTENS LÄN</t>
        </is>
      </c>
      <c r="G599" t="inlineStr">
        <is>
          <t>BODEN</t>
        </is>
      </c>
      <c r="I599" t="n">
        <v>0.9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28758-2024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45478</v>
      </c>
      <c r="E600" s="1" t="n">
        <v>46221</v>
      </c>
      <c r="F600" t="inlineStr">
        <is>
          <t>NORRBOTTENS LÄN</t>
        </is>
      </c>
      <c r="G600" t="inlineStr">
        <is>
          <t>BODEN</t>
        </is>
      </c>
      <c r="I600" t="n">
        <v>7.5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57600-2021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44484</v>
      </c>
      <c r="E601" s="1" t="n">
        <v>46221</v>
      </c>
      <c r="F601" t="inlineStr">
        <is>
          <t>NORRBOTTENS LÄN</t>
        </is>
      </c>
      <c r="G601" t="inlineStr">
        <is>
          <t>BODEN</t>
        </is>
      </c>
      <c r="I601" t="n">
        <v>5.3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16965-2024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45411</v>
      </c>
      <c r="E602" s="1" t="n">
        <v>46221</v>
      </c>
      <c r="F602" t="inlineStr">
        <is>
          <t>NORRBOTTENS LÄN</t>
        </is>
      </c>
      <c r="G602" t="inlineStr">
        <is>
          <t>BODEN</t>
        </is>
      </c>
      <c r="I602" t="n">
        <v>2.3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10240-2026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46076</v>
      </c>
      <c r="E603" s="1" t="n">
        <v>46221</v>
      </c>
      <c r="F603" t="inlineStr">
        <is>
          <t>NORRBOTTENS LÄN</t>
        </is>
      </c>
      <c r="G603" t="inlineStr">
        <is>
          <t>BODEN</t>
        </is>
      </c>
      <c r="I603" t="n">
        <v>2.3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48459-2025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45935</v>
      </c>
      <c r="E604" s="1" t="n">
        <v>46221</v>
      </c>
      <c r="F604" t="inlineStr">
        <is>
          <t>NORRBOTTENS LÄN</t>
        </is>
      </c>
      <c r="G604" t="inlineStr">
        <is>
          <t>BODEN</t>
        </is>
      </c>
      <c r="I604" t="n">
        <v>3.4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2426-2024</t>
        </is>
      </c>
      <c r="B605" t="inlineStr">
        <is>
          <t>avverkningsanmälan</t>
        </is>
      </c>
      <c r="C605" t="inlineStr">
        <is>
          <t>Avverkning för att bevara och utveckla /försöksver</t>
        </is>
      </c>
      <c r="D605" s="1" t="n">
        <v>45310</v>
      </c>
      <c r="E605" s="1" t="n">
        <v>46221</v>
      </c>
      <c r="F605" t="inlineStr">
        <is>
          <t>NORRBOTTENS LÄN</t>
        </is>
      </c>
      <c r="G605" t="inlineStr">
        <is>
          <t>BODEN</t>
        </is>
      </c>
      <c r="H605" t="inlineStr">
        <is>
          <t>SCA</t>
        </is>
      </c>
      <c r="I605" t="n">
        <v>3.3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26122-2026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46181</v>
      </c>
      <c r="E606" s="1" t="n">
        <v>46221</v>
      </c>
      <c r="F606" t="inlineStr">
        <is>
          <t>NORRBOTTENS LÄN</t>
        </is>
      </c>
      <c r="G606" t="inlineStr">
        <is>
          <t>BODEN</t>
        </is>
      </c>
      <c r="H606" t="inlineStr">
        <is>
          <t>SCA</t>
        </is>
      </c>
      <c r="I606" t="n">
        <v>1.4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47024-2024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45586</v>
      </c>
      <c r="E607" s="1" t="n">
        <v>46221</v>
      </c>
      <c r="F607" t="inlineStr">
        <is>
          <t>NORRBOTTENS LÄN</t>
        </is>
      </c>
      <c r="G607" t="inlineStr">
        <is>
          <t>BODEN</t>
        </is>
      </c>
      <c r="H607" t="inlineStr">
        <is>
          <t>Sveaskog</t>
        </is>
      </c>
      <c r="I607" t="n">
        <v>12.8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11092-2022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44628</v>
      </c>
      <c r="E608" s="1" t="n">
        <v>46221</v>
      </c>
      <c r="F608" t="inlineStr">
        <is>
          <t>NORRBOTTENS LÄN</t>
        </is>
      </c>
      <c r="G608" t="inlineStr">
        <is>
          <t>BODEN</t>
        </is>
      </c>
      <c r="I608" t="n">
        <v>4.8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41957-2024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45561</v>
      </c>
      <c r="E609" s="1" t="n">
        <v>46221</v>
      </c>
      <c r="F609" t="inlineStr">
        <is>
          <t>NORRBOTTENS LÄN</t>
        </is>
      </c>
      <c r="G609" t="inlineStr">
        <is>
          <t>BODEN</t>
        </is>
      </c>
      <c r="I609" t="n">
        <v>0.8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32347-2024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45512</v>
      </c>
      <c r="E610" s="1" t="n">
        <v>46221</v>
      </c>
      <c r="F610" t="inlineStr">
        <is>
          <t>NORRBOTTENS LÄN</t>
        </is>
      </c>
      <c r="G610" t="inlineStr">
        <is>
          <t>BODEN</t>
        </is>
      </c>
      <c r="I610" t="n">
        <v>0.3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20069-2026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46136</v>
      </c>
      <c r="E611" s="1" t="n">
        <v>46221</v>
      </c>
      <c r="F611" t="inlineStr">
        <is>
          <t>NORRBOTTENS LÄN</t>
        </is>
      </c>
      <c r="G611" t="inlineStr">
        <is>
          <t>BODEN</t>
        </is>
      </c>
      <c r="H611" t="inlineStr">
        <is>
          <t>SCA</t>
        </is>
      </c>
      <c r="I611" t="n">
        <v>4.2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50561-2025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45944</v>
      </c>
      <c r="E612" s="1" t="n">
        <v>46221</v>
      </c>
      <c r="F612" t="inlineStr">
        <is>
          <t>NORRBOTTENS LÄN</t>
        </is>
      </c>
      <c r="G612" t="inlineStr">
        <is>
          <t>BODEN</t>
        </is>
      </c>
      <c r="I612" t="n">
        <v>2.2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31195-2025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45832</v>
      </c>
      <c r="E613" s="1" t="n">
        <v>46221</v>
      </c>
      <c r="F613" t="inlineStr">
        <is>
          <t>NORRBOTTENS LÄN</t>
        </is>
      </c>
      <c r="G613" t="inlineStr">
        <is>
          <t>BODEN</t>
        </is>
      </c>
      <c r="I613" t="n">
        <v>8.9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61988-2025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46003</v>
      </c>
      <c r="E614" s="1" t="n">
        <v>46221</v>
      </c>
      <c r="F614" t="inlineStr">
        <is>
          <t>NORRBOTTENS LÄN</t>
        </is>
      </c>
      <c r="G614" t="inlineStr">
        <is>
          <t>BODEN</t>
        </is>
      </c>
      <c r="H614" t="inlineStr">
        <is>
          <t>SCA</t>
        </is>
      </c>
      <c r="I614" t="n">
        <v>2.3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26056-2026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46181</v>
      </c>
      <c r="E615" s="1" t="n">
        <v>46221</v>
      </c>
      <c r="F615" t="inlineStr">
        <is>
          <t>NORRBOTTENS LÄN</t>
        </is>
      </c>
      <c r="G615" t="inlineStr">
        <is>
          <t>BODEN</t>
        </is>
      </c>
      <c r="H615" t="inlineStr">
        <is>
          <t>Sveaskog</t>
        </is>
      </c>
      <c r="I615" t="n">
        <v>4.7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48950-2022</t>
        </is>
      </c>
      <c r="B616" t="inlineStr">
        <is>
          <t>avverkningsanmälan</t>
        </is>
      </c>
      <c r="C616" t="inlineStr">
        <is>
          <t>Avverkning för att bevara och utveckla /försöksver</t>
        </is>
      </c>
      <c r="D616" s="1" t="n">
        <v>44859</v>
      </c>
      <c r="E616" s="1" t="n">
        <v>46221</v>
      </c>
      <c r="F616" t="inlineStr">
        <is>
          <t>NORRBOTTENS LÄN</t>
        </is>
      </c>
      <c r="G616" t="inlineStr">
        <is>
          <t>BODEN</t>
        </is>
      </c>
      <c r="H616" t="inlineStr">
        <is>
          <t>SCA</t>
        </is>
      </c>
      <c r="I616" t="n">
        <v>2.4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49859-2023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45212</v>
      </c>
      <c r="E617" s="1" t="n">
        <v>46221</v>
      </c>
      <c r="F617" t="inlineStr">
        <is>
          <t>NORRBOTTENS LÄN</t>
        </is>
      </c>
      <c r="G617" t="inlineStr">
        <is>
          <t>BODEN</t>
        </is>
      </c>
      <c r="H617" t="inlineStr">
        <is>
          <t>SCA</t>
        </is>
      </c>
      <c r="I617" t="n">
        <v>3.8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4630-2025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45687</v>
      </c>
      <c r="E618" s="1" t="n">
        <v>46221</v>
      </c>
      <c r="F618" t="inlineStr">
        <is>
          <t>NORRBOTTENS LÄN</t>
        </is>
      </c>
      <c r="G618" t="inlineStr">
        <is>
          <t>BODEN</t>
        </is>
      </c>
      <c r="I618" t="n">
        <v>2.4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41487-2024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45560</v>
      </c>
      <c r="E619" s="1" t="n">
        <v>46221</v>
      </c>
      <c r="F619" t="inlineStr">
        <is>
          <t>NORRBOTTENS LÄN</t>
        </is>
      </c>
      <c r="G619" t="inlineStr">
        <is>
          <t>BODEN</t>
        </is>
      </c>
      <c r="H619" t="inlineStr">
        <is>
          <t>SCA</t>
        </is>
      </c>
      <c r="I619" t="n">
        <v>0.7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19590-2025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45770</v>
      </c>
      <c r="E620" s="1" t="n">
        <v>46221</v>
      </c>
      <c r="F620" t="inlineStr">
        <is>
          <t>NORRBOTTENS LÄN</t>
        </is>
      </c>
      <c r="G620" t="inlineStr">
        <is>
          <t>BODEN</t>
        </is>
      </c>
      <c r="I620" t="n">
        <v>2.1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26182-2026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46182</v>
      </c>
      <c r="E621" s="1" t="n">
        <v>46221</v>
      </c>
      <c r="F621" t="inlineStr">
        <is>
          <t>NORRBOTTENS LÄN</t>
        </is>
      </c>
      <c r="G621" t="inlineStr">
        <is>
          <t>BODEN</t>
        </is>
      </c>
      <c r="H621" t="inlineStr">
        <is>
          <t>SCA</t>
        </is>
      </c>
      <c r="I621" t="n">
        <v>8.5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32775-2025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45839</v>
      </c>
      <c r="E622" s="1" t="n">
        <v>46221</v>
      </c>
      <c r="F622" t="inlineStr">
        <is>
          <t>NORRBOTTENS LÄN</t>
        </is>
      </c>
      <c r="G622" t="inlineStr">
        <is>
          <t>BODEN</t>
        </is>
      </c>
      <c r="I622" t="n">
        <v>13.6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35755-2025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45860</v>
      </c>
      <c r="E623" s="1" t="n">
        <v>46221</v>
      </c>
      <c r="F623" t="inlineStr">
        <is>
          <t>NORRBOTTENS LÄN</t>
        </is>
      </c>
      <c r="G623" t="inlineStr">
        <is>
          <t>BODEN</t>
        </is>
      </c>
      <c r="H623" t="inlineStr">
        <is>
          <t>SCA</t>
        </is>
      </c>
      <c r="I623" t="n">
        <v>3.4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28248-2025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45818</v>
      </c>
      <c r="E624" s="1" t="n">
        <v>46221</v>
      </c>
      <c r="F624" t="inlineStr">
        <is>
          <t>NORRBOTTENS LÄN</t>
        </is>
      </c>
      <c r="G624" t="inlineStr">
        <is>
          <t>BODEN</t>
        </is>
      </c>
      <c r="I624" t="n">
        <v>1.3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60776-2025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45999</v>
      </c>
      <c r="E625" s="1" t="n">
        <v>46221</v>
      </c>
      <c r="F625" t="inlineStr">
        <is>
          <t>NORRBOTTENS LÄN</t>
        </is>
      </c>
      <c r="G625" t="inlineStr">
        <is>
          <t>BODEN</t>
        </is>
      </c>
      <c r="I625" t="n">
        <v>9.6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736-2026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46029</v>
      </c>
      <c r="E626" s="1" t="n">
        <v>46221</v>
      </c>
      <c r="F626" t="inlineStr">
        <is>
          <t>NORRBOTTENS LÄN</t>
        </is>
      </c>
      <c r="G626" t="inlineStr">
        <is>
          <t>BODEN</t>
        </is>
      </c>
      <c r="I626" t="n">
        <v>2.8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61214-2024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45645</v>
      </c>
      <c r="E627" s="1" t="n">
        <v>46221</v>
      </c>
      <c r="F627" t="inlineStr">
        <is>
          <t>NORRBOTTENS LÄN</t>
        </is>
      </c>
      <c r="G627" t="inlineStr">
        <is>
          <t>BODEN</t>
        </is>
      </c>
      <c r="H627" t="inlineStr">
        <is>
          <t>Sveaskog</t>
        </is>
      </c>
      <c r="I627" t="n">
        <v>1.1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31456-2024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45505</v>
      </c>
      <c r="E628" s="1" t="n">
        <v>46221</v>
      </c>
      <c r="F628" t="inlineStr">
        <is>
          <t>NORRBOTTENS LÄN</t>
        </is>
      </c>
      <c r="G628" t="inlineStr">
        <is>
          <t>BODEN</t>
        </is>
      </c>
      <c r="H628" t="inlineStr">
        <is>
          <t>SCA</t>
        </is>
      </c>
      <c r="I628" t="n">
        <v>0.4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672-2026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46029</v>
      </c>
      <c r="E629" s="1" t="n">
        <v>46221</v>
      </c>
      <c r="F629" t="inlineStr">
        <is>
          <t>NORRBOTTENS LÄN</t>
        </is>
      </c>
      <c r="G629" t="inlineStr">
        <is>
          <t>BODEN</t>
        </is>
      </c>
      <c r="I629" t="n">
        <v>1.9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16700-2024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45408</v>
      </c>
      <c r="E630" s="1" t="n">
        <v>46221</v>
      </c>
      <c r="F630" t="inlineStr">
        <is>
          <t>NORRBOTTENS LÄN</t>
        </is>
      </c>
      <c r="G630" t="inlineStr">
        <is>
          <t>BODEN</t>
        </is>
      </c>
      <c r="I630" t="n">
        <v>1.3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62017-2025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46003</v>
      </c>
      <c r="E631" s="1" t="n">
        <v>46221</v>
      </c>
      <c r="F631" t="inlineStr">
        <is>
          <t>NORRBOTTENS LÄN</t>
        </is>
      </c>
      <c r="G631" t="inlineStr">
        <is>
          <t>BODEN</t>
        </is>
      </c>
      <c r="I631" t="n">
        <v>2.2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10254-2026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46076</v>
      </c>
      <c r="E632" s="1" t="n">
        <v>46221</v>
      </c>
      <c r="F632" t="inlineStr">
        <is>
          <t>NORRBOTTENS LÄN</t>
        </is>
      </c>
      <c r="G632" t="inlineStr">
        <is>
          <t>BODEN</t>
        </is>
      </c>
      <c r="I632" t="n">
        <v>1.8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24744-2024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45460</v>
      </c>
      <c r="E633" s="1" t="n">
        <v>46221</v>
      </c>
      <c r="F633" t="inlineStr">
        <is>
          <t>NORRBOTTENS LÄN</t>
        </is>
      </c>
      <c r="G633" t="inlineStr">
        <is>
          <t>BODEN</t>
        </is>
      </c>
      <c r="H633" t="inlineStr">
        <is>
          <t>Övriga Aktiebolag</t>
        </is>
      </c>
      <c r="I633" t="n">
        <v>1.4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24498-2026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46170</v>
      </c>
      <c r="E634" s="1" t="n">
        <v>46221</v>
      </c>
      <c r="F634" t="inlineStr">
        <is>
          <t>NORRBOTTENS LÄN</t>
        </is>
      </c>
      <c r="G634" t="inlineStr">
        <is>
          <t>BODEN</t>
        </is>
      </c>
      <c r="H634" t="inlineStr">
        <is>
          <t>SCA</t>
        </is>
      </c>
      <c r="I634" t="n">
        <v>4.7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40781-2021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44421</v>
      </c>
      <c r="E635" s="1" t="n">
        <v>46221</v>
      </c>
      <c r="F635" t="inlineStr">
        <is>
          <t>NORRBOTTENS LÄN</t>
        </is>
      </c>
      <c r="G635" t="inlineStr">
        <is>
          <t>BODEN</t>
        </is>
      </c>
      <c r="H635" t="inlineStr">
        <is>
          <t>Sveaskog</t>
        </is>
      </c>
      <c r="I635" t="n">
        <v>1.3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55317-2023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45237</v>
      </c>
      <c r="E636" s="1" t="n">
        <v>46221</v>
      </c>
      <c r="F636" t="inlineStr">
        <is>
          <t>NORRBOTTENS LÄN</t>
        </is>
      </c>
      <c r="G636" t="inlineStr">
        <is>
          <t>BODEN</t>
        </is>
      </c>
      <c r="I636" t="n">
        <v>2.3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26375-2026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46183</v>
      </c>
      <c r="E637" s="1" t="n">
        <v>46221</v>
      </c>
      <c r="F637" t="inlineStr">
        <is>
          <t>NORRBOTTENS LÄN</t>
        </is>
      </c>
      <c r="G637" t="inlineStr">
        <is>
          <t>BODEN</t>
        </is>
      </c>
      <c r="I637" t="n">
        <v>18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26776-2026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46184</v>
      </c>
      <c r="E638" s="1" t="n">
        <v>46221</v>
      </c>
      <c r="F638" t="inlineStr">
        <is>
          <t>NORRBOTTENS LÄN</t>
        </is>
      </c>
      <c r="G638" t="inlineStr">
        <is>
          <t>BODEN</t>
        </is>
      </c>
      <c r="H638" t="inlineStr">
        <is>
          <t>Sveaskog</t>
        </is>
      </c>
      <c r="I638" t="n">
        <v>5.7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  <c r="X638">
        <f>HYPERLINK("https://klasma.github.io/Logging_2582/knärot/A 26776-2026 karta knärot.png", "A 26776-2026")</f>
        <v/>
      </c>
      <c r="Y638">
        <f>HYPERLINK("https://klasma.github.io/Logging_2582/klagomål/A 26776-2026 FSC-klagomål.docx", "A 26776-2026")</f>
        <v/>
      </c>
      <c r="Z638">
        <f>HYPERLINK("https://klasma.github.io/Logging_2582/klagomålsmail/A 26776-2026 FSC-klagomål mail.docx", "A 26776-2026")</f>
        <v/>
      </c>
      <c r="AA638">
        <f>HYPERLINK("https://klasma.github.io/Logging_2582/tillsyn/A 26776-2026 tillsynsbegäran.docx", "A 26776-2026")</f>
        <v/>
      </c>
      <c r="AB638">
        <f>HYPERLINK("https://klasma.github.io/Logging_2582/tillsynsmail/A 26776-2026 tillsynsbegäran mail.docx", "A 26776-2026")</f>
        <v/>
      </c>
    </row>
    <row r="639" ht="15" customHeight="1">
      <c r="A639" t="inlineStr">
        <is>
          <t>A 49162-2023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45210</v>
      </c>
      <c r="E639" s="1" t="n">
        <v>46221</v>
      </c>
      <c r="F639" t="inlineStr">
        <is>
          <t>NORRBOTTENS LÄN</t>
        </is>
      </c>
      <c r="G639" t="inlineStr">
        <is>
          <t>BODEN</t>
        </is>
      </c>
      <c r="H639" t="inlineStr">
        <is>
          <t>Sveaskog</t>
        </is>
      </c>
      <c r="I639" t="n">
        <v>2.2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26448-2026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46183</v>
      </c>
      <c r="E640" s="1" t="n">
        <v>46221</v>
      </c>
      <c r="F640" t="inlineStr">
        <is>
          <t>NORRBOTTENS LÄN</t>
        </is>
      </c>
      <c r="G640" t="inlineStr">
        <is>
          <t>BODEN</t>
        </is>
      </c>
      <c r="I640" t="n">
        <v>7.7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45448-2023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45194</v>
      </c>
      <c r="E641" s="1" t="n">
        <v>46221</v>
      </c>
      <c r="F641" t="inlineStr">
        <is>
          <t>NORRBOTTENS LÄN</t>
        </is>
      </c>
      <c r="G641" t="inlineStr">
        <is>
          <t>BODEN</t>
        </is>
      </c>
      <c r="H641" t="inlineStr">
        <is>
          <t>Sveaskog</t>
        </is>
      </c>
      <c r="I641" t="n">
        <v>2.5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26494-2026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46183</v>
      </c>
      <c r="E642" s="1" t="n">
        <v>46221</v>
      </c>
      <c r="F642" t="inlineStr">
        <is>
          <t>NORRBOTTENS LÄN</t>
        </is>
      </c>
      <c r="G642" t="inlineStr">
        <is>
          <t>BODEN</t>
        </is>
      </c>
      <c r="H642" t="inlineStr">
        <is>
          <t>SCA</t>
        </is>
      </c>
      <c r="I642" t="n">
        <v>5.5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26386-2026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46183</v>
      </c>
      <c r="E643" s="1" t="n">
        <v>46221</v>
      </c>
      <c r="F643" t="inlineStr">
        <is>
          <t>NORRBOTTENS LÄN</t>
        </is>
      </c>
      <c r="G643" t="inlineStr">
        <is>
          <t>BODEN</t>
        </is>
      </c>
      <c r="H643" t="inlineStr">
        <is>
          <t>SCA</t>
        </is>
      </c>
      <c r="I643" t="n">
        <v>2.3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38874-2023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45161</v>
      </c>
      <c r="E644" s="1" t="n">
        <v>46221</v>
      </c>
      <c r="F644" t="inlineStr">
        <is>
          <t>NORRBOTTENS LÄN</t>
        </is>
      </c>
      <c r="G644" t="inlineStr">
        <is>
          <t>BODEN</t>
        </is>
      </c>
      <c r="I644" t="n">
        <v>15.5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26662-2026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46184</v>
      </c>
      <c r="E645" s="1" t="n">
        <v>46221</v>
      </c>
      <c r="F645" t="inlineStr">
        <is>
          <t>NORRBOTTENS LÄN</t>
        </is>
      </c>
      <c r="G645" t="inlineStr">
        <is>
          <t>BODEN</t>
        </is>
      </c>
      <c r="H645" t="inlineStr">
        <is>
          <t>Sveaskog</t>
        </is>
      </c>
      <c r="I645" t="n">
        <v>42.2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32754-2022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44783</v>
      </c>
      <c r="E646" s="1" t="n">
        <v>46221</v>
      </c>
      <c r="F646" t="inlineStr">
        <is>
          <t>NORRBOTTENS LÄN</t>
        </is>
      </c>
      <c r="G646" t="inlineStr">
        <is>
          <t>BODEN</t>
        </is>
      </c>
      <c r="I646" t="n">
        <v>0.9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47097-2023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45201</v>
      </c>
      <c r="E647" s="1" t="n">
        <v>46221</v>
      </c>
      <c r="F647" t="inlineStr">
        <is>
          <t>NORRBOTTENS LÄN</t>
        </is>
      </c>
      <c r="G647" t="inlineStr">
        <is>
          <t>BODEN</t>
        </is>
      </c>
      <c r="I647" t="n">
        <v>5.5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11634-2026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46084</v>
      </c>
      <c r="E648" s="1" t="n">
        <v>46221</v>
      </c>
      <c r="F648" t="inlineStr">
        <is>
          <t>NORRBOTTENS LÄN</t>
        </is>
      </c>
      <c r="G648" t="inlineStr">
        <is>
          <t>BODEN</t>
        </is>
      </c>
      <c r="I648" t="n">
        <v>0.6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26714-2026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46184</v>
      </c>
      <c r="E649" s="1" t="n">
        <v>46221</v>
      </c>
      <c r="F649" t="inlineStr">
        <is>
          <t>NORRBOTTENS LÄN</t>
        </is>
      </c>
      <c r="G649" t="inlineStr">
        <is>
          <t>BODEN</t>
        </is>
      </c>
      <c r="H649" t="inlineStr">
        <is>
          <t>Sveaskog</t>
        </is>
      </c>
      <c r="I649" t="n">
        <v>7.2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11865-2025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45728</v>
      </c>
      <c r="E650" s="1" t="n">
        <v>46221</v>
      </c>
      <c r="F650" t="inlineStr">
        <is>
          <t>NORRBOTTENS LÄN</t>
        </is>
      </c>
      <c r="G650" t="inlineStr">
        <is>
          <t>BODEN</t>
        </is>
      </c>
      <c r="H650" t="inlineStr">
        <is>
          <t>Övriga Aktiebolag</t>
        </is>
      </c>
      <c r="I650" t="n">
        <v>10.6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40115-2025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45893</v>
      </c>
      <c r="E651" s="1" t="n">
        <v>46221</v>
      </c>
      <c r="F651" t="inlineStr">
        <is>
          <t>NORRBOTTENS LÄN</t>
        </is>
      </c>
      <c r="G651" t="inlineStr">
        <is>
          <t>BODEN</t>
        </is>
      </c>
      <c r="H651" t="inlineStr">
        <is>
          <t>Övriga statliga verk och myndigheter</t>
        </is>
      </c>
      <c r="I651" t="n">
        <v>5.1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57579-2023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45246</v>
      </c>
      <c r="E652" s="1" t="n">
        <v>46221</v>
      </c>
      <c r="F652" t="inlineStr">
        <is>
          <t>NORRBOTTENS LÄN</t>
        </is>
      </c>
      <c r="G652" t="inlineStr">
        <is>
          <t>BODEN</t>
        </is>
      </c>
      <c r="I652" t="n">
        <v>3.5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18428-2025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45762</v>
      </c>
      <c r="E653" s="1" t="n">
        <v>46221</v>
      </c>
      <c r="F653" t="inlineStr">
        <is>
          <t>NORRBOTTENS LÄN</t>
        </is>
      </c>
      <c r="G653" t="inlineStr">
        <is>
          <t>BODEN</t>
        </is>
      </c>
      <c r="I653" t="n">
        <v>5.8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39463-2023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45166</v>
      </c>
      <c r="E654" s="1" t="n">
        <v>46221</v>
      </c>
      <c r="F654" t="inlineStr">
        <is>
          <t>NORRBOTTENS LÄN</t>
        </is>
      </c>
      <c r="G654" t="inlineStr">
        <is>
          <t>BODEN</t>
        </is>
      </c>
      <c r="H654" t="inlineStr">
        <is>
          <t>Sveaskog</t>
        </is>
      </c>
      <c r="I654" t="n">
        <v>2.7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9940-2025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45718</v>
      </c>
      <c r="E655" s="1" t="n">
        <v>46221</v>
      </c>
      <c r="F655" t="inlineStr">
        <is>
          <t>NORRBOTTENS LÄN</t>
        </is>
      </c>
      <c r="G655" t="inlineStr">
        <is>
          <t>BODEN</t>
        </is>
      </c>
      <c r="I655" t="n">
        <v>6.3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57968-2023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45247</v>
      </c>
      <c r="E656" s="1" t="n">
        <v>46221</v>
      </c>
      <c r="F656" t="inlineStr">
        <is>
          <t>NORRBOTTENS LÄN</t>
        </is>
      </c>
      <c r="G656" t="inlineStr">
        <is>
          <t>BODEN</t>
        </is>
      </c>
      <c r="I656" t="n">
        <v>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2682-2024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45314</v>
      </c>
      <c r="E657" s="1" t="n">
        <v>46221</v>
      </c>
      <c r="F657" t="inlineStr">
        <is>
          <t>NORRBOTTENS LÄN</t>
        </is>
      </c>
      <c r="G657" t="inlineStr">
        <is>
          <t>BODEN</t>
        </is>
      </c>
      <c r="I657" t="n">
        <v>17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59688-2023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45256</v>
      </c>
      <c r="E658" s="1" t="n">
        <v>46221</v>
      </c>
      <c r="F658" t="inlineStr">
        <is>
          <t>NORRBOTTENS LÄN</t>
        </is>
      </c>
      <c r="G658" t="inlineStr">
        <is>
          <t>BODEN</t>
        </is>
      </c>
      <c r="I658" t="n">
        <v>2.4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57604-2021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44484</v>
      </c>
      <c r="E659" s="1" t="n">
        <v>46221</v>
      </c>
      <c r="F659" t="inlineStr">
        <is>
          <t>NORRBOTTENS LÄN</t>
        </is>
      </c>
      <c r="G659" t="inlineStr">
        <is>
          <t>BODEN</t>
        </is>
      </c>
      <c r="I659" t="n">
        <v>0.5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26996-2026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46185</v>
      </c>
      <c r="E660" s="1" t="n">
        <v>46221</v>
      </c>
      <c r="F660" t="inlineStr">
        <is>
          <t>NORRBOTTENS LÄN</t>
        </is>
      </c>
      <c r="G660" t="inlineStr">
        <is>
          <t>BODEN</t>
        </is>
      </c>
      <c r="I660" t="n">
        <v>5.8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33511-2025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45841</v>
      </c>
      <c r="E661" s="1" t="n">
        <v>46221</v>
      </c>
      <c r="F661" t="inlineStr">
        <is>
          <t>NORRBOTTENS LÄN</t>
        </is>
      </c>
      <c r="G661" t="inlineStr">
        <is>
          <t>BODEN</t>
        </is>
      </c>
      <c r="I661" t="n">
        <v>3.5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3459-2025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45680</v>
      </c>
      <c r="E662" s="1" t="n">
        <v>46221</v>
      </c>
      <c r="F662" t="inlineStr">
        <is>
          <t>NORRBOTTENS LÄN</t>
        </is>
      </c>
      <c r="G662" t="inlineStr">
        <is>
          <t>BODEN</t>
        </is>
      </c>
      <c r="H662" t="inlineStr">
        <is>
          <t>Naturvårdsverket</t>
        </is>
      </c>
      <c r="I662" t="n">
        <v>1.5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59890-2023</t>
        </is>
      </c>
      <c r="B663" t="inlineStr">
        <is>
          <t>avverkningsanmälan</t>
        </is>
      </c>
      <c r="C663" t="inlineStr">
        <is>
          <t>Avverkning för att bevara och utveckla /försöksver</t>
        </is>
      </c>
      <c r="D663" s="1" t="n">
        <v>45254</v>
      </c>
      <c r="E663" s="1" t="n">
        <v>46221</v>
      </c>
      <c r="F663" t="inlineStr">
        <is>
          <t>NORRBOTTENS LÄN</t>
        </is>
      </c>
      <c r="G663" t="inlineStr">
        <is>
          <t>BODEN</t>
        </is>
      </c>
      <c r="I663" t="n">
        <v>4.3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A 59983-2023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45257</v>
      </c>
      <c r="E664" s="1" t="n">
        <v>46221</v>
      </c>
      <c r="F664" t="inlineStr">
        <is>
          <t>NORRBOTTENS LÄN</t>
        </is>
      </c>
      <c r="G664" t="inlineStr">
        <is>
          <t>BODEN</t>
        </is>
      </c>
      <c r="I664" t="n">
        <v>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A 21478-2026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46148</v>
      </c>
      <c r="E665" s="1" t="n">
        <v>46221</v>
      </c>
      <c r="F665" t="inlineStr">
        <is>
          <t>NORRBOTTENS LÄN</t>
        </is>
      </c>
      <c r="G665" t="inlineStr">
        <is>
          <t>BODEN</t>
        </is>
      </c>
      <c r="H665" t="inlineStr">
        <is>
          <t>Sveaskog</t>
        </is>
      </c>
      <c r="I665" t="n">
        <v>4.7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A 27698-2026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46190</v>
      </c>
      <c r="E666" s="1" t="n">
        <v>46221</v>
      </c>
      <c r="F666" t="inlineStr">
        <is>
          <t>NORRBOTTENS LÄN</t>
        </is>
      </c>
      <c r="G666" t="inlineStr">
        <is>
          <t>BODEN</t>
        </is>
      </c>
      <c r="I666" t="n">
        <v>22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A 13556-2022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44648</v>
      </c>
      <c r="E667" s="1" t="n">
        <v>46221</v>
      </c>
      <c r="F667" t="inlineStr">
        <is>
          <t>NORRBOTTENS LÄN</t>
        </is>
      </c>
      <c r="G667" t="inlineStr">
        <is>
          <t>BODEN</t>
        </is>
      </c>
      <c r="H667" t="inlineStr">
        <is>
          <t>Sveaskog</t>
        </is>
      </c>
      <c r="I667" t="n">
        <v>2.8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A 61488-2023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45264</v>
      </c>
      <c r="E668" s="1" t="n">
        <v>46221</v>
      </c>
      <c r="F668" t="inlineStr">
        <is>
          <t>NORRBOTTENS LÄN</t>
        </is>
      </c>
      <c r="G668" t="inlineStr">
        <is>
          <t>BODEN</t>
        </is>
      </c>
      <c r="H668" t="inlineStr">
        <is>
          <t>SCA</t>
        </is>
      </c>
      <c r="I668" t="n">
        <v>4.9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A 21279-2026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46147</v>
      </c>
      <c r="E669" s="1" t="n">
        <v>46221</v>
      </c>
      <c r="F669" t="inlineStr">
        <is>
          <t>NORRBOTTENS LÄN</t>
        </is>
      </c>
      <c r="G669" t="inlineStr">
        <is>
          <t>BODEN</t>
        </is>
      </c>
      <c r="I669" t="n">
        <v>1.8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A 8873-2024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45356</v>
      </c>
      <c r="E670" s="1" t="n">
        <v>46221</v>
      </c>
      <c r="F670" t="inlineStr">
        <is>
          <t>NORRBOTTENS LÄN</t>
        </is>
      </c>
      <c r="G670" t="inlineStr">
        <is>
          <t>BODEN</t>
        </is>
      </c>
      <c r="I670" t="n">
        <v>0.6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A 21784-2026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46150</v>
      </c>
      <c r="E671" s="1" t="n">
        <v>46221</v>
      </c>
      <c r="F671" t="inlineStr">
        <is>
          <t>NORRBOTTENS LÄN</t>
        </is>
      </c>
      <c r="G671" t="inlineStr">
        <is>
          <t>BODEN</t>
        </is>
      </c>
      <c r="I671" t="n">
        <v>1.6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A 22264-2026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46150</v>
      </c>
      <c r="E672" s="1" t="n">
        <v>46221</v>
      </c>
      <c r="F672" t="inlineStr">
        <is>
          <t>NORRBOTTENS LÄN</t>
        </is>
      </c>
      <c r="G672" t="inlineStr">
        <is>
          <t>BODEN</t>
        </is>
      </c>
      <c r="I672" t="n">
        <v>1.1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A 22259-2026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46150</v>
      </c>
      <c r="E673" s="1" t="n">
        <v>46221</v>
      </c>
      <c r="F673" t="inlineStr">
        <is>
          <t>NORRBOTTENS LÄN</t>
        </is>
      </c>
      <c r="G673" t="inlineStr">
        <is>
          <t>BODEN</t>
        </is>
      </c>
      <c r="I673" t="n">
        <v>3.8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A 21688-2026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46149</v>
      </c>
      <c r="E674" s="1" t="n">
        <v>46221</v>
      </c>
      <c r="F674" t="inlineStr">
        <is>
          <t>NORRBOTTENS LÄN</t>
        </is>
      </c>
      <c r="G674" t="inlineStr">
        <is>
          <t>BODEN</t>
        </is>
      </c>
      <c r="I674" t="n">
        <v>11.6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A 54935-2021</t>
        </is>
      </c>
      <c r="B675" t="inlineStr">
        <is>
          <t>avverkningsanmälan</t>
        </is>
      </c>
      <c r="C675" t="inlineStr">
        <is>
          <t>Avverkning för annat ändamål</t>
        </is>
      </c>
      <c r="D675" s="1" t="n">
        <v>44474</v>
      </c>
      <c r="E675" s="1" t="n">
        <v>46221</v>
      </c>
      <c r="F675" t="inlineStr">
        <is>
          <t>NORRBOTTENS LÄN</t>
        </is>
      </c>
      <c r="G675" t="inlineStr">
        <is>
          <t>BODEN</t>
        </is>
      </c>
      <c r="I675" t="n">
        <v>2.9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A 5792-2025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45694</v>
      </c>
      <c r="E676" s="1" t="n">
        <v>46221</v>
      </c>
      <c r="F676" t="inlineStr">
        <is>
          <t>NORRBOTTENS LÄN</t>
        </is>
      </c>
      <c r="G676" t="inlineStr">
        <is>
          <t>BODEN</t>
        </is>
      </c>
      <c r="H676" t="inlineStr">
        <is>
          <t>SCA</t>
        </is>
      </c>
      <c r="I676" t="n">
        <v>4.4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A 21610-2026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46149</v>
      </c>
      <c r="E677" s="1" t="n">
        <v>46221</v>
      </c>
      <c r="F677" t="inlineStr">
        <is>
          <t>NORRBOTTENS LÄN</t>
        </is>
      </c>
      <c r="G677" t="inlineStr">
        <is>
          <t>BODEN</t>
        </is>
      </c>
      <c r="I677" t="n">
        <v>1.8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A 27749-2026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46191</v>
      </c>
      <c r="E678" s="1" t="n">
        <v>46221</v>
      </c>
      <c r="F678" t="inlineStr">
        <is>
          <t>NORRBOTTENS LÄN</t>
        </is>
      </c>
      <c r="G678" t="inlineStr">
        <is>
          <t>BODEN</t>
        </is>
      </c>
      <c r="I678" t="n">
        <v>4.9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A 61241-2023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45260</v>
      </c>
      <c r="E679" s="1" t="n">
        <v>46221</v>
      </c>
      <c r="F679" t="inlineStr">
        <is>
          <t>NORRBOTTENS LÄN</t>
        </is>
      </c>
      <c r="G679" t="inlineStr">
        <is>
          <t>BODEN</t>
        </is>
      </c>
      <c r="I679" t="n">
        <v>33.9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A 15881-2023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45022</v>
      </c>
      <c r="E680" s="1" t="n">
        <v>46221</v>
      </c>
      <c r="F680" t="inlineStr">
        <is>
          <t>NORRBOTTENS LÄN</t>
        </is>
      </c>
      <c r="G680" t="inlineStr">
        <is>
          <t>BODEN</t>
        </is>
      </c>
      <c r="I680" t="n">
        <v>2.2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A 27736-2026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46191</v>
      </c>
      <c r="E681" s="1" t="n">
        <v>46221</v>
      </c>
      <c r="F681" t="inlineStr">
        <is>
          <t>NORRBOTTENS LÄN</t>
        </is>
      </c>
      <c r="G681" t="inlineStr">
        <is>
          <t>BODEN</t>
        </is>
      </c>
      <c r="H681" t="inlineStr">
        <is>
          <t>SCA</t>
        </is>
      </c>
      <c r="I681" t="n">
        <v>2.8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A 1497-2022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44573</v>
      </c>
      <c r="E682" s="1" t="n">
        <v>46221</v>
      </c>
      <c r="F682" t="inlineStr">
        <is>
          <t>NORRBOTTENS LÄN</t>
        </is>
      </c>
      <c r="G682" t="inlineStr">
        <is>
          <t>BODEN</t>
        </is>
      </c>
      <c r="H682" t="inlineStr">
        <is>
          <t>Övriga statliga verk och myndigheter</t>
        </is>
      </c>
      <c r="I682" t="n">
        <v>9.9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A 21703-2026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46149</v>
      </c>
      <c r="E683" s="1" t="n">
        <v>46221</v>
      </c>
      <c r="F683" t="inlineStr">
        <is>
          <t>NORRBOTTENS LÄN</t>
        </is>
      </c>
      <c r="G683" t="inlineStr">
        <is>
          <t>BODEN</t>
        </is>
      </c>
      <c r="I683" t="n">
        <v>0.7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A 7442-2024</t>
        </is>
      </c>
      <c r="B684" t="inlineStr">
        <is>
          <t>avverkningsanmälan</t>
        </is>
      </c>
      <c r="C684" t="inlineStr">
        <is>
          <t>Avverkning för annat ändamål</t>
        </is>
      </c>
      <c r="D684" s="1" t="n">
        <v>45345</v>
      </c>
      <c r="E684" s="1" t="n">
        <v>46221</v>
      </c>
      <c r="F684" t="inlineStr">
        <is>
          <t>NORRBOTTENS LÄN</t>
        </is>
      </c>
      <c r="G684" t="inlineStr">
        <is>
          <t>BODEN</t>
        </is>
      </c>
      <c r="I684" t="n">
        <v>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A 29377-2024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45483</v>
      </c>
      <c r="E685" s="1" t="n">
        <v>46221</v>
      </c>
      <c r="F685" t="inlineStr">
        <is>
          <t>NORRBOTTENS LÄN</t>
        </is>
      </c>
      <c r="G685" t="inlineStr">
        <is>
          <t>BODEN</t>
        </is>
      </c>
      <c r="I685" t="n">
        <v>2.7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A 64975-2023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45285</v>
      </c>
      <c r="E686" s="1" t="n">
        <v>46221</v>
      </c>
      <c r="F686" t="inlineStr">
        <is>
          <t>NORRBOTTENS LÄN</t>
        </is>
      </c>
      <c r="G686" t="inlineStr">
        <is>
          <t>BODEN</t>
        </is>
      </c>
      <c r="I686" t="n">
        <v>9.4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A 22239-2026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46154</v>
      </c>
      <c r="E687" s="1" t="n">
        <v>46221</v>
      </c>
      <c r="F687" t="inlineStr">
        <is>
          <t>NORRBOTTENS LÄN</t>
        </is>
      </c>
      <c r="G687" t="inlineStr">
        <is>
          <t>BODEN</t>
        </is>
      </c>
      <c r="H687" t="inlineStr">
        <is>
          <t>Sveaskog</t>
        </is>
      </c>
      <c r="I687" t="n">
        <v>1.1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A 625-2026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46029</v>
      </c>
      <c r="E688" s="1" t="n">
        <v>46221</v>
      </c>
      <c r="F688" t="inlineStr">
        <is>
          <t>NORRBOTTENS LÄN</t>
        </is>
      </c>
      <c r="G688" t="inlineStr">
        <is>
          <t>BODEN</t>
        </is>
      </c>
      <c r="I688" t="n">
        <v>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A 35115-2024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45529</v>
      </c>
      <c r="E689" s="1" t="n">
        <v>46221</v>
      </c>
      <c r="F689" t="inlineStr">
        <is>
          <t>NORRBOTTENS LÄN</t>
        </is>
      </c>
      <c r="G689" t="inlineStr">
        <is>
          <t>BODEN</t>
        </is>
      </c>
      <c r="I689" t="n">
        <v>6.3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A 25627-2022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44732</v>
      </c>
      <c r="E690" s="1" t="n">
        <v>46221</v>
      </c>
      <c r="F690" t="inlineStr">
        <is>
          <t>NORRBOTTENS LÄN</t>
        </is>
      </c>
      <c r="G690" t="inlineStr">
        <is>
          <t>BODEN</t>
        </is>
      </c>
      <c r="I690" t="n">
        <v>4.4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A 4055-2024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45323</v>
      </c>
      <c r="E691" s="1" t="n">
        <v>46221</v>
      </c>
      <c r="F691" t="inlineStr">
        <is>
          <t>NORRBOTTENS LÄN</t>
        </is>
      </c>
      <c r="G691" t="inlineStr">
        <is>
          <t>BODEN</t>
        </is>
      </c>
      <c r="I691" t="n">
        <v>1.6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 ht="15" customHeight="1">
      <c r="A692" t="inlineStr">
        <is>
          <t>A 28241-2026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46196</v>
      </c>
      <c r="E692" s="1" t="n">
        <v>46221</v>
      </c>
      <c r="F692" t="inlineStr">
        <is>
          <t>NORRBOTTENS LÄN</t>
        </is>
      </c>
      <c r="G692" t="inlineStr">
        <is>
          <t>BODEN</t>
        </is>
      </c>
      <c r="I692" t="n">
        <v>2.8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  <row r="693" ht="15" customHeight="1">
      <c r="A693" t="inlineStr">
        <is>
          <t>A 7159-2023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44970</v>
      </c>
      <c r="E693" s="1" t="n">
        <v>46221</v>
      </c>
      <c r="F693" t="inlineStr">
        <is>
          <t>NORRBOTTENS LÄN</t>
        </is>
      </c>
      <c r="G693" t="inlineStr">
        <is>
          <t>BODEN</t>
        </is>
      </c>
      <c r="I693" t="n">
        <v>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s="2" t="inlineStr"/>
    </row>
    <row r="694" ht="15" customHeight="1">
      <c r="A694" t="inlineStr">
        <is>
          <t>A 49124-2023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45210</v>
      </c>
      <c r="E694" s="1" t="n">
        <v>46221</v>
      </c>
      <c r="F694" t="inlineStr">
        <is>
          <t>NORRBOTTENS LÄN</t>
        </is>
      </c>
      <c r="G694" t="inlineStr">
        <is>
          <t>BODEN</t>
        </is>
      </c>
      <c r="H694" t="inlineStr">
        <is>
          <t>Sveaskog</t>
        </is>
      </c>
      <c r="I694" t="n">
        <v>4.8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s="2" t="inlineStr"/>
    </row>
    <row r="695" ht="15" customHeight="1">
      <c r="A695" t="inlineStr">
        <is>
          <t>A 16699-2024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45408</v>
      </c>
      <c r="E695" s="1" t="n">
        <v>46221</v>
      </c>
      <c r="F695" t="inlineStr">
        <is>
          <t>NORRBOTTENS LÄN</t>
        </is>
      </c>
      <c r="G695" t="inlineStr">
        <is>
          <t>BODEN</t>
        </is>
      </c>
      <c r="I695" t="n">
        <v>14.9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s="2" t="inlineStr"/>
    </row>
    <row r="696" ht="15" customHeight="1">
      <c r="A696" t="inlineStr">
        <is>
          <t>A 5452-2025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45692</v>
      </c>
      <c r="E696" s="1" t="n">
        <v>46221</v>
      </c>
      <c r="F696" t="inlineStr">
        <is>
          <t>NORRBOTTENS LÄN</t>
        </is>
      </c>
      <c r="G696" t="inlineStr">
        <is>
          <t>BODEN</t>
        </is>
      </c>
      <c r="I696" t="n">
        <v>0.7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s="2" t="inlineStr"/>
    </row>
    <row r="697" ht="15" customHeight="1">
      <c r="A697" t="inlineStr">
        <is>
          <t>A 19068-2024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45427</v>
      </c>
      <c r="E697" s="1" t="n">
        <v>46221</v>
      </c>
      <c r="F697" t="inlineStr">
        <is>
          <t>NORRBOTTENS LÄN</t>
        </is>
      </c>
      <c r="G697" t="inlineStr">
        <is>
          <t>BODEN</t>
        </is>
      </c>
      <c r="I697" t="n">
        <v>22.1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s="2" t="inlineStr"/>
    </row>
    <row r="698" ht="15" customHeight="1">
      <c r="A698" t="inlineStr">
        <is>
          <t>A 31754-2024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45509</v>
      </c>
      <c r="E698" s="1" t="n">
        <v>46221</v>
      </c>
      <c r="F698" t="inlineStr">
        <is>
          <t>NORRBOTTENS LÄN</t>
        </is>
      </c>
      <c r="G698" t="inlineStr">
        <is>
          <t>BODEN</t>
        </is>
      </c>
      <c r="I698" t="n">
        <v>11.1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s="2" t="inlineStr"/>
    </row>
    <row r="699" ht="15" customHeight="1">
      <c r="A699" t="inlineStr">
        <is>
          <t>A 22373-2026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46154</v>
      </c>
      <c r="E699" s="1" t="n">
        <v>46221</v>
      </c>
      <c r="F699" t="inlineStr">
        <is>
          <t>NORRBOTTENS LÄN</t>
        </is>
      </c>
      <c r="G699" t="inlineStr">
        <is>
          <t>BODEN</t>
        </is>
      </c>
      <c r="I699" t="n">
        <v>2.6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s="2" t="inlineStr"/>
    </row>
    <row r="700" ht="15" customHeight="1">
      <c r="A700" t="inlineStr">
        <is>
          <t>A 60085-2024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45639</v>
      </c>
      <c r="E700" s="1" t="n">
        <v>46221</v>
      </c>
      <c r="F700" t="inlineStr">
        <is>
          <t>NORRBOTTENS LÄN</t>
        </is>
      </c>
      <c r="G700" t="inlineStr">
        <is>
          <t>BODEN</t>
        </is>
      </c>
      <c r="I700" t="n">
        <v>9.5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s="2" t="inlineStr"/>
    </row>
    <row r="701" ht="15" customHeight="1">
      <c r="A701" t="inlineStr">
        <is>
          <t>A 36438-2024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45537</v>
      </c>
      <c r="E701" s="1" t="n">
        <v>46221</v>
      </c>
      <c r="F701" t="inlineStr">
        <is>
          <t>NORRBOTTENS LÄN</t>
        </is>
      </c>
      <c r="G701" t="inlineStr">
        <is>
          <t>BODEN</t>
        </is>
      </c>
      <c r="H701" t="inlineStr">
        <is>
          <t>Sveaskog</t>
        </is>
      </c>
      <c r="I701" t="n">
        <v>3.7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s="2" t="inlineStr"/>
    </row>
    <row r="702" ht="15" customHeight="1">
      <c r="A702" t="inlineStr">
        <is>
          <t>A 6242-2023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44964</v>
      </c>
      <c r="E702" s="1" t="n">
        <v>46221</v>
      </c>
      <c r="F702" t="inlineStr">
        <is>
          <t>NORRBOTTENS LÄN</t>
        </is>
      </c>
      <c r="G702" t="inlineStr">
        <is>
          <t>BODEN</t>
        </is>
      </c>
      <c r="H702" t="inlineStr">
        <is>
          <t>SCA</t>
        </is>
      </c>
      <c r="I702" t="n">
        <v>1.2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s="2" t="inlineStr"/>
    </row>
    <row r="703" ht="15" customHeight="1">
      <c r="A703" t="inlineStr">
        <is>
          <t>A 28512-2026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46197</v>
      </c>
      <c r="E703" s="1" t="n">
        <v>46221</v>
      </c>
      <c r="F703" t="inlineStr">
        <is>
          <t>NORRBOTTENS LÄN</t>
        </is>
      </c>
      <c r="G703" t="inlineStr">
        <is>
          <t>BODEN</t>
        </is>
      </c>
      <c r="I703" t="n">
        <v>10.8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s="2" t="inlineStr"/>
    </row>
    <row r="704" ht="15" customHeight="1">
      <c r="A704" t="inlineStr">
        <is>
          <t>A 28490-2026</t>
        </is>
      </c>
      <c r="B704" t="inlineStr">
        <is>
          <t>avverkningsanmälan</t>
        </is>
      </c>
      <c r="C704" t="inlineStr">
        <is>
          <t>Avverkning för annat ändamål</t>
        </is>
      </c>
      <c r="D704" s="1" t="n">
        <v>46197</v>
      </c>
      <c r="E704" s="1" t="n">
        <v>46221</v>
      </c>
      <c r="F704" t="inlineStr">
        <is>
          <t>NORRBOTTENS LÄN</t>
        </is>
      </c>
      <c r="G704" t="inlineStr">
        <is>
          <t>BODEN</t>
        </is>
      </c>
      <c r="I704" t="n">
        <v>1.7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s="2" t="inlineStr"/>
    </row>
    <row r="705" ht="15" customHeight="1">
      <c r="A705" t="inlineStr">
        <is>
          <t>A 28509-2026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46197</v>
      </c>
      <c r="E705" s="1" t="n">
        <v>46221</v>
      </c>
      <c r="F705" t="inlineStr">
        <is>
          <t>NORRBOTTENS LÄN</t>
        </is>
      </c>
      <c r="G705" t="inlineStr">
        <is>
          <t>BODEN</t>
        </is>
      </c>
      <c r="I705" t="n">
        <v>8.9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s="2" t="inlineStr"/>
    </row>
    <row r="706" ht="15" customHeight="1">
      <c r="A706" t="inlineStr">
        <is>
          <t>A 59035-2025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45988</v>
      </c>
      <c r="E706" s="1" t="n">
        <v>46221</v>
      </c>
      <c r="F706" t="inlineStr">
        <is>
          <t>NORRBOTTENS LÄN</t>
        </is>
      </c>
      <c r="G706" t="inlineStr">
        <is>
          <t>BODEN</t>
        </is>
      </c>
      <c r="I706" t="n">
        <v>2.7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s="2" t="inlineStr"/>
    </row>
    <row r="707" ht="15" customHeight="1">
      <c r="A707" t="inlineStr">
        <is>
          <t>A 61587-2024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45646</v>
      </c>
      <c r="E707" s="1" t="n">
        <v>46221</v>
      </c>
      <c r="F707" t="inlineStr">
        <is>
          <t>NORRBOTTENS LÄN</t>
        </is>
      </c>
      <c r="G707" t="inlineStr">
        <is>
          <t>BODEN</t>
        </is>
      </c>
      <c r="I707" t="n">
        <v>2.9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s="2" t="inlineStr"/>
    </row>
    <row r="708" ht="15" customHeight="1">
      <c r="A708" t="inlineStr">
        <is>
          <t>A 37114-2024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45539</v>
      </c>
      <c r="E708" s="1" t="n">
        <v>46221</v>
      </c>
      <c r="F708" t="inlineStr">
        <is>
          <t>NORRBOTTENS LÄN</t>
        </is>
      </c>
      <c r="G708" t="inlineStr">
        <is>
          <t>BODEN</t>
        </is>
      </c>
      <c r="I708" t="n">
        <v>0.4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s="2" t="inlineStr"/>
    </row>
    <row r="709" ht="15" customHeight="1">
      <c r="A709" t="inlineStr">
        <is>
          <t>A 28566-2026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46197</v>
      </c>
      <c r="E709" s="1" t="n">
        <v>46221</v>
      </c>
      <c r="F709" t="inlineStr">
        <is>
          <t>NORRBOTTENS LÄN</t>
        </is>
      </c>
      <c r="G709" t="inlineStr">
        <is>
          <t>BODEN</t>
        </is>
      </c>
      <c r="H709" t="inlineStr">
        <is>
          <t>Sveaskog</t>
        </is>
      </c>
      <c r="I709" t="n">
        <v>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s="2" t="inlineStr"/>
    </row>
    <row r="710" ht="15" customHeight="1">
      <c r="A710" t="inlineStr">
        <is>
          <t>A 22560-2026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46155</v>
      </c>
      <c r="E710" s="1" t="n">
        <v>46221</v>
      </c>
      <c r="F710" t="inlineStr">
        <is>
          <t>NORRBOTTENS LÄN</t>
        </is>
      </c>
      <c r="G710" t="inlineStr">
        <is>
          <t>BODEN</t>
        </is>
      </c>
      <c r="I710" t="n">
        <v>2.2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s="2" t="inlineStr"/>
    </row>
    <row r="711" ht="15" customHeight="1">
      <c r="A711" t="inlineStr">
        <is>
          <t>A 21329-2024</t>
        </is>
      </c>
      <c r="B711" t="inlineStr">
        <is>
          <t>avverkningsanmälan</t>
        </is>
      </c>
      <c r="C711" t="inlineStr">
        <is>
          <t>Avverkning för att bevara och utveckla /försöksver</t>
        </is>
      </c>
      <c r="D711" s="1" t="n">
        <v>45440</v>
      </c>
      <c r="E711" s="1" t="n">
        <v>46221</v>
      </c>
      <c r="F711" t="inlineStr">
        <is>
          <t>NORRBOTTENS LÄN</t>
        </is>
      </c>
      <c r="G711" t="inlineStr">
        <is>
          <t>BODEN</t>
        </is>
      </c>
      <c r="I711" t="n">
        <v>2.7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s="2" t="inlineStr"/>
    </row>
    <row r="712" ht="15" customHeight="1">
      <c r="A712" t="inlineStr">
        <is>
          <t>A 28496-2026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46197</v>
      </c>
      <c r="E712" s="1" t="n">
        <v>46221</v>
      </c>
      <c r="F712" t="inlineStr">
        <is>
          <t>NORRBOTTENS LÄN</t>
        </is>
      </c>
      <c r="G712" t="inlineStr">
        <is>
          <t>BODEN</t>
        </is>
      </c>
      <c r="I712" t="n">
        <v>3.5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s="2" t="inlineStr"/>
    </row>
    <row r="713" ht="15" customHeight="1">
      <c r="A713" t="inlineStr">
        <is>
          <t>A 28615-2026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46197</v>
      </c>
      <c r="E713" s="1" t="n">
        <v>46221</v>
      </c>
      <c r="F713" t="inlineStr">
        <is>
          <t>NORRBOTTENS LÄN</t>
        </is>
      </c>
      <c r="G713" t="inlineStr">
        <is>
          <t>BODEN</t>
        </is>
      </c>
      <c r="I713" t="n">
        <v>6.1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s="2" t="inlineStr"/>
    </row>
    <row r="714" ht="15" customHeight="1">
      <c r="A714" t="inlineStr">
        <is>
          <t>A 19563-2024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45429</v>
      </c>
      <c r="E714" s="1" t="n">
        <v>46221</v>
      </c>
      <c r="F714" t="inlineStr">
        <is>
          <t>NORRBOTTENS LÄN</t>
        </is>
      </c>
      <c r="G714" t="inlineStr">
        <is>
          <t>BODEN</t>
        </is>
      </c>
      <c r="I714" t="n">
        <v>3.4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s="2" t="inlineStr"/>
    </row>
    <row r="715" ht="15" customHeight="1">
      <c r="A715" t="inlineStr">
        <is>
          <t>A 29147-2026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46202</v>
      </c>
      <c r="E715" s="1" t="n">
        <v>46221</v>
      </c>
      <c r="F715" t="inlineStr">
        <is>
          <t>NORRBOTTENS LÄN</t>
        </is>
      </c>
      <c r="G715" t="inlineStr">
        <is>
          <t>BODEN</t>
        </is>
      </c>
      <c r="H715" t="inlineStr">
        <is>
          <t>Sveaskog</t>
        </is>
      </c>
      <c r="I715" t="n">
        <v>3.8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s="2" t="inlineStr"/>
    </row>
    <row r="716" ht="15" customHeight="1">
      <c r="A716" t="inlineStr">
        <is>
          <t>A 28432-2022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44747</v>
      </c>
      <c r="E716" s="1" t="n">
        <v>46221</v>
      </c>
      <c r="F716" t="inlineStr">
        <is>
          <t>NORRBOTTENS LÄN</t>
        </is>
      </c>
      <c r="G716" t="inlineStr">
        <is>
          <t>BODEN</t>
        </is>
      </c>
      <c r="I716" t="n">
        <v>2.4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s="2" t="inlineStr"/>
    </row>
    <row r="717" ht="15" customHeight="1">
      <c r="A717" t="inlineStr">
        <is>
          <t>A 21421-2022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44706</v>
      </c>
      <c r="E717" s="1" t="n">
        <v>46221</v>
      </c>
      <c r="F717" t="inlineStr">
        <is>
          <t>NORRBOTTENS LÄN</t>
        </is>
      </c>
      <c r="G717" t="inlineStr">
        <is>
          <t>BODEN</t>
        </is>
      </c>
      <c r="I717" t="n">
        <v>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s="2" t="inlineStr"/>
    </row>
    <row r="718" ht="15" customHeight="1">
      <c r="A718" t="inlineStr">
        <is>
          <t>A 41180-2021</t>
        </is>
      </c>
      <c r="B718" t="inlineStr">
        <is>
          <t>avverkningsanmälan</t>
        </is>
      </c>
      <c r="C718" t="inlineStr">
        <is>
          <t>Avverkning för annat ändamål</t>
        </is>
      </c>
      <c r="D718" s="1" t="n">
        <v>44423</v>
      </c>
      <c r="E718" s="1" t="n">
        <v>46221</v>
      </c>
      <c r="F718" t="inlineStr">
        <is>
          <t>NORRBOTTENS LÄN</t>
        </is>
      </c>
      <c r="G718" t="inlineStr">
        <is>
          <t>BODEN</t>
        </is>
      </c>
      <c r="I718" t="n">
        <v>0.5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s="2" t="inlineStr"/>
    </row>
    <row r="719" ht="15" customHeight="1">
      <c r="A719" t="inlineStr">
        <is>
          <t>A 53840-2022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44880</v>
      </c>
      <c r="E719" s="1" t="n">
        <v>46221</v>
      </c>
      <c r="F719" t="inlineStr">
        <is>
          <t>NORRBOTTENS LÄN</t>
        </is>
      </c>
      <c r="G719" t="inlineStr">
        <is>
          <t>BODEN</t>
        </is>
      </c>
      <c r="I719" t="n">
        <v>2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s="2" t="inlineStr"/>
    </row>
    <row r="720" ht="15" customHeight="1">
      <c r="A720" t="inlineStr">
        <is>
          <t>A 9969-2023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44979</v>
      </c>
      <c r="E720" s="1" t="n">
        <v>46221</v>
      </c>
      <c r="F720" t="inlineStr">
        <is>
          <t>NORRBOTTENS LÄN</t>
        </is>
      </c>
      <c r="G720" t="inlineStr">
        <is>
          <t>BODEN</t>
        </is>
      </c>
      <c r="H720" t="inlineStr">
        <is>
          <t>Övriga statliga verk och myndigheter</t>
        </is>
      </c>
      <c r="I720" t="n">
        <v>18.8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s="2" t="inlineStr"/>
    </row>
    <row r="721" ht="15" customHeight="1">
      <c r="A721" t="inlineStr">
        <is>
          <t>A 877-2023</t>
        </is>
      </c>
      <c r="B721" t="inlineStr">
        <is>
          <t>avverkningsanmälan</t>
        </is>
      </c>
      <c r="C721" t="inlineStr">
        <is>
          <t>Avverkning för att bevara och utveckla /försöksver</t>
        </is>
      </c>
      <c r="D721" s="1" t="n">
        <v>44931</v>
      </c>
      <c r="E721" s="1" t="n">
        <v>46221</v>
      </c>
      <c r="F721" t="inlineStr">
        <is>
          <t>NORRBOTTENS LÄN</t>
        </is>
      </c>
      <c r="G721" t="inlineStr">
        <is>
          <t>BODEN</t>
        </is>
      </c>
      <c r="I721" t="n">
        <v>8.699999999999999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s="2" t="inlineStr"/>
    </row>
    <row r="722" ht="15" customHeight="1">
      <c r="A722" t="inlineStr">
        <is>
          <t>A 29183-2026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46202</v>
      </c>
      <c r="E722" s="1" t="n">
        <v>46221</v>
      </c>
      <c r="F722" t="inlineStr">
        <is>
          <t>NORRBOTTENS LÄN</t>
        </is>
      </c>
      <c r="G722" t="inlineStr">
        <is>
          <t>BODEN</t>
        </is>
      </c>
      <c r="I722" t="n">
        <v>5.5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s="2" t="inlineStr"/>
    </row>
    <row r="723" ht="15" customHeight="1">
      <c r="A723" t="inlineStr">
        <is>
          <t>A 29152-2026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46202</v>
      </c>
      <c r="E723" s="1" t="n">
        <v>46221</v>
      </c>
      <c r="F723" t="inlineStr">
        <is>
          <t>NORRBOTTENS LÄN</t>
        </is>
      </c>
      <c r="G723" t="inlineStr">
        <is>
          <t>BODEN</t>
        </is>
      </c>
      <c r="H723" t="inlineStr">
        <is>
          <t>Sveaskog</t>
        </is>
      </c>
      <c r="I723" t="n">
        <v>0.9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s="2" t="inlineStr"/>
    </row>
    <row r="724" ht="15" customHeight="1">
      <c r="A724" t="inlineStr">
        <is>
          <t>A 29155-2026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46202</v>
      </c>
      <c r="E724" s="1" t="n">
        <v>46221</v>
      </c>
      <c r="F724" t="inlineStr">
        <is>
          <t>NORRBOTTENS LÄN</t>
        </is>
      </c>
      <c r="G724" t="inlineStr">
        <is>
          <t>BODEN</t>
        </is>
      </c>
      <c r="H724" t="inlineStr">
        <is>
          <t>Sveaskog</t>
        </is>
      </c>
      <c r="I724" t="n">
        <v>3.7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s="2" t="inlineStr"/>
    </row>
    <row r="725" ht="15" customHeight="1">
      <c r="A725" t="inlineStr">
        <is>
          <t>A 43648-2023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45187</v>
      </c>
      <c r="E725" s="1" t="n">
        <v>46221</v>
      </c>
      <c r="F725" t="inlineStr">
        <is>
          <t>NORRBOTTENS LÄN</t>
        </is>
      </c>
      <c r="G725" t="inlineStr">
        <is>
          <t>BODEN</t>
        </is>
      </c>
      <c r="H725" t="inlineStr">
        <is>
          <t>Sveaskog</t>
        </is>
      </c>
      <c r="I725" t="n">
        <v>7.1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s="2" t="inlineStr"/>
    </row>
    <row r="726" ht="15" customHeight="1">
      <c r="A726" t="inlineStr">
        <is>
          <t>A 48471-2024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45591</v>
      </c>
      <c r="E726" s="1" t="n">
        <v>46221</v>
      </c>
      <c r="F726" t="inlineStr">
        <is>
          <t>NORRBOTTENS LÄN</t>
        </is>
      </c>
      <c r="G726" t="inlineStr">
        <is>
          <t>BODEN</t>
        </is>
      </c>
      <c r="H726" t="inlineStr">
        <is>
          <t>SCA</t>
        </is>
      </c>
      <c r="I726" t="n">
        <v>3.6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s="2" t="inlineStr"/>
    </row>
    <row r="727" ht="15" customHeight="1">
      <c r="A727" t="inlineStr">
        <is>
          <t>A 29746-2026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46204</v>
      </c>
      <c r="E727" s="1" t="n">
        <v>46221</v>
      </c>
      <c r="F727" t="inlineStr">
        <is>
          <t>NORRBOTTENS LÄN</t>
        </is>
      </c>
      <c r="G727" t="inlineStr">
        <is>
          <t>BODEN</t>
        </is>
      </c>
      <c r="I727" t="n">
        <v>1.2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s="2" t="inlineStr"/>
    </row>
    <row r="728" ht="15" customHeight="1">
      <c r="A728" t="inlineStr">
        <is>
          <t>A 29759-2026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46204</v>
      </c>
      <c r="E728" s="1" t="n">
        <v>46221</v>
      </c>
      <c r="F728" t="inlineStr">
        <is>
          <t>NORRBOTTENS LÄN</t>
        </is>
      </c>
      <c r="G728" t="inlineStr">
        <is>
          <t>BODEN</t>
        </is>
      </c>
      <c r="I728" t="n">
        <v>38.7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s="2" t="inlineStr"/>
    </row>
    <row r="729" ht="15" customHeight="1">
      <c r="A729" t="inlineStr">
        <is>
          <t>A 14757-2023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45014</v>
      </c>
      <c r="E729" s="1" t="n">
        <v>46221</v>
      </c>
      <c r="F729" t="inlineStr">
        <is>
          <t>NORRBOTTENS LÄN</t>
        </is>
      </c>
      <c r="G729" t="inlineStr">
        <is>
          <t>BODEN</t>
        </is>
      </c>
      <c r="I729" t="n">
        <v>1.3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s="2" t="inlineStr"/>
    </row>
    <row r="730" ht="15" customHeight="1">
      <c r="A730" t="inlineStr">
        <is>
          <t>A 29555-2026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46204</v>
      </c>
      <c r="E730" s="1" t="n">
        <v>46221</v>
      </c>
      <c r="F730" t="inlineStr">
        <is>
          <t>NORRBOTTENS LÄN</t>
        </is>
      </c>
      <c r="G730" t="inlineStr">
        <is>
          <t>BODEN</t>
        </is>
      </c>
      <c r="I730" t="n">
        <v>1.3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s="2" t="inlineStr"/>
    </row>
    <row r="731" ht="15" customHeight="1">
      <c r="A731" t="inlineStr">
        <is>
          <t>A 37984-2024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45544</v>
      </c>
      <c r="E731" s="1" t="n">
        <v>46221</v>
      </c>
      <c r="F731" t="inlineStr">
        <is>
          <t>NORRBOTTENS LÄN</t>
        </is>
      </c>
      <c r="G731" t="inlineStr">
        <is>
          <t>BODEN</t>
        </is>
      </c>
      <c r="I731" t="n">
        <v>2.9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s="2" t="inlineStr"/>
    </row>
    <row r="732" ht="15" customHeight="1">
      <c r="A732" t="inlineStr">
        <is>
          <t>A 12801-2023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45001</v>
      </c>
      <c r="E732" s="1" t="n">
        <v>46221</v>
      </c>
      <c r="F732" t="inlineStr">
        <is>
          <t>NORRBOTTENS LÄN</t>
        </is>
      </c>
      <c r="G732" t="inlineStr">
        <is>
          <t>BODEN</t>
        </is>
      </c>
      <c r="I732" t="n">
        <v>3.7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s="2" t="inlineStr"/>
    </row>
    <row r="733" ht="15" customHeight="1">
      <c r="A733" t="inlineStr">
        <is>
          <t>A 6244-2023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44964</v>
      </c>
      <c r="E733" s="1" t="n">
        <v>46221</v>
      </c>
      <c r="F733" t="inlineStr">
        <is>
          <t>NORRBOTTENS LÄN</t>
        </is>
      </c>
      <c r="G733" t="inlineStr">
        <is>
          <t>BODEN</t>
        </is>
      </c>
      <c r="H733" t="inlineStr">
        <is>
          <t>SCA</t>
        </is>
      </c>
      <c r="I733" t="n">
        <v>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s="2" t="inlineStr"/>
    </row>
    <row r="734" ht="15" customHeight="1">
      <c r="A734" t="inlineStr">
        <is>
          <t>A 29394-2026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46203</v>
      </c>
      <c r="E734" s="1" t="n">
        <v>46221</v>
      </c>
      <c r="F734" t="inlineStr">
        <is>
          <t>NORRBOTTENS LÄN</t>
        </is>
      </c>
      <c r="G734" t="inlineStr">
        <is>
          <t>BODEN</t>
        </is>
      </c>
      <c r="I734" t="n">
        <v>6.2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s="2" t="inlineStr"/>
    </row>
    <row r="735" ht="15" customHeight="1">
      <c r="A735" t="inlineStr">
        <is>
          <t>A 28139-2025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45818</v>
      </c>
      <c r="E735" s="1" t="n">
        <v>46221</v>
      </c>
      <c r="F735" t="inlineStr">
        <is>
          <t>NORRBOTTENS LÄN</t>
        </is>
      </c>
      <c r="G735" t="inlineStr">
        <is>
          <t>BODEN</t>
        </is>
      </c>
      <c r="H735" t="inlineStr">
        <is>
          <t>SCA</t>
        </is>
      </c>
      <c r="I735" t="n">
        <v>11.3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s="2" t="inlineStr"/>
    </row>
    <row r="736" ht="15" customHeight="1">
      <c r="A736" t="inlineStr">
        <is>
          <t>A 8869-2024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45356</v>
      </c>
      <c r="E736" s="1" t="n">
        <v>46221</v>
      </c>
      <c r="F736" t="inlineStr">
        <is>
          <t>NORRBOTTENS LÄN</t>
        </is>
      </c>
      <c r="G736" t="inlineStr">
        <is>
          <t>BODEN</t>
        </is>
      </c>
      <c r="I736" t="n">
        <v>4.3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s="2" t="inlineStr"/>
    </row>
    <row r="737" ht="15" customHeight="1">
      <c r="A737" t="inlineStr">
        <is>
          <t>A 29568-2026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46204</v>
      </c>
      <c r="E737" s="1" t="n">
        <v>46221</v>
      </c>
      <c r="F737" t="inlineStr">
        <is>
          <t>NORRBOTTENS LÄN</t>
        </is>
      </c>
      <c r="G737" t="inlineStr">
        <is>
          <t>BODEN</t>
        </is>
      </c>
      <c r="I737" t="n">
        <v>12.2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s="2" t="inlineStr"/>
    </row>
    <row r="738" ht="15" customHeight="1">
      <c r="A738" t="inlineStr">
        <is>
          <t>A 29393-2026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46203</v>
      </c>
      <c r="E738" s="1" t="n">
        <v>46221</v>
      </c>
      <c r="F738" t="inlineStr">
        <is>
          <t>NORRBOTTENS LÄN</t>
        </is>
      </c>
      <c r="G738" t="inlineStr">
        <is>
          <t>BODEN</t>
        </is>
      </c>
      <c r="I738" t="n">
        <v>1.6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s="2" t="inlineStr"/>
    </row>
    <row r="739" ht="15" customHeight="1">
      <c r="A739" t="inlineStr">
        <is>
          <t>A 37212-2025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45875</v>
      </c>
      <c r="E739" s="1" t="n">
        <v>46221</v>
      </c>
      <c r="F739" t="inlineStr">
        <is>
          <t>NORRBOTTENS LÄN</t>
        </is>
      </c>
      <c r="G739" t="inlineStr">
        <is>
          <t>BODEN</t>
        </is>
      </c>
      <c r="I739" t="n">
        <v>3.3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s="2" t="inlineStr"/>
    </row>
    <row r="740" ht="15" customHeight="1">
      <c r="A740" t="inlineStr">
        <is>
          <t>A 29309-2023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45105</v>
      </c>
      <c r="E740" s="1" t="n">
        <v>46221</v>
      </c>
      <c r="F740" t="inlineStr">
        <is>
          <t>NORRBOTTENS LÄN</t>
        </is>
      </c>
      <c r="G740" t="inlineStr">
        <is>
          <t>BODEN</t>
        </is>
      </c>
      <c r="I740" t="n">
        <v>3.2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s="2" t="inlineStr"/>
    </row>
    <row r="741" ht="15" customHeight="1">
      <c r="A741" t="inlineStr">
        <is>
          <t>A 3462-2022</t>
        </is>
      </c>
      <c r="B741" t="inlineStr">
        <is>
          <t>avverkningsanmälan</t>
        </is>
      </c>
      <c r="C741" t="inlineStr">
        <is>
          <t>Avverkning för att bevara och utveckla /försöksver</t>
        </is>
      </c>
      <c r="D741" s="1" t="n">
        <v>44585</v>
      </c>
      <c r="E741" s="1" t="n">
        <v>46221</v>
      </c>
      <c r="F741" t="inlineStr">
        <is>
          <t>NORRBOTTENS LÄN</t>
        </is>
      </c>
      <c r="G741" t="inlineStr">
        <is>
          <t>BODEN</t>
        </is>
      </c>
      <c r="I741" t="n">
        <v>3.1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s="2" t="inlineStr"/>
    </row>
    <row r="742" ht="15" customHeight="1">
      <c r="A742" t="inlineStr">
        <is>
          <t>A 15157-2025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45744</v>
      </c>
      <c r="E742" s="1" t="n">
        <v>46221</v>
      </c>
      <c r="F742" t="inlineStr">
        <is>
          <t>NORRBOTTENS LÄN</t>
        </is>
      </c>
      <c r="G742" t="inlineStr">
        <is>
          <t>BODEN</t>
        </is>
      </c>
      <c r="I742" t="n">
        <v>1.3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s="2" t="inlineStr"/>
    </row>
    <row r="743" ht="15" customHeight="1">
      <c r="A743" t="inlineStr">
        <is>
          <t>A 5129-2025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45691</v>
      </c>
      <c r="E743" s="1" t="n">
        <v>46221</v>
      </c>
      <c r="F743" t="inlineStr">
        <is>
          <t>NORRBOTTENS LÄN</t>
        </is>
      </c>
      <c r="G743" t="inlineStr">
        <is>
          <t>BODEN</t>
        </is>
      </c>
      <c r="I743" t="n">
        <v>2.8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s="2" t="inlineStr"/>
    </row>
    <row r="744" ht="15" customHeight="1">
      <c r="A744" t="inlineStr">
        <is>
          <t>A 46564-2022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44847</v>
      </c>
      <c r="E744" s="1" t="n">
        <v>46221</v>
      </c>
      <c r="F744" t="inlineStr">
        <is>
          <t>NORRBOTTENS LÄN</t>
        </is>
      </c>
      <c r="G744" t="inlineStr">
        <is>
          <t>BODEN</t>
        </is>
      </c>
      <c r="I744" t="n">
        <v>28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s="2" t="inlineStr"/>
    </row>
    <row r="745" ht="15" customHeight="1">
      <c r="A745" t="inlineStr">
        <is>
          <t>A 30023-2026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46206</v>
      </c>
      <c r="E745" s="1" t="n">
        <v>46221</v>
      </c>
      <c r="F745" t="inlineStr">
        <is>
          <t>NORRBOTTENS LÄN</t>
        </is>
      </c>
      <c r="G745" t="inlineStr">
        <is>
          <t>BODEN</t>
        </is>
      </c>
      <c r="H745" t="inlineStr">
        <is>
          <t>SCA</t>
        </is>
      </c>
      <c r="I745" t="n">
        <v>15.2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s="2" t="inlineStr"/>
    </row>
    <row r="746" ht="15" customHeight="1">
      <c r="A746" t="inlineStr">
        <is>
          <t>A 3146-2024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45316</v>
      </c>
      <c r="E746" s="1" t="n">
        <v>46221</v>
      </c>
      <c r="F746" t="inlineStr">
        <is>
          <t>NORRBOTTENS LÄN</t>
        </is>
      </c>
      <c r="G746" t="inlineStr">
        <is>
          <t>BODEN</t>
        </is>
      </c>
      <c r="I746" t="n">
        <v>8.800000000000001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s="2" t="inlineStr"/>
    </row>
    <row r="747" ht="15" customHeight="1">
      <c r="A747" t="inlineStr">
        <is>
          <t>A 23790-2026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46164</v>
      </c>
      <c r="E747" s="1" t="n">
        <v>46221</v>
      </c>
      <c r="F747" t="inlineStr">
        <is>
          <t>NORRBOTTENS LÄN</t>
        </is>
      </c>
      <c r="G747" t="inlineStr">
        <is>
          <t>BODEN</t>
        </is>
      </c>
      <c r="H747" t="inlineStr">
        <is>
          <t>Sveaskog</t>
        </is>
      </c>
      <c r="I747" t="n">
        <v>4.1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s="2" t="inlineStr"/>
    </row>
    <row r="748" ht="15" customHeight="1">
      <c r="A748" t="inlineStr">
        <is>
          <t>A 23792-2026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46164</v>
      </c>
      <c r="E748" s="1" t="n">
        <v>46221</v>
      </c>
      <c r="F748" t="inlineStr">
        <is>
          <t>NORRBOTTENS LÄN</t>
        </is>
      </c>
      <c r="G748" t="inlineStr">
        <is>
          <t>BODEN</t>
        </is>
      </c>
      <c r="H748" t="inlineStr">
        <is>
          <t>Sveaskog</t>
        </is>
      </c>
      <c r="I748" t="n">
        <v>1.2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s="2" t="inlineStr"/>
    </row>
    <row r="749" ht="15" customHeight="1">
      <c r="A749" t="inlineStr">
        <is>
          <t>A 73910-2021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44552</v>
      </c>
      <c r="E749" s="1" t="n">
        <v>46221</v>
      </c>
      <c r="F749" t="inlineStr">
        <is>
          <t>NORRBOTTENS LÄN</t>
        </is>
      </c>
      <c r="G749" t="inlineStr">
        <is>
          <t>BODEN</t>
        </is>
      </c>
      <c r="I749" t="n">
        <v>2.8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s="2" t="inlineStr"/>
    </row>
    <row r="750" ht="15" customHeight="1">
      <c r="A750" t="inlineStr">
        <is>
          <t>A 8776-2022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44614</v>
      </c>
      <c r="E750" s="1" t="n">
        <v>46221</v>
      </c>
      <c r="F750" t="inlineStr">
        <is>
          <t>NORRBOTTENS LÄN</t>
        </is>
      </c>
      <c r="G750" t="inlineStr">
        <is>
          <t>BODEN</t>
        </is>
      </c>
      <c r="I750" t="n">
        <v>4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s="2" t="inlineStr"/>
    </row>
    <row r="751" ht="15" customHeight="1">
      <c r="A751" t="inlineStr">
        <is>
          <t>A 26806-2024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45470</v>
      </c>
      <c r="E751" s="1" t="n">
        <v>46221</v>
      </c>
      <c r="F751" t="inlineStr">
        <is>
          <t>NORRBOTTENS LÄN</t>
        </is>
      </c>
      <c r="G751" t="inlineStr">
        <is>
          <t>BODEN</t>
        </is>
      </c>
      <c r="H751" t="inlineStr">
        <is>
          <t>Övriga Aktiebolag</t>
        </is>
      </c>
      <c r="I751" t="n">
        <v>4.3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s="2" t="inlineStr"/>
    </row>
    <row r="752" ht="15" customHeight="1">
      <c r="A752" t="inlineStr">
        <is>
          <t>A 30077-2026</t>
        </is>
      </c>
      <c r="B752" t="inlineStr">
        <is>
          <t>avverkningsanmälan</t>
        </is>
      </c>
      <c r="C752" t="inlineStr">
        <is>
          <t>Avverkning för annat ändamål</t>
        </is>
      </c>
      <c r="D752" s="1" t="n">
        <v>46206</v>
      </c>
      <c r="E752" s="1" t="n">
        <v>46221</v>
      </c>
      <c r="F752" t="inlineStr">
        <is>
          <t>NORRBOTTENS LÄN</t>
        </is>
      </c>
      <c r="G752" t="inlineStr">
        <is>
          <t>BODEN</t>
        </is>
      </c>
      <c r="H752" t="inlineStr">
        <is>
          <t>SCA</t>
        </is>
      </c>
      <c r="I752" t="n">
        <v>0.5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s="2" t="inlineStr"/>
    </row>
    <row r="753" ht="15" customHeight="1">
      <c r="A753" t="inlineStr">
        <is>
          <t>A 47423-2024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45587</v>
      </c>
      <c r="E753" s="1" t="n">
        <v>46221</v>
      </c>
      <c r="F753" t="inlineStr">
        <is>
          <t>NORRBOTTENS LÄN</t>
        </is>
      </c>
      <c r="G753" t="inlineStr">
        <is>
          <t>BODEN</t>
        </is>
      </c>
      <c r="I753" t="n">
        <v>17.2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s="2" t="inlineStr"/>
    </row>
    <row r="754" ht="15" customHeight="1">
      <c r="A754" t="inlineStr">
        <is>
          <t>A 708-2022</t>
        </is>
      </c>
      <c r="B754" t="inlineStr">
        <is>
          <t>avverkningsanmälan</t>
        </is>
      </c>
      <c r="C754" t="inlineStr">
        <is>
          <t>Avverkning för att bevara och utveckla /försöksver</t>
        </is>
      </c>
      <c r="D754" s="1" t="n">
        <v>44566</v>
      </c>
      <c r="E754" s="1" t="n">
        <v>46221</v>
      </c>
      <c r="F754" t="inlineStr">
        <is>
          <t>NORRBOTTENS LÄN</t>
        </is>
      </c>
      <c r="G754" t="inlineStr">
        <is>
          <t>BODEN</t>
        </is>
      </c>
      <c r="I754" t="n">
        <v>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s="2" t="inlineStr"/>
    </row>
    <row r="755" ht="15" customHeight="1">
      <c r="A755" t="inlineStr">
        <is>
          <t>A 23788-2026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46164</v>
      </c>
      <c r="E755" s="1" t="n">
        <v>46221</v>
      </c>
      <c r="F755" t="inlineStr">
        <is>
          <t>NORRBOTTENS LÄN</t>
        </is>
      </c>
      <c r="G755" t="inlineStr">
        <is>
          <t>BODEN</t>
        </is>
      </c>
      <c r="H755" t="inlineStr">
        <is>
          <t>Sveaskog</t>
        </is>
      </c>
      <c r="I755" t="n">
        <v>7.1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s="2" t="inlineStr"/>
    </row>
    <row r="756" ht="15" customHeight="1">
      <c r="A756" t="inlineStr">
        <is>
          <t>A 23789-2026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46164</v>
      </c>
      <c r="E756" s="1" t="n">
        <v>46221</v>
      </c>
      <c r="F756" t="inlineStr">
        <is>
          <t>NORRBOTTENS LÄN</t>
        </is>
      </c>
      <c r="G756" t="inlineStr">
        <is>
          <t>BODEN</t>
        </is>
      </c>
      <c r="H756" t="inlineStr">
        <is>
          <t>Sveaskog</t>
        </is>
      </c>
      <c r="I756" t="n">
        <v>3.8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s="2" t="inlineStr"/>
    </row>
    <row r="757" ht="15" customHeight="1">
      <c r="A757" t="inlineStr">
        <is>
          <t>A 4254-2025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45685</v>
      </c>
      <c r="E757" s="1" t="n">
        <v>46221</v>
      </c>
      <c r="F757" t="inlineStr">
        <is>
          <t>NORRBOTTENS LÄN</t>
        </is>
      </c>
      <c r="G757" t="inlineStr">
        <is>
          <t>BODEN</t>
        </is>
      </c>
      <c r="I757" t="n">
        <v>0.8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s="2" t="inlineStr"/>
    </row>
    <row r="758" ht="15" customHeight="1">
      <c r="A758" t="inlineStr">
        <is>
          <t>A 37791-2024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45543</v>
      </c>
      <c r="E758" s="1" t="n">
        <v>46221</v>
      </c>
      <c r="F758" t="inlineStr">
        <is>
          <t>NORRBOTTENS LÄN</t>
        </is>
      </c>
      <c r="G758" t="inlineStr">
        <is>
          <t>BODEN</t>
        </is>
      </c>
      <c r="I758" t="n">
        <v>9.1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s="2" t="inlineStr"/>
    </row>
    <row r="759" ht="15" customHeight="1">
      <c r="A759" t="inlineStr">
        <is>
          <t>A 30025-2026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46206</v>
      </c>
      <c r="E759" s="1" t="n">
        <v>46221</v>
      </c>
      <c r="F759" t="inlineStr">
        <is>
          <t>NORRBOTTENS LÄN</t>
        </is>
      </c>
      <c r="G759" t="inlineStr">
        <is>
          <t>BODEN</t>
        </is>
      </c>
      <c r="H759" t="inlineStr">
        <is>
          <t>SCA</t>
        </is>
      </c>
      <c r="I759" t="n">
        <v>5.2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s="2" t="inlineStr"/>
    </row>
    <row r="760" ht="15" customHeight="1">
      <c r="A760" t="inlineStr">
        <is>
          <t>A 2547-2025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45674</v>
      </c>
      <c r="E760" s="1" t="n">
        <v>46221</v>
      </c>
      <c r="F760" t="inlineStr">
        <is>
          <t>NORRBOTTENS LÄN</t>
        </is>
      </c>
      <c r="G760" t="inlineStr">
        <is>
          <t>BODEN</t>
        </is>
      </c>
      <c r="I760" t="n">
        <v>7.2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s="2" t="inlineStr"/>
    </row>
    <row r="761" ht="15" customHeight="1">
      <c r="A761" t="inlineStr">
        <is>
          <t>A 16336-2026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46111</v>
      </c>
      <c r="E761" s="1" t="n">
        <v>46221</v>
      </c>
      <c r="F761" t="inlineStr">
        <is>
          <t>NORRBOTTENS LÄN</t>
        </is>
      </c>
      <c r="G761" t="inlineStr">
        <is>
          <t>BODEN</t>
        </is>
      </c>
      <c r="I761" t="n">
        <v>9.199999999999999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s="2" t="inlineStr"/>
    </row>
    <row r="762" ht="15" customHeight="1">
      <c r="A762" t="inlineStr">
        <is>
          <t>A 24234-2026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46168</v>
      </c>
      <c r="E762" s="1" t="n">
        <v>46221</v>
      </c>
      <c r="F762" t="inlineStr">
        <is>
          <t>NORRBOTTENS LÄN</t>
        </is>
      </c>
      <c r="G762" t="inlineStr">
        <is>
          <t>BODEN</t>
        </is>
      </c>
      <c r="I762" t="n">
        <v>1.1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s="2" t="inlineStr"/>
    </row>
    <row r="763" ht="15" customHeight="1">
      <c r="A763" t="inlineStr">
        <is>
          <t>A 57563-2023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45246</v>
      </c>
      <c r="E763" s="1" t="n">
        <v>46221</v>
      </c>
      <c r="F763" t="inlineStr">
        <is>
          <t>NORRBOTTENS LÄN</t>
        </is>
      </c>
      <c r="G763" t="inlineStr">
        <is>
          <t>BODEN</t>
        </is>
      </c>
      <c r="I763" t="n">
        <v>1.2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s="2" t="inlineStr"/>
    </row>
    <row r="764" ht="15" customHeight="1">
      <c r="A764" t="inlineStr">
        <is>
          <t>A 45035-2022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44841</v>
      </c>
      <c r="E764" s="1" t="n">
        <v>46221</v>
      </c>
      <c r="F764" t="inlineStr">
        <is>
          <t>NORRBOTTENS LÄN</t>
        </is>
      </c>
      <c r="G764" t="inlineStr">
        <is>
          <t>BODEN</t>
        </is>
      </c>
      <c r="H764" t="inlineStr">
        <is>
          <t>Sveaskog</t>
        </is>
      </c>
      <c r="I764" t="n">
        <v>2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s="2" t="inlineStr"/>
    </row>
    <row r="765" ht="15" customHeight="1">
      <c r="A765" t="inlineStr">
        <is>
          <t>A 18436-2025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45762</v>
      </c>
      <c r="E765" s="1" t="n">
        <v>46221</v>
      </c>
      <c r="F765" t="inlineStr">
        <is>
          <t>NORRBOTTENS LÄN</t>
        </is>
      </c>
      <c r="G765" t="inlineStr">
        <is>
          <t>BODEN</t>
        </is>
      </c>
      <c r="I765" t="n">
        <v>2.2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s="2" t="inlineStr"/>
    </row>
    <row r="766" ht="15" customHeight="1">
      <c r="A766" t="inlineStr">
        <is>
          <t>A 24427-2026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46168</v>
      </c>
      <c r="E766" s="1" t="n">
        <v>46221</v>
      </c>
      <c r="F766" t="inlineStr">
        <is>
          <t>NORRBOTTENS LÄN</t>
        </is>
      </c>
      <c r="G766" t="inlineStr">
        <is>
          <t>BODEN</t>
        </is>
      </c>
      <c r="I766" t="n">
        <v>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s="2" t="inlineStr"/>
    </row>
    <row r="767" ht="15" customHeight="1">
      <c r="A767" t="inlineStr">
        <is>
          <t>A 28074-2024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45476</v>
      </c>
      <c r="E767" s="1" t="n">
        <v>46221</v>
      </c>
      <c r="F767" t="inlineStr">
        <is>
          <t>NORRBOTTENS LÄN</t>
        </is>
      </c>
      <c r="G767" t="inlineStr">
        <is>
          <t>BODEN</t>
        </is>
      </c>
      <c r="I767" t="n">
        <v>5.6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s="2" t="inlineStr"/>
    </row>
    <row r="768" ht="15" customHeight="1">
      <c r="A768" t="inlineStr">
        <is>
          <t>A 24235-2026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46168</v>
      </c>
      <c r="E768" s="1" t="n">
        <v>46221</v>
      </c>
      <c r="F768" t="inlineStr">
        <is>
          <t>NORRBOTTENS LÄN</t>
        </is>
      </c>
      <c r="G768" t="inlineStr">
        <is>
          <t>BODEN</t>
        </is>
      </c>
      <c r="I768" t="n">
        <v>5.9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s="2" t="inlineStr"/>
    </row>
    <row r="769" ht="15" customHeight="1">
      <c r="A769" t="inlineStr">
        <is>
          <t>A 40157-2025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45894</v>
      </c>
      <c r="E769" s="1" t="n">
        <v>46221</v>
      </c>
      <c r="F769" t="inlineStr">
        <is>
          <t>NORRBOTTENS LÄN</t>
        </is>
      </c>
      <c r="G769" t="inlineStr">
        <is>
          <t>BODEN</t>
        </is>
      </c>
      <c r="H769" t="inlineStr">
        <is>
          <t>Övriga statliga verk och myndigheter</t>
        </is>
      </c>
      <c r="I769" t="n">
        <v>17.6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s="2" t="inlineStr"/>
    </row>
    <row r="770" ht="15" customHeight="1">
      <c r="A770" t="inlineStr">
        <is>
          <t>A 30426-2026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46209</v>
      </c>
      <c r="E770" s="1" t="n">
        <v>46221</v>
      </c>
      <c r="F770" t="inlineStr">
        <is>
          <t>NORRBOTTENS LÄN</t>
        </is>
      </c>
      <c r="G770" t="inlineStr">
        <is>
          <t>BODEN</t>
        </is>
      </c>
      <c r="H770" t="inlineStr">
        <is>
          <t>Kommuner</t>
        </is>
      </c>
      <c r="I770" t="n">
        <v>0.7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s="2" t="inlineStr"/>
    </row>
    <row r="771" ht="15" customHeight="1">
      <c r="A771" t="inlineStr">
        <is>
          <t>A 24430-2026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46168</v>
      </c>
      <c r="E771" s="1" t="n">
        <v>46221</v>
      </c>
      <c r="F771" t="inlineStr">
        <is>
          <t>NORRBOTTENS LÄN</t>
        </is>
      </c>
      <c r="G771" t="inlineStr">
        <is>
          <t>BODEN</t>
        </is>
      </c>
      <c r="I771" t="n">
        <v>1.9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s="2" t="inlineStr"/>
    </row>
    <row r="772" ht="15" customHeight="1">
      <c r="A772" t="inlineStr">
        <is>
          <t>A 30430-2026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46209</v>
      </c>
      <c r="E772" s="1" t="n">
        <v>46221</v>
      </c>
      <c r="F772" t="inlineStr">
        <is>
          <t>NORRBOTTENS LÄN</t>
        </is>
      </c>
      <c r="G772" t="inlineStr">
        <is>
          <t>BODEN</t>
        </is>
      </c>
      <c r="H772" t="inlineStr">
        <is>
          <t>Kommuner</t>
        </is>
      </c>
      <c r="I772" t="n">
        <v>4.5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s="2" t="inlineStr"/>
    </row>
    <row r="773" ht="15" customHeight="1">
      <c r="A773" t="inlineStr">
        <is>
          <t>A 30432-2026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46209</v>
      </c>
      <c r="E773" s="1" t="n">
        <v>46221</v>
      </c>
      <c r="F773" t="inlineStr">
        <is>
          <t>NORRBOTTENS LÄN</t>
        </is>
      </c>
      <c r="G773" t="inlineStr">
        <is>
          <t>BODEN</t>
        </is>
      </c>
      <c r="H773" t="inlineStr">
        <is>
          <t>Kommuner</t>
        </is>
      </c>
      <c r="I773" t="n">
        <v>4.4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s="2" t="inlineStr"/>
    </row>
    <row r="774" ht="15" customHeight="1">
      <c r="A774" t="inlineStr">
        <is>
          <t>A 23232-2024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45453</v>
      </c>
      <c r="E774" s="1" t="n">
        <v>46221</v>
      </c>
      <c r="F774" t="inlineStr">
        <is>
          <t>NORRBOTTENS LÄN</t>
        </is>
      </c>
      <c r="G774" t="inlineStr">
        <is>
          <t>BODEN</t>
        </is>
      </c>
      <c r="I774" t="n">
        <v>1.2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s="2" t="inlineStr"/>
    </row>
    <row r="775" ht="15" customHeight="1">
      <c r="A775" t="inlineStr">
        <is>
          <t>A 24225-2026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46168</v>
      </c>
      <c r="E775" s="1" t="n">
        <v>46221</v>
      </c>
      <c r="F775" t="inlineStr">
        <is>
          <t>NORRBOTTENS LÄN</t>
        </is>
      </c>
      <c r="G775" t="inlineStr">
        <is>
          <t>BODEN</t>
        </is>
      </c>
      <c r="I775" t="n">
        <v>3.7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s="2" t="inlineStr"/>
    </row>
    <row r="776" ht="15" customHeight="1">
      <c r="A776" t="inlineStr">
        <is>
          <t>A 30332-2026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46208</v>
      </c>
      <c r="E776" s="1" t="n">
        <v>46221</v>
      </c>
      <c r="F776" t="inlineStr">
        <is>
          <t>NORRBOTTENS LÄN</t>
        </is>
      </c>
      <c r="G776" t="inlineStr">
        <is>
          <t>BODEN</t>
        </is>
      </c>
      <c r="I776" t="n">
        <v>9.800000000000001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s="2" t="inlineStr"/>
    </row>
    <row r="777" ht="15" customHeight="1">
      <c r="A777" t="inlineStr">
        <is>
          <t>A 24431-2026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46168</v>
      </c>
      <c r="E777" s="1" t="n">
        <v>46221</v>
      </c>
      <c r="F777" t="inlineStr">
        <is>
          <t>NORRBOTTENS LÄN</t>
        </is>
      </c>
      <c r="G777" t="inlineStr">
        <is>
          <t>BODEN</t>
        </is>
      </c>
      <c r="I777" t="n">
        <v>3.1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s="2" t="inlineStr"/>
    </row>
    <row r="778" ht="15" customHeight="1">
      <c r="A778" t="inlineStr">
        <is>
          <t>A 24428-2026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46168</v>
      </c>
      <c r="E778" s="1" t="n">
        <v>46221</v>
      </c>
      <c r="F778" t="inlineStr">
        <is>
          <t>NORRBOTTENS LÄN</t>
        </is>
      </c>
      <c r="G778" t="inlineStr">
        <is>
          <t>BODEN</t>
        </is>
      </c>
      <c r="I778" t="n">
        <v>1.2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s="2" t="inlineStr"/>
    </row>
    <row r="779" ht="15" customHeight="1">
      <c r="A779" t="inlineStr">
        <is>
          <t>A 24221-2026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46168</v>
      </c>
      <c r="E779" s="1" t="n">
        <v>46221</v>
      </c>
      <c r="F779" t="inlineStr">
        <is>
          <t>NORRBOTTENS LÄN</t>
        </is>
      </c>
      <c r="G779" t="inlineStr">
        <is>
          <t>BODEN</t>
        </is>
      </c>
      <c r="I779" t="n">
        <v>1.5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s="2" t="inlineStr"/>
    </row>
    <row r="780" ht="15" customHeight="1">
      <c r="A780" t="inlineStr">
        <is>
          <t>A 24227-2026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46168</v>
      </c>
      <c r="E780" s="1" t="n">
        <v>46221</v>
      </c>
      <c r="F780" t="inlineStr">
        <is>
          <t>NORRBOTTENS LÄN</t>
        </is>
      </c>
      <c r="G780" t="inlineStr">
        <is>
          <t>BODEN</t>
        </is>
      </c>
      <c r="I780" t="n">
        <v>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s="2" t="inlineStr"/>
    </row>
    <row r="781" ht="15" customHeight="1">
      <c r="A781" t="inlineStr">
        <is>
          <t>A 30105-2023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45099</v>
      </c>
      <c r="E781" s="1" t="n">
        <v>46221</v>
      </c>
      <c r="F781" t="inlineStr">
        <is>
          <t>NORRBOTTENS LÄN</t>
        </is>
      </c>
      <c r="G781" t="inlineStr">
        <is>
          <t>BODEN</t>
        </is>
      </c>
      <c r="I781" t="n">
        <v>2.9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s="2" t="inlineStr"/>
    </row>
    <row r="782" ht="15" customHeight="1">
      <c r="A782" t="inlineStr">
        <is>
          <t>A 61588-2024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45646</v>
      </c>
      <c r="E782" s="1" t="n">
        <v>46221</v>
      </c>
      <c r="F782" t="inlineStr">
        <is>
          <t>NORRBOTTENS LÄN</t>
        </is>
      </c>
      <c r="G782" t="inlineStr">
        <is>
          <t>BODEN</t>
        </is>
      </c>
      <c r="I782" t="n">
        <v>1.1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s="2" t="inlineStr"/>
    </row>
    <row r="783" ht="15" customHeight="1">
      <c r="A783" t="inlineStr">
        <is>
          <t>A 30745-2026</t>
        </is>
      </c>
      <c r="B783" t="inlineStr">
        <is>
          <t>avverkningsanmälan</t>
        </is>
      </c>
      <c r="C783" t="inlineStr">
        <is>
          <t>Avverkning för annat ändamål</t>
        </is>
      </c>
      <c r="D783" s="1" t="n">
        <v>46211</v>
      </c>
      <c r="E783" s="1" t="n">
        <v>46221</v>
      </c>
      <c r="F783" t="inlineStr">
        <is>
          <t>NORRBOTTENS LÄN</t>
        </is>
      </c>
      <c r="G783" t="inlineStr">
        <is>
          <t>BODEN</t>
        </is>
      </c>
      <c r="I783" t="n">
        <v>3.9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s="2" t="inlineStr"/>
    </row>
    <row r="784" ht="15" customHeight="1">
      <c r="A784" t="inlineStr">
        <is>
          <t>A 19757-2025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45770</v>
      </c>
      <c r="E784" s="1" t="n">
        <v>46221</v>
      </c>
      <c r="F784" t="inlineStr">
        <is>
          <t>NORRBOTTENS LÄN</t>
        </is>
      </c>
      <c r="G784" t="inlineStr">
        <is>
          <t>BODEN</t>
        </is>
      </c>
      <c r="I784" t="n">
        <v>0.4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s="2" t="inlineStr"/>
    </row>
    <row r="785" ht="15" customHeight="1">
      <c r="A785" t="inlineStr">
        <is>
          <t>A 23706-2024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45454</v>
      </c>
      <c r="E785" s="1" t="n">
        <v>46221</v>
      </c>
      <c r="F785" t="inlineStr">
        <is>
          <t>NORRBOTTENS LÄN</t>
        </is>
      </c>
      <c r="G785" t="inlineStr">
        <is>
          <t>BODEN</t>
        </is>
      </c>
      <c r="I785" t="n">
        <v>10.9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s="2" t="inlineStr"/>
    </row>
    <row r="786" ht="15" customHeight="1">
      <c r="A786" t="inlineStr">
        <is>
          <t>A 19582-2025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45770</v>
      </c>
      <c r="E786" s="1" t="n">
        <v>46221</v>
      </c>
      <c r="F786" t="inlineStr">
        <is>
          <t>NORRBOTTENS LÄN</t>
        </is>
      </c>
      <c r="G786" t="inlineStr">
        <is>
          <t>BODEN</t>
        </is>
      </c>
      <c r="I786" t="n">
        <v>1.2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s="2" t="inlineStr"/>
    </row>
    <row r="787" ht="15" customHeight="1">
      <c r="A787" t="inlineStr">
        <is>
          <t>A 2732-2025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45677</v>
      </c>
      <c r="E787" s="1" t="n">
        <v>46221</v>
      </c>
      <c r="F787" t="inlineStr">
        <is>
          <t>NORRBOTTENS LÄN</t>
        </is>
      </c>
      <c r="G787" t="inlineStr">
        <is>
          <t>BODEN</t>
        </is>
      </c>
      <c r="H787" t="inlineStr">
        <is>
          <t>SCA</t>
        </is>
      </c>
      <c r="I787" t="n">
        <v>3.1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s="2" t="inlineStr"/>
    </row>
    <row r="788" ht="15" customHeight="1">
      <c r="A788" t="inlineStr">
        <is>
          <t>A 29467-2026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46198</v>
      </c>
      <c r="E788" s="1" t="n">
        <v>46221</v>
      </c>
      <c r="F788" t="inlineStr">
        <is>
          <t>NORRBOTTENS LÄN</t>
        </is>
      </c>
      <c r="G788" t="inlineStr">
        <is>
          <t>BODEN</t>
        </is>
      </c>
      <c r="I788" t="n">
        <v>14.5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s="2" t="inlineStr"/>
    </row>
    <row r="789" ht="15" customHeight="1">
      <c r="A789" t="inlineStr">
        <is>
          <t>A 18569-2024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45425</v>
      </c>
      <c r="E789" s="1" t="n">
        <v>46221</v>
      </c>
      <c r="F789" t="inlineStr">
        <is>
          <t>NORRBOTTENS LÄN</t>
        </is>
      </c>
      <c r="G789" t="inlineStr">
        <is>
          <t>BODEN</t>
        </is>
      </c>
      <c r="I789" t="n">
        <v>6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s="2" t="inlineStr"/>
    </row>
    <row r="790" ht="15" customHeight="1">
      <c r="A790" t="inlineStr">
        <is>
          <t>A 24717-2026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46171</v>
      </c>
      <c r="E790" s="1" t="n">
        <v>46221</v>
      </c>
      <c r="F790" t="inlineStr">
        <is>
          <t>NORRBOTTENS LÄN</t>
        </is>
      </c>
      <c r="G790" t="inlineStr">
        <is>
          <t>BODEN</t>
        </is>
      </c>
      <c r="I790" t="n">
        <v>6.1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s="2" t="inlineStr"/>
    </row>
    <row r="791" ht="15" customHeight="1">
      <c r="A791" t="inlineStr">
        <is>
          <t>A 19968-2025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45771</v>
      </c>
      <c r="E791" s="1" t="n">
        <v>46221</v>
      </c>
      <c r="F791" t="inlineStr">
        <is>
          <t>NORRBOTTENS LÄN</t>
        </is>
      </c>
      <c r="G791" t="inlineStr">
        <is>
          <t>BODEN</t>
        </is>
      </c>
      <c r="I791" t="n">
        <v>1.3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s="2" t="inlineStr"/>
    </row>
    <row r="792" ht="15" customHeight="1">
      <c r="A792" t="inlineStr">
        <is>
          <t>A 33034-2023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45125</v>
      </c>
      <c r="E792" s="1" t="n">
        <v>46221</v>
      </c>
      <c r="F792" t="inlineStr">
        <is>
          <t>NORRBOTTENS LÄN</t>
        </is>
      </c>
      <c r="G792" t="inlineStr">
        <is>
          <t>BODEN</t>
        </is>
      </c>
      <c r="H792" t="inlineStr">
        <is>
          <t>SCA</t>
        </is>
      </c>
      <c r="I792" t="n">
        <v>3.8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s="2" t="inlineStr"/>
    </row>
    <row r="793" ht="15" customHeight="1">
      <c r="A793" t="inlineStr">
        <is>
          <t>A 62140-2024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45646</v>
      </c>
      <c r="E793" s="1" t="n">
        <v>46221</v>
      </c>
      <c r="F793" t="inlineStr">
        <is>
          <t>NORRBOTTENS LÄN</t>
        </is>
      </c>
      <c r="G793" t="inlineStr">
        <is>
          <t>BODEN</t>
        </is>
      </c>
      <c r="I793" t="n">
        <v>0.4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s="2" t="inlineStr"/>
    </row>
    <row r="794" ht="15" customHeight="1">
      <c r="A794" t="inlineStr">
        <is>
          <t>A 19082-2025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45766</v>
      </c>
      <c r="E794" s="1" t="n">
        <v>46221</v>
      </c>
      <c r="F794" t="inlineStr">
        <is>
          <t>NORRBOTTENS LÄN</t>
        </is>
      </c>
      <c r="G794" t="inlineStr">
        <is>
          <t>BODEN</t>
        </is>
      </c>
      <c r="H794" t="inlineStr">
        <is>
          <t>SCA</t>
        </is>
      </c>
      <c r="I794" t="n">
        <v>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s="2" t="inlineStr"/>
    </row>
    <row r="795" ht="15" customHeight="1">
      <c r="A795" t="inlineStr">
        <is>
          <t>A 24805-2026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46172</v>
      </c>
      <c r="E795" s="1" t="n">
        <v>46221</v>
      </c>
      <c r="F795" t="inlineStr">
        <is>
          <t>NORRBOTTENS LÄN</t>
        </is>
      </c>
      <c r="G795" t="inlineStr">
        <is>
          <t>BODEN</t>
        </is>
      </c>
      <c r="H795" t="inlineStr">
        <is>
          <t>SCA</t>
        </is>
      </c>
      <c r="I795" t="n">
        <v>1.8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s="2" t="inlineStr"/>
    </row>
    <row r="796" ht="15" customHeight="1">
      <c r="A796" t="inlineStr">
        <is>
          <t>A 58504-2024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45635</v>
      </c>
      <c r="E796" s="1" t="n">
        <v>46221</v>
      </c>
      <c r="F796" t="inlineStr">
        <is>
          <t>NORRBOTTENS LÄN</t>
        </is>
      </c>
      <c r="G796" t="inlineStr">
        <is>
          <t>BODEN</t>
        </is>
      </c>
      <c r="I796" t="n">
        <v>2.8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s="2" t="inlineStr"/>
    </row>
    <row r="797" ht="15" customHeight="1">
      <c r="A797" t="inlineStr">
        <is>
          <t>A 31209-2026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46217</v>
      </c>
      <c r="E797" s="1" t="n">
        <v>46221</v>
      </c>
      <c r="F797" t="inlineStr">
        <is>
          <t>NORRBOTTENS LÄN</t>
        </is>
      </c>
      <c r="G797" t="inlineStr">
        <is>
          <t>BODEN</t>
        </is>
      </c>
      <c r="H797" t="inlineStr">
        <is>
          <t>Sveaskog</t>
        </is>
      </c>
      <c r="I797" t="n">
        <v>8.800000000000001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s="2" t="inlineStr"/>
    </row>
    <row r="798" ht="15" customHeight="1">
      <c r="A798" t="inlineStr">
        <is>
          <t>A 25042-2026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46174</v>
      </c>
      <c r="E798" s="1" t="n">
        <v>46221</v>
      </c>
      <c r="F798" t="inlineStr">
        <is>
          <t>NORRBOTTENS LÄN</t>
        </is>
      </c>
      <c r="G798" t="inlineStr">
        <is>
          <t>BODEN</t>
        </is>
      </c>
      <c r="I798" t="n">
        <v>2.6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s="2" t="inlineStr"/>
    </row>
    <row r="799" ht="15" customHeight="1">
      <c r="A799" t="inlineStr">
        <is>
          <t>A 25240-2026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46175</v>
      </c>
      <c r="E799" s="1" t="n">
        <v>46221</v>
      </c>
      <c r="F799" t="inlineStr">
        <is>
          <t>NORRBOTTENS LÄN</t>
        </is>
      </c>
      <c r="G799" t="inlineStr">
        <is>
          <t>BODEN</t>
        </is>
      </c>
      <c r="I799" t="n">
        <v>6.4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s="2" t="inlineStr"/>
    </row>
    <row r="800" ht="15" customHeight="1">
      <c r="A800" t="inlineStr">
        <is>
          <t>A 31217-2026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46217</v>
      </c>
      <c r="E800" s="1" t="n">
        <v>46221</v>
      </c>
      <c r="F800" t="inlineStr">
        <is>
          <t>NORRBOTTENS LÄN</t>
        </is>
      </c>
      <c r="G800" t="inlineStr">
        <is>
          <t>BODEN</t>
        </is>
      </c>
      <c r="H800" t="inlineStr">
        <is>
          <t>Sveaskog</t>
        </is>
      </c>
      <c r="I800" t="n">
        <v>3.4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s="2" t="inlineStr"/>
    </row>
    <row r="801" ht="15" customHeight="1">
      <c r="A801" t="inlineStr">
        <is>
          <t>A 31211-2026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46217</v>
      </c>
      <c r="E801" s="1" t="n">
        <v>46221</v>
      </c>
      <c r="F801" t="inlineStr">
        <is>
          <t>NORRBOTTENS LÄN</t>
        </is>
      </c>
      <c r="G801" t="inlineStr">
        <is>
          <t>BODEN</t>
        </is>
      </c>
      <c r="H801" t="inlineStr">
        <is>
          <t>Sveaskog</t>
        </is>
      </c>
      <c r="I801" t="n">
        <v>2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s="2" t="inlineStr"/>
    </row>
    <row r="802" ht="15" customHeight="1">
      <c r="A802" t="inlineStr">
        <is>
          <t>A 28357-2023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45099</v>
      </c>
      <c r="E802" s="1" t="n">
        <v>46221</v>
      </c>
      <c r="F802" t="inlineStr">
        <is>
          <t>NORRBOTTENS LÄN</t>
        </is>
      </c>
      <c r="G802" t="inlineStr">
        <is>
          <t>BODEN</t>
        </is>
      </c>
      <c r="I802" t="n">
        <v>4.5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s="2" t="inlineStr"/>
    </row>
    <row r="803" ht="15" customHeight="1">
      <c r="A803" t="inlineStr">
        <is>
          <t>A 15017-2022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44657</v>
      </c>
      <c r="E803" s="1" t="n">
        <v>46221</v>
      </c>
      <c r="F803" t="inlineStr">
        <is>
          <t>NORRBOTTENS LÄN</t>
        </is>
      </c>
      <c r="G803" t="inlineStr">
        <is>
          <t>BODEN</t>
        </is>
      </c>
      <c r="I803" t="n">
        <v>3.7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s="2" t="inlineStr"/>
    </row>
    <row r="804" ht="15" customHeight="1">
      <c r="A804" t="inlineStr">
        <is>
          <t>A 31233-2026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46217</v>
      </c>
      <c r="E804" s="1" t="n">
        <v>46221</v>
      </c>
      <c r="F804" t="inlineStr">
        <is>
          <t>NORRBOTTENS LÄN</t>
        </is>
      </c>
      <c r="G804" t="inlineStr">
        <is>
          <t>BODEN</t>
        </is>
      </c>
      <c r="H804" t="inlineStr">
        <is>
          <t>Sveaskog</t>
        </is>
      </c>
      <c r="I804" t="n">
        <v>18.5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s="2" t="inlineStr"/>
    </row>
    <row r="805" ht="15" customHeight="1">
      <c r="A805" t="inlineStr">
        <is>
          <t>A 61487-2023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45264</v>
      </c>
      <c r="E805" s="1" t="n">
        <v>46221</v>
      </c>
      <c r="F805" t="inlineStr">
        <is>
          <t>NORRBOTTENS LÄN</t>
        </is>
      </c>
      <c r="G805" t="inlineStr">
        <is>
          <t>BODEN</t>
        </is>
      </c>
      <c r="H805" t="inlineStr">
        <is>
          <t>SCA</t>
        </is>
      </c>
      <c r="I805" t="n">
        <v>3.2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s="2" t="inlineStr"/>
    </row>
    <row r="806" ht="15" customHeight="1">
      <c r="A806" t="inlineStr">
        <is>
          <t>A 31226-2026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46217</v>
      </c>
      <c r="E806" s="1" t="n">
        <v>46221</v>
      </c>
      <c r="F806" t="inlineStr">
        <is>
          <t>NORRBOTTENS LÄN</t>
        </is>
      </c>
      <c r="G806" t="inlineStr">
        <is>
          <t>BODEN</t>
        </is>
      </c>
      <c r="H806" t="inlineStr">
        <is>
          <t>Sveaskog</t>
        </is>
      </c>
      <c r="I806" t="n">
        <v>2.6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s="2" t="inlineStr"/>
    </row>
    <row r="807" ht="15" customHeight="1">
      <c r="A807" t="inlineStr">
        <is>
          <t>A 8028-2024</t>
        </is>
      </c>
      <c r="B807" t="inlineStr">
        <is>
          <t>avverkningsanmälan</t>
        </is>
      </c>
      <c r="C807" t="inlineStr">
        <is>
          <t>Avverkning för annat ändamål</t>
        </is>
      </c>
      <c r="D807" s="1" t="n">
        <v>45350</v>
      </c>
      <c r="E807" s="1" t="n">
        <v>46221</v>
      </c>
      <c r="F807" t="inlineStr">
        <is>
          <t>NORRBOTTENS LÄN</t>
        </is>
      </c>
      <c r="G807" t="inlineStr">
        <is>
          <t>BODEN</t>
        </is>
      </c>
      <c r="I807" t="n">
        <v>1.3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s="2" t="inlineStr"/>
    </row>
    <row r="808" ht="15" customHeight="1">
      <c r="A808" t="inlineStr">
        <is>
          <t>A 12562-2024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45379</v>
      </c>
      <c r="E808" s="1" t="n">
        <v>46221</v>
      </c>
      <c r="F808" t="inlineStr">
        <is>
          <t>NORRBOTTENS LÄN</t>
        </is>
      </c>
      <c r="G808" t="inlineStr">
        <is>
          <t>BODEN</t>
        </is>
      </c>
      <c r="I808" t="n">
        <v>3.4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s="2" t="inlineStr"/>
    </row>
    <row r="809" ht="15" customHeight="1">
      <c r="A809" t="inlineStr">
        <is>
          <t>A 57873-2021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44484</v>
      </c>
      <c r="E809" s="1" t="n">
        <v>46221</v>
      </c>
      <c r="F809" t="inlineStr">
        <is>
          <t>NORRBOTTENS LÄN</t>
        </is>
      </c>
      <c r="G809" t="inlineStr">
        <is>
          <t>BODEN</t>
        </is>
      </c>
      <c r="H809" t="inlineStr">
        <is>
          <t>SCA</t>
        </is>
      </c>
      <c r="I809" t="n">
        <v>3.5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s="2" t="inlineStr"/>
    </row>
    <row r="810" ht="15" customHeight="1">
      <c r="A810" t="inlineStr">
        <is>
          <t>A 57895-2021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44486</v>
      </c>
      <c r="E810" s="1" t="n">
        <v>46221</v>
      </c>
      <c r="F810" t="inlineStr">
        <is>
          <t>NORRBOTTENS LÄN</t>
        </is>
      </c>
      <c r="G810" t="inlineStr">
        <is>
          <t>BODEN</t>
        </is>
      </c>
      <c r="I810" t="n">
        <v>9.199999999999999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s="2" t="inlineStr"/>
    </row>
    <row r="811" ht="15" customHeight="1">
      <c r="A811" t="inlineStr">
        <is>
          <t>A 48129-2023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45205</v>
      </c>
      <c r="E811" s="1" t="n">
        <v>46221</v>
      </c>
      <c r="F811" t="inlineStr">
        <is>
          <t>NORRBOTTENS LÄN</t>
        </is>
      </c>
      <c r="G811" t="inlineStr">
        <is>
          <t>BODEN</t>
        </is>
      </c>
      <c r="I811" t="n">
        <v>7.1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s="2" t="inlineStr"/>
    </row>
    <row r="812" ht="15" customHeight="1">
      <c r="A812" t="inlineStr">
        <is>
          <t>A 25817-2026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46178</v>
      </c>
      <c r="E812" s="1" t="n">
        <v>46221</v>
      </c>
      <c r="F812" t="inlineStr">
        <is>
          <t>NORRBOTTENS LÄN</t>
        </is>
      </c>
      <c r="G812" t="inlineStr">
        <is>
          <t>BODEN</t>
        </is>
      </c>
      <c r="H812" t="inlineStr">
        <is>
          <t>Sveaskog</t>
        </is>
      </c>
      <c r="I812" t="n">
        <v>7.5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s="2" t="inlineStr"/>
    </row>
    <row r="813" ht="15" customHeight="1">
      <c r="A813" t="inlineStr">
        <is>
          <t>A 25571-2026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46177</v>
      </c>
      <c r="E813" s="1" t="n">
        <v>46221</v>
      </c>
      <c r="F813" t="inlineStr">
        <is>
          <t>NORRBOTTENS LÄN</t>
        </is>
      </c>
      <c r="G813" t="inlineStr">
        <is>
          <t>BODEN</t>
        </is>
      </c>
      <c r="H813" t="inlineStr">
        <is>
          <t>SCA</t>
        </is>
      </c>
      <c r="I813" t="n">
        <v>1.8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s="2" t="inlineStr"/>
    </row>
    <row r="814" ht="15" customHeight="1">
      <c r="A814" t="inlineStr">
        <is>
          <t>A 25536-2026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46177</v>
      </c>
      <c r="E814" s="1" t="n">
        <v>46221</v>
      </c>
      <c r="F814" t="inlineStr">
        <is>
          <t>NORRBOTTENS LÄN</t>
        </is>
      </c>
      <c r="G814" t="inlineStr">
        <is>
          <t>BODEN</t>
        </is>
      </c>
      <c r="H814" t="inlineStr">
        <is>
          <t>Sveaskog</t>
        </is>
      </c>
      <c r="I814" t="n">
        <v>1.8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s="2" t="inlineStr"/>
    </row>
    <row r="815" ht="15" customHeight="1">
      <c r="A815" t="inlineStr">
        <is>
          <t>A 17417-2023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45035</v>
      </c>
      <c r="E815" s="1" t="n">
        <v>46221</v>
      </c>
      <c r="F815" t="inlineStr">
        <is>
          <t>NORRBOTTENS LÄN</t>
        </is>
      </c>
      <c r="G815" t="inlineStr">
        <is>
          <t>BODEN</t>
        </is>
      </c>
      <c r="I815" t="n">
        <v>3.8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s="2" t="inlineStr"/>
    </row>
    <row r="816" ht="15" customHeight="1">
      <c r="A816" t="inlineStr">
        <is>
          <t>A 6638-2024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45341</v>
      </c>
      <c r="E816" s="1" t="n">
        <v>46221</v>
      </c>
      <c r="F816" t="inlineStr">
        <is>
          <t>NORRBOTTENS LÄN</t>
        </is>
      </c>
      <c r="G816" t="inlineStr">
        <is>
          <t>BODEN</t>
        </is>
      </c>
      <c r="H816" t="inlineStr">
        <is>
          <t>Övriga statliga verk och myndigheter</t>
        </is>
      </c>
      <c r="I816" t="n">
        <v>12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s="2" t="inlineStr"/>
    </row>
    <row r="817" ht="15" customHeight="1">
      <c r="A817" t="inlineStr">
        <is>
          <t>A 61932-2024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45653</v>
      </c>
      <c r="E817" s="1" t="n">
        <v>46221</v>
      </c>
      <c r="F817" t="inlineStr">
        <is>
          <t>NORRBOTTENS LÄN</t>
        </is>
      </c>
      <c r="G817" t="inlineStr">
        <is>
          <t>BODEN</t>
        </is>
      </c>
      <c r="I817" t="n">
        <v>0.8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s="2" t="inlineStr"/>
    </row>
    <row r="818" ht="15" customHeight="1">
      <c r="A818" t="inlineStr">
        <is>
          <t>A 41212-2023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45174</v>
      </c>
      <c r="E818" s="1" t="n">
        <v>46221</v>
      </c>
      <c r="F818" t="inlineStr">
        <is>
          <t>NORRBOTTENS LÄN</t>
        </is>
      </c>
      <c r="G818" t="inlineStr">
        <is>
          <t>BODEN</t>
        </is>
      </c>
      <c r="I818" t="n">
        <v>2.4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s="2" t="inlineStr"/>
    </row>
    <row r="819" ht="15" customHeight="1">
      <c r="A819" t="inlineStr">
        <is>
          <t>A 42995-2022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44833</v>
      </c>
      <c r="E819" s="1" t="n">
        <v>46221</v>
      </c>
      <c r="F819" t="inlineStr">
        <is>
          <t>NORRBOTTENS LÄN</t>
        </is>
      </c>
      <c r="G819" t="inlineStr">
        <is>
          <t>BODEN</t>
        </is>
      </c>
      <c r="I819" t="n">
        <v>4.2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s="2" t="inlineStr"/>
    </row>
    <row r="820" ht="15" customHeight="1">
      <c r="A820" t="inlineStr">
        <is>
          <t>A 59893-2023</t>
        </is>
      </c>
      <c r="B820" t="inlineStr">
        <is>
          <t>avverkningsanmälan</t>
        </is>
      </c>
      <c r="C820" t="inlineStr">
        <is>
          <t>Avverkning för att bevara och utveckla /försöksver</t>
        </is>
      </c>
      <c r="D820" s="1" t="n">
        <v>45254</v>
      </c>
      <c r="E820" s="1" t="n">
        <v>46221</v>
      </c>
      <c r="F820" t="inlineStr">
        <is>
          <t>NORRBOTTENS LÄN</t>
        </is>
      </c>
      <c r="G820" t="inlineStr">
        <is>
          <t>BODEN</t>
        </is>
      </c>
      <c r="I820" t="n">
        <v>1.6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s="2" t="inlineStr"/>
    </row>
    <row r="821" ht="15" customHeight="1">
      <c r="A821" t="inlineStr">
        <is>
          <t>A 1017-2023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44935</v>
      </c>
      <c r="E821" s="1" t="n">
        <v>46221</v>
      </c>
      <c r="F821" t="inlineStr">
        <is>
          <t>NORRBOTTENS LÄN</t>
        </is>
      </c>
      <c r="G821" t="inlineStr">
        <is>
          <t>BODEN</t>
        </is>
      </c>
      <c r="I821" t="n">
        <v>4.4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s="2" t="inlineStr"/>
    </row>
    <row r="822" ht="15" customHeight="1">
      <c r="A822" t="inlineStr">
        <is>
          <t>A 56837-2023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45244</v>
      </c>
      <c r="E822" s="1" t="n">
        <v>46221</v>
      </c>
      <c r="F822" t="inlineStr">
        <is>
          <t>NORRBOTTENS LÄN</t>
        </is>
      </c>
      <c r="G822" t="inlineStr">
        <is>
          <t>BODEN</t>
        </is>
      </c>
      <c r="H822" t="inlineStr">
        <is>
          <t>Övriga statliga verk och myndigheter</t>
        </is>
      </c>
      <c r="I822" t="n">
        <v>5.4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s="2" t="inlineStr"/>
    </row>
    <row r="823" ht="15" customHeight="1">
      <c r="A823" t="inlineStr">
        <is>
          <t>A 61969-2024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45653</v>
      </c>
      <c r="E823" s="1" t="n">
        <v>46221</v>
      </c>
      <c r="F823" t="inlineStr">
        <is>
          <t>NORRBOTTENS LÄN</t>
        </is>
      </c>
      <c r="G823" t="inlineStr">
        <is>
          <t>BODEN</t>
        </is>
      </c>
      <c r="I823" t="n">
        <v>9.699999999999999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s="2" t="inlineStr"/>
    </row>
    <row r="824" ht="15" customHeight="1">
      <c r="A824" t="inlineStr">
        <is>
          <t>A 1961-2025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45672</v>
      </c>
      <c r="E824" s="1" t="n">
        <v>46221</v>
      </c>
      <c r="F824" t="inlineStr">
        <is>
          <t>NORRBOTTENS LÄN</t>
        </is>
      </c>
      <c r="G824" t="inlineStr">
        <is>
          <t>BODEN</t>
        </is>
      </c>
      <c r="I824" t="n">
        <v>0.5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s="2" t="inlineStr"/>
    </row>
    <row r="825" ht="15" customHeight="1">
      <c r="A825" t="inlineStr">
        <is>
          <t>A 19624-2025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45770</v>
      </c>
      <c r="E825" s="1" t="n">
        <v>46221</v>
      </c>
      <c r="F825" t="inlineStr">
        <is>
          <t>NORRBOTTENS LÄN</t>
        </is>
      </c>
      <c r="G825" t="inlineStr">
        <is>
          <t>BODEN</t>
        </is>
      </c>
      <c r="I825" t="n">
        <v>1.2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s="2" t="inlineStr"/>
    </row>
    <row r="826" ht="15" customHeight="1">
      <c r="A826" t="inlineStr">
        <is>
          <t>A 28079-2024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45476</v>
      </c>
      <c r="E826" s="1" t="n">
        <v>46221</v>
      </c>
      <c r="F826" t="inlineStr">
        <is>
          <t>NORRBOTTENS LÄN</t>
        </is>
      </c>
      <c r="G826" t="inlineStr">
        <is>
          <t>BODEN</t>
        </is>
      </c>
      <c r="I826" t="n">
        <v>6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s="2" t="inlineStr"/>
    </row>
    <row r="827" ht="15" customHeight="1">
      <c r="A827" t="inlineStr">
        <is>
          <t>A 19048-2025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45764</v>
      </c>
      <c r="E827" s="1" t="n">
        <v>46221</v>
      </c>
      <c r="F827" t="inlineStr">
        <is>
          <t>NORRBOTTENS LÄN</t>
        </is>
      </c>
      <c r="G827" t="inlineStr">
        <is>
          <t>BODEN</t>
        </is>
      </c>
      <c r="I827" t="n">
        <v>5.7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s="2" t="inlineStr"/>
    </row>
    <row r="828" ht="15" customHeight="1">
      <c r="A828" t="inlineStr">
        <is>
          <t>A 19050-2025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45764</v>
      </c>
      <c r="E828" s="1" t="n">
        <v>46221</v>
      </c>
      <c r="F828" t="inlineStr">
        <is>
          <t>NORRBOTTENS LÄN</t>
        </is>
      </c>
      <c r="G828" t="inlineStr">
        <is>
          <t>BODEN</t>
        </is>
      </c>
      <c r="I828" t="n">
        <v>3.4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s="2" t="inlineStr"/>
    </row>
    <row r="829" ht="15" customHeight="1">
      <c r="A829" t="inlineStr">
        <is>
          <t>A 54236-2022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44881</v>
      </c>
      <c r="E829" s="1" t="n">
        <v>46221</v>
      </c>
      <c r="F829" t="inlineStr">
        <is>
          <t>NORRBOTTENS LÄN</t>
        </is>
      </c>
      <c r="G829" t="inlineStr">
        <is>
          <t>BODEN</t>
        </is>
      </c>
      <c r="I829" t="n">
        <v>1.1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s="2" t="inlineStr"/>
    </row>
    <row r="830" ht="15" customHeight="1">
      <c r="A830" t="inlineStr">
        <is>
          <t>A 14801-2024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45397</v>
      </c>
      <c r="E830" s="1" t="n">
        <v>46221</v>
      </c>
      <c r="F830" t="inlineStr">
        <is>
          <t>NORRBOTTENS LÄN</t>
        </is>
      </c>
      <c r="G830" t="inlineStr">
        <is>
          <t>BODEN</t>
        </is>
      </c>
      <c r="I830" t="n">
        <v>1.9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s="2" t="inlineStr"/>
    </row>
    <row r="831" ht="15" customHeight="1">
      <c r="A831" t="inlineStr">
        <is>
          <t>A 14802-2024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45397</v>
      </c>
      <c r="E831" s="1" t="n">
        <v>46221</v>
      </c>
      <c r="F831" t="inlineStr">
        <is>
          <t>NORRBOTTENS LÄN</t>
        </is>
      </c>
      <c r="G831" t="inlineStr">
        <is>
          <t>BODEN</t>
        </is>
      </c>
      <c r="I831" t="n">
        <v>1.6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s="2" t="inlineStr"/>
    </row>
    <row r="832" ht="15" customHeight="1">
      <c r="A832" t="inlineStr">
        <is>
          <t>A 13925-2024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45391</v>
      </c>
      <c r="E832" s="1" t="n">
        <v>46221</v>
      </c>
      <c r="F832" t="inlineStr">
        <is>
          <t>NORRBOTTENS LÄN</t>
        </is>
      </c>
      <c r="G832" t="inlineStr">
        <is>
          <t>BODEN</t>
        </is>
      </c>
      <c r="I832" t="n">
        <v>1.1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s="2" t="inlineStr"/>
    </row>
    <row r="833" ht="15" customHeight="1">
      <c r="A833" t="inlineStr">
        <is>
          <t>A 21128-2025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45778</v>
      </c>
      <c r="E833" s="1" t="n">
        <v>46221</v>
      </c>
      <c r="F833" t="inlineStr">
        <is>
          <t>NORRBOTTENS LÄN</t>
        </is>
      </c>
      <c r="G833" t="inlineStr">
        <is>
          <t>BODEN</t>
        </is>
      </c>
      <c r="H833" t="inlineStr">
        <is>
          <t>SCA</t>
        </is>
      </c>
      <c r="I833" t="n">
        <v>2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s="2" t="inlineStr"/>
    </row>
    <row r="834" ht="15" customHeight="1">
      <c r="A834" t="inlineStr">
        <is>
          <t>A 21349-2025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45782</v>
      </c>
      <c r="E834" s="1" t="n">
        <v>46221</v>
      </c>
      <c r="F834" t="inlineStr">
        <is>
          <t>NORRBOTTENS LÄN</t>
        </is>
      </c>
      <c r="G834" t="inlineStr">
        <is>
          <t>BODEN</t>
        </is>
      </c>
      <c r="I834" t="n">
        <v>5.2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s="2" t="inlineStr"/>
    </row>
    <row r="835" ht="15" customHeight="1">
      <c r="A835" t="inlineStr">
        <is>
          <t>A 22372-2025</t>
        </is>
      </c>
      <c r="B835" t="inlineStr">
        <is>
          <t>avverkningsanmälan</t>
        </is>
      </c>
      <c r="C835" t="inlineStr">
        <is>
          <t>Avverkning för annat ändamål</t>
        </is>
      </c>
      <c r="D835" s="1" t="n">
        <v>45786</v>
      </c>
      <c r="E835" s="1" t="n">
        <v>46221</v>
      </c>
      <c r="F835" t="inlineStr">
        <is>
          <t>NORRBOTTENS LÄN</t>
        </is>
      </c>
      <c r="G835" t="inlineStr">
        <is>
          <t>BODEN</t>
        </is>
      </c>
      <c r="H835" t="inlineStr">
        <is>
          <t>Kommuner</t>
        </is>
      </c>
      <c r="I835" t="n">
        <v>16.3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s="2" t="inlineStr"/>
    </row>
    <row r="836" ht="15" customHeight="1">
      <c r="A836" t="inlineStr">
        <is>
          <t>A 36115-2023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45149</v>
      </c>
      <c r="E836" s="1" t="n">
        <v>46221</v>
      </c>
      <c r="F836" t="inlineStr">
        <is>
          <t>NORRBOTTENS LÄN</t>
        </is>
      </c>
      <c r="G836" t="inlineStr">
        <is>
          <t>BODEN</t>
        </is>
      </c>
      <c r="I836" t="n">
        <v>3.4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s="2" t="inlineStr"/>
    </row>
    <row r="837" ht="15" customHeight="1">
      <c r="A837" t="inlineStr">
        <is>
          <t>A 12558-2024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45379</v>
      </c>
      <c r="E837" s="1" t="n">
        <v>46221</v>
      </c>
      <c r="F837" t="inlineStr">
        <is>
          <t>NORRBOTTENS LÄN</t>
        </is>
      </c>
      <c r="G837" t="inlineStr">
        <is>
          <t>BODEN</t>
        </is>
      </c>
      <c r="I837" t="n">
        <v>2.3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s="2" t="inlineStr"/>
    </row>
    <row r="838" ht="15" customHeight="1">
      <c r="A838" t="inlineStr">
        <is>
          <t>A 23321-2025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45791</v>
      </c>
      <c r="E838" s="1" t="n">
        <v>46221</v>
      </c>
      <c r="F838" t="inlineStr">
        <is>
          <t>NORRBOTTENS LÄN</t>
        </is>
      </c>
      <c r="G838" t="inlineStr">
        <is>
          <t>BODEN</t>
        </is>
      </c>
      <c r="H838" t="inlineStr">
        <is>
          <t>Sveaskog</t>
        </is>
      </c>
      <c r="I838" t="n">
        <v>10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s="2" t="inlineStr"/>
    </row>
    <row r="839" ht="15" customHeight="1">
      <c r="A839" t="inlineStr">
        <is>
          <t>A 23724-2025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45793</v>
      </c>
      <c r="E839" s="1" t="n">
        <v>46221</v>
      </c>
      <c r="F839" t="inlineStr">
        <is>
          <t>NORRBOTTENS LÄN</t>
        </is>
      </c>
      <c r="G839" t="inlineStr">
        <is>
          <t>BODEN</t>
        </is>
      </c>
      <c r="H839" t="inlineStr">
        <is>
          <t>SCA</t>
        </is>
      </c>
      <c r="I839" t="n">
        <v>1.3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s="2" t="inlineStr"/>
    </row>
    <row r="840" ht="15" customHeight="1">
      <c r="A840" t="inlineStr">
        <is>
          <t>A 48420-2024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45590</v>
      </c>
      <c r="E840" s="1" t="n">
        <v>46221</v>
      </c>
      <c r="F840" t="inlineStr">
        <is>
          <t>NORRBOTTENS LÄN</t>
        </is>
      </c>
      <c r="G840" t="inlineStr">
        <is>
          <t>BODEN</t>
        </is>
      </c>
      <c r="I840" t="n">
        <v>1.5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s="2" t="inlineStr"/>
    </row>
    <row r="841" ht="15" customHeight="1">
      <c r="A841" t="inlineStr">
        <is>
          <t>A 48427-2024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45590</v>
      </c>
      <c r="E841" s="1" t="n">
        <v>46221</v>
      </c>
      <c r="F841" t="inlineStr">
        <is>
          <t>NORRBOTTENS LÄN</t>
        </is>
      </c>
      <c r="G841" t="inlineStr">
        <is>
          <t>BODEN</t>
        </is>
      </c>
      <c r="I841" t="n">
        <v>1.8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s="2" t="inlineStr"/>
    </row>
    <row r="842" ht="15" customHeight="1">
      <c r="A842" t="inlineStr">
        <is>
          <t>A 23763-2025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45793</v>
      </c>
      <c r="E842" s="1" t="n">
        <v>46221</v>
      </c>
      <c r="F842" t="inlineStr">
        <is>
          <t>NORRBOTTENS LÄN</t>
        </is>
      </c>
      <c r="G842" t="inlineStr">
        <is>
          <t>BODEN</t>
        </is>
      </c>
      <c r="H842" t="inlineStr">
        <is>
          <t>SCA</t>
        </is>
      </c>
      <c r="I842" t="n">
        <v>2.6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s="2" t="inlineStr"/>
    </row>
    <row r="843" ht="15" customHeight="1">
      <c r="A843" t="inlineStr">
        <is>
          <t>A 23761-2025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45793</v>
      </c>
      <c r="E843" s="1" t="n">
        <v>46221</v>
      </c>
      <c r="F843" t="inlineStr">
        <is>
          <t>NORRBOTTENS LÄN</t>
        </is>
      </c>
      <c r="G843" t="inlineStr">
        <is>
          <t>BODEN</t>
        </is>
      </c>
      <c r="H843" t="inlineStr">
        <is>
          <t>SCA</t>
        </is>
      </c>
      <c r="I843" t="n">
        <v>2.2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s="2" t="inlineStr"/>
    </row>
    <row r="844" ht="15" customHeight="1">
      <c r="A844" t="inlineStr">
        <is>
          <t>A 24699-2025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45798</v>
      </c>
      <c r="E844" s="1" t="n">
        <v>46221</v>
      </c>
      <c r="F844" t="inlineStr">
        <is>
          <t>NORRBOTTENS LÄN</t>
        </is>
      </c>
      <c r="G844" t="inlineStr">
        <is>
          <t>BODEN</t>
        </is>
      </c>
      <c r="H844" t="inlineStr">
        <is>
          <t>SCA</t>
        </is>
      </c>
      <c r="I844" t="n">
        <v>11.8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s="2" t="inlineStr"/>
    </row>
    <row r="845" ht="15" customHeight="1">
      <c r="A845" t="inlineStr">
        <is>
          <t>A 24538-2025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45798</v>
      </c>
      <c r="E845" s="1" t="n">
        <v>46221</v>
      </c>
      <c r="F845" t="inlineStr">
        <is>
          <t>NORRBOTTENS LÄN</t>
        </is>
      </c>
      <c r="G845" t="inlineStr">
        <is>
          <t>BODEN</t>
        </is>
      </c>
      <c r="H845" t="inlineStr">
        <is>
          <t>Sveaskog</t>
        </is>
      </c>
      <c r="I845" t="n">
        <v>15.8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s="2" t="inlineStr"/>
    </row>
    <row r="846" ht="15" customHeight="1">
      <c r="A846" t="inlineStr">
        <is>
          <t>A 24358-2025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45797</v>
      </c>
      <c r="E846" s="1" t="n">
        <v>46221</v>
      </c>
      <c r="F846" t="inlineStr">
        <is>
          <t>NORRBOTTENS LÄN</t>
        </is>
      </c>
      <c r="G846" t="inlineStr">
        <is>
          <t>BODEN</t>
        </is>
      </c>
      <c r="H846" t="inlineStr">
        <is>
          <t>SCA</t>
        </is>
      </c>
      <c r="I846" t="n">
        <v>3.4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s="2" t="inlineStr"/>
    </row>
    <row r="847" ht="15" customHeight="1">
      <c r="A847" t="inlineStr">
        <is>
          <t>A 24545-2025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45798</v>
      </c>
      <c r="E847" s="1" t="n">
        <v>46221</v>
      </c>
      <c r="F847" t="inlineStr">
        <is>
          <t>NORRBOTTENS LÄN</t>
        </is>
      </c>
      <c r="G847" t="inlineStr">
        <is>
          <t>BODEN</t>
        </is>
      </c>
      <c r="H847" t="inlineStr">
        <is>
          <t>Sveaskog</t>
        </is>
      </c>
      <c r="I847" t="n">
        <v>2.6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s="2" t="inlineStr"/>
    </row>
    <row r="848" ht="15" customHeight="1">
      <c r="A848" t="inlineStr">
        <is>
          <t>A 49806-2022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44862</v>
      </c>
      <c r="E848" s="1" t="n">
        <v>46221</v>
      </c>
      <c r="F848" t="inlineStr">
        <is>
          <t>NORRBOTTENS LÄN</t>
        </is>
      </c>
      <c r="G848" t="inlineStr">
        <is>
          <t>BODEN</t>
        </is>
      </c>
      <c r="I848" t="n">
        <v>7.9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s="2" t="inlineStr"/>
    </row>
    <row r="849" ht="15" customHeight="1">
      <c r="A849" t="inlineStr">
        <is>
          <t>A 24733-2025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45799</v>
      </c>
      <c r="E849" s="1" t="n">
        <v>46221</v>
      </c>
      <c r="F849" t="inlineStr">
        <is>
          <t>NORRBOTTENS LÄN</t>
        </is>
      </c>
      <c r="G849" t="inlineStr">
        <is>
          <t>BODEN</t>
        </is>
      </c>
      <c r="H849" t="inlineStr">
        <is>
          <t>SCA</t>
        </is>
      </c>
      <c r="I849" t="n">
        <v>3.7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s="2" t="inlineStr"/>
    </row>
    <row r="850" ht="15" customHeight="1">
      <c r="A850" t="inlineStr">
        <is>
          <t>A 25983-2025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45803</v>
      </c>
      <c r="E850" s="1" t="n">
        <v>46221</v>
      </c>
      <c r="F850" t="inlineStr">
        <is>
          <t>NORRBOTTENS LÄN</t>
        </is>
      </c>
      <c r="G850" t="inlineStr">
        <is>
          <t>BODEN</t>
        </is>
      </c>
      <c r="I850" t="n">
        <v>1.6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s="2" t="inlineStr"/>
    </row>
    <row r="851" ht="15" customHeight="1">
      <c r="A851" t="inlineStr">
        <is>
          <t>S 885-2024</t>
        </is>
      </c>
      <c r="B851" t="inlineStr">
        <is>
          <t>samrådsanmälan</t>
        </is>
      </c>
      <c r="C851" t="inlineStr">
        <is>
          <t>Annan skogsbruksåtgärd</t>
        </is>
      </c>
      <c r="D851" s="1" t="n">
        <v>45376</v>
      </c>
      <c r="E851" s="1" t="n">
        <v>46221</v>
      </c>
      <c r="F851" t="inlineStr">
        <is>
          <t>NORRBOTTENS LÄN</t>
        </is>
      </c>
      <c r="G851" t="inlineStr">
        <is>
          <t>BODEN</t>
        </is>
      </c>
      <c r="H851" t="inlineStr">
        <is>
          <t>Sveaskog</t>
        </is>
      </c>
      <c r="I851" t="n">
        <v>5.7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s="2" t="inlineStr"/>
    </row>
    <row r="852" ht="15" customHeight="1">
      <c r="A852" t="inlineStr">
        <is>
          <t>S 1063-2023</t>
        </is>
      </c>
      <c r="B852" t="inlineStr">
        <is>
          <t>samrådsanmälan</t>
        </is>
      </c>
      <c r="C852" t="inlineStr">
        <is>
          <t>Annan skogsbruksåtgärd</t>
        </is>
      </c>
      <c r="D852" s="1" t="n">
        <v>45013</v>
      </c>
      <c r="E852" s="1" t="n">
        <v>46221</v>
      </c>
      <c r="F852" t="inlineStr">
        <is>
          <t>NORRBOTTENS LÄN</t>
        </is>
      </c>
      <c r="G852" t="inlineStr">
        <is>
          <t>BODEN</t>
        </is>
      </c>
      <c r="I852" t="n">
        <v>4.8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s="2" t="inlineStr"/>
    </row>
    <row r="853" ht="15" customHeight="1">
      <c r="A853" t="inlineStr">
        <is>
          <t>S 883-2024</t>
        </is>
      </c>
      <c r="B853" t="inlineStr">
        <is>
          <t>samrådsanmälan</t>
        </is>
      </c>
      <c r="C853" t="inlineStr">
        <is>
          <t>Annan skogsbruksåtgärd</t>
        </is>
      </c>
      <c r="D853" s="1" t="n">
        <v>45376</v>
      </c>
      <c r="E853" s="1" t="n">
        <v>46221</v>
      </c>
      <c r="F853" t="inlineStr">
        <is>
          <t>NORRBOTTENS LÄN</t>
        </is>
      </c>
      <c r="G853" t="inlineStr">
        <is>
          <t>BODEN</t>
        </is>
      </c>
      <c r="H853" t="inlineStr">
        <is>
          <t>Sveaskog</t>
        </is>
      </c>
      <c r="I853" t="n">
        <v>2.4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s="2" t="inlineStr"/>
    </row>
    <row r="854" ht="15" customHeight="1">
      <c r="A854" t="inlineStr">
        <is>
          <t>S 52-2025</t>
        </is>
      </c>
      <c r="B854" t="inlineStr">
        <is>
          <t>samrådsanmälan</t>
        </is>
      </c>
      <c r="C854" t="inlineStr">
        <is>
          <t>Annan skogsbruksåtgärd</t>
        </is>
      </c>
      <c r="D854" s="1" t="n">
        <v>45667</v>
      </c>
      <c r="E854" s="1" t="n">
        <v>46221</v>
      </c>
      <c r="F854" t="inlineStr">
        <is>
          <t>NORRBOTTENS LÄN</t>
        </is>
      </c>
      <c r="G854" t="inlineStr">
        <is>
          <t>BODEN</t>
        </is>
      </c>
      <c r="I854" t="n">
        <v>2.9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s="2" t="inlineStr"/>
    </row>
    <row r="855" ht="15" customHeight="1">
      <c r="A855" t="inlineStr">
        <is>
          <t>S 190-2023</t>
        </is>
      </c>
      <c r="B855" t="inlineStr">
        <is>
          <t>samrådsanmälan</t>
        </is>
      </c>
      <c r="C855" t="inlineStr">
        <is>
          <t>Skogsgödsling</t>
        </is>
      </c>
      <c r="D855" s="1" t="n">
        <v>44945</v>
      </c>
      <c r="E855" s="1" t="n">
        <v>46221</v>
      </c>
      <c r="F855" t="inlineStr">
        <is>
          <t>NORRBOTTENS LÄN</t>
        </is>
      </c>
      <c r="G855" t="inlineStr">
        <is>
          <t>BODEN</t>
        </is>
      </c>
      <c r="H855" t="inlineStr">
        <is>
          <t>SCA</t>
        </is>
      </c>
      <c r="I855" t="n">
        <v>6.8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s="2" t="inlineStr"/>
    </row>
    <row r="856" ht="15" customHeight="1">
      <c r="A856" t="inlineStr">
        <is>
          <t>S 977-2025</t>
        </is>
      </c>
      <c r="B856" t="inlineStr">
        <is>
          <t>samrådsanmälan</t>
        </is>
      </c>
      <c r="C856" t="inlineStr">
        <is>
          <t>Skogsgödsling</t>
        </is>
      </c>
      <c r="D856" s="1" t="n">
        <v>45743</v>
      </c>
      <c r="E856" s="1" t="n">
        <v>46221</v>
      </c>
      <c r="F856" t="inlineStr">
        <is>
          <t>NORRBOTTENS LÄN</t>
        </is>
      </c>
      <c r="G856" t="inlineStr">
        <is>
          <t>BODEN</t>
        </is>
      </c>
      <c r="I856" t="n">
        <v>11.1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s="2" t="inlineStr"/>
    </row>
    <row r="857" ht="15" customHeight="1">
      <c r="A857" t="inlineStr">
        <is>
          <t>S 978-2025</t>
        </is>
      </c>
      <c r="B857" t="inlineStr">
        <is>
          <t>samrådsanmälan</t>
        </is>
      </c>
      <c r="C857" t="inlineStr">
        <is>
          <t>Skogsgödsling</t>
        </is>
      </c>
      <c r="D857" s="1" t="n">
        <v>45743</v>
      </c>
      <c r="E857" s="1" t="n">
        <v>46221</v>
      </c>
      <c r="F857" t="inlineStr">
        <is>
          <t>NORRBOTTENS LÄN</t>
        </is>
      </c>
      <c r="G857" t="inlineStr">
        <is>
          <t>BODEN</t>
        </is>
      </c>
      <c r="I857" t="n">
        <v>19.5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s="2" t="inlineStr"/>
    </row>
    <row r="858" ht="15" customHeight="1">
      <c r="A858" t="inlineStr">
        <is>
          <t>S 1498-2025</t>
        </is>
      </c>
      <c r="B858" t="inlineStr">
        <is>
          <t>samrådsanmälan</t>
        </is>
      </c>
      <c r="C858" t="inlineStr">
        <is>
          <t>Skogsgödsling</t>
        </is>
      </c>
      <c r="D858" s="1" t="n">
        <v>45789</v>
      </c>
      <c r="E858" s="1" t="n">
        <v>46221</v>
      </c>
      <c r="F858" t="inlineStr">
        <is>
          <t>NORRBOTTENS LÄN</t>
        </is>
      </c>
      <c r="G858" t="inlineStr">
        <is>
          <t>BODEN</t>
        </is>
      </c>
      <c r="H858" t="inlineStr">
        <is>
          <t>Övriga Aktiebolag</t>
        </is>
      </c>
      <c r="I858" t="n">
        <v>7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s="2" t="inlineStr"/>
    </row>
    <row r="859" ht="15" customHeight="1">
      <c r="A859" t="inlineStr">
        <is>
          <t>S 1572-2025</t>
        </is>
      </c>
      <c r="B859" t="inlineStr">
        <is>
          <t>samrådsanmälan</t>
        </is>
      </c>
      <c r="C859" t="inlineStr">
        <is>
          <t>Skogsgödsling</t>
        </is>
      </c>
      <c r="D859" s="1" t="n">
        <v>45792</v>
      </c>
      <c r="E859" s="1" t="n">
        <v>46221</v>
      </c>
      <c r="F859" t="inlineStr">
        <is>
          <t>NORRBOTTENS LÄN</t>
        </is>
      </c>
      <c r="G859" t="inlineStr">
        <is>
          <t>BODEN</t>
        </is>
      </c>
      <c r="I859" t="n">
        <v>8.6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s="2" t="inlineStr"/>
    </row>
    <row r="860" ht="15" customHeight="1">
      <c r="A860" t="inlineStr">
        <is>
          <t>S 1631-2025</t>
        </is>
      </c>
      <c r="B860" t="inlineStr">
        <is>
          <t>samrådsanmälan</t>
        </is>
      </c>
      <c r="C860" t="inlineStr">
        <is>
          <t>Annan skogsbruksåtgärd</t>
        </is>
      </c>
      <c r="D860" s="1" t="n">
        <v>45799</v>
      </c>
      <c r="E860" s="1" t="n">
        <v>46221</v>
      </c>
      <c r="F860" t="inlineStr">
        <is>
          <t>NORRBOTTENS LÄN</t>
        </is>
      </c>
      <c r="G860" t="inlineStr">
        <is>
          <t>BODEN</t>
        </is>
      </c>
      <c r="H860" t="inlineStr">
        <is>
          <t>Sveaskog</t>
        </is>
      </c>
      <c r="I860" t="n">
        <v>1.2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s="2" t="inlineStr"/>
    </row>
    <row r="861" ht="15" customHeight="1">
      <c r="A861" t="inlineStr">
        <is>
          <t>S 1633-2025</t>
        </is>
      </c>
      <c r="B861" t="inlineStr">
        <is>
          <t>samrådsanmälan</t>
        </is>
      </c>
      <c r="C861" t="inlineStr">
        <is>
          <t>Annan skogsbruksåtgärd</t>
        </is>
      </c>
      <c r="D861" s="1" t="n">
        <v>45799</v>
      </c>
      <c r="E861" s="1" t="n">
        <v>46221</v>
      </c>
      <c r="F861" t="inlineStr">
        <is>
          <t>NORRBOTTENS LÄN</t>
        </is>
      </c>
      <c r="G861" t="inlineStr">
        <is>
          <t>BODEN</t>
        </is>
      </c>
      <c r="H861" t="inlineStr">
        <is>
          <t>Sveaskog</t>
        </is>
      </c>
      <c r="I861" t="n">
        <v>0.2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s="2" t="inlineStr"/>
    </row>
    <row r="862" ht="15" customHeight="1">
      <c r="A862" t="inlineStr">
        <is>
          <t>S 1632-2025</t>
        </is>
      </c>
      <c r="B862" t="inlineStr">
        <is>
          <t>samrådsanmälan</t>
        </is>
      </c>
      <c r="C862" t="inlineStr">
        <is>
          <t>Annan skogsbruksåtgärd</t>
        </is>
      </c>
      <c r="D862" s="1" t="n">
        <v>45799</v>
      </c>
      <c r="E862" s="1" t="n">
        <v>46221</v>
      </c>
      <c r="F862" t="inlineStr">
        <is>
          <t>NORRBOTTENS LÄN</t>
        </is>
      </c>
      <c r="G862" t="inlineStr">
        <is>
          <t>BODEN</t>
        </is>
      </c>
      <c r="H862" t="inlineStr">
        <is>
          <t>Sveaskog</t>
        </is>
      </c>
      <c r="I862" t="n">
        <v>1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s="2" t="inlineStr"/>
    </row>
    <row r="863" ht="15" customHeight="1">
      <c r="A863" t="inlineStr">
        <is>
          <t>S 1734-2025</t>
        </is>
      </c>
      <c r="B863" t="inlineStr">
        <is>
          <t>samrådsanmälan</t>
        </is>
      </c>
      <c r="C863" t="inlineStr">
        <is>
          <t>Annan skogsbruksåtgärd</t>
        </is>
      </c>
      <c r="D863" s="1" t="n">
        <v>45810</v>
      </c>
      <c r="E863" s="1" t="n">
        <v>46221</v>
      </c>
      <c r="F863" t="inlineStr">
        <is>
          <t>NORRBOTTENS LÄN</t>
        </is>
      </c>
      <c r="G863" t="inlineStr">
        <is>
          <t>BODEN</t>
        </is>
      </c>
      <c r="H863" t="inlineStr">
        <is>
          <t>Sveaskog</t>
        </is>
      </c>
      <c r="I863" t="n">
        <v>0.7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s="2" t="inlineStr"/>
    </row>
    <row r="864" ht="15" customHeight="1">
      <c r="A864" t="inlineStr">
        <is>
          <t>S 1811-2025</t>
        </is>
      </c>
      <c r="B864" t="inlineStr">
        <is>
          <t>samrådsanmälan</t>
        </is>
      </c>
      <c r="C864" t="inlineStr">
        <is>
          <t>Annan skogsbruksåtgärd</t>
        </is>
      </c>
      <c r="D864" s="1" t="n">
        <v>45818</v>
      </c>
      <c r="E864" s="1" t="n">
        <v>46221</v>
      </c>
      <c r="F864" t="inlineStr">
        <is>
          <t>NORRBOTTENS LÄN</t>
        </is>
      </c>
      <c r="G864" t="inlineStr">
        <is>
          <t>BODEN</t>
        </is>
      </c>
      <c r="H864" t="inlineStr">
        <is>
          <t>Sveaskog</t>
        </is>
      </c>
      <c r="I864" t="n">
        <v>0.7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s="2" t="inlineStr"/>
    </row>
    <row r="865" ht="15" customHeight="1">
      <c r="A865" t="inlineStr">
        <is>
          <t>S 2072-2025</t>
        </is>
      </c>
      <c r="B865" t="inlineStr">
        <is>
          <t>samrådsanmälan</t>
        </is>
      </c>
      <c r="C865" t="inlineStr">
        <is>
          <t>Annan skogsbruksåtgärd</t>
        </is>
      </c>
      <c r="D865" s="1" t="n">
        <v>45840</v>
      </c>
      <c r="E865" s="1" t="n">
        <v>46221</v>
      </c>
      <c r="F865" t="inlineStr">
        <is>
          <t>NORRBOTTENS LÄN</t>
        </is>
      </c>
      <c r="G865" t="inlineStr">
        <is>
          <t>BODEN</t>
        </is>
      </c>
      <c r="H865" t="inlineStr">
        <is>
          <t>Sveaskog</t>
        </is>
      </c>
      <c r="I865" t="n">
        <v>0.7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s="2" t="inlineStr"/>
    </row>
    <row r="866" ht="15" customHeight="1">
      <c r="A866" t="inlineStr">
        <is>
          <t>S 3580-2025</t>
        </is>
      </c>
      <c r="B866" t="inlineStr">
        <is>
          <t>samrådsanmälan</t>
        </is>
      </c>
      <c r="C866" t="inlineStr">
        <is>
          <t>Annan skogsbruksåtgärd</t>
        </is>
      </c>
      <c r="D866" s="1" t="n">
        <v>46018</v>
      </c>
      <c r="E866" s="1" t="n">
        <v>46221</v>
      </c>
      <c r="F866" t="inlineStr">
        <is>
          <t>NORRBOTTENS LÄN</t>
        </is>
      </c>
      <c r="G866" t="inlineStr">
        <is>
          <t>BODEN</t>
        </is>
      </c>
      <c r="I866" t="n">
        <v>1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s="2" t="inlineStr"/>
    </row>
    <row r="867" ht="15" customHeight="1">
      <c r="A867" t="inlineStr">
        <is>
          <t>S 1267-2026</t>
        </is>
      </c>
      <c r="B867" t="inlineStr">
        <is>
          <t>samrådsanmälan</t>
        </is>
      </c>
      <c r="C867" t="inlineStr">
        <is>
          <t>Skogsgödsling</t>
        </is>
      </c>
      <c r="D867" s="1" t="n">
        <v>46147</v>
      </c>
      <c r="E867" s="1" t="n">
        <v>46221</v>
      </c>
      <c r="F867" t="inlineStr">
        <is>
          <t>NORRBOTTENS LÄN</t>
        </is>
      </c>
      <c r="G867" t="inlineStr">
        <is>
          <t>BODEN</t>
        </is>
      </c>
      <c r="I867" t="n">
        <v>57.4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s="2" t="inlineStr"/>
    </row>
    <row r="868" ht="15" customHeight="1">
      <c r="A868" t="inlineStr">
        <is>
          <t>S 1261-2026</t>
        </is>
      </c>
      <c r="B868" t="inlineStr">
        <is>
          <t>samrådsanmälan</t>
        </is>
      </c>
      <c r="C868" t="inlineStr">
        <is>
          <t>Skogsgödsling</t>
        </is>
      </c>
      <c r="D868" s="1" t="n">
        <v>46147</v>
      </c>
      <c r="E868" s="1" t="n">
        <v>46221</v>
      </c>
      <c r="F868" t="inlineStr">
        <is>
          <t>NORRBOTTENS LÄN</t>
        </is>
      </c>
      <c r="G868" t="inlineStr">
        <is>
          <t>BODEN</t>
        </is>
      </c>
      <c r="I868" t="n">
        <v>16.9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s="2" t="inlineStr"/>
    </row>
    <row r="869" ht="15" customHeight="1">
      <c r="A869" t="inlineStr">
        <is>
          <t>S 1262-2026</t>
        </is>
      </c>
      <c r="B869" t="inlineStr">
        <is>
          <t>samrådsanmälan</t>
        </is>
      </c>
      <c r="C869" t="inlineStr">
        <is>
          <t>Skogsgödsling</t>
        </is>
      </c>
      <c r="D869" s="1" t="n">
        <v>46147</v>
      </c>
      <c r="E869" s="1" t="n">
        <v>46221</v>
      </c>
      <c r="F869" t="inlineStr">
        <is>
          <t>NORRBOTTENS LÄN</t>
        </is>
      </c>
      <c r="G869" t="inlineStr">
        <is>
          <t>BODEN</t>
        </is>
      </c>
      <c r="H869" t="inlineStr">
        <is>
          <t>Kommuner</t>
        </is>
      </c>
      <c r="I869" t="n">
        <v>16.2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s="2" t="inlineStr"/>
    </row>
    <row r="870" ht="15" customHeight="1">
      <c r="A870" t="inlineStr">
        <is>
          <t>S 1356-2026</t>
        </is>
      </c>
      <c r="B870" t="inlineStr">
        <is>
          <t>samrådsanmälan</t>
        </is>
      </c>
      <c r="C870" t="inlineStr">
        <is>
          <t>Skogsgödsling</t>
        </is>
      </c>
      <c r="D870" s="1" t="n">
        <v>46152</v>
      </c>
      <c r="E870" s="1" t="n">
        <v>46221</v>
      </c>
      <c r="F870" t="inlineStr">
        <is>
          <t>NORRBOTTENS LÄN</t>
        </is>
      </c>
      <c r="G870" t="inlineStr">
        <is>
          <t>BODEN</t>
        </is>
      </c>
      <c r="I870" t="n">
        <v>124.7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s="2" t="inlineStr"/>
    </row>
    <row r="871" ht="15" customHeight="1">
      <c r="A871" t="inlineStr">
        <is>
          <t>S 1357-2026</t>
        </is>
      </c>
      <c r="B871" t="inlineStr">
        <is>
          <t>samrådsanmälan</t>
        </is>
      </c>
      <c r="C871" t="inlineStr">
        <is>
          <t>Skogsgödsling</t>
        </is>
      </c>
      <c r="D871" s="1" t="n">
        <v>46152</v>
      </c>
      <c r="E871" s="1" t="n">
        <v>46221</v>
      </c>
      <c r="F871" t="inlineStr">
        <is>
          <t>NORRBOTTENS LÄN</t>
        </is>
      </c>
      <c r="G871" t="inlineStr">
        <is>
          <t>BODEN</t>
        </is>
      </c>
      <c r="I871" t="n">
        <v>38.2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s="2" t="inlineStr"/>
    </row>
    <row r="872">
      <c r="A872" t="inlineStr">
        <is>
          <t>S 1297-2026</t>
        </is>
      </c>
      <c r="B872" t="inlineStr">
        <is>
          <t>samrådsanmälan</t>
        </is>
      </c>
      <c r="C872" t="inlineStr">
        <is>
          <t>Skogsgödsling</t>
        </is>
      </c>
      <c r="D872" s="1" t="n">
        <v>46148</v>
      </c>
      <c r="E872" s="1" t="n">
        <v>46221</v>
      </c>
      <c r="F872" t="inlineStr">
        <is>
          <t>NORRBOTTENS LÄN</t>
        </is>
      </c>
      <c r="G872" t="inlineStr">
        <is>
          <t>BODEN</t>
        </is>
      </c>
      <c r="I872" t="n">
        <v>20.5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2026-07-18T01:21:29Z</dcterms:created>
  <dcterms:modified xmlns:dcterms="http://purl.org/dc/terms/" xmlns:xsi="http://www.w3.org/2001/XMLSchema-instance" xsi:type="dcterms:W3CDTF">2026-07-18T01:21:29Z</dcterms:modified>
</cp:coreProperties>
</file>