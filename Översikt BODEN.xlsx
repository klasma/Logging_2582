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46319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46319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46319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46319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33409-2026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46319</v>
      </c>
      <c r="F8" t="inlineStr">
        <is>
          <t>NORRBOTTENS LÄN</t>
        </is>
      </c>
      <c r="G8" t="inlineStr">
        <is>
          <t>BODEN</t>
        </is>
      </c>
      <c r="H8" t="inlineStr">
        <is>
          <t>Kyrkan</t>
        </is>
      </c>
      <c r="I8" t="n">
        <v>22.8</v>
      </c>
      <c r="J8" t="n">
        <v>6</v>
      </c>
      <c r="K8" t="n">
        <v>1</v>
      </c>
      <c r="L8" t="n">
        <v>8</v>
      </c>
      <c r="M8" t="n">
        <v>2</v>
      </c>
      <c r="N8" t="n">
        <v>0</v>
      </c>
      <c r="O8" t="n">
        <v>0</v>
      </c>
      <c r="P8" t="n">
        <v>0</v>
      </c>
      <c r="Q8" t="n">
        <v>10</v>
      </c>
      <c r="R8" t="n">
        <v>2</v>
      </c>
      <c r="S8" t="n">
        <v>13</v>
      </c>
      <c r="T8" t="n">
        <v>61</v>
      </c>
      <c r="U8" t="n">
        <v>4</v>
      </c>
      <c r="V8" s="2" t="inlineStr">
        <is>
          <t>Garnlav
Knärot
Blå taggsvamp
Dropptaggsvamp
Orange taggsvamp
Skarp dropptaggsvamp
Tallriska
Tallticka
Talltita
Tretåig hackspett
Spindelblomster
Spillkråka
Fläcknycklar</t>
        </is>
      </c>
      <c r="W8">
        <f>HYPERLINK("https://klasma.github.io/Logging_2582/artfynd/A 33409-2026 artfynd.xlsx", "A 33409-2026")</f>
        <v/>
      </c>
      <c r="X8">
        <f>HYPERLINK("https://klasma.github.io/Logging_2582/kartor/A 33409-2026 karta.png", "A 33409-2026")</f>
        <v/>
      </c>
      <c r="Y8">
        <f>HYPERLINK("https://klasma.github.io/Logging_2582/kartor_geotiff/A 33409-2026 georefererad karta.tif", "A 33409-2026")</f>
        <v/>
      </c>
      <c r="Z8">
        <f>HYPERLINK("https://klasma.github.io/Logging_2582/knärot/A 33409-2026 karta knärot.png", "A 33409-2026")</f>
        <v/>
      </c>
      <c r="AA8">
        <f>HYPERLINK("https://klasma.github.io/Logging_2582/klagomål/A 33409-2026 FSC-klagomål.docx", "A 33409-2026")</f>
        <v/>
      </c>
      <c r="AB8">
        <f>HYPERLINK("https://klasma.github.io/Logging_2582/klagomålsmail/A 33409-2026 FSC-klagomål mail.docx", "A 33409-2026")</f>
        <v/>
      </c>
      <c r="AC8">
        <f>HYPERLINK("https://klasma.github.io/Logging_2582/tillsyn/A 33409-2026 tillsynsbegäran.docx", "A 33409-2026")</f>
        <v/>
      </c>
      <c r="AD8">
        <f>HYPERLINK("https://klasma.github.io/Logging_2582/tillsynsmail/A 33409-2026 tillsynsbegäran mail.docx", "A 33409-2026")</f>
        <v/>
      </c>
      <c r="AE8">
        <f>HYPERLINK("https://klasma.github.io/Logging_2582/fåglar/A 33409-2026 prioriterade fågelarter.docx", "A 33409-2026")</f>
        <v/>
      </c>
    </row>
    <row r="9" ht="15" customHeight="1">
      <c r="A9" t="inlineStr">
        <is>
          <t>A 47547-2022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44853</v>
      </c>
      <c r="E9" s="1" t="n">
        <v>46319</v>
      </c>
      <c r="F9" t="inlineStr">
        <is>
          <t>NORRBOTTENS LÄN</t>
        </is>
      </c>
      <c r="G9" t="inlineStr">
        <is>
          <t>BODEN</t>
        </is>
      </c>
      <c r="I9" t="n">
        <v>14.6</v>
      </c>
      <c r="J9" t="n">
        <v>4</v>
      </c>
      <c r="K9" t="n">
        <v>3</v>
      </c>
      <c r="L9" t="n">
        <v>7</v>
      </c>
      <c r="M9" t="n">
        <v>1</v>
      </c>
      <c r="N9" t="n">
        <v>0</v>
      </c>
      <c r="O9" t="n">
        <v>0</v>
      </c>
      <c r="P9" t="n">
        <v>0</v>
      </c>
      <c r="Q9" t="n">
        <v>8</v>
      </c>
      <c r="R9" t="n">
        <v>1</v>
      </c>
      <c r="S9" t="n">
        <v>13</v>
      </c>
      <c r="T9" t="n">
        <v>26</v>
      </c>
      <c r="U9" t="n">
        <v>26</v>
      </c>
      <c r="V9" s="2" t="inlineStr">
        <is>
          <t>Garnlav
Blå taggsvamp
Gammelgransskål
Kolflarnlav
Lunglav
Talltita
Tretåig hackspett
Vedskivlav
Bårdlav
Luddlav
Stuplav
Spillkråka
Revlummer</t>
        </is>
      </c>
      <c r="W9">
        <f>HYPERLINK("https://klasma.github.io/Logging_2582/artfynd/A 47547-2022 artfynd.xlsx", "A 47547-2022")</f>
        <v/>
      </c>
      <c r="X9">
        <f>HYPERLINK("https://klasma.github.io/Logging_2582/kartor/A 47547-2022 karta.png", "A 47547-2022")</f>
        <v/>
      </c>
      <c r="Y9">
        <f>HYPERLINK("https://klasma.github.io/Logging_2582/kartor_geotiff/A 47547-2022 georefererad karta.tif", "A 47547-2022")</f>
        <v/>
      </c>
      <c r="AA9">
        <f>HYPERLINK("https://klasma.github.io/Logging_2582/klagomål/A 47547-2022 FSC-klagomål.docx", "A 47547-2022")</f>
        <v/>
      </c>
      <c r="AB9">
        <f>HYPERLINK("https://klasma.github.io/Logging_2582/klagomålsmail/A 47547-2022 FSC-klagomål mail.docx", "A 47547-2022")</f>
        <v/>
      </c>
      <c r="AC9">
        <f>HYPERLINK("https://klasma.github.io/Logging_2582/tillsyn/A 47547-2022 tillsynsbegäran.docx", "A 47547-2022")</f>
        <v/>
      </c>
      <c r="AD9">
        <f>HYPERLINK("https://klasma.github.io/Logging_2582/tillsynsmail/A 47547-2022 tillsynsbegäran mail.docx", "A 47547-2022")</f>
        <v/>
      </c>
      <c r="AE9">
        <f>HYPERLINK("https://klasma.github.io/Logging_2582/fåglar/A 47547-2022 prioriterade fågelarter.docx", "A 47547-2022")</f>
        <v/>
      </c>
    </row>
    <row r="10" ht="15" customHeight="1">
      <c r="A10" t="inlineStr">
        <is>
          <t>A 36610-2023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46319</v>
      </c>
      <c r="F10" t="inlineStr">
        <is>
          <t>NORRBOTTENS LÄN</t>
        </is>
      </c>
      <c r="G10" t="inlineStr">
        <is>
          <t>BODEN</t>
        </is>
      </c>
      <c r="I10" t="n">
        <v>5.9</v>
      </c>
      <c r="J10" t="n">
        <v>3</v>
      </c>
      <c r="K10" t="n">
        <v>0</v>
      </c>
      <c r="L10" t="n">
        <v>8</v>
      </c>
      <c r="M10" t="n">
        <v>3</v>
      </c>
      <c r="N10" t="n">
        <v>0</v>
      </c>
      <c r="O10" t="n">
        <v>0</v>
      </c>
      <c r="P10" t="n">
        <v>0</v>
      </c>
      <c r="Q10" t="n">
        <v>11</v>
      </c>
      <c r="R10" t="n">
        <v>3</v>
      </c>
      <c r="S10" t="n">
        <v>13</v>
      </c>
      <c r="T10" t="n">
        <v>14</v>
      </c>
      <c r="U10" t="n">
        <v>14</v>
      </c>
      <c r="V10" s="2" t="inlineStr">
        <is>
          <t>Garnlav
Gräddporing
Knärot
Blanksvart spiklav
Blågrå svartspik
Dropptaggsvamp
Dvärgbägarlav
Kortskaftad ärgspik
Nordtagging
Ullticka
Vedflamlav
Järpe
Fläcknycklar</t>
        </is>
      </c>
      <c r="W10">
        <f>HYPERLINK("https://klasma.github.io/Logging_2582/artfynd/A 36610-2023 artfynd.xlsx", "A 36610-2023")</f>
        <v/>
      </c>
      <c r="X10">
        <f>HYPERLINK("https://klasma.github.io/Logging_2582/kartor/A 36610-2023 karta.png", "A 36610-2023")</f>
        <v/>
      </c>
      <c r="Y10">
        <f>HYPERLINK("https://klasma.github.io/Logging_2582/kartor_geotiff/A 36610-2023 georefererad karta.tif", "A 36610-2023")</f>
        <v/>
      </c>
      <c r="Z10">
        <f>HYPERLINK("https://klasma.github.io/Logging_2582/knärot/A 36610-2023 karta knärot.png", "A 36610-2023")</f>
        <v/>
      </c>
      <c r="AA10">
        <f>HYPERLINK("https://klasma.github.io/Logging_2582/klagomål/A 36610-2023 FSC-klagomål.docx", "A 36610-2023")</f>
        <v/>
      </c>
      <c r="AB10">
        <f>HYPERLINK("https://klasma.github.io/Logging_2582/klagomålsmail/A 36610-2023 FSC-klagomål mail.docx", "A 36610-2023")</f>
        <v/>
      </c>
      <c r="AC10">
        <f>HYPERLINK("https://klasma.github.io/Logging_2582/tillsyn/A 36610-2023 tillsynsbegäran.docx", "A 36610-2023")</f>
        <v/>
      </c>
      <c r="AD10">
        <f>HYPERLINK("https://klasma.github.io/Logging_2582/tillsynsmail/A 36610-2023 tillsynsbegäran mail.docx", "A 36610-2023")</f>
        <v/>
      </c>
      <c r="AE10">
        <f>HYPERLINK("https://klasma.github.io/Logging_2582/fåglar/A 36610-2023 prioriterade fågelarter.docx", "A 36610-2023")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46319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46319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46319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46319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46319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46319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46319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46319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46319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46319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46319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46319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46319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319-2024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46319</v>
      </c>
      <c r="F25" t="inlineStr">
        <is>
          <t>NORRBOTTENS LÄN</t>
        </is>
      </c>
      <c r="G25" t="inlineStr">
        <is>
          <t>BODEN</t>
        </is>
      </c>
      <c r="I25" t="n">
        <v>4.3</v>
      </c>
      <c r="J25" t="n">
        <v>2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7</v>
      </c>
      <c r="T25" t="n">
        <v>12</v>
      </c>
      <c r="U25" t="n">
        <v>8</v>
      </c>
      <c r="V25" s="2" t="inlineStr">
        <is>
          <t>Gammelgransskål
Ullticka
Violettgrå tagellav
Blodticka
Vedticka
Spillkråka
Revlummer</t>
        </is>
      </c>
      <c r="W25">
        <f>HYPERLINK("https://klasma.github.io/Logging_2582/artfynd/A 319-2024 artfynd.xlsx", "A 319-2024")</f>
        <v/>
      </c>
      <c r="X25">
        <f>HYPERLINK("https://klasma.github.io/Logging_2582/kartor/A 319-2024 karta.png", "A 319-2024")</f>
        <v/>
      </c>
      <c r="Y25">
        <f>HYPERLINK("https://klasma.github.io/Logging_2582/kartor_geotiff/A 319-2024 georefererad karta.tif", "A 319-2024")</f>
        <v/>
      </c>
      <c r="AA25">
        <f>HYPERLINK("https://klasma.github.io/Logging_2582/klagomål/A 319-2024 FSC-klagomål.docx", "A 319-2024")</f>
        <v/>
      </c>
      <c r="AB25">
        <f>HYPERLINK("https://klasma.github.io/Logging_2582/klagomålsmail/A 319-2024 FSC-klagomål mail.docx", "A 319-2024")</f>
        <v/>
      </c>
      <c r="AC25">
        <f>HYPERLINK("https://klasma.github.io/Logging_2582/tillsyn/A 319-2024 tillsynsbegäran.docx", "A 319-2024")</f>
        <v/>
      </c>
      <c r="AD25">
        <f>HYPERLINK("https://klasma.github.io/Logging_2582/tillsynsmail/A 319-2024 tillsynsbegäran mail.docx", "A 319-2024")</f>
        <v/>
      </c>
      <c r="AE25">
        <f>HYPERLINK("https://klasma.github.io/Logging_2582/fåglar/A 319-2024 prioriterade fågelarter.docx", "A 319-2024")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A 51389-2022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46319</v>
      </c>
      <c r="F27" t="inlineStr">
        <is>
          <t>NORRBOTTENS LÄN</t>
        </is>
      </c>
      <c r="G27" t="inlineStr">
        <is>
          <t>BODEN</t>
        </is>
      </c>
      <c r="H27" t="inlineStr">
        <is>
          <t>Övriga statliga verk och myndigheter</t>
        </is>
      </c>
      <c r="I27" t="n">
        <v>15.6</v>
      </c>
      <c r="J27" t="n">
        <v>6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3</v>
      </c>
      <c r="V27" s="2" t="inlineStr">
        <is>
          <t>Pärluggla
Grönsångare
Talltita
Järpe
Tallbit
Orre</t>
        </is>
      </c>
      <c r="W27">
        <f>HYPERLINK("https://klasma.github.io/Logging_2582/artfynd/A 51389-2022 artfynd.xlsx", "A 51389-2022")</f>
        <v/>
      </c>
      <c r="X27">
        <f>HYPERLINK("https://klasma.github.io/Logging_2582/kartor/A 51389-2022 karta.png", "A 51389-2022")</f>
        <v/>
      </c>
      <c r="Y27">
        <f>HYPERLINK("https://klasma.github.io/Logging_2582/kartor_geotiff/A 51389-2022 georefererad karta.tif", "A 51389-2022")</f>
        <v/>
      </c>
      <c r="AA27">
        <f>HYPERLINK("https://klasma.github.io/Logging_2582/klagomål/A 51389-2022 FSC-klagomål.docx", "A 51389-2022")</f>
        <v/>
      </c>
      <c r="AB27">
        <f>HYPERLINK("https://klasma.github.io/Logging_2582/klagomålsmail/A 51389-2022 FSC-klagomål mail.docx", "A 51389-2022")</f>
        <v/>
      </c>
      <c r="AC27">
        <f>HYPERLINK("https://klasma.github.io/Logging_2582/tillsyn/A 51389-2022 tillsynsbegäran.docx", "A 51389-2022")</f>
        <v/>
      </c>
      <c r="AD27">
        <f>HYPERLINK("https://klasma.github.io/Logging_2582/tillsynsmail/A 51389-2022 tillsynsbegäran mail.docx", "A 51389-2022")</f>
        <v/>
      </c>
      <c r="AE27">
        <f>HYPERLINK("https://klasma.github.io/Logging_2582/fåglar/A 51389-2022 prioriterade fågelarter.docx", "A 51389-2022")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46319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46319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46319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43719-2025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46319</v>
      </c>
      <c r="F32" t="inlineStr">
        <is>
          <t>NORRBOTTENS LÄN</t>
        </is>
      </c>
      <c r="G32" t="inlineStr">
        <is>
          <t>BODEN</t>
        </is>
      </c>
      <c r="H32" t="inlineStr">
        <is>
          <t>SCA</t>
        </is>
      </c>
      <c r="I32" t="n">
        <v>1.1</v>
      </c>
      <c r="J32" t="n">
        <v>1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4</v>
      </c>
      <c r="V32" s="2" t="inlineStr">
        <is>
          <t>Garnlav
Liten hornflikmossa
Tretåig hackspett
Vedtrappmossa
Stuplav</t>
        </is>
      </c>
      <c r="W32">
        <f>HYPERLINK("https://klasma.github.io/Logging_2582/artfynd/A 43719-2025 artfynd.xlsx", "A 43719-2025")</f>
        <v/>
      </c>
      <c r="X32">
        <f>HYPERLINK("https://klasma.github.io/Logging_2582/kartor/A 43719-2025 karta.png", "A 43719-2025")</f>
        <v/>
      </c>
      <c r="Y32">
        <f>HYPERLINK("https://klasma.github.io/Logging_2582/kartor_geotiff/A 43719-2025 georefererad karta.tif", "A 43719-2025")</f>
        <v/>
      </c>
      <c r="AA32">
        <f>HYPERLINK("https://klasma.github.io/Logging_2582/klagomål/A 43719-2025 FSC-klagomål.docx", "A 43719-2025")</f>
        <v/>
      </c>
      <c r="AB32">
        <f>HYPERLINK("https://klasma.github.io/Logging_2582/klagomålsmail/A 43719-2025 FSC-klagomål mail.docx", "A 43719-2025")</f>
        <v/>
      </c>
      <c r="AC32">
        <f>HYPERLINK("https://klasma.github.io/Logging_2582/tillsyn/A 43719-2025 tillsynsbegäran.docx", "A 43719-2025")</f>
        <v/>
      </c>
      <c r="AD32">
        <f>HYPERLINK("https://klasma.github.io/Logging_2582/tillsynsmail/A 43719-2025 tillsynsbegäran mail.docx", "A 43719-2025")</f>
        <v/>
      </c>
      <c r="AE32">
        <f>HYPERLINK("https://klasma.github.io/Logging_2582/fåglar/A 43719-2025 prioriterade fågelarter.docx", "A 43719-2025")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46319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Stare
Rosenfink
Rävticka
Sångsvan
Trana</t>
        </is>
      </c>
      <c r="W33">
        <f>HYPERLINK("https://klasma.github.io/Logging_2582/artfynd/A 59358-2022 artfynd.xlsx", "A 59358-2022")</f>
        <v/>
      </c>
      <c r="X33">
        <f>HYPERLINK("https://klasma.github.io/Logging_2582/kartor/A 59358-2022 karta.png", "A 59358-2022")</f>
        <v/>
      </c>
      <c r="Y33">
        <f>HYPERLINK("https://klasma.github.io/Logging_2582/kartor_geotiff/A 59358-2022 georefererad karta.tif", "A 59358-2022")</f>
        <v/>
      </c>
      <c r="AA33">
        <f>HYPERLINK("https://klasma.github.io/Logging_2582/klagomål/A 59358-2022 FSC-klagomål.docx", "A 59358-2022")</f>
        <v/>
      </c>
      <c r="AB33">
        <f>HYPERLINK("https://klasma.github.io/Logging_2582/klagomålsmail/A 59358-2022 FSC-klagomål mail.docx", "A 59358-2022")</f>
        <v/>
      </c>
      <c r="AC33">
        <f>HYPERLINK("https://klasma.github.io/Logging_2582/tillsyn/A 59358-2022 tillsynsbegäran.docx", "A 59358-2022")</f>
        <v/>
      </c>
      <c r="AD33">
        <f>HYPERLINK("https://klasma.github.io/Logging_2582/tillsynsmail/A 59358-2022 tillsynsbegäran mail.docx", "A 59358-2022")</f>
        <v/>
      </c>
      <c r="AE33">
        <f>HYPERLINK("https://klasma.github.io/Logging_2582/fåglar/A 59358-2022 prioriterade fågelarter.docx", "A 59358-2022")</f>
        <v/>
      </c>
    </row>
    <row r="34" ht="15" customHeight="1">
      <c r="A34" t="inlineStr">
        <is>
          <t>A 31197-2026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46209</v>
      </c>
      <c r="E34" s="1" t="n">
        <v>46319</v>
      </c>
      <c r="F34" t="inlineStr">
        <is>
          <t>NORRBOTTENS LÄN</t>
        </is>
      </c>
      <c r="G34" t="inlineStr">
        <is>
          <t>BODEN</t>
        </is>
      </c>
      <c r="H34" t="inlineStr">
        <is>
          <t>Kommuner</t>
        </is>
      </c>
      <c r="I34" t="n">
        <v>2.7</v>
      </c>
      <c r="J34" t="n">
        <v>4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6</v>
      </c>
      <c r="U34" t="n">
        <v>0</v>
      </c>
      <c r="V34" s="2" t="inlineStr">
        <is>
          <t>Tornseglare
Älvstarr
Grönsiska
Svartvit flugsnappare
Vanlig groda</t>
        </is>
      </c>
      <c r="W34">
        <f>HYPERLINK("https://klasma.github.io/Logging_2582/artfynd/A 31197-2026 artfynd.xlsx", "A 31197-2026")</f>
        <v/>
      </c>
      <c r="X34">
        <f>HYPERLINK("https://klasma.github.io/Logging_2582/kartor/A 31197-2026 karta.png", "A 31197-2026")</f>
        <v/>
      </c>
      <c r="Y34">
        <f>HYPERLINK("https://klasma.github.io/Logging_2582/kartor_geotiff/A 31197-2026 georefererad karta.tif", "A 31197-2026")</f>
        <v/>
      </c>
      <c r="AA34">
        <f>HYPERLINK("https://klasma.github.io/Logging_2582/klagomål/A 31197-2026 FSC-klagomål.docx", "A 31197-2026")</f>
        <v/>
      </c>
      <c r="AB34">
        <f>HYPERLINK("https://klasma.github.io/Logging_2582/klagomålsmail/A 31197-2026 FSC-klagomål mail.docx", "A 31197-2026")</f>
        <v/>
      </c>
      <c r="AC34">
        <f>HYPERLINK("https://klasma.github.io/Logging_2582/tillsyn/A 31197-2026 tillsynsbegäran.docx", "A 31197-2026")</f>
        <v/>
      </c>
      <c r="AD34">
        <f>HYPERLINK("https://klasma.github.io/Logging_2582/tillsynsmail/A 31197-2026 tillsynsbegäran mail.docx", "A 31197-2026")</f>
        <v/>
      </c>
      <c r="AE34">
        <f>HYPERLINK("https://klasma.github.io/Logging_2582/fåglar/A 31197-2026 prioriterade fågelarter.docx", "A 31197-2026")</f>
        <v/>
      </c>
    </row>
    <row r="35" ht="15" customHeight="1">
      <c r="A35" t="inlineStr">
        <is>
          <t>A 32309-2025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46319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13.6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4</v>
      </c>
      <c r="V35" s="2" t="inlineStr">
        <is>
          <t>Doftticka
Garnlav
Lunglav
Bårdlav
Stuplav</t>
        </is>
      </c>
      <c r="W35">
        <f>HYPERLINK("https://klasma.github.io/Logging_2582/artfynd/A 32309-2025 artfynd.xlsx", "A 32309-2025")</f>
        <v/>
      </c>
      <c r="X35">
        <f>HYPERLINK("https://klasma.github.io/Logging_2582/kartor/A 32309-2025 karta.png", "A 32309-2025")</f>
        <v/>
      </c>
      <c r="Y35">
        <f>HYPERLINK("https://klasma.github.io/Logging_2582/kartor_geotiff/A 32309-2025 georefererad karta.tif", "A 32309-2025")</f>
        <v/>
      </c>
      <c r="AA35">
        <f>HYPERLINK("https://klasma.github.io/Logging_2582/klagomål/A 32309-2025 FSC-klagomål.docx", "A 32309-2025")</f>
        <v/>
      </c>
      <c r="AB35">
        <f>HYPERLINK("https://klasma.github.io/Logging_2582/klagomålsmail/A 32309-2025 FSC-klagomål mail.docx", "A 32309-2025")</f>
        <v/>
      </c>
      <c r="AC35">
        <f>HYPERLINK("https://klasma.github.io/Logging_2582/tillsyn/A 32309-2025 tillsynsbegäran.docx", "A 32309-2025")</f>
        <v/>
      </c>
      <c r="AD35">
        <f>HYPERLINK("https://klasma.github.io/Logging_2582/tillsynsmail/A 32309-2025 tillsynsbegäran mail.docx", "A 32309-2025")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46319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46319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46319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42648-2026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46309</v>
      </c>
      <c r="E39" s="1" t="n">
        <v>46319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14.6</v>
      </c>
      <c r="J39" t="n">
        <v>0</v>
      </c>
      <c r="K39" t="n">
        <v>0</v>
      </c>
      <c r="L39" t="n">
        <v>4</v>
      </c>
      <c r="M39" t="n">
        <v>1</v>
      </c>
      <c r="N39" t="n">
        <v>0</v>
      </c>
      <c r="O39" t="n">
        <v>0</v>
      </c>
      <c r="P39" t="n">
        <v>0</v>
      </c>
      <c r="Q39" t="n">
        <v>5</v>
      </c>
      <c r="R39" t="n">
        <v>1</v>
      </c>
      <c r="S39" t="n">
        <v>5</v>
      </c>
      <c r="T39" t="n">
        <v>12</v>
      </c>
      <c r="U39" t="n">
        <v>0</v>
      </c>
      <c r="V39" s="2" t="inlineStr">
        <is>
          <t>Garnlav
Gammelgransskål
Lunglav
Motaggsvamp
Rynkskinn</t>
        </is>
      </c>
      <c r="W39">
        <f>HYPERLINK("https://klasma.github.io/Logging_2582/artfynd/A 42648-2026 artfynd.xlsx", "A 42648-2026")</f>
        <v/>
      </c>
      <c r="X39">
        <f>HYPERLINK("https://klasma.github.io/Logging_2582/kartor/A 42648-2026 karta.png", "A 42648-2026")</f>
        <v/>
      </c>
      <c r="Y39">
        <f>HYPERLINK("https://klasma.github.io/Logging_2582/kartor_geotiff/A 42648-2026 georefererad karta.tif", "A 42648-2026")</f>
        <v/>
      </c>
      <c r="AA39">
        <f>HYPERLINK("https://klasma.github.io/Logging_2582/klagomål/A 42648-2026 FSC-klagomål.docx", "A 42648-2026")</f>
        <v/>
      </c>
      <c r="AB39">
        <f>HYPERLINK("https://klasma.github.io/Logging_2582/klagomålsmail/A 42648-2026 FSC-klagomål mail.docx", "A 42648-2026")</f>
        <v/>
      </c>
      <c r="AC39">
        <f>HYPERLINK("https://klasma.github.io/Logging_2582/tillsyn/A 42648-2026 tillsynsbegäran.docx", "A 42648-2026")</f>
        <v/>
      </c>
      <c r="AD39">
        <f>HYPERLINK("https://klasma.github.io/Logging_2582/tillsynsmail/A 42648-2026 tillsynsbegäran mail.docx", "A 42648-2026")</f>
        <v/>
      </c>
    </row>
    <row r="40" ht="15" customHeight="1">
      <c r="A40" t="inlineStr">
        <is>
          <t>A 32325-2024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45512</v>
      </c>
      <c r="E40" s="1" t="n">
        <v>46319</v>
      </c>
      <c r="F40" t="inlineStr">
        <is>
          <t>NORRBOTTENS LÄN</t>
        </is>
      </c>
      <c r="G40" t="inlineStr">
        <is>
          <t>BODEN</t>
        </is>
      </c>
      <c r="H40" t="inlineStr">
        <is>
          <t>Övriga Aktiebolag</t>
        </is>
      </c>
      <c r="I40" t="n">
        <v>36.5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7</v>
      </c>
      <c r="U40" t="n">
        <v>7</v>
      </c>
      <c r="V40" s="2" t="inlineStr">
        <is>
          <t>Garnlav
Knärot
Gammelgransskål
Luddlav
Skinnlav</t>
        </is>
      </c>
      <c r="W40">
        <f>HYPERLINK("https://klasma.github.io/Logging_2582/artfynd/A 32325-2024 artfynd.xlsx", "A 32325-2024")</f>
        <v/>
      </c>
      <c r="X40">
        <f>HYPERLINK("https://klasma.github.io/Logging_2582/kartor/A 32325-2024 karta.png", "A 32325-2024")</f>
        <v/>
      </c>
      <c r="Y40">
        <f>HYPERLINK("https://klasma.github.io/Logging_2582/kartor_geotiff/A 32325-2024 georefererad karta.tif", "A 32325-2024")</f>
        <v/>
      </c>
      <c r="Z40">
        <f>HYPERLINK("https://klasma.github.io/Logging_2582/knärot/A 32325-2024 karta knärot.png", "A 32325-2024")</f>
        <v/>
      </c>
      <c r="AA40">
        <f>HYPERLINK("https://klasma.github.io/Logging_2582/klagomål/A 32325-2024 FSC-klagomål.docx", "A 32325-2024")</f>
        <v/>
      </c>
      <c r="AB40">
        <f>HYPERLINK("https://klasma.github.io/Logging_2582/klagomålsmail/A 32325-2024 FSC-klagomål mail.docx", "A 32325-2024")</f>
        <v/>
      </c>
      <c r="AC40">
        <f>HYPERLINK("https://klasma.github.io/Logging_2582/tillsyn/A 32325-2024 tillsynsbegäran.docx", "A 32325-2024")</f>
        <v/>
      </c>
      <c r="AD40">
        <f>HYPERLINK("https://klasma.github.io/Logging_2582/tillsynsmail/A 32325-2024 tillsynsbegäran mail.docx", "A 32325-2024")</f>
        <v/>
      </c>
    </row>
    <row r="41" ht="15" customHeight="1">
      <c r="A41" t="inlineStr">
        <is>
          <t>A 54167-2025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46319</v>
      </c>
      <c r="F41" t="inlineStr">
        <is>
          <t>NORRBOTTENS LÄN</t>
        </is>
      </c>
      <c r="G41" t="inlineStr">
        <is>
          <t>BODEN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5</v>
      </c>
      <c r="U41" t="n">
        <v>4</v>
      </c>
      <c r="V41" s="2" t="inlineStr">
        <is>
          <t>Lunglav
Stiftgelélav
Järpe
Spillkråka
Vanlig padda</t>
        </is>
      </c>
      <c r="W41">
        <f>HYPERLINK("https://klasma.github.io/Logging_2582/artfynd/A 54167-2025 artfynd.xlsx", "A 54167-2025")</f>
        <v/>
      </c>
      <c r="X41">
        <f>HYPERLINK("https://klasma.github.io/Logging_2582/kartor/A 54167-2025 karta.png", "A 54167-2025")</f>
        <v/>
      </c>
      <c r="Y41">
        <f>HYPERLINK("https://klasma.github.io/Logging_2582/kartor_geotiff/A 54167-2025 georefererad karta.tif", "A 54167-2025")</f>
        <v/>
      </c>
      <c r="AA41">
        <f>HYPERLINK("https://klasma.github.io/Logging_2582/klagomål/A 54167-2025 FSC-klagomål.docx", "A 54167-2025")</f>
        <v/>
      </c>
      <c r="AB41">
        <f>HYPERLINK("https://klasma.github.io/Logging_2582/klagomålsmail/A 54167-2025 FSC-klagomål mail.docx", "A 54167-2025")</f>
        <v/>
      </c>
      <c r="AC41">
        <f>HYPERLINK("https://klasma.github.io/Logging_2582/tillsyn/A 54167-2025 tillsynsbegäran.docx", "A 54167-2025")</f>
        <v/>
      </c>
      <c r="AD41">
        <f>HYPERLINK("https://klasma.github.io/Logging_2582/tillsynsmail/A 54167-2025 tillsynsbegäran mail.docx", "A 54167-2025")</f>
        <v/>
      </c>
      <c r="AE41">
        <f>HYPERLINK("https://klasma.github.io/Logging_2582/fåglar/A 54167-2025 prioriterade fågelarter.docx", "A 54167-2025")</f>
        <v/>
      </c>
    </row>
    <row r="42" ht="15" customHeight="1">
      <c r="A42" t="inlineStr">
        <is>
          <t>A 21610-2026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46319</v>
      </c>
      <c r="F42" t="inlineStr">
        <is>
          <t>NORRBOTTENS LÄN</t>
        </is>
      </c>
      <c r="G42" t="inlineStr">
        <is>
          <t>BODEN</t>
        </is>
      </c>
      <c r="I42" t="n">
        <v>1.8</v>
      </c>
      <c r="J42" t="n">
        <v>5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5</v>
      </c>
      <c r="T42" t="n">
        <v>11</v>
      </c>
      <c r="U42" t="n">
        <v>11</v>
      </c>
      <c r="V42" s="2" t="inlineStr">
        <is>
          <t>Björktrast
Järnsparv
Rödvingetrast
Talltita
Gråsiska</t>
        </is>
      </c>
      <c r="W42">
        <f>HYPERLINK("https://klasma.github.io/Logging_2582/artfynd/A 21610-2026 artfynd.xlsx", "A 21610-2026")</f>
        <v/>
      </c>
      <c r="X42">
        <f>HYPERLINK("https://klasma.github.io/Logging_2582/kartor/A 21610-2026 karta.png", "A 21610-2026")</f>
        <v/>
      </c>
      <c r="Y42">
        <f>HYPERLINK("https://klasma.github.io/Logging_2582/kartor_geotiff/A 21610-2026 georefererad karta.tif", "A 21610-2026")</f>
        <v/>
      </c>
      <c r="AA42">
        <f>HYPERLINK("https://klasma.github.io/Logging_2582/klagomål/A 21610-2026 FSC-klagomål.docx", "A 21610-2026")</f>
        <v/>
      </c>
      <c r="AB42">
        <f>HYPERLINK("https://klasma.github.io/Logging_2582/klagomålsmail/A 21610-2026 FSC-klagomål mail.docx", "A 21610-2026")</f>
        <v/>
      </c>
      <c r="AC42">
        <f>HYPERLINK("https://klasma.github.io/Logging_2582/tillsyn/A 21610-2026 tillsynsbegäran.docx", "A 21610-2026")</f>
        <v/>
      </c>
      <c r="AD42">
        <f>HYPERLINK("https://klasma.github.io/Logging_2582/tillsynsmail/A 21610-2026 tillsynsbegäran mail.docx", "A 21610-2026")</f>
        <v/>
      </c>
      <c r="AE42">
        <f>HYPERLINK("https://klasma.github.io/Logging_2582/fåglar/A 21610-2026 prioriterade fågelarter.docx", "A 21610-2026")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46319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46319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46319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46319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43576-2026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46315</v>
      </c>
      <c r="E47" s="1" t="n">
        <v>46319</v>
      </c>
      <c r="F47" t="inlineStr">
        <is>
          <t>NORRBOTTENS LÄN</t>
        </is>
      </c>
      <c r="G47" t="inlineStr">
        <is>
          <t>BODEN</t>
        </is>
      </c>
      <c r="I47" t="n">
        <v>5.2</v>
      </c>
      <c r="J47" t="n">
        <v>3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Knärot
Luddfingersvamp
Spindelblomster
Spillkråka</t>
        </is>
      </c>
      <c r="W47">
        <f>HYPERLINK("https://klasma.github.io/Logging_2582/artfynd/A 43576-2026 artfynd.xlsx", "A 43576-2026")</f>
        <v/>
      </c>
      <c r="X47">
        <f>HYPERLINK("https://klasma.github.io/Logging_2582/kartor/A 43576-2026 karta.png", "A 43576-2026")</f>
        <v/>
      </c>
      <c r="Y47">
        <f>HYPERLINK("https://klasma.github.io/Logging_2582/kartor_geotiff/A 43576-2026 georefererad karta.tif", "A 43576-2026")</f>
        <v/>
      </c>
      <c r="Z47">
        <f>HYPERLINK("https://klasma.github.io/Logging_2582/knärot/A 43576-2026 karta knärot.png", "A 43576-2026")</f>
        <v/>
      </c>
      <c r="AA47">
        <f>HYPERLINK("https://klasma.github.io/Logging_2582/klagomål/A 43576-2026 FSC-klagomål.docx", "A 43576-2026")</f>
        <v/>
      </c>
      <c r="AB47">
        <f>HYPERLINK("https://klasma.github.io/Logging_2582/klagomålsmail/A 43576-2026 FSC-klagomål mail.docx", "A 43576-2026")</f>
        <v/>
      </c>
      <c r="AC47">
        <f>HYPERLINK("https://klasma.github.io/Logging_2582/tillsyn/A 43576-2026 tillsynsbegäran.docx", "A 43576-2026")</f>
        <v/>
      </c>
      <c r="AD47">
        <f>HYPERLINK("https://klasma.github.io/Logging_2582/tillsynsmail/A 43576-2026 tillsynsbegäran mail.docx", "A 43576-2026")</f>
        <v/>
      </c>
      <c r="AE47">
        <f>HYPERLINK("https://klasma.github.io/Logging_2582/fåglar/A 43576-2026 prioriterade fågelarter.docx", "A 43576-2026")</f>
        <v/>
      </c>
    </row>
    <row r="48" ht="15" customHeight="1">
      <c r="A48" t="inlineStr">
        <is>
          <t>A 57526-2025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46319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HYPERLINK("https://klasma.github.io/Logging_2582/artfynd/A 57526-2025 artfynd.xlsx", "A 57526-2025")</f>
        <v/>
      </c>
      <c r="X48">
        <f>HYPERLINK("https://klasma.github.io/Logging_2582/kartor/A 57526-2025 karta.png", "A 57526-2025")</f>
        <v/>
      </c>
      <c r="Y48">
        <f>HYPERLINK("https://klasma.github.io/Logging_2582/kartor_geotiff/A 57526-2025 georefererad karta.tif", "A 57526-2025")</f>
        <v/>
      </c>
      <c r="Z48">
        <f>HYPERLINK("https://klasma.github.io/Logging_2582/knärot/A 57526-2025 karta knärot.png", "A 57526-2025")</f>
        <v/>
      </c>
      <c r="AA48">
        <f>HYPERLINK("https://klasma.github.io/Logging_2582/klagomål/A 57526-2025 FSC-klagomål.docx", "A 57526-2025")</f>
        <v/>
      </c>
      <c r="AB48">
        <f>HYPERLINK("https://klasma.github.io/Logging_2582/klagomålsmail/A 57526-2025 FSC-klagomål mail.docx", "A 57526-2025")</f>
        <v/>
      </c>
      <c r="AC48">
        <f>HYPERLINK("https://klasma.github.io/Logging_2582/tillsyn/A 57526-2025 tillsynsbegäran.docx", "A 57526-2025")</f>
        <v/>
      </c>
      <c r="AD48">
        <f>HYPERLINK("https://klasma.github.io/Logging_2582/tillsynsmail/A 57526-2025 tillsynsbegäran mail.docx", "A 57526-2025")</f>
        <v/>
      </c>
    </row>
    <row r="49" ht="15" customHeight="1">
      <c r="A49" t="inlineStr">
        <is>
          <t>A 21475-2026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46148</v>
      </c>
      <c r="E49" s="1" t="n">
        <v>46319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27.6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Harticka
Tretåig hackspett
Smal svampklubba
Järpe</t>
        </is>
      </c>
      <c r="W49">
        <f>HYPERLINK("https://klasma.github.io/Logging_2582/artfynd/A 21475-2026 artfynd.xlsx", "A 21475-2026")</f>
        <v/>
      </c>
      <c r="X49">
        <f>HYPERLINK("https://klasma.github.io/Logging_2582/kartor/A 21475-2026 karta.png", "A 21475-2026")</f>
        <v/>
      </c>
      <c r="Y49">
        <f>HYPERLINK("https://klasma.github.io/Logging_2582/kartor_geotiff/A 21475-2026 georefererad karta.tif", "A 21475-2026")</f>
        <v/>
      </c>
      <c r="AA49">
        <f>HYPERLINK("https://klasma.github.io/Logging_2582/klagomål/A 21475-2026 FSC-klagomål.docx", "A 21475-2026")</f>
        <v/>
      </c>
      <c r="AB49">
        <f>HYPERLINK("https://klasma.github.io/Logging_2582/klagomålsmail/A 21475-2026 FSC-klagomål mail.docx", "A 21475-2026")</f>
        <v/>
      </c>
      <c r="AC49">
        <f>HYPERLINK("https://klasma.github.io/Logging_2582/tillsyn/A 21475-2026 tillsynsbegäran.docx", "A 21475-2026")</f>
        <v/>
      </c>
      <c r="AD49">
        <f>HYPERLINK("https://klasma.github.io/Logging_2582/tillsynsmail/A 21475-2026 tillsynsbegäran mail.docx", "A 21475-2026")</f>
        <v/>
      </c>
      <c r="AE49">
        <f>HYPERLINK("https://klasma.github.io/Logging_2582/fåglar/A 21475-2026 prioriterade fågelarter.docx", "A 21475-2026")</f>
        <v/>
      </c>
    </row>
    <row r="50" ht="15" customHeight="1">
      <c r="A50" t="inlineStr">
        <is>
          <t>A 1879-2024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45307</v>
      </c>
      <c r="E50" s="1" t="n">
        <v>46319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4.5</v>
      </c>
      <c r="J50" t="n">
        <v>0</v>
      </c>
      <c r="K50" t="n">
        <v>1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4</v>
      </c>
      <c r="T50" t="n">
        <v>16</v>
      </c>
      <c r="U50" t="n">
        <v>16</v>
      </c>
      <c r="V50" s="2" t="inlineStr">
        <is>
          <t>Garnlav
Ringlav
Skogshare
Bårdlav</t>
        </is>
      </c>
      <c r="W50">
        <f>HYPERLINK("https://klasma.github.io/Logging_2582/artfynd/A 1879-2024 artfynd.xlsx", "A 1879-2024")</f>
        <v/>
      </c>
      <c r="X50">
        <f>HYPERLINK("https://klasma.github.io/Logging_2582/kartor/A 1879-2024 karta.png", "A 1879-2024")</f>
        <v/>
      </c>
      <c r="Y50">
        <f>HYPERLINK("https://klasma.github.io/Logging_2582/kartor_geotiff/A 1879-2024 georefererad karta.tif", "A 1879-2024")</f>
        <v/>
      </c>
      <c r="AA50">
        <f>HYPERLINK("https://klasma.github.io/Logging_2582/klagomål/A 1879-2024 FSC-klagomål.docx", "A 1879-2024")</f>
        <v/>
      </c>
      <c r="AB50">
        <f>HYPERLINK("https://klasma.github.io/Logging_2582/klagomålsmail/A 1879-2024 FSC-klagomål mail.docx", "A 1879-2024")</f>
        <v/>
      </c>
      <c r="AC50">
        <f>HYPERLINK("https://klasma.github.io/Logging_2582/tillsyn/A 1879-2024 tillsynsbegäran.docx", "A 1879-2024")</f>
        <v/>
      </c>
      <c r="AD50">
        <f>HYPERLINK("https://klasma.github.io/Logging_2582/tillsynsmail/A 1879-2024 tillsynsbegäran mail.docx", "A 1879-2024")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46319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43007-2022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46319</v>
      </c>
      <c r="F52" t="inlineStr">
        <is>
          <t>NORRBOTTENS LÄN</t>
        </is>
      </c>
      <c r="G52" t="inlineStr">
        <is>
          <t>BODEN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Kransmossa
Liljekonvalj
Nattviol</t>
        </is>
      </c>
      <c r="W52">
        <f>HYPERLINK("https://klasma.github.io/Logging_2582/artfynd/A 43007-2022 artfynd.xlsx", "A 43007-2022")</f>
        <v/>
      </c>
      <c r="X52">
        <f>HYPERLINK("https://klasma.github.io/Logging_2582/kartor/A 43007-2022 karta.png", "A 43007-2022")</f>
        <v/>
      </c>
      <c r="Y52">
        <f>HYPERLINK("https://klasma.github.io/Logging_2582/kartor_geotiff/A 43007-2022 georefererad karta.tif", "A 43007-2022")</f>
        <v/>
      </c>
      <c r="AA52">
        <f>HYPERLINK("https://klasma.github.io/Logging_2582/klagomål/A 43007-2022 FSC-klagomål.docx", "A 43007-2022")</f>
        <v/>
      </c>
      <c r="AB52">
        <f>HYPERLINK("https://klasma.github.io/Logging_2582/klagomålsmail/A 43007-2022 FSC-klagomål mail.docx", "A 43007-2022")</f>
        <v/>
      </c>
      <c r="AC52">
        <f>HYPERLINK("https://klasma.github.io/Logging_2582/tillsyn/A 43007-2022 tillsynsbegäran.docx", "A 43007-2022")</f>
        <v/>
      </c>
      <c r="AD52">
        <f>HYPERLINK("https://klasma.github.io/Logging_2582/tillsynsmail/A 43007-2022 tillsynsbegäran mail.docx", "A 43007-2022")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46319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26040-2026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46319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32.6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Doftticka
Lunglav
Bårdlav</t>
        </is>
      </c>
      <c r="W54">
        <f>HYPERLINK("https://klasma.github.io/Logging_2582/artfynd/A 26040-2026 artfynd.xlsx", "A 26040-2026")</f>
        <v/>
      </c>
      <c r="X54">
        <f>HYPERLINK("https://klasma.github.io/Logging_2582/kartor/A 26040-2026 karta.png", "A 26040-2026")</f>
        <v/>
      </c>
      <c r="Y54">
        <f>HYPERLINK("https://klasma.github.io/Logging_2582/kartor_geotiff/A 26040-2026 georefererad karta.tif", "A 26040-2026")</f>
        <v/>
      </c>
      <c r="AA54">
        <f>HYPERLINK("https://klasma.github.io/Logging_2582/klagomål/A 26040-2026 FSC-klagomål.docx", "A 26040-2026")</f>
        <v/>
      </c>
      <c r="AB54">
        <f>HYPERLINK("https://klasma.github.io/Logging_2582/klagomålsmail/A 26040-2026 FSC-klagomål mail.docx", "A 26040-2026")</f>
        <v/>
      </c>
      <c r="AC54">
        <f>HYPERLINK("https://klasma.github.io/Logging_2582/tillsyn/A 26040-2026 tillsynsbegäran.docx", "A 26040-2026")</f>
        <v/>
      </c>
      <c r="AD54">
        <f>HYPERLINK("https://klasma.github.io/Logging_2582/tillsynsmail/A 26040-2026 tillsynsbegäran mail.docx", "A 26040-2026")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46319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46319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Plattlummer
Fläcknycklar</t>
        </is>
      </c>
      <c r="W56">
        <f>HYPERLINK("https://klasma.github.io/Logging_2582/artfynd/A 26728-2026 artfynd.xlsx", "A 26728-2026")</f>
        <v/>
      </c>
      <c r="X56">
        <f>HYPERLINK("https://klasma.github.io/Logging_2582/kartor/A 26728-2026 karta.png", "A 26728-2026")</f>
        <v/>
      </c>
      <c r="Y56">
        <f>HYPERLINK("https://klasma.github.io/Logging_2582/kartor_geotiff/A 26728-2026 georefererad karta.tif", "A 26728-2026")</f>
        <v/>
      </c>
      <c r="AA56">
        <f>HYPERLINK("https://klasma.github.io/Logging_2582/klagomål/A 26728-2026 FSC-klagomål.docx", "A 26728-2026")</f>
        <v/>
      </c>
      <c r="AB56">
        <f>HYPERLINK("https://klasma.github.io/Logging_2582/klagomålsmail/A 26728-2026 FSC-klagomål mail.docx", "A 26728-2026")</f>
        <v/>
      </c>
      <c r="AC56">
        <f>HYPERLINK("https://klasma.github.io/Logging_2582/tillsyn/A 26728-2026 tillsynsbegäran.docx", "A 26728-2026")</f>
        <v/>
      </c>
      <c r="AD56">
        <f>HYPERLINK("https://klasma.github.io/Logging_2582/tillsynsmail/A 26728-2026 tillsynsbegäran mail.docx", "A 26728-2026")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46319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46319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46319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38808-2026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46319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12.7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Lunglav
Vedflamlav
Stuplav</t>
        </is>
      </c>
      <c r="W60">
        <f>HYPERLINK("https://klasma.github.io/Logging_2582/artfynd/A 38808-2026 artfynd.xlsx", "A 38808-2026")</f>
        <v/>
      </c>
      <c r="X60">
        <f>HYPERLINK("https://klasma.github.io/Logging_2582/kartor/A 38808-2026 karta.png", "A 38808-2026")</f>
        <v/>
      </c>
      <c r="Y60">
        <f>HYPERLINK("https://klasma.github.io/Logging_2582/kartor_geotiff/A 38808-2026 georefererad karta.tif", "A 38808-2026")</f>
        <v/>
      </c>
      <c r="AA60">
        <f>HYPERLINK("https://klasma.github.io/Logging_2582/klagomål/A 38808-2026 FSC-klagomål.docx", "A 38808-2026")</f>
        <v/>
      </c>
      <c r="AB60">
        <f>HYPERLINK("https://klasma.github.io/Logging_2582/klagomålsmail/A 38808-2026 FSC-klagomål mail.docx", "A 38808-2026")</f>
        <v/>
      </c>
      <c r="AC60">
        <f>HYPERLINK("https://klasma.github.io/Logging_2582/tillsyn/A 38808-2026 tillsynsbegäran.docx", "A 38808-2026")</f>
        <v/>
      </c>
      <c r="AD60">
        <f>HYPERLINK("https://klasma.github.io/Logging_2582/tillsynsmail/A 38808-2026 tillsynsbegäran mail.docx", "A 38808-2026")</f>
        <v/>
      </c>
    </row>
    <row r="61" ht="15" customHeight="1">
      <c r="A61" t="inlineStr">
        <is>
          <t>A 6118-2025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46319</v>
      </c>
      <c r="F61" t="inlineStr">
        <is>
          <t>NORRBOTTENS LÄN</t>
        </is>
      </c>
      <c r="G61" t="inlineStr">
        <is>
          <t>BODEN</t>
        </is>
      </c>
      <c r="H61" t="inlineStr">
        <is>
          <t>SCA</t>
        </is>
      </c>
      <c r="I61" t="n">
        <v>3.7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14</v>
      </c>
      <c r="U61" t="n">
        <v>14</v>
      </c>
      <c r="V61" s="2" t="inlineStr">
        <is>
          <t>Garnlav
Tretåig hackspett
Spillkråka</t>
        </is>
      </c>
      <c r="W61">
        <f>HYPERLINK("https://klasma.github.io/Logging_2582/artfynd/A 6118-2025 artfynd.xlsx", "A 6118-2025")</f>
        <v/>
      </c>
      <c r="X61">
        <f>HYPERLINK("https://klasma.github.io/Logging_2582/kartor/A 6118-2025 karta.png", "A 6118-2025")</f>
        <v/>
      </c>
      <c r="Y61">
        <f>HYPERLINK("https://klasma.github.io/Logging_2582/kartor_geotiff/A 6118-2025 georefererad karta.tif", "A 6118-2025")</f>
        <v/>
      </c>
      <c r="AA61">
        <f>HYPERLINK("https://klasma.github.io/Logging_2582/klagomål/A 6118-2025 FSC-klagomål.docx", "A 6118-2025")</f>
        <v/>
      </c>
      <c r="AB61">
        <f>HYPERLINK("https://klasma.github.io/Logging_2582/klagomålsmail/A 6118-2025 FSC-klagomål mail.docx", "A 6118-2025")</f>
        <v/>
      </c>
      <c r="AC61">
        <f>HYPERLINK("https://klasma.github.io/Logging_2582/tillsyn/A 6118-2025 tillsynsbegäran.docx", "A 6118-2025")</f>
        <v/>
      </c>
      <c r="AD61">
        <f>HYPERLINK("https://klasma.github.io/Logging_2582/tillsynsmail/A 6118-2025 tillsynsbegäran mail.docx", "A 6118-2025")</f>
        <v/>
      </c>
      <c r="AE61">
        <f>HYPERLINK("https://klasma.github.io/Logging_2582/fåglar/A 6118-2025 prioriterade fågelarter.docx", "A 6118-2025")</f>
        <v/>
      </c>
    </row>
    <row r="62" ht="15" customHeight="1">
      <c r="A62" t="inlineStr">
        <is>
          <t>A 28267-2025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45818</v>
      </c>
      <c r="E62" s="1" t="n">
        <v>46319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2.6</v>
      </c>
      <c r="J62" t="n">
        <v>2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3</v>
      </c>
      <c r="U62" t="n">
        <v>0</v>
      </c>
      <c r="V62" s="2" t="inlineStr">
        <is>
          <t>Doftticka
Knärot
Lunglav</t>
        </is>
      </c>
      <c r="W62">
        <f>HYPERLINK("https://klasma.github.io/Logging_2582/artfynd/A 28267-2025 artfynd.xlsx", "A 28267-2025")</f>
        <v/>
      </c>
      <c r="X62">
        <f>HYPERLINK("https://klasma.github.io/Logging_2582/kartor/A 28267-2025 karta.png", "A 28267-2025")</f>
        <v/>
      </c>
      <c r="Y62">
        <f>HYPERLINK("https://klasma.github.io/Logging_2582/kartor_geotiff/A 28267-2025 georefererad karta.tif", "A 28267-2025")</f>
        <v/>
      </c>
      <c r="Z62">
        <f>HYPERLINK("https://klasma.github.io/Logging_2582/knärot/A 28267-2025 karta knärot.png", "A 28267-2025")</f>
        <v/>
      </c>
      <c r="AA62">
        <f>HYPERLINK("https://klasma.github.io/Logging_2582/klagomål/A 28267-2025 FSC-klagomål.docx", "A 28267-2025")</f>
        <v/>
      </c>
      <c r="AB62">
        <f>HYPERLINK("https://klasma.github.io/Logging_2582/klagomålsmail/A 28267-2025 FSC-klagomål mail.docx", "A 28267-2025")</f>
        <v/>
      </c>
      <c r="AC62">
        <f>HYPERLINK("https://klasma.github.io/Logging_2582/tillsyn/A 28267-2025 tillsynsbegäran.docx", "A 28267-2025")</f>
        <v/>
      </c>
      <c r="AD62">
        <f>HYPERLINK("https://klasma.github.io/Logging_2582/tillsynsmail/A 28267-2025 tillsynsbegäran mail.docx", "A 28267-2025")</f>
        <v/>
      </c>
    </row>
    <row r="63" ht="15" customHeight="1">
      <c r="A63" t="inlineStr">
        <is>
          <t>A 10087-2026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46319</v>
      </c>
      <c r="F63" t="inlineStr">
        <is>
          <t>NORRBOTTENS LÄN</t>
        </is>
      </c>
      <c r="G63" t="inlineStr">
        <is>
          <t>BODEN</t>
        </is>
      </c>
      <c r="I63" t="n">
        <v>5.9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Korthornad vedstekel
Skogsödla
Vanlig padda</t>
        </is>
      </c>
      <c r="W63">
        <f>HYPERLINK("https://klasma.github.io/Logging_2582/artfynd/A 10087-2026 artfynd.xlsx", "A 10087-2026")</f>
        <v/>
      </c>
      <c r="X63">
        <f>HYPERLINK("https://klasma.github.io/Logging_2582/kartor/A 10087-2026 karta.png", "A 10087-2026")</f>
        <v/>
      </c>
      <c r="Y63">
        <f>HYPERLINK("https://klasma.github.io/Logging_2582/kartor_geotiff/A 10087-2026 georefererad karta.tif", "A 10087-2026")</f>
        <v/>
      </c>
      <c r="AA63">
        <f>HYPERLINK("https://klasma.github.io/Logging_2582/klagomål/A 10087-2026 FSC-klagomål.docx", "A 10087-2026")</f>
        <v/>
      </c>
      <c r="AB63">
        <f>HYPERLINK("https://klasma.github.io/Logging_2582/klagomålsmail/A 10087-2026 FSC-klagomål mail.docx", "A 10087-2026")</f>
        <v/>
      </c>
      <c r="AC63">
        <f>HYPERLINK("https://klasma.github.io/Logging_2582/tillsyn/A 10087-2026 tillsynsbegäran.docx", "A 10087-2026")</f>
        <v/>
      </c>
      <c r="AD63">
        <f>HYPERLINK("https://klasma.github.io/Logging_2582/tillsynsmail/A 10087-2026 tillsynsbegäran mail.docx", "A 10087-2026")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46319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46319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46319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23323-2025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46319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21.8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Grönpyrola
Fläcknycklar
Nattviol</t>
        </is>
      </c>
      <c r="W67">
        <f>HYPERLINK("https://klasma.github.io/Logging_2582/artfynd/A 23323-2025 artfynd.xlsx", "A 23323-2025")</f>
        <v/>
      </c>
      <c r="X67">
        <f>HYPERLINK("https://klasma.github.io/Logging_2582/kartor/A 23323-2025 karta.png", "A 23323-2025")</f>
        <v/>
      </c>
      <c r="Y67">
        <f>HYPERLINK("https://klasma.github.io/Logging_2582/kartor_geotiff/A 23323-2025 georefererad karta.tif", "A 23323-2025")</f>
        <v/>
      </c>
      <c r="AA67">
        <f>HYPERLINK("https://klasma.github.io/Logging_2582/klagomål/A 23323-2025 FSC-klagomål.docx", "A 23323-2025")</f>
        <v/>
      </c>
      <c r="AB67">
        <f>HYPERLINK("https://klasma.github.io/Logging_2582/klagomålsmail/A 23323-2025 FSC-klagomål mail.docx", "A 23323-2025")</f>
        <v/>
      </c>
      <c r="AC67">
        <f>HYPERLINK("https://klasma.github.io/Logging_2582/tillsyn/A 23323-2025 tillsynsbegäran.docx", "A 23323-2025")</f>
        <v/>
      </c>
      <c r="AD67">
        <f>HYPERLINK("https://klasma.github.io/Logging_2582/tillsynsmail/A 23323-2025 tillsynsbegäran mail.docx", "A 23323-2025")</f>
        <v/>
      </c>
    </row>
    <row r="68" ht="15" customHeight="1">
      <c r="A68" t="inlineStr">
        <is>
          <t>A 43987-2026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46317</v>
      </c>
      <c r="E68" s="1" t="n">
        <v>46319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2.5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0</v>
      </c>
      <c r="V68" s="2" t="inlineStr">
        <is>
          <t>Lunglav
Luddlav
Stuplav</t>
        </is>
      </c>
      <c r="W68">
        <f>HYPERLINK("https://klasma.github.io/Logging_2582/artfynd/A 43987-2026 artfynd.xlsx", "A 43987-2026")</f>
        <v/>
      </c>
      <c r="X68">
        <f>HYPERLINK("https://klasma.github.io/Logging_2582/kartor/A 43987-2026 karta.png", "A 43987-2026")</f>
        <v/>
      </c>
      <c r="Y68">
        <f>HYPERLINK("https://klasma.github.io/Logging_2582/kartor_geotiff/A 43987-2026 georefererad karta.tif", "A 43987-2026")</f>
        <v/>
      </c>
      <c r="AA68">
        <f>HYPERLINK("https://klasma.github.io/Logging_2582/klagomål/A 43987-2026 FSC-klagomål.docx", "A 43987-2026")</f>
        <v/>
      </c>
      <c r="AB68">
        <f>HYPERLINK("https://klasma.github.io/Logging_2582/klagomålsmail/A 43987-2026 FSC-klagomål mail.docx", "A 43987-2026")</f>
        <v/>
      </c>
      <c r="AC68">
        <f>HYPERLINK("https://klasma.github.io/Logging_2582/tillsyn/A 43987-2026 tillsynsbegäran.docx", "A 43987-2026")</f>
        <v/>
      </c>
      <c r="AD68">
        <f>HYPERLINK("https://klasma.github.io/Logging_2582/tillsynsmail/A 43987-2026 tillsynsbegäran mail.docx", "A 43987-2026")</f>
        <v/>
      </c>
    </row>
    <row r="69" ht="15" customHeight="1">
      <c r="A69" t="inlineStr">
        <is>
          <t>A 23575-2023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46319</v>
      </c>
      <c r="F69" t="inlineStr">
        <is>
          <t>NORRBOTTENS LÄN</t>
        </is>
      </c>
      <c r="G69" t="inlineStr">
        <is>
          <t>BODEN</t>
        </is>
      </c>
      <c r="I69" t="n">
        <v>7.9</v>
      </c>
      <c r="J69" t="n">
        <v>1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4</v>
      </c>
      <c r="U69" t="n">
        <v>1</v>
      </c>
      <c r="V69" s="2" t="inlineStr">
        <is>
          <t>Gammelgransskål
Nordfladdermus
Bollvitmossa</t>
        </is>
      </c>
      <c r="W69">
        <f>HYPERLINK("https://klasma.github.io/Logging_2582/artfynd/A 23575-2023 artfynd.xlsx", "A 23575-2023")</f>
        <v/>
      </c>
      <c r="X69">
        <f>HYPERLINK("https://klasma.github.io/Logging_2582/kartor/A 23575-2023 karta.png", "A 23575-2023")</f>
        <v/>
      </c>
      <c r="Y69">
        <f>HYPERLINK("https://klasma.github.io/Logging_2582/kartor_geotiff/A 23575-2023 georefererad karta.tif", "A 23575-2023")</f>
        <v/>
      </c>
      <c r="AA69">
        <f>HYPERLINK("https://klasma.github.io/Logging_2582/klagomål/A 23575-2023 FSC-klagomål.docx", "A 23575-2023")</f>
        <v/>
      </c>
      <c r="AB69">
        <f>HYPERLINK("https://klasma.github.io/Logging_2582/klagomålsmail/A 23575-2023 FSC-klagomål mail.docx", "A 23575-2023")</f>
        <v/>
      </c>
      <c r="AC69">
        <f>HYPERLINK("https://klasma.github.io/Logging_2582/tillsyn/A 23575-2023 tillsynsbegäran.docx", "A 23575-2023")</f>
        <v/>
      </c>
      <c r="AD69">
        <f>HYPERLINK("https://klasma.github.io/Logging_2582/tillsynsmail/A 23575-2023 tillsynsbegäran mail.docx", "A 23575-2023")</f>
        <v/>
      </c>
    </row>
    <row r="70" ht="15" customHeight="1">
      <c r="A70" t="inlineStr">
        <is>
          <t>A 37014-2023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46319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2.4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Talltita
Stuplav</t>
        </is>
      </c>
      <c r="W70">
        <f>HYPERLINK("https://klasma.github.io/Logging_2582/artfynd/A 37014-2023 artfynd.xlsx", "A 37014-2023")</f>
        <v/>
      </c>
      <c r="X70">
        <f>HYPERLINK("https://klasma.github.io/Logging_2582/kartor/A 37014-2023 karta.png", "A 37014-2023")</f>
        <v/>
      </c>
      <c r="Y70">
        <f>HYPERLINK("https://klasma.github.io/Logging_2582/kartor_geotiff/A 37014-2023 georefererad karta.tif", "A 37014-2023")</f>
        <v/>
      </c>
      <c r="AA70">
        <f>HYPERLINK("https://klasma.github.io/Logging_2582/klagomål/A 37014-2023 FSC-klagomål.docx", "A 37014-2023")</f>
        <v/>
      </c>
      <c r="AB70">
        <f>HYPERLINK("https://klasma.github.io/Logging_2582/klagomålsmail/A 37014-2023 FSC-klagomål mail.docx", "A 37014-2023")</f>
        <v/>
      </c>
      <c r="AC70">
        <f>HYPERLINK("https://klasma.github.io/Logging_2582/tillsyn/A 37014-2023 tillsynsbegäran.docx", "A 37014-2023")</f>
        <v/>
      </c>
      <c r="AD70">
        <f>HYPERLINK("https://klasma.github.io/Logging_2582/tillsynsmail/A 37014-2023 tillsynsbegäran mail.docx", "A 37014-2023")</f>
        <v/>
      </c>
      <c r="AE70">
        <f>HYPERLINK("https://klasma.github.io/Logging_2582/fåglar/A 37014-2023 prioriterade fågelarter.docx", "A 37014-2023")</f>
        <v/>
      </c>
    </row>
    <row r="71" ht="15" customHeight="1">
      <c r="A71" t="inlineStr">
        <is>
          <t>A 29797-2022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44755</v>
      </c>
      <c r="E71" s="1" t="n">
        <v>46319</v>
      </c>
      <c r="F71" t="inlineStr">
        <is>
          <t>NORRBOTTENS LÄN</t>
        </is>
      </c>
      <c r="G71" t="inlineStr">
        <is>
          <t>BODEN</t>
        </is>
      </c>
      <c r="H71" t="inlineStr">
        <is>
          <t>Kyrkan</t>
        </is>
      </c>
      <c r="I71" t="n">
        <v>29.2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Vanlig groda
Vanlig padda
Revlummer</t>
        </is>
      </c>
      <c r="W71">
        <f>HYPERLINK("https://klasma.github.io/Logging_2582/artfynd/A 29797-2022 artfynd.xlsx", "A 29797-2022")</f>
        <v/>
      </c>
      <c r="X71">
        <f>HYPERLINK("https://klasma.github.io/Logging_2582/kartor/A 29797-2022 karta.png", "A 29797-2022")</f>
        <v/>
      </c>
      <c r="Y71">
        <f>HYPERLINK("https://klasma.github.io/Logging_2582/kartor_geotiff/A 29797-2022 georefererad karta.tif", "A 29797-2022")</f>
        <v/>
      </c>
      <c r="AA71">
        <f>HYPERLINK("https://klasma.github.io/Logging_2582/klagomål/A 29797-2022 FSC-klagomål.docx", "A 29797-2022")</f>
        <v/>
      </c>
      <c r="AB71">
        <f>HYPERLINK("https://klasma.github.io/Logging_2582/klagomålsmail/A 29797-2022 FSC-klagomål mail.docx", "A 29797-2022")</f>
        <v/>
      </c>
      <c r="AC71">
        <f>HYPERLINK("https://klasma.github.io/Logging_2582/tillsyn/A 29797-2022 tillsynsbegäran.docx", "A 29797-2022")</f>
        <v/>
      </c>
      <c r="AD71">
        <f>HYPERLINK("https://klasma.github.io/Logging_2582/tillsynsmail/A 29797-2022 tillsynsbegäran mail.docx", "A 29797-2022")</f>
        <v/>
      </c>
    </row>
    <row r="72" ht="15" customHeight="1">
      <c r="A72" t="inlineStr">
        <is>
          <t>A 13659-2022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46319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7.3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Bollvitmossa
Ögonpyrola</t>
        </is>
      </c>
      <c r="W72">
        <f>HYPERLINK("https://klasma.github.io/Logging_2582/artfynd/A 13659-2022 artfynd.xlsx", "A 13659-2022")</f>
        <v/>
      </c>
      <c r="X72">
        <f>HYPERLINK("https://klasma.github.io/Logging_2582/kartor/A 13659-2022 karta.png", "A 13659-2022")</f>
        <v/>
      </c>
      <c r="Y72">
        <f>HYPERLINK("https://klasma.github.io/Logging_2582/kartor_geotiff/A 13659-2022 georefererad karta.tif", "A 13659-2022")</f>
        <v/>
      </c>
      <c r="AA72">
        <f>HYPERLINK("https://klasma.github.io/Logging_2582/klagomål/A 13659-2022 FSC-klagomål.docx", "A 13659-2022")</f>
        <v/>
      </c>
      <c r="AB72">
        <f>HYPERLINK("https://klasma.github.io/Logging_2582/klagomålsmail/A 13659-2022 FSC-klagomål mail.docx", "A 13659-2022")</f>
        <v/>
      </c>
      <c r="AC72">
        <f>HYPERLINK("https://klasma.github.io/Logging_2582/tillsyn/A 13659-2022 tillsynsbegäran.docx", "A 13659-2022")</f>
        <v/>
      </c>
      <c r="AD72">
        <f>HYPERLINK("https://klasma.github.io/Logging_2582/tillsynsmail/A 13659-2022 tillsynsbegäran mail.docx", "A 13659-2022")</f>
        <v/>
      </c>
    </row>
    <row r="73" ht="15" customHeight="1">
      <c r="A73" t="inlineStr">
        <is>
          <t>A 36629-2022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46319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10</v>
      </c>
      <c r="U73" t="n">
        <v>10</v>
      </c>
      <c r="V73" s="2" t="inlineStr">
        <is>
          <t>Dropptaggsvamp
Skarp dropptaggsvamp</t>
        </is>
      </c>
      <c r="W73">
        <f>HYPERLINK("https://klasma.github.io/Logging_2582/artfynd/A 36629-2022 artfynd.xlsx", "A 36629-2022")</f>
        <v/>
      </c>
      <c r="X73">
        <f>HYPERLINK("https://klasma.github.io/Logging_2582/kartor/A 36629-2022 karta.png", "A 36629-2022")</f>
        <v/>
      </c>
      <c r="Y73">
        <f>HYPERLINK("https://klasma.github.io/Logging_2582/kartor_geotiff/A 36629-2022 georefererad karta.tif", "A 36629-2022")</f>
        <v/>
      </c>
      <c r="AA73">
        <f>HYPERLINK("https://klasma.github.io/Logging_2582/klagomål/A 36629-2022 FSC-klagomål.docx", "A 36629-2022")</f>
        <v/>
      </c>
      <c r="AB73">
        <f>HYPERLINK("https://klasma.github.io/Logging_2582/klagomålsmail/A 36629-2022 FSC-klagomål mail.docx", "A 36629-2022")</f>
        <v/>
      </c>
      <c r="AC73">
        <f>HYPERLINK("https://klasma.github.io/Logging_2582/tillsyn/A 36629-2022 tillsynsbegäran.docx", "A 36629-2022")</f>
        <v/>
      </c>
      <c r="AD73">
        <f>HYPERLINK("https://klasma.github.io/Logging_2582/tillsynsmail/A 36629-2022 tillsynsbegäran mail.docx", "A 36629-2022")</f>
        <v/>
      </c>
    </row>
    <row r="74" ht="15" customHeight="1">
      <c r="A74" t="inlineStr">
        <is>
          <t>A 35037-2022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46319</v>
      </c>
      <c r="F74" t="inlineStr">
        <is>
          <t>NORRBOTTENS LÄN</t>
        </is>
      </c>
      <c r="G74" t="inlineStr">
        <is>
          <t>BODEN</t>
        </is>
      </c>
      <c r="I74" t="n">
        <v>0.6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Rödvingetrast
Revlummer</t>
        </is>
      </c>
      <c r="W74">
        <f>HYPERLINK("https://klasma.github.io/Logging_2582/artfynd/A 35037-2022 artfynd.xlsx", "A 35037-2022")</f>
        <v/>
      </c>
      <c r="X74">
        <f>HYPERLINK("https://klasma.github.io/Logging_2582/kartor/A 35037-2022 karta.png", "A 35037-2022")</f>
        <v/>
      </c>
      <c r="Y74">
        <f>HYPERLINK("https://klasma.github.io/Logging_2582/kartor_geotiff/A 35037-2022 georefererad karta.tif", "A 35037-2022")</f>
        <v/>
      </c>
      <c r="AA74">
        <f>HYPERLINK("https://klasma.github.io/Logging_2582/klagomål/A 35037-2022 FSC-klagomål.docx", "A 35037-2022")</f>
        <v/>
      </c>
      <c r="AB74">
        <f>HYPERLINK("https://klasma.github.io/Logging_2582/klagomålsmail/A 35037-2022 FSC-klagomål mail.docx", "A 35037-2022")</f>
        <v/>
      </c>
      <c r="AC74">
        <f>HYPERLINK("https://klasma.github.io/Logging_2582/tillsyn/A 35037-2022 tillsynsbegäran.docx", "A 35037-2022")</f>
        <v/>
      </c>
      <c r="AD74">
        <f>HYPERLINK("https://klasma.github.io/Logging_2582/tillsynsmail/A 35037-2022 tillsynsbegäran mail.docx", "A 35037-2022")</f>
        <v/>
      </c>
      <c r="AE74">
        <f>HYPERLINK("https://klasma.github.io/Logging_2582/fåglar/A 35037-2022 prioriterade fågelarter.docx", "A 35037-2022")</f>
        <v/>
      </c>
    </row>
    <row r="75" ht="15" customHeight="1">
      <c r="A75" t="inlineStr">
        <is>
          <t>A 26346-2022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46319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 taggsvamp
Ullticka</t>
        </is>
      </c>
      <c r="W75">
        <f>HYPERLINK("https://klasma.github.io/Logging_2582/artfynd/A 26346-2022 artfynd.xlsx", "A 26346-2022")</f>
        <v/>
      </c>
      <c r="X75">
        <f>HYPERLINK("https://klasma.github.io/Logging_2582/kartor/A 26346-2022 karta.png", "A 26346-2022")</f>
        <v/>
      </c>
      <c r="Y75">
        <f>HYPERLINK("https://klasma.github.io/Logging_2582/kartor_geotiff/A 26346-2022 georefererad karta.tif", "A 26346-2022")</f>
        <v/>
      </c>
      <c r="AA75">
        <f>HYPERLINK("https://klasma.github.io/Logging_2582/klagomål/A 26346-2022 FSC-klagomål.docx", "A 26346-2022")</f>
        <v/>
      </c>
      <c r="AB75">
        <f>HYPERLINK("https://klasma.github.io/Logging_2582/klagomålsmail/A 26346-2022 FSC-klagomål mail.docx", "A 26346-2022")</f>
        <v/>
      </c>
      <c r="AC75">
        <f>HYPERLINK("https://klasma.github.io/Logging_2582/tillsyn/A 26346-2022 tillsynsbegäran.docx", "A 26346-2022")</f>
        <v/>
      </c>
      <c r="AD75">
        <f>HYPERLINK("https://klasma.github.io/Logging_2582/tillsynsmail/A 26346-2022 tillsynsbegäran mail.docx", "A 26346-2022")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46319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46319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46319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23794-2026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46164</v>
      </c>
      <c r="E79" s="1" t="n">
        <v>46319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3.1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Plattlummer
Spindelblomster</t>
        </is>
      </c>
      <c r="W79">
        <f>HYPERLINK("https://klasma.github.io/Logging_2582/artfynd/A 23794-2026 artfynd.xlsx", "A 23794-2026")</f>
        <v/>
      </c>
      <c r="X79">
        <f>HYPERLINK("https://klasma.github.io/Logging_2582/kartor/A 23794-2026 karta.png", "A 23794-2026")</f>
        <v/>
      </c>
      <c r="Y79">
        <f>HYPERLINK("https://klasma.github.io/Logging_2582/kartor_geotiff/A 23794-2026 georefererad karta.tif", "A 23794-2026")</f>
        <v/>
      </c>
      <c r="AA79">
        <f>HYPERLINK("https://klasma.github.io/Logging_2582/klagomål/A 23794-2026 FSC-klagomål.docx", "A 23794-2026")</f>
        <v/>
      </c>
      <c r="AB79">
        <f>HYPERLINK("https://klasma.github.io/Logging_2582/klagomålsmail/A 23794-2026 FSC-klagomål mail.docx", "A 23794-2026")</f>
        <v/>
      </c>
      <c r="AC79">
        <f>HYPERLINK("https://klasma.github.io/Logging_2582/tillsyn/A 23794-2026 tillsynsbegäran.docx", "A 23794-2026")</f>
        <v/>
      </c>
      <c r="AD79">
        <f>HYPERLINK("https://klasma.github.io/Logging_2582/tillsynsmail/A 23794-2026 tillsynsbegäran mail.docx", "A 23794-2026")</f>
        <v/>
      </c>
    </row>
    <row r="80" ht="15" customHeight="1">
      <c r="A80" t="inlineStr">
        <is>
          <t>A 45477-2025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46319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Doftticka
Lunglav</t>
        </is>
      </c>
      <c r="W80">
        <f>HYPERLINK("https://klasma.github.io/Logging_2582/artfynd/A 45477-2025 artfynd.xlsx", "A 45477-2025")</f>
        <v/>
      </c>
      <c r="X80">
        <f>HYPERLINK("https://klasma.github.io/Logging_2582/kartor/A 45477-2025 karta.png", "A 45477-2025")</f>
        <v/>
      </c>
      <c r="Y80">
        <f>HYPERLINK("https://klasma.github.io/Logging_2582/kartor_geotiff/A 45477-2025 georefererad karta.tif", "A 45477-2025")</f>
        <v/>
      </c>
      <c r="AA80">
        <f>HYPERLINK("https://klasma.github.io/Logging_2582/klagomål/A 45477-2025 FSC-klagomål.docx", "A 45477-2025")</f>
        <v/>
      </c>
      <c r="AB80">
        <f>HYPERLINK("https://klasma.github.io/Logging_2582/klagomålsmail/A 45477-2025 FSC-klagomål mail.docx", "A 45477-2025")</f>
        <v/>
      </c>
      <c r="AC80">
        <f>HYPERLINK("https://klasma.github.io/Logging_2582/tillsyn/A 45477-2025 tillsynsbegäran.docx", "A 45477-2025")</f>
        <v/>
      </c>
      <c r="AD80">
        <f>HYPERLINK("https://klasma.github.io/Logging_2582/tillsynsmail/A 45477-2025 tillsynsbegäran mail.docx", "A 45477-2025")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46319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46319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26773-2026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46319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Lunglav</t>
        </is>
      </c>
      <c r="W83">
        <f>HYPERLINK("https://klasma.github.io/Logging_2582/artfynd/A 26773-2026 artfynd.xlsx", "A 26773-2026")</f>
        <v/>
      </c>
      <c r="X83">
        <f>HYPERLINK("https://klasma.github.io/Logging_2582/kartor/A 26773-2026 karta.png", "A 26773-2026")</f>
        <v/>
      </c>
      <c r="Y83">
        <f>HYPERLINK("https://klasma.github.io/Logging_2582/kartor_geotiff/A 26773-2026 georefererad karta.tif", "A 26773-2026")</f>
        <v/>
      </c>
      <c r="Z83">
        <f>HYPERLINK("https://klasma.github.io/Logging_2582/knärot/A 26773-2026 karta knärot.png", "A 26773-2026")</f>
        <v/>
      </c>
      <c r="AA83">
        <f>HYPERLINK("https://klasma.github.io/Logging_2582/klagomål/A 26773-2026 FSC-klagomål.docx", "A 26773-2026")</f>
        <v/>
      </c>
      <c r="AB83">
        <f>HYPERLINK("https://klasma.github.io/Logging_2582/klagomålsmail/A 26773-2026 FSC-klagomål mail.docx", "A 26773-2026")</f>
        <v/>
      </c>
      <c r="AC83">
        <f>HYPERLINK("https://klasma.github.io/Logging_2582/tillsyn/A 26773-2026 tillsynsbegäran.docx", "A 26773-2026")</f>
        <v/>
      </c>
      <c r="AD83">
        <f>HYPERLINK("https://klasma.github.io/Logging_2582/tillsynsmail/A 26773-2026 tillsynsbegäran mail.docx", "A 26773-2026")</f>
        <v/>
      </c>
    </row>
    <row r="84" ht="15" customHeight="1">
      <c r="A84" t="inlineStr">
        <is>
          <t>A 22906-2023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45072</v>
      </c>
      <c r="E84" s="1" t="n">
        <v>46319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3.5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Utter</t>
        </is>
      </c>
      <c r="W84">
        <f>HYPERLINK("https://klasma.github.io/Logging_2582/artfynd/A 22906-2023 artfynd.xlsx", "A 22906-2023")</f>
        <v/>
      </c>
      <c r="X84">
        <f>HYPERLINK("https://klasma.github.io/Logging_2582/kartor/A 22906-2023 karta.png", "A 22906-2023")</f>
        <v/>
      </c>
      <c r="Y84">
        <f>HYPERLINK("https://klasma.github.io/Logging_2582/kartor_geotiff/A 22906-2023 georefererad karta.tif", "A 22906-2023")</f>
        <v/>
      </c>
      <c r="AA84">
        <f>HYPERLINK("https://klasma.github.io/Logging_2582/klagomål/A 22906-2023 FSC-klagomål.docx", "A 22906-2023")</f>
        <v/>
      </c>
      <c r="AB84">
        <f>HYPERLINK("https://klasma.github.io/Logging_2582/klagomålsmail/A 22906-2023 FSC-klagomål mail.docx", "A 22906-2023")</f>
        <v/>
      </c>
      <c r="AC84">
        <f>HYPERLINK("https://klasma.github.io/Logging_2582/tillsyn/A 22906-2023 tillsynsbegäran.docx", "A 22906-2023")</f>
        <v/>
      </c>
      <c r="AD84">
        <f>HYPERLINK("https://klasma.github.io/Logging_2582/tillsynsmail/A 22906-2023 tillsynsbegäran mail.docx", "A 22906-2023")</f>
        <v/>
      </c>
      <c r="AE84">
        <f>HYPERLINK("https://klasma.github.io/Logging_2582/fåglar/A 22906-2023 prioriterade fågelarter.docx", "A 22906-2023")</f>
        <v/>
      </c>
    </row>
    <row r="85" ht="15" customHeight="1">
      <c r="A85" t="inlineStr">
        <is>
          <t>A 29881-2026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46319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Lunglav
Fläcknycklar</t>
        </is>
      </c>
      <c r="W85">
        <f>HYPERLINK("https://klasma.github.io/Logging_2582/artfynd/A 29881-2026 artfynd.xlsx", "A 29881-2026")</f>
        <v/>
      </c>
      <c r="X85">
        <f>HYPERLINK("https://klasma.github.io/Logging_2582/kartor/A 29881-2026 karta.png", "A 29881-2026")</f>
        <v/>
      </c>
      <c r="Y85">
        <f>HYPERLINK("https://klasma.github.io/Logging_2582/kartor_geotiff/A 29881-2026 georefererad karta.tif", "A 29881-2026")</f>
        <v/>
      </c>
      <c r="AA85">
        <f>HYPERLINK("https://klasma.github.io/Logging_2582/klagomål/A 29881-2026 FSC-klagomål.docx", "A 29881-2026")</f>
        <v/>
      </c>
      <c r="AB85">
        <f>HYPERLINK("https://klasma.github.io/Logging_2582/klagomålsmail/A 29881-2026 FSC-klagomål mail.docx", "A 29881-2026")</f>
        <v/>
      </c>
      <c r="AC85">
        <f>HYPERLINK("https://klasma.github.io/Logging_2582/tillsyn/A 29881-2026 tillsynsbegäran.docx", "A 29881-2026")</f>
        <v/>
      </c>
      <c r="AD85">
        <f>HYPERLINK("https://klasma.github.io/Logging_2582/tillsynsmail/A 29881-2026 tillsynsbegäran mail.docx", "A 29881-2026")</f>
        <v/>
      </c>
    </row>
    <row r="86" ht="15" customHeight="1">
      <c r="A86" t="inlineStr">
        <is>
          <t>A 29807-2026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46319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Mörk kolflarnlav</t>
        </is>
      </c>
      <c r="W86">
        <f>HYPERLINK("https://klasma.github.io/Logging_2582/artfynd/A 29807-2026 artfynd.xlsx", "A 29807-2026")</f>
        <v/>
      </c>
      <c r="X86">
        <f>HYPERLINK("https://klasma.github.io/Logging_2582/kartor/A 29807-2026 karta.png", "A 29807-2026")</f>
        <v/>
      </c>
      <c r="Y86">
        <f>HYPERLINK("https://klasma.github.io/Logging_2582/kartor_geotiff/A 29807-2026 georefererad karta.tif", "A 29807-2026")</f>
        <v/>
      </c>
      <c r="AA86">
        <f>HYPERLINK("https://klasma.github.io/Logging_2582/klagomål/A 29807-2026 FSC-klagomål.docx", "A 29807-2026")</f>
        <v/>
      </c>
      <c r="AB86">
        <f>HYPERLINK("https://klasma.github.io/Logging_2582/klagomålsmail/A 29807-2026 FSC-klagomål mail.docx", "A 29807-2026")</f>
        <v/>
      </c>
      <c r="AC86">
        <f>HYPERLINK("https://klasma.github.io/Logging_2582/tillsyn/A 29807-2026 tillsynsbegäran.docx", "A 29807-2026")</f>
        <v/>
      </c>
      <c r="AD86">
        <f>HYPERLINK("https://klasma.github.io/Logging_2582/tillsynsmail/A 29807-2026 tillsynsbegäran mail.docx", "A 29807-2026")</f>
        <v/>
      </c>
    </row>
    <row r="87" ht="15" customHeight="1">
      <c r="A87" t="inlineStr">
        <is>
          <t>A 29860-2026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46319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Knottrig blåslav
Lunglav</t>
        </is>
      </c>
      <c r="W87">
        <f>HYPERLINK("https://klasma.github.io/Logging_2582/artfynd/A 29860-2026 artfynd.xlsx", "A 29860-2026")</f>
        <v/>
      </c>
      <c r="X87">
        <f>HYPERLINK("https://klasma.github.io/Logging_2582/kartor/A 29860-2026 karta.png", "A 29860-2026")</f>
        <v/>
      </c>
      <c r="Y87">
        <f>HYPERLINK("https://klasma.github.io/Logging_2582/kartor_geotiff/A 29860-2026 georefererad karta.tif", "A 29860-2026")</f>
        <v/>
      </c>
      <c r="AA87">
        <f>HYPERLINK("https://klasma.github.io/Logging_2582/klagomål/A 29860-2026 FSC-klagomål.docx", "A 29860-2026")</f>
        <v/>
      </c>
      <c r="AB87">
        <f>HYPERLINK("https://klasma.github.io/Logging_2582/klagomålsmail/A 29860-2026 FSC-klagomål mail.docx", "A 29860-2026")</f>
        <v/>
      </c>
      <c r="AC87">
        <f>HYPERLINK("https://klasma.github.io/Logging_2582/tillsyn/A 29860-2026 tillsynsbegäran.docx", "A 29860-2026")</f>
        <v/>
      </c>
      <c r="AD87">
        <f>HYPERLINK("https://klasma.github.io/Logging_2582/tillsynsmail/A 29860-2026 tillsynsbegäran mail.docx", "A 29860-2026")</f>
        <v/>
      </c>
    </row>
    <row r="88" ht="15" customHeight="1">
      <c r="A88" t="inlineStr">
        <is>
          <t>A 6639-2024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46319</v>
      </c>
      <c r="F88" t="inlineStr">
        <is>
          <t>NORRBOTTENS LÄN</t>
        </is>
      </c>
      <c r="G88" t="inlineStr">
        <is>
          <t>BODEN</t>
        </is>
      </c>
      <c r="H88" t="inlineStr">
        <is>
          <t>Övriga statliga verk och myndigheter</t>
        </is>
      </c>
      <c r="I88" t="n">
        <v>23.8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Kungsfågel</t>
        </is>
      </c>
      <c r="W88">
        <f>HYPERLINK("https://klasma.github.io/Logging_2582/artfynd/A 6639-2024 artfynd.xlsx", "A 6639-2024")</f>
        <v/>
      </c>
      <c r="X88">
        <f>HYPERLINK("https://klasma.github.io/Logging_2582/kartor/A 6639-2024 karta.png", "A 6639-2024")</f>
        <v/>
      </c>
      <c r="Y88">
        <f>HYPERLINK("https://klasma.github.io/Logging_2582/kartor_geotiff/A 6639-2024 georefererad karta.tif", "A 6639-2024")</f>
        <v/>
      </c>
      <c r="AA88">
        <f>HYPERLINK("https://klasma.github.io/Logging_2582/klagomål/A 6639-2024 FSC-klagomål.docx", "A 6639-2024")</f>
        <v/>
      </c>
      <c r="AB88">
        <f>HYPERLINK("https://klasma.github.io/Logging_2582/klagomålsmail/A 6639-2024 FSC-klagomål mail.docx", "A 6639-2024")</f>
        <v/>
      </c>
      <c r="AC88">
        <f>HYPERLINK("https://klasma.github.io/Logging_2582/tillsyn/A 6639-2024 tillsynsbegäran.docx", "A 6639-2024")</f>
        <v/>
      </c>
      <c r="AD88">
        <f>HYPERLINK("https://klasma.github.io/Logging_2582/tillsynsmail/A 6639-2024 tillsynsbegäran mail.docx", "A 6639-2024")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46319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31655-2026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46225</v>
      </c>
      <c r="E90" s="1" t="n">
        <v>46319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Lunglav</t>
        </is>
      </c>
      <c r="W90">
        <f>HYPERLINK("https://klasma.github.io/Logging_2582/artfynd/A 31655-2026 artfynd.xlsx", "A 31655-2026")</f>
        <v/>
      </c>
      <c r="X90">
        <f>HYPERLINK("https://klasma.github.io/Logging_2582/kartor/A 31655-2026 karta.png", "A 31655-2026")</f>
        <v/>
      </c>
      <c r="Y90">
        <f>HYPERLINK("https://klasma.github.io/Logging_2582/kartor_geotiff/A 31655-2026 georefererad karta.tif", "A 31655-2026")</f>
        <v/>
      </c>
      <c r="AA90">
        <f>HYPERLINK("https://klasma.github.io/Logging_2582/klagomål/A 31655-2026 FSC-klagomål.docx", "A 31655-2026")</f>
        <v/>
      </c>
      <c r="AB90">
        <f>HYPERLINK("https://klasma.github.io/Logging_2582/klagomålsmail/A 31655-2026 FSC-klagomål mail.docx", "A 31655-2026")</f>
        <v/>
      </c>
      <c r="AC90">
        <f>HYPERLINK("https://klasma.github.io/Logging_2582/tillsyn/A 31655-2026 tillsynsbegäran.docx", "A 31655-2026")</f>
        <v/>
      </c>
      <c r="AD90">
        <f>HYPERLINK("https://klasma.github.io/Logging_2582/tillsynsmail/A 31655-2026 tillsynsbegäran mail.docx", "A 31655-2026")</f>
        <v/>
      </c>
    </row>
    <row r="91" ht="15" customHeight="1">
      <c r="A91" t="inlineStr">
        <is>
          <t>A 59435-2024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46319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Lappranunkel
Ögonpyrola</t>
        </is>
      </c>
      <c r="W91">
        <f>HYPERLINK("https://klasma.github.io/Logging_2582/artfynd/A 59435-2024 artfynd.xlsx", "A 59435-2024")</f>
        <v/>
      </c>
      <c r="X91">
        <f>HYPERLINK("https://klasma.github.io/Logging_2582/kartor/A 59435-2024 karta.png", "A 59435-2024")</f>
        <v/>
      </c>
      <c r="Y91">
        <f>HYPERLINK("https://klasma.github.io/Logging_2582/kartor_geotiff/A 59435-2024 georefererad karta.tif", "A 59435-2024")</f>
        <v/>
      </c>
      <c r="AA91">
        <f>HYPERLINK("https://klasma.github.io/Logging_2582/klagomål/A 59435-2024 FSC-klagomål.docx", "A 59435-2024")</f>
        <v/>
      </c>
      <c r="AB91">
        <f>HYPERLINK("https://klasma.github.io/Logging_2582/klagomålsmail/A 59435-2024 FSC-klagomål mail.docx", "A 59435-2024")</f>
        <v/>
      </c>
      <c r="AC91">
        <f>HYPERLINK("https://klasma.github.io/Logging_2582/tillsyn/A 59435-2024 tillsynsbegäran.docx", "A 59435-2024")</f>
        <v/>
      </c>
      <c r="AD91">
        <f>HYPERLINK("https://klasma.github.io/Logging_2582/tillsynsmail/A 59435-2024 tillsynsbegäran mail.docx", "A 59435-2024")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46319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46319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38870-2026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46286</v>
      </c>
      <c r="E94" s="1" t="n">
        <v>46319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4.8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Fläcknycklar
Revlummer</t>
        </is>
      </c>
      <c r="W94">
        <f>HYPERLINK("https://klasma.github.io/Logging_2582/artfynd/A 38870-2026 artfynd.xlsx", "A 38870-2026")</f>
        <v/>
      </c>
      <c r="X94">
        <f>HYPERLINK("https://klasma.github.io/Logging_2582/kartor/A 38870-2026 karta.png", "A 38870-2026")</f>
        <v/>
      </c>
      <c r="Y94">
        <f>HYPERLINK("https://klasma.github.io/Logging_2582/kartor_geotiff/A 38870-2026 georefererad karta.tif", "A 38870-2026")</f>
        <v/>
      </c>
      <c r="AA94">
        <f>HYPERLINK("https://klasma.github.io/Logging_2582/klagomål/A 38870-2026 FSC-klagomål.docx", "A 38870-2026")</f>
        <v/>
      </c>
      <c r="AB94">
        <f>HYPERLINK("https://klasma.github.io/Logging_2582/klagomålsmail/A 38870-2026 FSC-klagomål mail.docx", "A 38870-2026")</f>
        <v/>
      </c>
      <c r="AC94">
        <f>HYPERLINK("https://klasma.github.io/Logging_2582/tillsyn/A 38870-2026 tillsynsbegäran.docx", "A 38870-2026")</f>
        <v/>
      </c>
      <c r="AD94">
        <f>HYPERLINK("https://klasma.github.io/Logging_2582/tillsynsmail/A 38870-2026 tillsynsbegäran mail.docx", "A 38870-2026")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46319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46319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46319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28867-2025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46319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8.199999999999999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12</v>
      </c>
      <c r="U98" t="n">
        <v>12</v>
      </c>
      <c r="V98" s="2" t="inlineStr">
        <is>
          <t>Knärot
Fläcknycklar</t>
        </is>
      </c>
      <c r="W98">
        <f>HYPERLINK("https://klasma.github.io/Logging_2582/artfynd/A 28867-2025 artfynd.xlsx", "A 28867-2025")</f>
        <v/>
      </c>
      <c r="X98">
        <f>HYPERLINK("https://klasma.github.io/Logging_2582/kartor/A 28867-2025 karta.png", "A 28867-2025")</f>
        <v/>
      </c>
      <c r="Y98">
        <f>HYPERLINK("https://klasma.github.io/Logging_2582/kartor_geotiff/A 28867-2025 georefererad karta.tif", "A 28867-2025")</f>
        <v/>
      </c>
      <c r="Z98">
        <f>HYPERLINK("https://klasma.github.io/Logging_2582/knärot/A 28867-2025 karta knärot.png", "A 28867-2025")</f>
        <v/>
      </c>
      <c r="AA98">
        <f>HYPERLINK("https://klasma.github.io/Logging_2582/klagomål/A 28867-2025 FSC-klagomål.docx", "A 28867-2025")</f>
        <v/>
      </c>
      <c r="AB98">
        <f>HYPERLINK("https://klasma.github.io/Logging_2582/klagomålsmail/A 28867-2025 FSC-klagomål mail.docx", "A 28867-2025")</f>
        <v/>
      </c>
      <c r="AC98">
        <f>HYPERLINK("https://klasma.github.io/Logging_2582/tillsyn/A 28867-2025 tillsynsbegäran.docx", "A 28867-2025")</f>
        <v/>
      </c>
      <c r="AD98">
        <f>HYPERLINK("https://klasma.github.io/Logging_2582/tillsynsmail/A 28867-2025 tillsynsbegäran mail.docx", "A 28867-2025")</f>
        <v/>
      </c>
    </row>
    <row r="99" ht="15" customHeight="1">
      <c r="A99" t="inlineStr">
        <is>
          <t>A 34874-2026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46258</v>
      </c>
      <c r="E99" s="1" t="n">
        <v>46319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2</v>
      </c>
      <c r="U99" t="n">
        <v>0</v>
      </c>
      <c r="V99" s="2" t="inlineStr">
        <is>
          <t>Garnlav
Knärot</t>
        </is>
      </c>
      <c r="W99">
        <f>HYPERLINK("https://klasma.github.io/Logging_2582/artfynd/A 34874-2026 artfynd.xlsx", "A 34874-2026")</f>
        <v/>
      </c>
      <c r="X99">
        <f>HYPERLINK("https://klasma.github.io/Logging_2582/kartor/A 34874-2026 karta.png", "A 34874-2026")</f>
        <v/>
      </c>
      <c r="Y99">
        <f>HYPERLINK("https://klasma.github.io/Logging_2582/kartor_geotiff/A 34874-2026 georefererad karta.tif", "A 34874-2026")</f>
        <v/>
      </c>
      <c r="Z99">
        <f>HYPERLINK("https://klasma.github.io/Logging_2582/knärot/A 34874-2026 karta knärot.png", "A 34874-2026")</f>
        <v/>
      </c>
      <c r="AA99">
        <f>HYPERLINK("https://klasma.github.io/Logging_2582/klagomål/A 34874-2026 FSC-klagomål.docx", "A 34874-2026")</f>
        <v/>
      </c>
      <c r="AB99">
        <f>HYPERLINK("https://klasma.github.io/Logging_2582/klagomålsmail/A 34874-2026 FSC-klagomål mail.docx", "A 34874-2026")</f>
        <v/>
      </c>
      <c r="AC99">
        <f>HYPERLINK("https://klasma.github.io/Logging_2582/tillsyn/A 34874-2026 tillsynsbegäran.docx", "A 34874-2026")</f>
        <v/>
      </c>
      <c r="AD99">
        <f>HYPERLINK("https://klasma.github.io/Logging_2582/tillsynsmail/A 34874-2026 tillsynsbegäran mail.docx", "A 34874-2026")</f>
        <v/>
      </c>
    </row>
    <row r="100" ht="15" customHeight="1">
      <c r="A100" t="inlineStr">
        <is>
          <t>A 42092-2026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46304</v>
      </c>
      <c r="E100" s="1" t="n">
        <v>46319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14.4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1</v>
      </c>
      <c r="V100" s="2" t="inlineStr">
        <is>
          <t>Dropptaggsvamp
Lunglav</t>
        </is>
      </c>
      <c r="W100">
        <f>HYPERLINK("https://klasma.github.io/Logging_2582/artfynd/A 42092-2026 artfynd.xlsx", "A 42092-2026")</f>
        <v/>
      </c>
      <c r="X100">
        <f>HYPERLINK("https://klasma.github.io/Logging_2582/kartor/A 42092-2026 karta.png", "A 42092-2026")</f>
        <v/>
      </c>
      <c r="Y100">
        <f>HYPERLINK("https://klasma.github.io/Logging_2582/kartor_geotiff/A 42092-2026 georefererad karta.tif", "A 42092-2026")</f>
        <v/>
      </c>
      <c r="AA100">
        <f>HYPERLINK("https://klasma.github.io/Logging_2582/klagomål/A 42092-2026 FSC-klagomål.docx", "A 42092-2026")</f>
        <v/>
      </c>
      <c r="AB100">
        <f>HYPERLINK("https://klasma.github.io/Logging_2582/klagomålsmail/A 42092-2026 FSC-klagomål mail.docx", "A 42092-2026")</f>
        <v/>
      </c>
      <c r="AC100">
        <f>HYPERLINK("https://klasma.github.io/Logging_2582/tillsyn/A 42092-2026 tillsynsbegäran.docx", "A 42092-2026")</f>
        <v/>
      </c>
      <c r="AD100">
        <f>HYPERLINK("https://klasma.github.io/Logging_2582/tillsynsmail/A 42092-2026 tillsynsbegäran mail.docx", "A 42092-2026")</f>
        <v/>
      </c>
    </row>
    <row r="101" ht="15" customHeight="1">
      <c r="A101" t="inlineStr">
        <is>
          <t>A 35300-2026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46319</v>
      </c>
      <c r="F101" t="inlineStr">
        <is>
          <t>NORRBOTTENS LÄN</t>
        </is>
      </c>
      <c r="G101" t="inlineStr">
        <is>
          <t>BODEN</t>
        </is>
      </c>
      <c r="I101" t="n">
        <v>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Vitgrynig nållav</t>
        </is>
      </c>
      <c r="W101">
        <f>HYPERLINK("https://klasma.github.io/Logging_2582/artfynd/A 35300-2026 artfynd.xlsx", "A 35300-2026")</f>
        <v/>
      </c>
      <c r="X101">
        <f>HYPERLINK("https://klasma.github.io/Logging_2582/kartor/A 35300-2026 karta.png", "A 35300-2026")</f>
        <v/>
      </c>
      <c r="Y101">
        <f>HYPERLINK("https://klasma.github.io/Logging_2582/kartor_geotiff/A 35300-2026 georefererad karta.tif", "A 35300-2026")</f>
        <v/>
      </c>
      <c r="AA101">
        <f>HYPERLINK("https://klasma.github.io/Logging_2582/klagomål/A 35300-2026 FSC-klagomål.docx", "A 35300-2026")</f>
        <v/>
      </c>
      <c r="AB101">
        <f>HYPERLINK("https://klasma.github.io/Logging_2582/klagomålsmail/A 35300-2026 FSC-klagomål mail.docx", "A 35300-2026")</f>
        <v/>
      </c>
      <c r="AC101">
        <f>HYPERLINK("https://klasma.github.io/Logging_2582/tillsyn/A 35300-2026 tillsynsbegäran.docx", "A 35300-2026")</f>
        <v/>
      </c>
      <c r="AD101">
        <f>HYPERLINK("https://klasma.github.io/Logging_2582/tillsynsmail/A 35300-2026 tillsynsbegäran mail.docx", "A 35300-2026")</f>
        <v/>
      </c>
    </row>
    <row r="102" ht="15" customHeight="1">
      <c r="A102" t="inlineStr">
        <is>
          <t>A 35418-2026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46319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8</v>
      </c>
      <c r="U102" t="n">
        <v>8</v>
      </c>
      <c r="V102" s="2" t="inlineStr">
        <is>
          <t>Knärot
Dropptaggsvamp</t>
        </is>
      </c>
      <c r="W102">
        <f>HYPERLINK("https://klasma.github.io/Logging_2582/artfynd/A 35418-2026 artfynd.xlsx", "A 35418-2026")</f>
        <v/>
      </c>
      <c r="X102">
        <f>HYPERLINK("https://klasma.github.io/Logging_2582/kartor/A 35418-2026 karta.png", "A 35418-2026")</f>
        <v/>
      </c>
      <c r="Y102">
        <f>HYPERLINK("https://klasma.github.io/Logging_2582/kartor_geotiff/A 35418-2026 georefererad karta.tif", "A 35418-2026")</f>
        <v/>
      </c>
      <c r="Z102">
        <f>HYPERLINK("https://klasma.github.io/Logging_2582/knärot/A 35418-2026 karta knärot.png", "A 35418-2026")</f>
        <v/>
      </c>
      <c r="AA102">
        <f>HYPERLINK("https://klasma.github.io/Logging_2582/klagomål/A 35418-2026 FSC-klagomål.docx", "A 35418-2026")</f>
        <v/>
      </c>
      <c r="AB102">
        <f>HYPERLINK("https://klasma.github.io/Logging_2582/klagomålsmail/A 35418-2026 FSC-klagomål mail.docx", "A 35418-2026")</f>
        <v/>
      </c>
      <c r="AC102">
        <f>HYPERLINK("https://klasma.github.io/Logging_2582/tillsyn/A 35418-2026 tillsynsbegäran.docx", "A 35418-2026")</f>
        <v/>
      </c>
      <c r="AD102">
        <f>HYPERLINK("https://klasma.github.io/Logging_2582/tillsynsmail/A 35418-2026 tillsynsbegäran mail.docx", "A 35418-2026")</f>
        <v/>
      </c>
    </row>
    <row r="103" ht="15" customHeight="1">
      <c r="A103" t="inlineStr">
        <is>
          <t>A 37086-2025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46319</v>
      </c>
      <c r="F103" t="inlineStr">
        <is>
          <t>NORRBOTTENS LÄN</t>
        </is>
      </c>
      <c r="G103" t="inlineStr">
        <is>
          <t>BODEN</t>
        </is>
      </c>
      <c r="H103" t="inlineStr">
        <is>
          <t>Övriga Aktiebolag</t>
        </is>
      </c>
      <c r="I103" t="n">
        <v>22.8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Stuplav</t>
        </is>
      </c>
      <c r="W103">
        <f>HYPERLINK("https://klasma.github.io/Logging_2582/artfynd/A 37086-2025 artfynd.xlsx", "A 37086-2025")</f>
        <v/>
      </c>
      <c r="X103">
        <f>HYPERLINK("https://klasma.github.io/Logging_2582/kartor/A 37086-2025 karta.png", "A 37086-2025")</f>
        <v/>
      </c>
      <c r="Y103">
        <f>HYPERLINK("https://klasma.github.io/Logging_2582/kartor_geotiff/A 37086-2025 georefererad karta.tif", "A 37086-2025")</f>
        <v/>
      </c>
      <c r="AA103">
        <f>HYPERLINK("https://klasma.github.io/Logging_2582/klagomål/A 37086-2025 FSC-klagomål.docx", "A 37086-2025")</f>
        <v/>
      </c>
      <c r="AB103">
        <f>HYPERLINK("https://klasma.github.io/Logging_2582/klagomålsmail/A 37086-2025 FSC-klagomål mail.docx", "A 37086-2025")</f>
        <v/>
      </c>
      <c r="AC103">
        <f>HYPERLINK("https://klasma.github.io/Logging_2582/tillsyn/A 37086-2025 tillsynsbegäran.docx", "A 37086-2025")</f>
        <v/>
      </c>
      <c r="AD103">
        <f>HYPERLINK("https://klasma.github.io/Logging_2582/tillsynsmail/A 37086-2025 tillsynsbegäran mail.docx", "A 37086-2025")</f>
        <v/>
      </c>
    </row>
    <row r="104" ht="15" customHeight="1">
      <c r="A104" t="inlineStr">
        <is>
          <t>A 26721-2026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46184</v>
      </c>
      <c r="E104" s="1" t="n">
        <v>46319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Plattlummer
Tibast</t>
        </is>
      </c>
      <c r="W104">
        <f>HYPERLINK("https://klasma.github.io/Logging_2582/artfynd/A 26721-2026 artfynd.xlsx", "A 26721-2026")</f>
        <v/>
      </c>
      <c r="X104">
        <f>HYPERLINK("https://klasma.github.io/Logging_2582/kartor/A 26721-2026 karta.png", "A 26721-2026")</f>
        <v/>
      </c>
      <c r="Y104">
        <f>HYPERLINK("https://klasma.github.io/Logging_2582/kartor_geotiff/A 26721-2026 georefererad karta.tif", "A 26721-2026")</f>
        <v/>
      </c>
      <c r="AA104">
        <f>HYPERLINK("https://klasma.github.io/Logging_2582/klagomål/A 26721-2026 FSC-klagomål.docx", "A 26721-2026")</f>
        <v/>
      </c>
      <c r="AB104">
        <f>HYPERLINK("https://klasma.github.io/Logging_2582/klagomålsmail/A 26721-2026 FSC-klagomål mail.docx", "A 26721-2026")</f>
        <v/>
      </c>
      <c r="AC104">
        <f>HYPERLINK("https://klasma.github.io/Logging_2582/tillsyn/A 26721-2026 tillsynsbegäran.docx", "A 26721-2026")</f>
        <v/>
      </c>
      <c r="AD104">
        <f>HYPERLINK("https://klasma.github.io/Logging_2582/tillsynsmail/A 26721-2026 tillsynsbegäran mail.docx", "A 26721-2026")</f>
        <v/>
      </c>
    </row>
    <row r="105" ht="15" customHeight="1">
      <c r="A105" t="inlineStr">
        <is>
          <t>A 36163-2026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46267</v>
      </c>
      <c r="E105" s="1" t="n">
        <v>46319</v>
      </c>
      <c r="F105" t="inlineStr">
        <is>
          <t>NORRBOTTENS LÄN</t>
        </is>
      </c>
      <c r="G105" t="inlineStr">
        <is>
          <t>BODEN</t>
        </is>
      </c>
      <c r="I105" t="n">
        <v>7.2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Björktrast
Rödvingetrast</t>
        </is>
      </c>
      <c r="W105">
        <f>HYPERLINK("https://klasma.github.io/Logging_2582/artfynd/A 36163-2026 artfynd.xlsx", "A 36163-2026")</f>
        <v/>
      </c>
      <c r="X105">
        <f>HYPERLINK("https://klasma.github.io/Logging_2582/kartor/A 36163-2026 karta.png", "A 36163-2026")</f>
        <v/>
      </c>
      <c r="Y105">
        <f>HYPERLINK("https://klasma.github.io/Logging_2582/kartor_geotiff/A 36163-2026 georefererad karta.tif", "A 36163-2026")</f>
        <v/>
      </c>
      <c r="AA105">
        <f>HYPERLINK("https://klasma.github.io/Logging_2582/klagomål/A 36163-2026 FSC-klagomål.docx", "A 36163-2026")</f>
        <v/>
      </c>
      <c r="AB105">
        <f>HYPERLINK("https://klasma.github.io/Logging_2582/klagomålsmail/A 36163-2026 FSC-klagomål mail.docx", "A 36163-2026")</f>
        <v/>
      </c>
      <c r="AC105">
        <f>HYPERLINK("https://klasma.github.io/Logging_2582/tillsyn/A 36163-2026 tillsynsbegäran.docx", "A 36163-2026")</f>
        <v/>
      </c>
      <c r="AD105">
        <f>HYPERLINK("https://klasma.github.io/Logging_2582/tillsynsmail/A 36163-2026 tillsynsbegäran mail.docx", "A 36163-2026")</f>
        <v/>
      </c>
      <c r="AE105">
        <f>HYPERLINK("https://klasma.github.io/Logging_2582/fåglar/A 36163-2026 prioriterade fågelarter.docx", "A 36163-2026")</f>
        <v/>
      </c>
    </row>
    <row r="106" ht="15" customHeight="1">
      <c r="A106" t="inlineStr">
        <is>
          <t>A 43163-2026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46311</v>
      </c>
      <c r="E106" s="1" t="n">
        <v>46319</v>
      </c>
      <c r="F106" t="inlineStr">
        <is>
          <t>NORRBOTTENS LÄN</t>
        </is>
      </c>
      <c r="G106" t="inlineStr">
        <is>
          <t>BODEN</t>
        </is>
      </c>
      <c r="I106" t="n">
        <v>5.6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4</v>
      </c>
      <c r="U106" t="n">
        <v>0</v>
      </c>
      <c r="V106" s="2" t="inlineStr">
        <is>
          <t>Knärot
Knottrig blåslav</t>
        </is>
      </c>
      <c r="W106">
        <f>HYPERLINK("https://klasma.github.io/Logging_2582/artfynd/A 43163-2026 artfynd.xlsx", "A 43163-2026")</f>
        <v/>
      </c>
      <c r="X106">
        <f>HYPERLINK("https://klasma.github.io/Logging_2582/kartor/A 43163-2026 karta.png", "A 43163-2026")</f>
        <v/>
      </c>
      <c r="Y106">
        <f>HYPERLINK("https://klasma.github.io/Logging_2582/kartor_geotiff/A 43163-2026 georefererad karta.tif", "A 43163-2026")</f>
        <v/>
      </c>
      <c r="Z106">
        <f>HYPERLINK("https://klasma.github.io/Logging_2582/knärot/A 43163-2026 karta knärot.png", "A 43163-2026")</f>
        <v/>
      </c>
      <c r="AA106">
        <f>HYPERLINK("https://klasma.github.io/Logging_2582/klagomål/A 43163-2026 FSC-klagomål.docx", "A 43163-2026")</f>
        <v/>
      </c>
      <c r="AB106">
        <f>HYPERLINK("https://klasma.github.io/Logging_2582/klagomålsmail/A 43163-2026 FSC-klagomål mail.docx", "A 43163-2026")</f>
        <v/>
      </c>
      <c r="AC106">
        <f>HYPERLINK("https://klasma.github.io/Logging_2582/tillsyn/A 43163-2026 tillsynsbegäran.docx", "A 43163-2026")</f>
        <v/>
      </c>
      <c r="AD106">
        <f>HYPERLINK("https://klasma.github.io/Logging_2582/tillsynsmail/A 43163-2026 tillsynsbegäran mail.docx", "A 43163-2026")</f>
        <v/>
      </c>
    </row>
    <row r="107" ht="15" customHeight="1">
      <c r="A107" t="inlineStr">
        <is>
          <t>A 36622-2026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46270</v>
      </c>
      <c r="E107" s="1" t="n">
        <v>46319</v>
      </c>
      <c r="F107" t="inlineStr">
        <is>
          <t>NORRBOTTENS LÄN</t>
        </is>
      </c>
      <c r="G107" t="inlineStr">
        <is>
          <t>BODEN</t>
        </is>
      </c>
      <c r="I107" t="n">
        <v>11.7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Dropptaggsvamp
Revlummer</t>
        </is>
      </c>
      <c r="W107">
        <f>HYPERLINK("https://klasma.github.io/Logging_2582/artfynd/A 36622-2026 artfynd.xlsx", "A 36622-2026")</f>
        <v/>
      </c>
      <c r="X107">
        <f>HYPERLINK("https://klasma.github.io/Logging_2582/kartor/A 36622-2026 karta.png", "A 36622-2026")</f>
        <v/>
      </c>
      <c r="Y107">
        <f>HYPERLINK("https://klasma.github.io/Logging_2582/kartor_geotiff/A 36622-2026 georefererad karta.tif", "A 36622-2026")</f>
        <v/>
      </c>
      <c r="AA107">
        <f>HYPERLINK("https://klasma.github.io/Logging_2582/klagomål/A 36622-2026 FSC-klagomål.docx", "A 36622-2026")</f>
        <v/>
      </c>
      <c r="AB107">
        <f>HYPERLINK("https://klasma.github.io/Logging_2582/klagomålsmail/A 36622-2026 FSC-klagomål mail.docx", "A 36622-2026")</f>
        <v/>
      </c>
      <c r="AC107">
        <f>HYPERLINK("https://klasma.github.io/Logging_2582/tillsyn/A 36622-2026 tillsynsbegäran.docx", "A 36622-2026")</f>
        <v/>
      </c>
      <c r="AD107">
        <f>HYPERLINK("https://klasma.github.io/Logging_2582/tillsynsmail/A 36622-2026 tillsynsbegäran mail.docx", "A 36622-2026")</f>
        <v/>
      </c>
    </row>
    <row r="108" ht="15" customHeight="1">
      <c r="A108" t="inlineStr">
        <is>
          <t>A 60774-2025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45999</v>
      </c>
      <c r="E108" s="1" t="n">
        <v>46319</v>
      </c>
      <c r="F108" t="inlineStr">
        <is>
          <t>NORRBOTTENS LÄN</t>
        </is>
      </c>
      <c r="G108" t="inlineStr">
        <is>
          <t>BODEN</t>
        </is>
      </c>
      <c r="I108" t="n">
        <v>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Ullticka
Skinnlav</t>
        </is>
      </c>
      <c r="W108">
        <f>HYPERLINK("https://klasma.github.io/Logging_2582/artfynd/A 60774-2025 artfynd.xlsx", "A 60774-2025")</f>
        <v/>
      </c>
      <c r="X108">
        <f>HYPERLINK("https://klasma.github.io/Logging_2582/kartor/A 60774-2025 karta.png", "A 60774-2025")</f>
        <v/>
      </c>
      <c r="Y108">
        <f>HYPERLINK("https://klasma.github.io/Logging_2582/kartor_geotiff/A 60774-2025 georefererad karta.tif", "A 60774-2025")</f>
        <v/>
      </c>
      <c r="AA108">
        <f>HYPERLINK("https://klasma.github.io/Logging_2582/klagomål/A 60774-2025 FSC-klagomål.docx", "A 60774-2025")</f>
        <v/>
      </c>
      <c r="AB108">
        <f>HYPERLINK("https://klasma.github.io/Logging_2582/klagomålsmail/A 60774-2025 FSC-klagomål mail.docx", "A 60774-2025")</f>
        <v/>
      </c>
      <c r="AC108">
        <f>HYPERLINK("https://klasma.github.io/Logging_2582/tillsyn/A 60774-2025 tillsynsbegäran.docx", "A 60774-2025")</f>
        <v/>
      </c>
      <c r="AD108">
        <f>HYPERLINK("https://klasma.github.io/Logging_2582/tillsynsmail/A 60774-2025 tillsynsbegäran mail.docx", "A 60774-2025")</f>
        <v/>
      </c>
    </row>
    <row r="109" ht="15" customHeight="1">
      <c r="A109" t="inlineStr">
        <is>
          <t>A 31758-2025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46319</v>
      </c>
      <c r="F109" t="inlineStr">
        <is>
          <t>NORRBOTTENS LÄN</t>
        </is>
      </c>
      <c r="G109" t="inlineStr">
        <is>
          <t>BODEN</t>
        </is>
      </c>
      <c r="I109" t="n">
        <v>19.9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Garnlav
Tretåig hackspett</t>
        </is>
      </c>
      <c r="W109">
        <f>HYPERLINK("https://klasma.github.io/Logging_2582/artfynd/A 31758-2025 artfynd.xlsx", "A 31758-2025")</f>
        <v/>
      </c>
      <c r="X109">
        <f>HYPERLINK("https://klasma.github.io/Logging_2582/kartor/A 31758-2025 karta.png", "A 31758-2025")</f>
        <v/>
      </c>
      <c r="Y109">
        <f>HYPERLINK("https://klasma.github.io/Logging_2582/kartor_geotiff/A 31758-2025 georefererad karta.tif", "A 31758-2025")</f>
        <v/>
      </c>
      <c r="AA109">
        <f>HYPERLINK("https://klasma.github.io/Logging_2582/klagomål/A 31758-2025 FSC-klagomål.docx", "A 31758-2025")</f>
        <v/>
      </c>
      <c r="AB109">
        <f>HYPERLINK("https://klasma.github.io/Logging_2582/klagomålsmail/A 31758-2025 FSC-klagomål mail.docx", "A 31758-2025")</f>
        <v/>
      </c>
      <c r="AC109">
        <f>HYPERLINK("https://klasma.github.io/Logging_2582/tillsyn/A 31758-2025 tillsynsbegäran.docx", "A 31758-2025")</f>
        <v/>
      </c>
      <c r="AD109">
        <f>HYPERLINK("https://klasma.github.io/Logging_2582/tillsynsmail/A 31758-2025 tillsynsbegäran mail.docx", "A 31758-2025")</f>
        <v/>
      </c>
      <c r="AE109">
        <f>HYPERLINK("https://klasma.github.io/Logging_2582/fåglar/A 31758-2025 prioriterade fågelarter.docx", "A 31758-2025")</f>
        <v/>
      </c>
    </row>
    <row r="110" ht="15" customHeight="1">
      <c r="A110" t="inlineStr">
        <is>
          <t>A 6895-2025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45701</v>
      </c>
      <c r="E110" s="1" t="n">
        <v>46319</v>
      </c>
      <c r="F110" t="inlineStr">
        <is>
          <t>NORRBOTTENS LÄN</t>
        </is>
      </c>
      <c r="G110" t="inlineStr">
        <is>
          <t>BODEN</t>
        </is>
      </c>
      <c r="I110" t="n">
        <v>1.5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Plattlummer</t>
        </is>
      </c>
      <c r="W110">
        <f>HYPERLINK("https://klasma.github.io/Logging_2582/artfynd/A 6895-2025 artfynd.xlsx", "A 6895-2025")</f>
        <v/>
      </c>
      <c r="X110">
        <f>HYPERLINK("https://klasma.github.io/Logging_2582/kartor/A 6895-2025 karta.png", "A 6895-2025")</f>
        <v/>
      </c>
      <c r="Y110">
        <f>HYPERLINK("https://klasma.github.io/Logging_2582/kartor_geotiff/A 6895-2025 georefererad karta.tif", "A 6895-2025")</f>
        <v/>
      </c>
      <c r="AA110">
        <f>HYPERLINK("https://klasma.github.io/Logging_2582/klagomål/A 6895-2025 FSC-klagomål.docx", "A 6895-2025")</f>
        <v/>
      </c>
      <c r="AB110">
        <f>HYPERLINK("https://klasma.github.io/Logging_2582/klagomålsmail/A 6895-2025 FSC-klagomål mail.docx", "A 6895-2025")</f>
        <v/>
      </c>
      <c r="AC110">
        <f>HYPERLINK("https://klasma.github.io/Logging_2582/tillsyn/A 6895-2025 tillsynsbegäran.docx", "A 6895-2025")</f>
        <v/>
      </c>
      <c r="AD110">
        <f>HYPERLINK("https://klasma.github.io/Logging_2582/tillsynsmail/A 6895-2025 tillsynsbegäran mail.docx", "A 6895-2025")</f>
        <v/>
      </c>
    </row>
    <row r="111" ht="15" customHeight="1">
      <c r="A111" t="inlineStr">
        <is>
          <t>A 21657-2026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46319</v>
      </c>
      <c r="F111" t="inlineStr">
        <is>
          <t>NORRBOTTENS LÄN</t>
        </is>
      </c>
      <c r="G111" t="inlineStr">
        <is>
          <t>BODEN</t>
        </is>
      </c>
      <c r="I111" t="n">
        <v>9.800000000000001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Orre
Utter</t>
        </is>
      </c>
      <c r="W111">
        <f>HYPERLINK("https://klasma.github.io/Logging_2582/artfynd/A 21657-2026 artfynd.xlsx", "A 21657-2026")</f>
        <v/>
      </c>
      <c r="X111">
        <f>HYPERLINK("https://klasma.github.io/Logging_2582/kartor/A 21657-2026 karta.png", "A 21657-2026")</f>
        <v/>
      </c>
      <c r="Y111">
        <f>HYPERLINK("https://klasma.github.io/Logging_2582/kartor_geotiff/A 21657-2026 georefererad karta.tif", "A 21657-2026")</f>
        <v/>
      </c>
      <c r="AA111">
        <f>HYPERLINK("https://klasma.github.io/Logging_2582/klagomål/A 21657-2026 FSC-klagomål.docx", "A 21657-2026")</f>
        <v/>
      </c>
      <c r="AB111">
        <f>HYPERLINK("https://klasma.github.io/Logging_2582/klagomålsmail/A 21657-2026 FSC-klagomål mail.docx", "A 21657-2026")</f>
        <v/>
      </c>
      <c r="AC111">
        <f>HYPERLINK("https://klasma.github.io/Logging_2582/tillsyn/A 21657-2026 tillsynsbegäran.docx", "A 21657-2026")</f>
        <v/>
      </c>
      <c r="AD111">
        <f>HYPERLINK("https://klasma.github.io/Logging_2582/tillsynsmail/A 21657-2026 tillsynsbegäran mail.docx", "A 21657-2026")</f>
        <v/>
      </c>
      <c r="AE111">
        <f>HYPERLINK("https://klasma.github.io/Logging_2582/fåglar/A 21657-2026 prioriterade fågelarter.docx", "A 21657-2026")</f>
        <v/>
      </c>
    </row>
    <row r="112" ht="15" customHeight="1">
      <c r="A112" t="inlineStr">
        <is>
          <t>A 34737-2024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46319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1</v>
      </c>
      <c r="V112" s="2" t="inlineStr">
        <is>
          <t>Lunglav
Fläcknycklar</t>
        </is>
      </c>
      <c r="W112">
        <f>HYPERLINK("https://klasma.github.io/Logging_2582/artfynd/A 34737-2024 artfynd.xlsx", "A 34737-2024")</f>
        <v/>
      </c>
      <c r="X112">
        <f>HYPERLINK("https://klasma.github.io/Logging_2582/kartor/A 34737-2024 karta.png", "A 34737-2024")</f>
        <v/>
      </c>
      <c r="Y112">
        <f>HYPERLINK("https://klasma.github.io/Logging_2582/kartor_geotiff/A 34737-2024 georefererad karta.tif", "A 34737-2024")</f>
        <v/>
      </c>
      <c r="AA112">
        <f>HYPERLINK("https://klasma.github.io/Logging_2582/klagomål/A 34737-2024 FSC-klagomål.docx", "A 34737-2024")</f>
        <v/>
      </c>
      <c r="AB112">
        <f>HYPERLINK("https://klasma.github.io/Logging_2582/klagomålsmail/A 34737-2024 FSC-klagomål mail.docx", "A 34737-2024")</f>
        <v/>
      </c>
      <c r="AC112">
        <f>HYPERLINK("https://klasma.github.io/Logging_2582/tillsyn/A 34737-2024 tillsynsbegäran.docx", "A 34737-2024")</f>
        <v/>
      </c>
      <c r="AD112">
        <f>HYPERLINK("https://klasma.github.io/Logging_2582/tillsynsmail/A 34737-2024 tillsynsbegäran mail.docx", "A 34737-2024")</f>
        <v/>
      </c>
    </row>
    <row r="113" ht="15" customHeight="1">
      <c r="A113" t="inlineStr">
        <is>
          <t>A 34164-2023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45137</v>
      </c>
      <c r="E113" s="1" t="n">
        <v>46319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2.2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HYPERLINK("https://klasma.github.io/Logging_2582/artfynd/A 34164-2023 artfynd.xlsx", "A 34164-2023")</f>
        <v/>
      </c>
      <c r="X113">
        <f>HYPERLINK("https://klasma.github.io/Logging_2582/kartor/A 34164-2023 karta.png", "A 34164-2023")</f>
        <v/>
      </c>
      <c r="Y113">
        <f>HYPERLINK("https://klasma.github.io/Logging_2582/kartor_geotiff/A 34164-2023 georefererad karta.tif", "A 34164-2023")</f>
        <v/>
      </c>
      <c r="AA113">
        <f>HYPERLINK("https://klasma.github.io/Logging_2582/klagomål/A 34164-2023 FSC-klagomål.docx", "A 34164-2023")</f>
        <v/>
      </c>
      <c r="AB113">
        <f>HYPERLINK("https://klasma.github.io/Logging_2582/klagomålsmail/A 34164-2023 FSC-klagomål mail.docx", "A 34164-2023")</f>
        <v/>
      </c>
      <c r="AC113">
        <f>HYPERLINK("https://klasma.github.io/Logging_2582/tillsyn/A 34164-2023 tillsynsbegäran.docx", "A 34164-2023")</f>
        <v/>
      </c>
      <c r="AD113">
        <f>HYPERLINK("https://klasma.github.io/Logging_2582/tillsynsmail/A 34164-2023 tillsynsbegäran mail.docx", "A 34164-2023")</f>
        <v/>
      </c>
      <c r="AE113">
        <f>HYPERLINK("https://klasma.github.io/Logging_2582/fåglar/A 34164-2023 prioriterade fågelarter.docx", "A 34164-2023")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46319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A 61210-2024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46319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4</v>
      </c>
      <c r="U115" t="n">
        <v>0</v>
      </c>
      <c r="V115" s="2" t="inlineStr">
        <is>
          <t>Skrovlig taggsvamp
Blå taggsvamp</t>
        </is>
      </c>
      <c r="W115">
        <f>HYPERLINK("https://klasma.github.io/Logging_2582/artfynd/A 61210-2024 artfynd.xlsx", "A 61210-2024")</f>
        <v/>
      </c>
      <c r="X115">
        <f>HYPERLINK("https://klasma.github.io/Logging_2582/kartor/A 61210-2024 karta.png", "A 61210-2024")</f>
        <v/>
      </c>
      <c r="Y115">
        <f>HYPERLINK("https://klasma.github.io/Logging_2582/kartor_geotiff/A 61210-2024 georefererad karta.tif", "A 61210-2024")</f>
        <v/>
      </c>
      <c r="AA115">
        <f>HYPERLINK("https://klasma.github.io/Logging_2582/klagomål/A 61210-2024 FSC-klagomål.docx", "A 61210-2024")</f>
        <v/>
      </c>
      <c r="AB115">
        <f>HYPERLINK("https://klasma.github.io/Logging_2582/klagomålsmail/A 61210-2024 FSC-klagomål mail.docx", "A 61210-2024")</f>
        <v/>
      </c>
      <c r="AC115">
        <f>HYPERLINK("https://klasma.github.io/Logging_2582/tillsyn/A 61210-2024 tillsynsbegäran.docx", "A 61210-2024")</f>
        <v/>
      </c>
      <c r="AD115">
        <f>HYPERLINK("https://klasma.github.io/Logging_2582/tillsynsmail/A 61210-2024 tillsynsbegäran mail.docx", "A 61210-2024")</f>
        <v/>
      </c>
    </row>
    <row r="116" ht="15" customHeight="1">
      <c r="A116" t="inlineStr">
        <is>
          <t>A 1507-2022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46319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statliga verk och myndigheter</t>
        </is>
      </c>
      <c r="I116" t="n">
        <v>15.4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Talltita
Gråspett</t>
        </is>
      </c>
      <c r="W116">
        <f>HYPERLINK("https://klasma.github.io/Logging_2582/artfynd/A 1507-2022 artfynd.xlsx", "A 1507-2022")</f>
        <v/>
      </c>
      <c r="X116">
        <f>HYPERLINK("https://klasma.github.io/Logging_2582/kartor/A 1507-2022 karta.png", "A 1507-2022")</f>
        <v/>
      </c>
      <c r="Y116">
        <f>HYPERLINK("https://klasma.github.io/Logging_2582/kartor_geotiff/A 1507-2022 georefererad karta.tif", "A 1507-2022")</f>
        <v/>
      </c>
      <c r="AA116">
        <f>HYPERLINK("https://klasma.github.io/Logging_2582/klagomål/A 1507-2022 FSC-klagomål.docx", "A 1507-2022")</f>
        <v/>
      </c>
      <c r="AB116">
        <f>HYPERLINK("https://klasma.github.io/Logging_2582/klagomålsmail/A 1507-2022 FSC-klagomål mail.docx", "A 1507-2022")</f>
        <v/>
      </c>
      <c r="AC116">
        <f>HYPERLINK("https://klasma.github.io/Logging_2582/tillsyn/A 1507-2022 tillsynsbegäran.docx", "A 1507-2022")</f>
        <v/>
      </c>
      <c r="AD116">
        <f>HYPERLINK("https://klasma.github.io/Logging_2582/tillsynsmail/A 1507-2022 tillsynsbegäran mail.docx", "A 1507-2022")</f>
        <v/>
      </c>
      <c r="AE116">
        <f>HYPERLINK("https://klasma.github.io/Logging_2582/fåglar/A 1507-2022 prioriterade fågelarter.docx", "A 1507-2022")</f>
        <v/>
      </c>
    </row>
    <row r="117" ht="15" customHeight="1">
      <c r="A117" t="inlineStr">
        <is>
          <t>A 32971-2024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46319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5</v>
      </c>
      <c r="U117" t="n">
        <v>4</v>
      </c>
      <c r="V117" s="2" t="inlineStr">
        <is>
          <t>Lunglav
Fläcknycklar</t>
        </is>
      </c>
      <c r="W117">
        <f>HYPERLINK("https://klasma.github.io/Logging_2582/artfynd/A 32971-2024 artfynd.xlsx", "A 32971-2024")</f>
        <v/>
      </c>
      <c r="X117">
        <f>HYPERLINK("https://klasma.github.io/Logging_2582/kartor/A 32971-2024 karta.png", "A 32971-2024")</f>
        <v/>
      </c>
      <c r="Y117">
        <f>HYPERLINK("https://klasma.github.io/Logging_2582/kartor_geotiff/A 32971-2024 georefererad karta.tif", "A 32971-2024")</f>
        <v/>
      </c>
      <c r="AA117">
        <f>HYPERLINK("https://klasma.github.io/Logging_2582/klagomål/A 32971-2024 FSC-klagomål.docx", "A 32971-2024")</f>
        <v/>
      </c>
      <c r="AB117">
        <f>HYPERLINK("https://klasma.github.io/Logging_2582/klagomålsmail/A 32971-2024 FSC-klagomål mail.docx", "A 32971-2024")</f>
        <v/>
      </c>
      <c r="AC117">
        <f>HYPERLINK("https://klasma.github.io/Logging_2582/tillsyn/A 32971-2024 tillsynsbegäran.docx", "A 32971-2024")</f>
        <v/>
      </c>
      <c r="AD117">
        <f>HYPERLINK("https://klasma.github.io/Logging_2582/tillsynsmail/A 32971-2024 tillsynsbegäran mail.docx", "A 32971-2024")</f>
        <v/>
      </c>
    </row>
    <row r="118" ht="15" customHeight="1">
      <c r="A118" t="inlineStr">
        <is>
          <t>A 48899-2024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46319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18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Hässlebrodd
Fläcknycklar</t>
        </is>
      </c>
      <c r="W118">
        <f>HYPERLINK("https://klasma.github.io/Logging_2582/artfynd/A 48899-2024 artfynd.xlsx", "A 48899-2024")</f>
        <v/>
      </c>
      <c r="X118">
        <f>HYPERLINK("https://klasma.github.io/Logging_2582/kartor/A 48899-2024 karta.png", "A 48899-2024")</f>
        <v/>
      </c>
      <c r="Y118">
        <f>HYPERLINK("https://klasma.github.io/Logging_2582/kartor_geotiff/A 48899-2024 georefererad karta.tif", "A 48899-2024")</f>
        <v/>
      </c>
      <c r="AA118">
        <f>HYPERLINK("https://klasma.github.io/Logging_2582/klagomål/A 48899-2024 FSC-klagomål.docx", "A 48899-2024")</f>
        <v/>
      </c>
      <c r="AB118">
        <f>HYPERLINK("https://klasma.github.io/Logging_2582/klagomålsmail/A 48899-2024 FSC-klagomål mail.docx", "A 48899-2024")</f>
        <v/>
      </c>
      <c r="AC118">
        <f>HYPERLINK("https://klasma.github.io/Logging_2582/tillsyn/A 48899-2024 tillsynsbegäran.docx", "A 48899-2024")</f>
        <v/>
      </c>
      <c r="AD118">
        <f>HYPERLINK("https://klasma.github.io/Logging_2582/tillsynsmail/A 48899-2024 tillsynsbegäran mail.docx", "A 48899-2024")</f>
        <v/>
      </c>
    </row>
    <row r="119" ht="15" customHeight="1">
      <c r="A119" t="inlineStr">
        <is>
          <t>S 884-2024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45376</v>
      </c>
      <c r="E119" s="1" t="n">
        <v>46319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1.6</v>
      </c>
      <c r="J119" t="n">
        <v>1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Spindelblomster
Ögonpyrola</t>
        </is>
      </c>
      <c r="W119">
        <f>HYPERLINK("https://klasma.github.io/Logging_2582/artfynd/S 884-2024 artfynd.xlsx", "S 884-2024")</f>
        <v/>
      </c>
      <c r="X119">
        <f>HYPERLINK("https://klasma.github.io/Logging_2582/kartor/S 884-2024 karta.png", "S 884-2024")</f>
        <v/>
      </c>
      <c r="Y119">
        <f>HYPERLINK("https://klasma.github.io/Logging_2582/kartor_geotiff/S 884-2024 georefererad karta.tif", "S 884-2024")</f>
        <v/>
      </c>
      <c r="Z119">
        <f>HYPERLINK("https://klasma.github.io/Logging_2582/knärot/S 884-2024 karta knärot.png", "S 884-2024")</f>
        <v/>
      </c>
      <c r="AA119">
        <f>HYPERLINK("https://klasma.github.io/Logging_2582/klagomål/S 884-2024 FSC-klagomål.docx", "S 884-2024")</f>
        <v/>
      </c>
      <c r="AB119">
        <f>HYPERLINK("https://klasma.github.io/Logging_2582/klagomålsmail/S 884-2024 FSC-klagomål mail.docx", "S 884-2024")</f>
        <v/>
      </c>
      <c r="AC119">
        <f>HYPERLINK("https://klasma.github.io/Logging_2582/tillsyn/S 884-2024 tillsynsbegäran.docx", "S 884-2024")</f>
        <v/>
      </c>
      <c r="AD119">
        <f>HYPERLINK("https://klasma.github.io/Logging_2582/tillsynsmail/S 884-2024 tillsynsbegäran mail.docx", "S 884-2024")</f>
        <v/>
      </c>
    </row>
    <row r="120" ht="15" customHeight="1">
      <c r="A120" t="inlineStr">
        <is>
          <t>A 13647-2022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46319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3</v>
      </c>
      <c r="U120" t="n">
        <v>0</v>
      </c>
      <c r="V120" s="2" t="inlineStr">
        <is>
          <t>Gammelgransskål</t>
        </is>
      </c>
      <c r="W120">
        <f>HYPERLINK("https://klasma.github.io/Logging_2582/artfynd/A 13647-2022 artfynd.xlsx", "A 13647-2022")</f>
        <v/>
      </c>
      <c r="X120">
        <f>HYPERLINK("https://klasma.github.io/Logging_2582/kartor/A 13647-2022 karta.png", "A 13647-2022")</f>
        <v/>
      </c>
      <c r="Y120">
        <f>HYPERLINK("https://klasma.github.io/Logging_2582/kartor_geotiff/A 13647-2022 georefererad karta.tif", "A 13647-2022")</f>
        <v/>
      </c>
      <c r="AA120">
        <f>HYPERLINK("https://klasma.github.io/Logging_2582/klagomål/A 13647-2022 FSC-klagomål.docx", "A 13647-2022")</f>
        <v/>
      </c>
      <c r="AB120">
        <f>HYPERLINK("https://klasma.github.io/Logging_2582/klagomålsmail/A 13647-2022 FSC-klagomål mail.docx", "A 13647-2022")</f>
        <v/>
      </c>
      <c r="AC120">
        <f>HYPERLINK("https://klasma.github.io/Logging_2582/tillsyn/A 13647-2022 tillsynsbegäran.docx", "A 13647-2022")</f>
        <v/>
      </c>
      <c r="AD120">
        <f>HYPERLINK("https://klasma.github.io/Logging_2582/tillsynsmail/A 13647-2022 tillsynsbegäran mail.docx", "A 13647-2022")</f>
        <v/>
      </c>
    </row>
    <row r="121" ht="15" customHeight="1">
      <c r="A121" t="inlineStr">
        <is>
          <t>A 44768-2022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46319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6.1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HYPERLINK("https://klasma.github.io/Logging_2582/artfynd/A 44768-2022 artfynd.xlsx", "A 44768-2022")</f>
        <v/>
      </c>
      <c r="X121">
        <f>HYPERLINK("https://klasma.github.io/Logging_2582/kartor/A 44768-2022 karta.png", "A 44768-2022")</f>
        <v/>
      </c>
      <c r="Y121">
        <f>HYPERLINK("https://klasma.github.io/Logging_2582/kartor_geotiff/A 44768-2022 georefererad karta.tif", "A 44768-2022")</f>
        <v/>
      </c>
      <c r="AA121">
        <f>HYPERLINK("https://klasma.github.io/Logging_2582/klagomål/A 44768-2022 FSC-klagomål.docx", "A 44768-2022")</f>
        <v/>
      </c>
      <c r="AB121">
        <f>HYPERLINK("https://klasma.github.io/Logging_2582/klagomålsmail/A 44768-2022 FSC-klagomål mail.docx", "A 44768-2022")</f>
        <v/>
      </c>
      <c r="AC121">
        <f>HYPERLINK("https://klasma.github.io/Logging_2582/tillsyn/A 44768-2022 tillsynsbegäran.docx", "A 44768-2022")</f>
        <v/>
      </c>
      <c r="AD121">
        <f>HYPERLINK("https://klasma.github.io/Logging_2582/tillsynsmail/A 44768-2022 tillsynsbegäran mail.docx", "A 44768-2022")</f>
        <v/>
      </c>
    </row>
    <row r="122" ht="15" customHeight="1">
      <c r="A122" t="inlineStr">
        <is>
          <t>A 49410-2023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46319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49410-2023 artfynd.xlsx", "A 49410-2023")</f>
        <v/>
      </c>
      <c r="X122">
        <f>HYPERLINK("https://klasma.github.io/Logging_2582/kartor/A 49410-2023 karta.png", "A 49410-2023")</f>
        <v/>
      </c>
      <c r="Y122">
        <f>HYPERLINK("https://klasma.github.io/Logging_2582/kartor_geotiff/A 49410-2023 georefererad karta.tif", "A 49410-2023")</f>
        <v/>
      </c>
      <c r="AA122">
        <f>HYPERLINK("https://klasma.github.io/Logging_2582/klagomål/A 49410-2023 FSC-klagomål.docx", "A 49410-2023")</f>
        <v/>
      </c>
      <c r="AB122">
        <f>HYPERLINK("https://klasma.github.io/Logging_2582/klagomålsmail/A 49410-2023 FSC-klagomål mail.docx", "A 49410-2023")</f>
        <v/>
      </c>
      <c r="AC122">
        <f>HYPERLINK("https://klasma.github.io/Logging_2582/tillsyn/A 49410-2023 tillsynsbegäran.docx", "A 49410-2023")</f>
        <v/>
      </c>
      <c r="AD122">
        <f>HYPERLINK("https://klasma.github.io/Logging_2582/tillsynsmail/A 49410-2023 tillsynsbegäran mail.docx", "A 49410-2023")</f>
        <v/>
      </c>
    </row>
    <row r="123" ht="15" customHeight="1">
      <c r="A123" t="inlineStr">
        <is>
          <t>A 665-2023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46319</v>
      </c>
      <c r="F123" t="inlineStr">
        <is>
          <t>NORRBOTTENS LÄN</t>
        </is>
      </c>
      <c r="G123" t="inlineStr">
        <is>
          <t>BODEN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Duvhök</t>
        </is>
      </c>
      <c r="W123">
        <f>HYPERLINK("https://klasma.github.io/Logging_2582/artfynd/A 665-2023 artfynd.xlsx", "A 665-2023")</f>
        <v/>
      </c>
      <c r="X123">
        <f>HYPERLINK("https://klasma.github.io/Logging_2582/kartor/A 665-2023 karta.png", "A 665-2023")</f>
        <v/>
      </c>
      <c r="Y123">
        <f>HYPERLINK("https://klasma.github.io/Logging_2582/kartor_geotiff/A 665-2023 georefererad karta.tif", "A 665-2023")</f>
        <v/>
      </c>
      <c r="AA123">
        <f>HYPERLINK("https://klasma.github.io/Logging_2582/klagomål/A 665-2023 FSC-klagomål.docx", "A 665-2023")</f>
        <v/>
      </c>
      <c r="AB123">
        <f>HYPERLINK("https://klasma.github.io/Logging_2582/klagomålsmail/A 665-2023 FSC-klagomål mail.docx", "A 665-2023")</f>
        <v/>
      </c>
      <c r="AC123">
        <f>HYPERLINK("https://klasma.github.io/Logging_2582/tillsyn/A 665-2023 tillsynsbegäran.docx", "A 665-2023")</f>
        <v/>
      </c>
      <c r="AD123">
        <f>HYPERLINK("https://klasma.github.io/Logging_2582/tillsynsmail/A 665-2023 tillsynsbegäran mail.docx", "A 665-2023")</f>
        <v/>
      </c>
      <c r="AE123">
        <f>HYPERLINK("https://klasma.github.io/Logging_2582/fåglar/A 665-2023 prioriterade fågelarter.docx", "A 665-2023")</f>
        <v/>
      </c>
    </row>
    <row r="124" ht="15" customHeight="1">
      <c r="A124" t="inlineStr">
        <is>
          <t>A 2568-2024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46319</v>
      </c>
      <c r="F124" t="inlineStr">
        <is>
          <t>NORRBOTTENS LÄN</t>
        </is>
      </c>
      <c r="G124" t="inlineStr">
        <is>
          <t>BODEN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 taggsvamp</t>
        </is>
      </c>
      <c r="W124">
        <f>HYPERLINK("https://klasma.github.io/Logging_2582/artfynd/A 2568-2024 artfynd.xlsx", "A 2568-2024")</f>
        <v/>
      </c>
      <c r="X124">
        <f>HYPERLINK("https://klasma.github.io/Logging_2582/kartor/A 2568-2024 karta.png", "A 2568-2024")</f>
        <v/>
      </c>
      <c r="Y124">
        <f>HYPERLINK("https://klasma.github.io/Logging_2582/kartor_geotiff/A 2568-2024 georefererad karta.tif", "A 2568-2024")</f>
        <v/>
      </c>
      <c r="AA124">
        <f>HYPERLINK("https://klasma.github.io/Logging_2582/klagomål/A 2568-2024 FSC-klagomål.docx", "A 2568-2024")</f>
        <v/>
      </c>
      <c r="AB124">
        <f>HYPERLINK("https://klasma.github.io/Logging_2582/klagomålsmail/A 2568-2024 FSC-klagomål mail.docx", "A 2568-2024")</f>
        <v/>
      </c>
      <c r="AC124">
        <f>HYPERLINK("https://klasma.github.io/Logging_2582/tillsyn/A 2568-2024 tillsynsbegäran.docx", "A 2568-2024")</f>
        <v/>
      </c>
      <c r="AD124">
        <f>HYPERLINK("https://klasma.github.io/Logging_2582/tillsynsmail/A 2568-2024 tillsynsbegäran mail.docx", "A 2568-2024")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46319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46319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43710-2025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46319</v>
      </c>
      <c r="F127" t="inlineStr">
        <is>
          <t>NORRBOTTENS LÄN</t>
        </is>
      </c>
      <c r="G127" t="inlineStr">
        <is>
          <t>BODEN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HYPERLINK("https://klasma.github.io/Logging_2582/artfynd/A 43710-2025 artfynd.xlsx", "A 43710-2025")</f>
        <v/>
      </c>
      <c r="X127">
        <f>HYPERLINK("https://klasma.github.io/Logging_2582/kartor/A 43710-2025 karta.png", "A 43710-2025")</f>
        <v/>
      </c>
      <c r="Y127">
        <f>HYPERLINK("https://klasma.github.io/Logging_2582/kartor_geotiff/A 43710-2025 georefererad karta.tif", "A 43710-2025")</f>
        <v/>
      </c>
      <c r="AA127">
        <f>HYPERLINK("https://klasma.github.io/Logging_2582/klagomål/A 43710-2025 FSC-klagomål.docx", "A 43710-2025")</f>
        <v/>
      </c>
      <c r="AB127">
        <f>HYPERLINK("https://klasma.github.io/Logging_2582/klagomålsmail/A 43710-2025 FSC-klagomål mail.docx", "A 43710-2025")</f>
        <v/>
      </c>
      <c r="AC127">
        <f>HYPERLINK("https://klasma.github.io/Logging_2582/tillsyn/A 43710-2025 tillsynsbegäran.docx", "A 43710-2025")</f>
        <v/>
      </c>
      <c r="AD127">
        <f>HYPERLINK("https://klasma.github.io/Logging_2582/tillsynsmail/A 43710-2025 tillsynsbegäran mail.docx", "A 43710-2025")</f>
        <v/>
      </c>
      <c r="AE127">
        <f>HYPERLINK("https://klasma.github.io/Logging_2582/fåglar/A 43710-2025 prioriterade fågelarter.docx", "A 43710-2025")</f>
        <v/>
      </c>
    </row>
    <row r="128" ht="15" customHeight="1">
      <c r="A128" t="inlineStr">
        <is>
          <t>A 24429-2026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46319</v>
      </c>
      <c r="F128" t="inlineStr">
        <is>
          <t>NORRBOTTENS LÄN</t>
        </is>
      </c>
      <c r="G128" t="inlineStr">
        <is>
          <t>BODEN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HYPERLINK("https://klasma.github.io/Logging_2582/artfynd/A 24429-2026 artfynd.xlsx", "A 24429-2026")</f>
        <v/>
      </c>
      <c r="X128">
        <f>HYPERLINK("https://klasma.github.io/Logging_2582/kartor/A 24429-2026 karta.png", "A 24429-2026")</f>
        <v/>
      </c>
      <c r="Y128">
        <f>HYPERLINK("https://klasma.github.io/Logging_2582/kartor_geotiff/A 24429-2026 georefererad karta.tif", "A 24429-2026")</f>
        <v/>
      </c>
      <c r="AA128">
        <f>HYPERLINK("https://klasma.github.io/Logging_2582/klagomål/A 24429-2026 FSC-klagomål.docx", "A 24429-2026")</f>
        <v/>
      </c>
      <c r="AB128">
        <f>HYPERLINK("https://klasma.github.io/Logging_2582/klagomålsmail/A 24429-2026 FSC-klagomål mail.docx", "A 24429-2026")</f>
        <v/>
      </c>
      <c r="AC128">
        <f>HYPERLINK("https://klasma.github.io/Logging_2582/tillsyn/A 24429-2026 tillsynsbegäran.docx", "A 24429-2026")</f>
        <v/>
      </c>
      <c r="AD128">
        <f>HYPERLINK("https://klasma.github.io/Logging_2582/tillsynsmail/A 24429-2026 tillsynsbegäran mail.docx", "A 24429-2026")</f>
        <v/>
      </c>
    </row>
    <row r="129" ht="15" customHeight="1">
      <c r="A129" t="inlineStr">
        <is>
          <t>A 18678-2025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46319</v>
      </c>
      <c r="F129" t="inlineStr">
        <is>
          <t>NORRBOTTENS LÄN</t>
        </is>
      </c>
      <c r="G129" t="inlineStr">
        <is>
          <t>BODEN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Garnlav</t>
        </is>
      </c>
      <c r="W129">
        <f>HYPERLINK("https://klasma.github.io/Logging_2582/artfynd/A 18678-2025 artfynd.xlsx", "A 18678-2025")</f>
        <v/>
      </c>
      <c r="X129">
        <f>HYPERLINK("https://klasma.github.io/Logging_2582/kartor/A 18678-2025 karta.png", "A 18678-2025")</f>
        <v/>
      </c>
      <c r="Y129">
        <f>HYPERLINK("https://klasma.github.io/Logging_2582/kartor_geotiff/A 18678-2025 georefererad karta.tif", "A 18678-2025")</f>
        <v/>
      </c>
      <c r="AA129">
        <f>HYPERLINK("https://klasma.github.io/Logging_2582/klagomål/A 18678-2025 FSC-klagomål.docx", "A 18678-2025")</f>
        <v/>
      </c>
      <c r="AB129">
        <f>HYPERLINK("https://klasma.github.io/Logging_2582/klagomålsmail/A 18678-2025 FSC-klagomål mail.docx", "A 18678-2025")</f>
        <v/>
      </c>
      <c r="AC129">
        <f>HYPERLINK("https://klasma.github.io/Logging_2582/tillsyn/A 18678-2025 tillsynsbegäran.docx", "A 18678-2025")</f>
        <v/>
      </c>
      <c r="AD129">
        <f>HYPERLINK("https://klasma.github.io/Logging_2582/tillsynsmail/A 18678-2025 tillsynsbegäran mail.docx", "A 18678-2025")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46319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36743-2024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46319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36743-2024 artfynd.xlsx", "A 36743-2024")</f>
        <v/>
      </c>
      <c r="X131">
        <f>HYPERLINK("https://klasma.github.io/Logging_2582/kartor/A 36743-2024 karta.png", "A 36743-2024")</f>
        <v/>
      </c>
      <c r="Y131">
        <f>HYPERLINK("https://klasma.github.io/Logging_2582/kartor_geotiff/A 36743-2024 georefererad karta.tif", "A 36743-2024")</f>
        <v/>
      </c>
      <c r="AA131">
        <f>HYPERLINK("https://klasma.github.io/Logging_2582/klagomål/A 36743-2024 FSC-klagomål.docx", "A 36743-2024")</f>
        <v/>
      </c>
      <c r="AB131">
        <f>HYPERLINK("https://klasma.github.io/Logging_2582/klagomålsmail/A 36743-2024 FSC-klagomål mail.docx", "A 36743-2024")</f>
        <v/>
      </c>
      <c r="AC131">
        <f>HYPERLINK("https://klasma.github.io/Logging_2582/tillsyn/A 36743-2024 tillsynsbegäran.docx", "A 36743-2024")</f>
        <v/>
      </c>
      <c r="AD131">
        <f>HYPERLINK("https://klasma.github.io/Logging_2582/tillsynsmail/A 36743-2024 tillsynsbegäran mail.docx", "A 36743-2024")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46319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25805-2026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46319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3.6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HYPERLINK("https://klasma.github.io/Logging_2582/artfynd/A 25805-2026 artfynd.xlsx", "A 25805-2026")</f>
        <v/>
      </c>
      <c r="X133">
        <f>HYPERLINK("https://klasma.github.io/Logging_2582/kartor/A 25805-2026 karta.png", "A 25805-2026")</f>
        <v/>
      </c>
      <c r="Y133">
        <f>HYPERLINK("https://klasma.github.io/Logging_2582/kartor_geotiff/A 25805-2026 georefererad karta.tif", "A 25805-2026")</f>
        <v/>
      </c>
      <c r="AA133">
        <f>HYPERLINK("https://klasma.github.io/Logging_2582/klagomål/A 25805-2026 FSC-klagomål.docx", "A 25805-2026")</f>
        <v/>
      </c>
      <c r="AB133">
        <f>HYPERLINK("https://klasma.github.io/Logging_2582/klagomålsmail/A 25805-2026 FSC-klagomål mail.docx", "A 25805-2026")</f>
        <v/>
      </c>
      <c r="AC133">
        <f>HYPERLINK("https://klasma.github.io/Logging_2582/tillsyn/A 25805-2026 tillsynsbegäran.docx", "A 25805-2026")</f>
        <v/>
      </c>
      <c r="AD133">
        <f>HYPERLINK("https://klasma.github.io/Logging_2582/tillsynsmail/A 25805-2026 tillsynsbegäran mail.docx", "A 25805-2026")</f>
        <v/>
      </c>
    </row>
    <row r="134" ht="15" customHeight="1">
      <c r="A134" t="inlineStr">
        <is>
          <t>A 51184-2025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HYPERLINK("https://klasma.github.io/Logging_2582/artfynd/A 51184-2025 artfynd.xlsx", "A 51184-2025")</f>
        <v/>
      </c>
      <c r="X134">
        <f>HYPERLINK("https://klasma.github.io/Logging_2582/kartor/A 51184-2025 karta.png", "A 51184-2025")</f>
        <v/>
      </c>
      <c r="Y134">
        <f>HYPERLINK("https://klasma.github.io/Logging_2582/kartor_geotiff/A 51184-2025 georefererad karta.tif", "A 51184-2025")</f>
        <v/>
      </c>
      <c r="AA134">
        <f>HYPERLINK("https://klasma.github.io/Logging_2582/klagomål/A 51184-2025 FSC-klagomål.docx", "A 51184-2025")</f>
        <v/>
      </c>
      <c r="AB134">
        <f>HYPERLINK("https://klasma.github.io/Logging_2582/klagomålsmail/A 51184-2025 FSC-klagomål mail.docx", "A 51184-2025")</f>
        <v/>
      </c>
      <c r="AC134">
        <f>HYPERLINK("https://klasma.github.io/Logging_2582/tillsyn/A 51184-2025 tillsynsbegäran.docx", "A 51184-2025")</f>
        <v/>
      </c>
      <c r="AD134">
        <f>HYPERLINK("https://klasma.github.io/Logging_2582/tillsynsmail/A 51184-2025 tillsynsbegäran mail.docx", "A 51184-2025")</f>
        <v/>
      </c>
    </row>
    <row r="135" ht="15" customHeight="1">
      <c r="A135" t="inlineStr">
        <is>
          <t>A 25801-2026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46319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Knärot</t>
        </is>
      </c>
      <c r="W135">
        <f>HYPERLINK("https://klasma.github.io/Logging_2582/artfynd/A 25801-2026 artfynd.xlsx", "A 25801-2026")</f>
        <v/>
      </c>
      <c r="X135">
        <f>HYPERLINK("https://klasma.github.io/Logging_2582/kartor/A 25801-2026 karta.png", "A 25801-2026")</f>
        <v/>
      </c>
      <c r="Y135">
        <f>HYPERLINK("https://klasma.github.io/Logging_2582/kartor_geotiff/A 25801-2026 georefererad karta.tif", "A 25801-2026")</f>
        <v/>
      </c>
      <c r="Z135">
        <f>HYPERLINK("https://klasma.github.io/Logging_2582/knärot/A 25801-2026 karta knärot.png", "A 25801-2026")</f>
        <v/>
      </c>
      <c r="AA135">
        <f>HYPERLINK("https://klasma.github.io/Logging_2582/klagomål/A 25801-2026 FSC-klagomål.docx", "A 25801-2026")</f>
        <v/>
      </c>
      <c r="AB135">
        <f>HYPERLINK("https://klasma.github.io/Logging_2582/klagomålsmail/A 25801-2026 FSC-klagomål mail.docx", "A 25801-2026")</f>
        <v/>
      </c>
      <c r="AC135">
        <f>HYPERLINK("https://klasma.github.io/Logging_2582/tillsyn/A 25801-2026 tillsynsbegäran.docx", "A 25801-2026")</f>
        <v/>
      </c>
      <c r="AD135">
        <f>HYPERLINK("https://klasma.github.io/Logging_2582/tillsynsmail/A 25801-2026 tillsynsbegäran mail.docx", "A 25801-2026")</f>
        <v/>
      </c>
    </row>
    <row r="136" ht="15" customHeight="1">
      <c r="A136" t="inlineStr">
        <is>
          <t>A 51258-2025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46319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Sångsvan</t>
        </is>
      </c>
      <c r="W136">
        <f>HYPERLINK("https://klasma.github.io/Logging_2582/artfynd/A 51258-2025 artfynd.xlsx", "A 51258-2025")</f>
        <v/>
      </c>
      <c r="X136">
        <f>HYPERLINK("https://klasma.github.io/Logging_2582/kartor/A 51258-2025 karta.png", "A 51258-2025")</f>
        <v/>
      </c>
      <c r="Y136">
        <f>HYPERLINK("https://klasma.github.io/Logging_2582/kartor_geotiff/A 51258-2025 georefererad karta.tif", "A 51258-2025")</f>
        <v/>
      </c>
      <c r="AA136">
        <f>HYPERLINK("https://klasma.github.io/Logging_2582/klagomål/A 51258-2025 FSC-klagomål.docx", "A 51258-2025")</f>
        <v/>
      </c>
      <c r="AB136">
        <f>HYPERLINK("https://klasma.github.io/Logging_2582/klagomålsmail/A 51258-2025 FSC-klagomål mail.docx", "A 51258-2025")</f>
        <v/>
      </c>
      <c r="AC136">
        <f>HYPERLINK("https://klasma.github.io/Logging_2582/tillsyn/A 51258-2025 tillsynsbegäran.docx", "A 51258-2025")</f>
        <v/>
      </c>
      <c r="AD136">
        <f>HYPERLINK("https://klasma.github.io/Logging_2582/tillsynsmail/A 51258-2025 tillsynsbegäran mail.docx", "A 51258-2025")</f>
        <v/>
      </c>
      <c r="AE136">
        <f>HYPERLINK("https://klasma.github.io/Logging_2582/fåglar/A 51258-2025 prioriterade fågelarter.docx", "A 51258-2025")</f>
        <v/>
      </c>
    </row>
    <row r="137" ht="15" customHeight="1">
      <c r="A137" t="inlineStr">
        <is>
          <t>A 51304-2025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46319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51304-2025 artfynd.xlsx", "A 51304-2025")</f>
        <v/>
      </c>
      <c r="X137">
        <f>HYPERLINK("https://klasma.github.io/Logging_2582/kartor/A 51304-2025 karta.png", "A 51304-2025")</f>
        <v/>
      </c>
      <c r="Y137">
        <f>HYPERLINK("https://klasma.github.io/Logging_2582/kartor_geotiff/A 51304-2025 georefererad karta.tif", "A 51304-2025")</f>
        <v/>
      </c>
      <c r="AA137">
        <f>HYPERLINK("https://klasma.github.io/Logging_2582/klagomål/A 51304-2025 FSC-klagomål.docx", "A 51304-2025")</f>
        <v/>
      </c>
      <c r="AB137">
        <f>HYPERLINK("https://klasma.github.io/Logging_2582/klagomålsmail/A 51304-2025 FSC-klagomål mail.docx", "A 51304-2025")</f>
        <v/>
      </c>
      <c r="AC137">
        <f>HYPERLINK("https://klasma.github.io/Logging_2582/tillsyn/A 51304-2025 tillsynsbegäran.docx", "A 51304-2025")</f>
        <v/>
      </c>
      <c r="AD137">
        <f>HYPERLINK("https://klasma.github.io/Logging_2582/tillsynsmail/A 51304-2025 tillsynsbegäran mail.docx", "A 51304-2025")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46319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Spindelblomster</t>
        </is>
      </c>
      <c r="W138">
        <f>HYPERLINK("https://klasma.github.io/Logging_2582/artfynd/A 25803-2026 artfynd.xlsx", "A 25803-2026")</f>
        <v/>
      </c>
      <c r="X138">
        <f>HYPERLINK("https://klasma.github.io/Logging_2582/kartor/A 25803-2026 karta.png", "A 25803-2026")</f>
        <v/>
      </c>
      <c r="Y138">
        <f>HYPERLINK("https://klasma.github.io/Logging_2582/kartor_geotiff/A 25803-2026 georefererad karta.tif", "A 25803-2026")</f>
        <v/>
      </c>
      <c r="AA138">
        <f>HYPERLINK("https://klasma.github.io/Logging_2582/klagomål/A 25803-2026 FSC-klagomål.docx", "A 25803-2026")</f>
        <v/>
      </c>
      <c r="AB138">
        <f>HYPERLINK("https://klasma.github.io/Logging_2582/klagomålsmail/A 25803-2026 FSC-klagomål mail.docx", "A 25803-2026")</f>
        <v/>
      </c>
      <c r="AC138">
        <f>HYPERLINK("https://klasma.github.io/Logging_2582/tillsyn/A 25803-2026 tillsynsbegäran.docx", "A 25803-2026")</f>
        <v/>
      </c>
      <c r="AD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46319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26438-2026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46183</v>
      </c>
      <c r="E140" s="1" t="n">
        <v>46319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15.9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Kolflarnlav</t>
        </is>
      </c>
      <c r="W140">
        <f>HYPERLINK("https://klasma.github.io/Logging_2582/artfynd/A 26438-2026 artfynd.xlsx", "A 26438-2026")</f>
        <v/>
      </c>
      <c r="X140">
        <f>HYPERLINK("https://klasma.github.io/Logging_2582/kartor/A 26438-2026 karta.png", "A 26438-2026")</f>
        <v/>
      </c>
      <c r="Y140">
        <f>HYPERLINK("https://klasma.github.io/Logging_2582/kartor_geotiff/A 26438-2026 georefererad karta.tif", "A 26438-2026")</f>
        <v/>
      </c>
      <c r="AA140">
        <f>HYPERLINK("https://klasma.github.io/Logging_2582/klagomål/A 26438-2026 FSC-klagomål.docx", "A 26438-2026")</f>
        <v/>
      </c>
      <c r="AB140">
        <f>HYPERLINK("https://klasma.github.io/Logging_2582/klagomålsmail/A 26438-2026 FSC-klagomål mail.docx", "A 26438-2026")</f>
        <v/>
      </c>
      <c r="AC140">
        <f>HYPERLINK("https://klasma.github.io/Logging_2582/tillsyn/A 26438-2026 tillsynsbegäran.docx", "A 26438-2026")</f>
        <v/>
      </c>
      <c r="AD140">
        <f>HYPERLINK("https://klasma.github.io/Logging_2582/tillsynsmail/A 26438-2026 tillsynsbegäran mail.docx", "A 26438-2026")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46319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26690-2026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46319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26690-2026 artfynd.xlsx", "A 26690-2026")</f>
        <v/>
      </c>
      <c r="X142">
        <f>HYPERLINK("https://klasma.github.io/Logging_2582/kartor/A 26690-2026 karta.png", "A 26690-2026")</f>
        <v/>
      </c>
      <c r="Y142">
        <f>HYPERLINK("https://klasma.github.io/Logging_2582/kartor_geotiff/A 26690-2026 georefererad karta.tif", "A 26690-2026")</f>
        <v/>
      </c>
      <c r="Z142">
        <f>HYPERLINK("https://klasma.github.io/Logging_2582/knärot/A 26690-2026 karta knärot.png", "A 26690-2026")</f>
        <v/>
      </c>
      <c r="AA142">
        <f>HYPERLINK("https://klasma.github.io/Logging_2582/klagomål/A 26690-2026 FSC-klagomål.docx", "A 26690-2026")</f>
        <v/>
      </c>
      <c r="AB142">
        <f>HYPERLINK("https://klasma.github.io/Logging_2582/klagomålsmail/A 26690-2026 FSC-klagomål mail.docx", "A 26690-2026")</f>
        <v/>
      </c>
      <c r="AC142">
        <f>HYPERLINK("https://klasma.github.io/Logging_2582/tillsyn/A 26690-2026 tillsynsbegäran.docx", "A 26690-2026")</f>
        <v/>
      </c>
      <c r="AD142">
        <f>HYPERLINK("https://klasma.github.io/Logging_2582/tillsynsmail/A 26690-2026 tillsynsbegäran mail.docx", "A 26690-2026")</f>
        <v/>
      </c>
    </row>
    <row r="143" ht="15" customHeight="1">
      <c r="A143" t="inlineStr">
        <is>
          <t>A 53590-2025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46319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Gulskölding</t>
        </is>
      </c>
      <c r="W143">
        <f>HYPERLINK("https://klasma.github.io/Logging_2582/artfynd/A 53590-2025 artfynd.xlsx", "A 53590-2025")</f>
        <v/>
      </c>
      <c r="X143">
        <f>HYPERLINK("https://klasma.github.io/Logging_2582/kartor/A 53590-2025 karta.png", "A 53590-2025")</f>
        <v/>
      </c>
      <c r="Y143">
        <f>HYPERLINK("https://klasma.github.io/Logging_2582/kartor_geotiff/A 53590-2025 georefererad karta.tif", "A 53590-2025")</f>
        <v/>
      </c>
      <c r="AA143">
        <f>HYPERLINK("https://klasma.github.io/Logging_2582/klagomål/A 53590-2025 FSC-klagomål.docx", "A 53590-2025")</f>
        <v/>
      </c>
      <c r="AB143">
        <f>HYPERLINK("https://klasma.github.io/Logging_2582/klagomålsmail/A 53590-2025 FSC-klagomål mail.docx", "A 53590-2025")</f>
        <v/>
      </c>
      <c r="AC143">
        <f>HYPERLINK("https://klasma.github.io/Logging_2582/tillsyn/A 53590-2025 tillsynsbegäran.docx", "A 53590-2025")</f>
        <v/>
      </c>
      <c r="AD143">
        <f>HYPERLINK("https://klasma.github.io/Logging_2582/tillsynsmail/A 53590-2025 tillsynsbegäran mail.docx", "A 53590-2025")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46319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Spillkråka</t>
        </is>
      </c>
      <c r="W144">
        <f>HYPERLINK("https://klasma.github.io/Logging_2582/artfynd/A 68514-2021 artfynd.xlsx", "A 68514-2021")</f>
        <v/>
      </c>
      <c r="X144">
        <f>HYPERLINK("https://klasma.github.io/Logging_2582/kartor/A 68514-2021 karta.png", "A 68514-2021")</f>
        <v/>
      </c>
      <c r="Y144">
        <f>HYPERLINK("https://klasma.github.io/Logging_2582/kartor_geotiff/A 68514-2021 georefererad karta.tif", "A 68514-2021")</f>
        <v/>
      </c>
      <c r="Z144">
        <f>HYPERLINK("https://klasma.github.io/Logging_2582/knärot/A 68514-2021 karta knärot.png", "A 68514-2021")</f>
        <v/>
      </c>
      <c r="AA144">
        <f>HYPERLINK("https://klasma.github.io/Logging_2582/klagomål/A 68514-2021 FSC-klagomål.docx", "A 68514-2021")</f>
        <v/>
      </c>
      <c r="AB144">
        <f>HYPERLINK("https://klasma.github.io/Logging_2582/klagomålsmail/A 68514-2021 FSC-klagomål mail.docx", "A 68514-2021")</f>
        <v/>
      </c>
      <c r="AC144">
        <f>HYPERLINK("https://klasma.github.io/Logging_2582/tillsyn/A 68514-2021 tillsynsbegäran.docx", "A 68514-2021")</f>
        <v/>
      </c>
      <c r="AD144">
        <f>HYPERLINK("https://klasma.github.io/Logging_2582/tillsynsmail/A 68514-2021 tillsynsbegäran mail.docx", "A 68514-2021")</f>
        <v/>
      </c>
      <c r="AE144">
        <f>HYPERLINK("https://klasma.github.io/Logging_2582/fåglar/A 68514-2021 prioriterade fågelarter.docx", "A 68514-2021")</f>
        <v/>
      </c>
    </row>
    <row r="145" ht="15" customHeight="1">
      <c r="A145" t="inlineStr">
        <is>
          <t>A 56598-2025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46319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56598-2025 artfynd.xlsx", "A 56598-2025")</f>
        <v/>
      </c>
      <c r="X145">
        <f>HYPERLINK("https://klasma.github.io/Logging_2582/kartor/A 56598-2025 karta.png", "A 56598-2025")</f>
        <v/>
      </c>
      <c r="Y145">
        <f>HYPERLINK("https://klasma.github.io/Logging_2582/kartor_geotiff/A 56598-2025 georefererad karta.tif", "A 56598-2025")</f>
        <v/>
      </c>
      <c r="AA145">
        <f>HYPERLINK("https://klasma.github.io/Logging_2582/klagomål/A 56598-2025 FSC-klagomål.docx", "A 56598-2025")</f>
        <v/>
      </c>
      <c r="AB145">
        <f>HYPERLINK("https://klasma.github.io/Logging_2582/klagomålsmail/A 56598-2025 FSC-klagomål mail.docx", "A 56598-2025")</f>
        <v/>
      </c>
      <c r="AC145">
        <f>HYPERLINK("https://klasma.github.io/Logging_2582/tillsyn/A 56598-2025 tillsynsbegäran.docx", "A 56598-2025")</f>
        <v/>
      </c>
      <c r="AD145">
        <f>HYPERLINK("https://klasma.github.io/Logging_2582/tillsynsmail/A 56598-2025 tillsynsbegäran mail.docx", "A 56598-2025")</f>
        <v/>
      </c>
    </row>
    <row r="146" ht="15" customHeight="1">
      <c r="A146" t="inlineStr">
        <is>
          <t>A 29875-2026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46319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Tallticka</t>
        </is>
      </c>
      <c r="W146">
        <f>HYPERLINK("https://klasma.github.io/Logging_2582/artfynd/A 29875-2026 artfynd.xlsx", "A 29875-2026")</f>
        <v/>
      </c>
      <c r="X146">
        <f>HYPERLINK("https://klasma.github.io/Logging_2582/kartor/A 29875-2026 karta.png", "A 29875-2026")</f>
        <v/>
      </c>
      <c r="Y146">
        <f>HYPERLINK("https://klasma.github.io/Logging_2582/kartor_geotiff/A 29875-2026 georefererad karta.tif", "A 29875-2026")</f>
        <v/>
      </c>
      <c r="AA146">
        <f>HYPERLINK("https://klasma.github.io/Logging_2582/klagomål/A 29875-2026 FSC-klagomål.docx", "A 29875-2026")</f>
        <v/>
      </c>
      <c r="AB146">
        <f>HYPERLINK("https://klasma.github.io/Logging_2582/klagomålsmail/A 29875-2026 FSC-klagomål mail.docx", "A 29875-2026")</f>
        <v/>
      </c>
      <c r="AC146">
        <f>HYPERLINK("https://klasma.github.io/Logging_2582/tillsyn/A 29875-2026 tillsynsbegäran.docx", "A 29875-2026")</f>
        <v/>
      </c>
      <c r="AD146">
        <f>HYPERLINK("https://klasma.github.io/Logging_2582/tillsynsmail/A 29875-2026 tillsynsbegäran mail.docx", "A 29875-2026")</f>
        <v/>
      </c>
    </row>
    <row r="147" ht="15" customHeight="1">
      <c r="A147" t="inlineStr">
        <is>
          <t>A 60196-2025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46319</v>
      </c>
      <c r="F147" t="inlineStr">
        <is>
          <t>NORRBOTTENS LÄN</t>
        </is>
      </c>
      <c r="G147" t="inlineStr">
        <is>
          <t>BODEN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HYPERLINK("https://klasma.github.io/Logging_2582/artfynd/A 60196-2025 artfynd.xlsx", "A 60196-2025")</f>
        <v/>
      </c>
      <c r="X147">
        <f>HYPERLINK("https://klasma.github.io/Logging_2582/kartor/A 60196-2025 karta.png", "A 60196-2025")</f>
        <v/>
      </c>
      <c r="Y147">
        <f>HYPERLINK("https://klasma.github.io/Logging_2582/kartor_geotiff/A 60196-2025 georefererad karta.tif", "A 60196-2025")</f>
        <v/>
      </c>
      <c r="AA147">
        <f>HYPERLINK("https://klasma.github.io/Logging_2582/klagomål/A 60196-2025 FSC-klagomål.docx", "A 60196-2025")</f>
        <v/>
      </c>
      <c r="AB147">
        <f>HYPERLINK("https://klasma.github.io/Logging_2582/klagomålsmail/A 60196-2025 FSC-klagomål mail.docx", "A 60196-2025")</f>
        <v/>
      </c>
      <c r="AC147">
        <f>HYPERLINK("https://klasma.github.io/Logging_2582/tillsyn/A 60196-2025 tillsynsbegäran.docx", "A 60196-2025")</f>
        <v/>
      </c>
      <c r="AD147">
        <f>HYPERLINK("https://klasma.github.io/Logging_2582/tillsynsmail/A 60196-2025 tillsynsbegäran mail.docx", "A 60196-2025")</f>
        <v/>
      </c>
    </row>
    <row r="148" ht="15" customHeight="1">
      <c r="A148" t="inlineStr">
        <is>
          <t>A 60781-2025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46319</v>
      </c>
      <c r="F148" t="inlineStr">
        <is>
          <t>NORRBOTTENS LÄN</t>
        </is>
      </c>
      <c r="G148" t="inlineStr">
        <is>
          <t>BODEN</t>
        </is>
      </c>
      <c r="I148" t="n">
        <v>12.3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HYPERLINK("https://klasma.github.io/Logging_2582/artfynd/A 60781-2025 artfynd.xlsx", "A 60781-2025")</f>
        <v/>
      </c>
      <c r="X148">
        <f>HYPERLINK("https://klasma.github.io/Logging_2582/kartor/A 60781-2025 karta.png", "A 60781-2025")</f>
        <v/>
      </c>
      <c r="Y148">
        <f>HYPERLINK("https://klasma.github.io/Logging_2582/kartor_geotiff/A 60781-2025 georefererad karta.tif", "A 60781-2025")</f>
        <v/>
      </c>
      <c r="AA148">
        <f>HYPERLINK("https://klasma.github.io/Logging_2582/klagomål/A 60781-2025 FSC-klagomål.docx", "A 60781-2025")</f>
        <v/>
      </c>
      <c r="AB148">
        <f>HYPERLINK("https://klasma.github.io/Logging_2582/klagomålsmail/A 60781-2025 FSC-klagomål mail.docx", "A 60781-2025")</f>
        <v/>
      </c>
      <c r="AC148">
        <f>HYPERLINK("https://klasma.github.io/Logging_2582/tillsyn/A 60781-2025 tillsynsbegäran.docx", "A 60781-2025")</f>
        <v/>
      </c>
      <c r="AD148">
        <f>HYPERLINK("https://klasma.github.io/Logging_2582/tillsynsmail/A 60781-2025 tillsynsbegäran mail.docx", "A 60781-2025")</f>
        <v/>
      </c>
    </row>
    <row r="149" ht="15" customHeight="1">
      <c r="A149" t="inlineStr">
        <is>
          <t>A 62002-2025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46319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Vitgrynig nållav</t>
        </is>
      </c>
      <c r="W149">
        <f>HYPERLINK("https://klasma.github.io/Logging_2582/artfynd/A 62002-2025 artfynd.xlsx", "A 62002-2025")</f>
        <v/>
      </c>
      <c r="X149">
        <f>HYPERLINK("https://klasma.github.io/Logging_2582/kartor/A 62002-2025 karta.png", "A 62002-2025")</f>
        <v/>
      </c>
      <c r="Y149">
        <f>HYPERLINK("https://klasma.github.io/Logging_2582/kartor_geotiff/A 62002-2025 georefererad karta.tif", "A 62002-2025")</f>
        <v/>
      </c>
      <c r="AA149">
        <f>HYPERLINK("https://klasma.github.io/Logging_2582/klagomål/A 62002-2025 FSC-klagomål.docx", "A 62002-2025")</f>
        <v/>
      </c>
      <c r="AB149">
        <f>HYPERLINK("https://klasma.github.io/Logging_2582/klagomålsmail/A 62002-2025 FSC-klagomål mail.docx", "A 62002-2025")</f>
        <v/>
      </c>
      <c r="AC149">
        <f>HYPERLINK("https://klasma.github.io/Logging_2582/tillsyn/A 62002-2025 tillsynsbegäran.docx", "A 62002-2025")</f>
        <v/>
      </c>
      <c r="AD149">
        <f>HYPERLINK("https://klasma.github.io/Logging_2582/tillsynsmail/A 62002-2025 tillsynsbegäran mail.docx", "A 62002-2025")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46319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38395-2026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46319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8.699999999999999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HYPERLINK("https://klasma.github.io/Logging_2582/artfynd/A 38395-2026 artfynd.xlsx", "A 38395-2026")</f>
        <v/>
      </c>
      <c r="X151">
        <f>HYPERLINK("https://klasma.github.io/Logging_2582/kartor/A 38395-2026 karta.png", "A 38395-2026")</f>
        <v/>
      </c>
      <c r="Y151">
        <f>HYPERLINK("https://klasma.github.io/Logging_2582/kartor_geotiff/A 38395-2026 georefererad karta.tif", "A 38395-2026")</f>
        <v/>
      </c>
      <c r="AA151">
        <f>HYPERLINK("https://klasma.github.io/Logging_2582/klagomål/A 38395-2026 FSC-klagomål.docx", "A 38395-2026")</f>
        <v/>
      </c>
      <c r="AB151">
        <f>HYPERLINK("https://klasma.github.io/Logging_2582/klagomålsmail/A 38395-2026 FSC-klagomål mail.docx", "A 38395-2026")</f>
        <v/>
      </c>
      <c r="AC151">
        <f>HYPERLINK("https://klasma.github.io/Logging_2582/tillsyn/A 38395-2026 tillsynsbegäran.docx", "A 38395-2026")</f>
        <v/>
      </c>
      <c r="AD151">
        <f>HYPERLINK("https://klasma.github.io/Logging_2582/tillsynsmail/A 38395-2026 tillsynsbegäran mail.docx", "A 38395-2026")</f>
        <v/>
      </c>
    </row>
    <row r="152" ht="15" customHeight="1">
      <c r="A152" t="inlineStr">
        <is>
          <t>A 32664-2026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46319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14.3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4</v>
      </c>
      <c r="U152" t="n">
        <v>0</v>
      </c>
      <c r="V152" s="2" t="inlineStr">
        <is>
          <t>Lunglav</t>
        </is>
      </c>
      <c r="W152">
        <f>HYPERLINK("https://klasma.github.io/Logging_2582/artfynd/A 32664-2026 artfynd.xlsx", "A 32664-2026")</f>
        <v/>
      </c>
      <c r="X152">
        <f>HYPERLINK("https://klasma.github.io/Logging_2582/kartor/A 32664-2026 karta.png", "A 32664-2026")</f>
        <v/>
      </c>
      <c r="Y152">
        <f>HYPERLINK("https://klasma.github.io/Logging_2582/kartor_geotiff/A 32664-2026 georefererad karta.tif", "A 32664-2026")</f>
        <v/>
      </c>
      <c r="AA152">
        <f>HYPERLINK("https://klasma.github.io/Logging_2582/klagomål/A 32664-2026 FSC-klagomål.docx", "A 32664-2026")</f>
        <v/>
      </c>
      <c r="AB152">
        <f>HYPERLINK("https://klasma.github.io/Logging_2582/klagomålsmail/A 32664-2026 FSC-klagomål mail.docx", "A 32664-2026")</f>
        <v/>
      </c>
      <c r="AC152">
        <f>HYPERLINK("https://klasma.github.io/Logging_2582/tillsyn/A 32664-2026 tillsynsbegäran.docx", "A 32664-2026")</f>
        <v/>
      </c>
      <c r="AD152">
        <f>HYPERLINK("https://klasma.github.io/Logging_2582/tillsynsmail/A 32664-2026 tillsynsbegäran mail.docx", "A 32664-2026")</f>
        <v/>
      </c>
    </row>
    <row r="153" ht="15" customHeight="1">
      <c r="A153" t="inlineStr">
        <is>
          <t>A 54833-2025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46319</v>
      </c>
      <c r="F153" t="inlineStr">
        <is>
          <t>NORRBOTTENS LÄN</t>
        </is>
      </c>
      <c r="G153" t="inlineStr">
        <is>
          <t>BODEN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Utter</t>
        </is>
      </c>
      <c r="W153">
        <f>HYPERLINK("https://klasma.github.io/Logging_2582/artfynd/A 54833-2025 artfynd.xlsx", "A 54833-2025")</f>
        <v/>
      </c>
      <c r="X153">
        <f>HYPERLINK("https://klasma.github.io/Logging_2582/kartor/A 54833-2025 karta.png", "A 54833-2025")</f>
        <v/>
      </c>
      <c r="Y153">
        <f>HYPERLINK("https://klasma.github.io/Logging_2582/kartor_geotiff/A 54833-2025 georefererad karta.tif", "A 54833-2025")</f>
        <v/>
      </c>
      <c r="AA153">
        <f>HYPERLINK("https://klasma.github.io/Logging_2582/klagomål/A 54833-2025 FSC-klagomål.docx", "A 54833-2025")</f>
        <v/>
      </c>
      <c r="AB153">
        <f>HYPERLINK("https://klasma.github.io/Logging_2582/klagomålsmail/A 54833-2025 FSC-klagomål mail.docx", "A 54833-2025")</f>
        <v/>
      </c>
      <c r="AC153">
        <f>HYPERLINK("https://klasma.github.io/Logging_2582/tillsyn/A 54833-2025 tillsynsbegäran.docx", "A 54833-2025")</f>
        <v/>
      </c>
      <c r="AD153">
        <f>HYPERLINK("https://klasma.github.io/Logging_2582/tillsynsmail/A 54833-2025 tillsynsbegäran mail.docx", "A 54833-2025")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46319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46319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A 4878-2026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46319</v>
      </c>
      <c r="F156" t="inlineStr">
        <is>
          <t>NORRBOTTENS LÄN</t>
        </is>
      </c>
      <c r="G156" t="inlineStr">
        <is>
          <t>BODEN</t>
        </is>
      </c>
      <c r="I156" t="n">
        <v>1.8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Vanlig padda</t>
        </is>
      </c>
      <c r="W156">
        <f>HYPERLINK("https://klasma.github.io/Logging_2582/artfynd/A 4878-2026 artfynd.xlsx", "A 4878-2026")</f>
        <v/>
      </c>
      <c r="X156">
        <f>HYPERLINK("https://klasma.github.io/Logging_2582/kartor/A 4878-2026 karta.png", "A 4878-2026")</f>
        <v/>
      </c>
      <c r="Y156">
        <f>HYPERLINK("https://klasma.github.io/Logging_2582/kartor_geotiff/A 4878-2026 georefererad karta.tif", "A 4878-2026")</f>
        <v/>
      </c>
      <c r="AA156">
        <f>HYPERLINK("https://klasma.github.io/Logging_2582/klagomål/A 4878-2026 FSC-klagomål.docx", "A 4878-2026")</f>
        <v/>
      </c>
      <c r="AB156">
        <f>HYPERLINK("https://klasma.github.io/Logging_2582/klagomålsmail/A 4878-2026 FSC-klagomål mail.docx", "A 4878-2026")</f>
        <v/>
      </c>
      <c r="AC156">
        <f>HYPERLINK("https://klasma.github.io/Logging_2582/tillsyn/A 4878-2026 tillsynsbegäran.docx", "A 4878-2026")</f>
        <v/>
      </c>
      <c r="AD156">
        <f>HYPERLINK("https://klasma.github.io/Logging_2582/tillsynsmail/A 4878-2026 tillsynsbegäran mail.docx", "A 4878-2026")</f>
        <v/>
      </c>
    </row>
    <row r="157" ht="15" customHeight="1">
      <c r="A157" t="inlineStr">
        <is>
          <t>A 19580-2026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46319</v>
      </c>
      <c r="F157" t="inlineStr">
        <is>
          <t>NORRBOTTENS LÄN</t>
        </is>
      </c>
      <c r="G157" t="inlineStr">
        <is>
          <t>BODEN</t>
        </is>
      </c>
      <c r="I157" t="n">
        <v>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Dropptaggsvamp</t>
        </is>
      </c>
      <c r="W157">
        <f>HYPERLINK("https://klasma.github.io/Logging_2582/artfynd/A 19580-2026 artfynd.xlsx", "A 19580-2026")</f>
        <v/>
      </c>
      <c r="X157">
        <f>HYPERLINK("https://klasma.github.io/Logging_2582/kartor/A 19580-2026 karta.png", "A 19580-2026")</f>
        <v/>
      </c>
      <c r="Y157">
        <f>HYPERLINK("https://klasma.github.io/Logging_2582/kartor_geotiff/A 19580-2026 georefererad karta.tif", "A 19580-2026")</f>
        <v/>
      </c>
      <c r="AA157">
        <f>HYPERLINK("https://klasma.github.io/Logging_2582/klagomål/A 19580-2026 FSC-klagomål.docx", "A 19580-2026")</f>
        <v/>
      </c>
      <c r="AB157">
        <f>HYPERLINK("https://klasma.github.io/Logging_2582/klagomålsmail/A 19580-2026 FSC-klagomål mail.docx", "A 19580-2026")</f>
        <v/>
      </c>
      <c r="AC157">
        <f>HYPERLINK("https://klasma.github.io/Logging_2582/tillsyn/A 19580-2026 tillsynsbegäran.docx", "A 19580-2026")</f>
        <v/>
      </c>
      <c r="AD157">
        <f>HYPERLINK("https://klasma.github.io/Logging_2582/tillsynsmail/A 19580-2026 tillsynsbegäran mail.docx", "A 19580-2026")</f>
        <v/>
      </c>
    </row>
    <row r="158" ht="15" customHeight="1">
      <c r="A158" t="inlineStr">
        <is>
          <t>A 38511-2025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46319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HYPERLINK("https://klasma.github.io/Logging_2582/artfynd/A 38511-2025 artfynd.xlsx", "A 38511-2025")</f>
        <v/>
      </c>
      <c r="X158">
        <f>HYPERLINK("https://klasma.github.io/Logging_2582/kartor/A 38511-2025 karta.png", "A 38511-2025")</f>
        <v/>
      </c>
      <c r="Y158">
        <f>HYPERLINK("https://klasma.github.io/Logging_2582/kartor_geotiff/A 38511-2025 georefererad karta.tif", "A 38511-2025")</f>
        <v/>
      </c>
      <c r="Z158">
        <f>HYPERLINK("https://klasma.github.io/Logging_2582/knärot/A 38511-2025 karta knärot.png", "A 38511-2025")</f>
        <v/>
      </c>
      <c r="AA158">
        <f>HYPERLINK("https://klasma.github.io/Logging_2582/klagomål/A 38511-2025 FSC-klagomål.docx", "A 38511-2025")</f>
        <v/>
      </c>
      <c r="AB158">
        <f>HYPERLINK("https://klasma.github.io/Logging_2582/klagomålsmail/A 38511-2025 FSC-klagomål mail.docx", "A 38511-2025")</f>
        <v/>
      </c>
      <c r="AC158">
        <f>HYPERLINK("https://klasma.github.io/Logging_2582/tillsyn/A 38511-2025 tillsynsbegäran.docx", "A 38511-2025")</f>
        <v/>
      </c>
      <c r="AD158">
        <f>HYPERLINK("https://klasma.github.io/Logging_2582/tillsynsmail/A 38511-2025 tillsynsbegäran mail.docx", "A 38511-2025")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46319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2565-2026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46319</v>
      </c>
      <c r="F160" t="inlineStr">
        <is>
          <t>NORRBOTTENS LÄN</t>
        </is>
      </c>
      <c r="G160" t="inlineStr">
        <is>
          <t>BODEN</t>
        </is>
      </c>
      <c r="H160" t="inlineStr">
        <is>
          <t>Naturvårdsverket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Garnlav</t>
        </is>
      </c>
      <c r="W160">
        <f>HYPERLINK("https://klasma.github.io/Logging_2582/artfynd/A 2565-2026 artfynd.xlsx", "A 2565-2026")</f>
        <v/>
      </c>
      <c r="X160">
        <f>HYPERLINK("https://klasma.github.io/Logging_2582/kartor/A 2565-2026 karta.png", "A 2565-2026")</f>
        <v/>
      </c>
      <c r="Y160">
        <f>HYPERLINK("https://klasma.github.io/Logging_2582/kartor_geotiff/A 2565-2026 georefererad karta.tif", "A 2565-2026")</f>
        <v/>
      </c>
      <c r="AA160">
        <f>HYPERLINK("https://klasma.github.io/Logging_2582/klagomål/A 2565-2026 FSC-klagomål.docx", "A 2565-2026")</f>
        <v/>
      </c>
      <c r="AB160">
        <f>HYPERLINK("https://klasma.github.io/Logging_2582/klagomålsmail/A 2565-2026 FSC-klagomål mail.docx", "A 2565-2026")</f>
        <v/>
      </c>
      <c r="AC160">
        <f>HYPERLINK("https://klasma.github.io/Logging_2582/tillsyn/A 2565-2026 tillsynsbegäran.docx", "A 2565-2026")</f>
        <v/>
      </c>
      <c r="AD160">
        <f>HYPERLINK("https://klasma.github.io/Logging_2582/tillsynsmail/A 2565-2026 tillsynsbegäran mail.docx", "A 2565-2026")</f>
        <v/>
      </c>
    </row>
    <row r="161" ht="15" customHeight="1">
      <c r="A161" t="inlineStr">
        <is>
          <t>A 34512-2026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46319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9.300000000000001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Skarp dropptaggsvamp</t>
        </is>
      </c>
      <c r="W161">
        <f>HYPERLINK("https://klasma.github.io/Logging_2582/artfynd/A 34512-2026 artfynd.xlsx", "A 34512-2026")</f>
        <v/>
      </c>
      <c r="X161">
        <f>HYPERLINK("https://klasma.github.io/Logging_2582/kartor/A 34512-2026 karta.png", "A 34512-2026")</f>
        <v/>
      </c>
      <c r="Y161">
        <f>HYPERLINK("https://klasma.github.io/Logging_2582/kartor_geotiff/A 34512-2026 georefererad karta.tif", "A 34512-2026")</f>
        <v/>
      </c>
      <c r="AA161">
        <f>HYPERLINK("https://klasma.github.io/Logging_2582/klagomål/A 34512-2026 FSC-klagomål.docx", "A 34512-2026")</f>
        <v/>
      </c>
      <c r="AB161">
        <f>HYPERLINK("https://klasma.github.io/Logging_2582/klagomålsmail/A 34512-2026 FSC-klagomål mail.docx", "A 34512-2026")</f>
        <v/>
      </c>
      <c r="AC161">
        <f>HYPERLINK("https://klasma.github.io/Logging_2582/tillsyn/A 34512-2026 tillsynsbegäran.docx", "A 34512-2026")</f>
        <v/>
      </c>
      <c r="AD161">
        <f>HYPERLINK("https://klasma.github.io/Logging_2582/tillsynsmail/A 34512-2026 tillsynsbegäran mail.docx", "A 34512-2026")</f>
        <v/>
      </c>
    </row>
    <row r="162" ht="15" customHeight="1">
      <c r="A162" t="inlineStr">
        <is>
          <t>A 14329-2026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46319</v>
      </c>
      <c r="F162" t="inlineStr">
        <is>
          <t>NORRBOTTENS LÄN</t>
        </is>
      </c>
      <c r="G162" t="inlineStr">
        <is>
          <t>BODEN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HYPERLINK("https://klasma.github.io/Logging_2582/artfynd/A 14329-2026 artfynd.xlsx", "A 14329-2026")</f>
        <v/>
      </c>
      <c r="X162">
        <f>HYPERLINK("https://klasma.github.io/Logging_2582/kartor/A 14329-2026 karta.png", "A 14329-2026")</f>
        <v/>
      </c>
      <c r="Y162">
        <f>HYPERLINK("https://klasma.github.io/Logging_2582/kartor_geotiff/A 14329-2026 georefererad karta.tif", "A 14329-2026")</f>
        <v/>
      </c>
      <c r="AA162">
        <f>HYPERLINK("https://klasma.github.io/Logging_2582/klagomål/A 14329-2026 FSC-klagomål.docx", "A 14329-2026")</f>
        <v/>
      </c>
      <c r="AB162">
        <f>HYPERLINK("https://klasma.github.io/Logging_2582/klagomålsmail/A 14329-2026 FSC-klagomål mail.docx", "A 14329-2026")</f>
        <v/>
      </c>
      <c r="AC162">
        <f>HYPERLINK("https://klasma.github.io/Logging_2582/tillsyn/A 14329-2026 tillsynsbegäran.docx", "A 14329-2026")</f>
        <v/>
      </c>
      <c r="AD162">
        <f>HYPERLINK("https://klasma.github.io/Logging_2582/tillsynsmail/A 14329-2026 tillsynsbegäran mail.docx", "A 14329-2026")</f>
        <v/>
      </c>
      <c r="AE162">
        <f>HYPERLINK("https://klasma.github.io/Logging_2582/fåglar/A 14329-2026 prioriterade fågelarter.docx", "A 14329-2026")</f>
        <v/>
      </c>
    </row>
    <row r="163" ht="15" customHeight="1">
      <c r="A163" t="inlineStr">
        <is>
          <t>A 41589-2026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46302</v>
      </c>
      <c r="E163" s="1" t="n">
        <v>46319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2.8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Reliktbock</t>
        </is>
      </c>
      <c r="W163">
        <f>HYPERLINK("https://klasma.github.io/Logging_2582/artfynd/A 41589-2026 artfynd.xlsx", "A 41589-2026")</f>
        <v/>
      </c>
      <c r="X163">
        <f>HYPERLINK("https://klasma.github.io/Logging_2582/kartor/A 41589-2026 karta.png", "A 41589-2026")</f>
        <v/>
      </c>
      <c r="Y163">
        <f>HYPERLINK("https://klasma.github.io/Logging_2582/kartor_geotiff/A 41589-2026 georefererad karta.tif", "A 41589-2026")</f>
        <v/>
      </c>
      <c r="AA163">
        <f>HYPERLINK("https://klasma.github.io/Logging_2582/klagomål/A 41589-2026 FSC-klagomål.docx", "A 41589-2026")</f>
        <v/>
      </c>
      <c r="AB163">
        <f>HYPERLINK("https://klasma.github.io/Logging_2582/klagomålsmail/A 41589-2026 FSC-klagomål mail.docx", "A 41589-2026")</f>
        <v/>
      </c>
      <c r="AC163">
        <f>HYPERLINK("https://klasma.github.io/Logging_2582/tillsyn/A 41589-2026 tillsynsbegäran.docx", "A 41589-2026")</f>
        <v/>
      </c>
      <c r="AD163">
        <f>HYPERLINK("https://klasma.github.io/Logging_2582/tillsynsmail/A 41589-2026 tillsynsbegäran mail.docx", "A 41589-2026")</f>
        <v/>
      </c>
    </row>
    <row r="164" ht="15" customHeight="1">
      <c r="A164" t="inlineStr">
        <is>
          <t>A 35292-2026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46319</v>
      </c>
      <c r="F164" t="inlineStr">
        <is>
          <t>NORRBOTTENS LÄN</t>
        </is>
      </c>
      <c r="G164" t="inlineStr">
        <is>
          <t>BODEN</t>
        </is>
      </c>
      <c r="I164" t="n">
        <v>4.9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Tretåig hackspett</t>
        </is>
      </c>
      <c r="W164">
        <f>HYPERLINK("https://klasma.github.io/Logging_2582/artfynd/A 35292-2026 artfynd.xlsx", "A 35292-2026")</f>
        <v/>
      </c>
      <c r="X164">
        <f>HYPERLINK("https://klasma.github.io/Logging_2582/kartor/A 35292-2026 karta.png", "A 35292-2026")</f>
        <v/>
      </c>
      <c r="Y164">
        <f>HYPERLINK("https://klasma.github.io/Logging_2582/kartor_geotiff/A 35292-2026 georefererad karta.tif", "A 35292-2026")</f>
        <v/>
      </c>
      <c r="AA164">
        <f>HYPERLINK("https://klasma.github.io/Logging_2582/klagomål/A 35292-2026 FSC-klagomål.docx", "A 35292-2026")</f>
        <v/>
      </c>
      <c r="AB164">
        <f>HYPERLINK("https://klasma.github.io/Logging_2582/klagomålsmail/A 35292-2026 FSC-klagomål mail.docx", "A 35292-2026")</f>
        <v/>
      </c>
      <c r="AC164">
        <f>HYPERLINK("https://klasma.github.io/Logging_2582/tillsyn/A 35292-2026 tillsynsbegäran.docx", "A 35292-2026")</f>
        <v/>
      </c>
      <c r="AD164">
        <f>HYPERLINK("https://klasma.github.io/Logging_2582/tillsynsmail/A 35292-2026 tillsynsbegäran mail.docx", "A 35292-2026")</f>
        <v/>
      </c>
      <c r="AE164">
        <f>HYPERLINK("https://klasma.github.io/Logging_2582/fåglar/A 35292-2026 prioriterade fågelarter.docx", "A 35292-2026")</f>
        <v/>
      </c>
    </row>
    <row r="165" ht="15" customHeight="1">
      <c r="A165" t="inlineStr">
        <is>
          <t>A 35299-2026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46319</v>
      </c>
      <c r="F165" t="inlineStr">
        <is>
          <t>NORRBOTTENS LÄN</t>
        </is>
      </c>
      <c r="G165" t="inlineStr">
        <is>
          <t>BODEN</t>
        </is>
      </c>
      <c r="I165" t="n">
        <v>3.3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HYPERLINK("https://klasma.github.io/Logging_2582/artfynd/A 35299-2026 artfynd.xlsx", "A 35299-2026")</f>
        <v/>
      </c>
      <c r="X165">
        <f>HYPERLINK("https://klasma.github.io/Logging_2582/kartor/A 35299-2026 karta.png", "A 35299-2026")</f>
        <v/>
      </c>
      <c r="Y165">
        <f>HYPERLINK("https://klasma.github.io/Logging_2582/kartor_geotiff/A 35299-2026 georefererad karta.tif", "A 35299-2026")</f>
        <v/>
      </c>
      <c r="Z165">
        <f>HYPERLINK("https://klasma.github.io/Logging_2582/knärot/A 35299-2026 karta knärot.png", "A 35299-2026")</f>
        <v/>
      </c>
      <c r="AA165">
        <f>HYPERLINK("https://klasma.github.io/Logging_2582/klagomål/A 35299-2026 FSC-klagomål.docx", "A 35299-2026")</f>
        <v/>
      </c>
      <c r="AB165">
        <f>HYPERLINK("https://klasma.github.io/Logging_2582/klagomålsmail/A 35299-2026 FSC-klagomål mail.docx", "A 35299-2026")</f>
        <v/>
      </c>
      <c r="AC165">
        <f>HYPERLINK("https://klasma.github.io/Logging_2582/tillsyn/A 35299-2026 tillsynsbegäran.docx", "A 35299-2026")</f>
        <v/>
      </c>
      <c r="AD165">
        <f>HYPERLINK("https://klasma.github.io/Logging_2582/tillsynsmail/A 35299-2026 tillsynsbegäran mail.docx", "A 35299-2026")</f>
        <v/>
      </c>
    </row>
    <row r="166" ht="15" customHeight="1">
      <c r="A166" t="inlineStr">
        <is>
          <t>A 35415-2026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46319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2.6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2</v>
      </c>
      <c r="V166" s="2" t="inlineStr">
        <is>
          <t>Knärot</t>
        </is>
      </c>
      <c r="W166">
        <f>HYPERLINK("https://klasma.github.io/Logging_2582/artfynd/A 35415-2026 artfynd.xlsx", "A 35415-2026")</f>
        <v/>
      </c>
      <c r="X166">
        <f>HYPERLINK("https://klasma.github.io/Logging_2582/kartor/A 35415-2026 karta.png", "A 35415-2026")</f>
        <v/>
      </c>
      <c r="Y166">
        <f>HYPERLINK("https://klasma.github.io/Logging_2582/kartor_geotiff/A 35415-2026 georefererad karta.tif", "A 35415-2026")</f>
        <v/>
      </c>
      <c r="Z166">
        <f>HYPERLINK("https://klasma.github.io/Logging_2582/knärot/A 35415-2026 karta knärot.png", "A 35415-2026")</f>
        <v/>
      </c>
      <c r="AA166">
        <f>HYPERLINK("https://klasma.github.io/Logging_2582/klagomål/A 35415-2026 FSC-klagomål.docx", "A 35415-2026")</f>
        <v/>
      </c>
      <c r="AB166">
        <f>HYPERLINK("https://klasma.github.io/Logging_2582/klagomålsmail/A 35415-2026 FSC-klagomål mail.docx", "A 35415-2026")</f>
        <v/>
      </c>
      <c r="AC166">
        <f>HYPERLINK("https://klasma.github.io/Logging_2582/tillsyn/A 35415-2026 tillsynsbegäran.docx", "A 35415-2026")</f>
        <v/>
      </c>
      <c r="AD166">
        <f>HYPERLINK("https://klasma.github.io/Logging_2582/tillsynsmail/A 35415-2026 tillsynsbegäran mail.docx", "A 35415-2026")</f>
        <v/>
      </c>
    </row>
    <row r="167" ht="15" customHeight="1">
      <c r="A167" t="inlineStr">
        <is>
          <t>A 35410-2026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46261</v>
      </c>
      <c r="E167" s="1" t="n">
        <v>46319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9</v>
      </c>
      <c r="U167" t="n">
        <v>9</v>
      </c>
      <c r="V167" s="2" t="inlineStr">
        <is>
          <t>Knärot</t>
        </is>
      </c>
      <c r="W167">
        <f>HYPERLINK("https://klasma.github.io/Logging_2582/artfynd/A 35410-2026 artfynd.xlsx", "A 35410-2026")</f>
        <v/>
      </c>
      <c r="X167">
        <f>HYPERLINK("https://klasma.github.io/Logging_2582/kartor/A 35410-2026 karta.png", "A 35410-2026")</f>
        <v/>
      </c>
      <c r="Y167">
        <f>HYPERLINK("https://klasma.github.io/Logging_2582/kartor_geotiff/A 35410-2026 georefererad karta.tif", "A 35410-2026")</f>
        <v/>
      </c>
      <c r="Z167">
        <f>HYPERLINK("https://klasma.github.io/Logging_2582/knärot/A 35410-2026 karta knärot.png", "A 35410-2026")</f>
        <v/>
      </c>
      <c r="AA167">
        <f>HYPERLINK("https://klasma.github.io/Logging_2582/klagomål/A 35410-2026 FSC-klagomål.docx", "A 35410-2026")</f>
        <v/>
      </c>
      <c r="AB167">
        <f>HYPERLINK("https://klasma.github.io/Logging_2582/klagomålsmail/A 35410-2026 FSC-klagomål mail.docx", "A 35410-2026")</f>
        <v/>
      </c>
      <c r="AC167">
        <f>HYPERLINK("https://klasma.github.io/Logging_2582/tillsyn/A 35410-2026 tillsynsbegäran.docx", "A 35410-2026")</f>
        <v/>
      </c>
      <c r="AD167">
        <f>HYPERLINK("https://klasma.github.io/Logging_2582/tillsynsmail/A 35410-2026 tillsynsbegäran mail.docx", "A 35410-2026")</f>
        <v/>
      </c>
    </row>
    <row r="168" ht="15" customHeight="1">
      <c r="A168" t="inlineStr">
        <is>
          <t>A 22892-2024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46319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Bollvitmossa</t>
        </is>
      </c>
      <c r="W168">
        <f>HYPERLINK("https://klasma.github.io/Logging_2582/artfynd/A 22892-2024 artfynd.xlsx", "A 22892-2024")</f>
        <v/>
      </c>
      <c r="X168">
        <f>HYPERLINK("https://klasma.github.io/Logging_2582/kartor/A 22892-2024 karta.png", "A 22892-2024")</f>
        <v/>
      </c>
      <c r="Y168">
        <f>HYPERLINK("https://klasma.github.io/Logging_2582/kartor_geotiff/A 22892-2024 georefererad karta.tif", "A 22892-2024")</f>
        <v/>
      </c>
      <c r="AA168">
        <f>HYPERLINK("https://klasma.github.io/Logging_2582/klagomål/A 22892-2024 FSC-klagomål.docx", "A 22892-2024")</f>
        <v/>
      </c>
      <c r="AB168">
        <f>HYPERLINK("https://klasma.github.io/Logging_2582/klagomålsmail/A 22892-2024 FSC-klagomål mail.docx", "A 22892-2024")</f>
        <v/>
      </c>
      <c r="AC168">
        <f>HYPERLINK("https://klasma.github.io/Logging_2582/tillsyn/A 22892-2024 tillsynsbegäran.docx", "A 22892-2024")</f>
        <v/>
      </c>
      <c r="AD168">
        <f>HYPERLINK("https://klasma.github.io/Logging_2582/tillsynsmail/A 22892-2024 tillsynsbegäran mail.docx", "A 22892-2024")</f>
        <v/>
      </c>
    </row>
    <row r="169" ht="15" customHeight="1">
      <c r="A169" t="inlineStr">
        <is>
          <t>A 13568-2022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46319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1.5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Lavskrika</t>
        </is>
      </c>
      <c r="W169">
        <f>HYPERLINK("https://klasma.github.io/Logging_2582/artfynd/A 13568-2022 artfynd.xlsx", "A 13568-2022")</f>
        <v/>
      </c>
      <c r="X169">
        <f>HYPERLINK("https://klasma.github.io/Logging_2582/kartor/A 13568-2022 karta.png", "A 13568-2022")</f>
        <v/>
      </c>
      <c r="Y169">
        <f>HYPERLINK("https://klasma.github.io/Logging_2582/kartor_geotiff/A 13568-2022 georefererad karta.tif", "A 13568-2022")</f>
        <v/>
      </c>
      <c r="AA169">
        <f>HYPERLINK("https://klasma.github.io/Logging_2582/klagomål/A 13568-2022 FSC-klagomål.docx", "A 13568-2022")</f>
        <v/>
      </c>
      <c r="AB169">
        <f>HYPERLINK("https://klasma.github.io/Logging_2582/klagomålsmail/A 13568-2022 FSC-klagomål mail.docx", "A 13568-2022")</f>
        <v/>
      </c>
      <c r="AC169">
        <f>HYPERLINK("https://klasma.github.io/Logging_2582/tillsyn/A 13568-2022 tillsynsbegäran.docx", "A 13568-2022")</f>
        <v/>
      </c>
      <c r="AD169">
        <f>HYPERLINK("https://klasma.github.io/Logging_2582/tillsynsmail/A 13568-2022 tillsynsbegäran mail.docx", "A 13568-2022")</f>
        <v/>
      </c>
      <c r="AE169">
        <f>HYPERLINK("https://klasma.github.io/Logging_2582/fåglar/A 13568-2022 prioriterade fågelarter.docx", "A 13568-2022")</f>
        <v/>
      </c>
    </row>
    <row r="170" ht="15" customHeight="1">
      <c r="A170" t="inlineStr">
        <is>
          <t>A 68560-2021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44529</v>
      </c>
      <c r="E170" s="1" t="n">
        <v>46319</v>
      </c>
      <c r="F170" t="inlineStr">
        <is>
          <t>NORRBOTTENS LÄN</t>
        </is>
      </c>
      <c r="G170" t="inlineStr">
        <is>
          <t>BODEN</t>
        </is>
      </c>
      <c r="I170" t="n">
        <v>3.5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4</v>
      </c>
      <c r="U170" t="n">
        <v>4</v>
      </c>
      <c r="V170" s="2" t="inlineStr">
        <is>
          <t>Småflikig brosklav</t>
        </is>
      </c>
      <c r="W170">
        <f>HYPERLINK("https://klasma.github.io/Logging_2582/artfynd/A 68560-2021 artfynd.xlsx", "A 68560-2021")</f>
        <v/>
      </c>
      <c r="X170">
        <f>HYPERLINK("https://klasma.github.io/Logging_2582/kartor/A 68560-2021 karta.png", "A 68560-2021")</f>
        <v/>
      </c>
      <c r="Y170">
        <f>HYPERLINK("https://klasma.github.io/Logging_2582/kartor_geotiff/A 68560-2021 georefererad karta.tif", "A 68560-2021")</f>
        <v/>
      </c>
      <c r="AA170">
        <f>HYPERLINK("https://klasma.github.io/Logging_2582/klagomål/A 68560-2021 FSC-klagomål.docx", "A 68560-2021")</f>
        <v/>
      </c>
      <c r="AB170">
        <f>HYPERLINK("https://klasma.github.io/Logging_2582/klagomålsmail/A 68560-2021 FSC-klagomål mail.docx", "A 68560-2021")</f>
        <v/>
      </c>
      <c r="AC170">
        <f>HYPERLINK("https://klasma.github.io/Logging_2582/tillsyn/A 68560-2021 tillsynsbegäran.docx", "A 68560-2021")</f>
        <v/>
      </c>
      <c r="AD170">
        <f>HYPERLINK("https://klasma.github.io/Logging_2582/tillsynsmail/A 68560-2021 tillsynsbegäran mail.docx", "A 68560-2021")</f>
        <v/>
      </c>
    </row>
    <row r="171" ht="15" customHeight="1">
      <c r="A171" t="inlineStr">
        <is>
          <t>A 36130-2026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46267</v>
      </c>
      <c r="E171" s="1" t="n">
        <v>46319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Vedflamlav</t>
        </is>
      </c>
      <c r="W171">
        <f>HYPERLINK("https://klasma.github.io/Logging_2582/artfynd/A 36130-2026 artfynd.xlsx", "A 36130-2026")</f>
        <v/>
      </c>
      <c r="X171">
        <f>HYPERLINK("https://klasma.github.io/Logging_2582/kartor/A 36130-2026 karta.png", "A 36130-2026")</f>
        <v/>
      </c>
      <c r="Y171">
        <f>HYPERLINK("https://klasma.github.io/Logging_2582/kartor_geotiff/A 36130-2026 georefererad karta.tif", "A 36130-2026")</f>
        <v/>
      </c>
      <c r="AA171">
        <f>HYPERLINK("https://klasma.github.io/Logging_2582/klagomål/A 36130-2026 FSC-klagomål.docx", "A 36130-2026")</f>
        <v/>
      </c>
      <c r="AB171">
        <f>HYPERLINK("https://klasma.github.io/Logging_2582/klagomålsmail/A 36130-2026 FSC-klagomål mail.docx", "A 36130-2026")</f>
        <v/>
      </c>
      <c r="AC171">
        <f>HYPERLINK("https://klasma.github.io/Logging_2582/tillsyn/A 36130-2026 tillsynsbegäran.docx", "A 36130-2026")</f>
        <v/>
      </c>
      <c r="AD171">
        <f>HYPERLINK("https://klasma.github.io/Logging_2582/tillsynsmail/A 36130-2026 tillsynsbegäran mail.docx", "A 36130-2026")</f>
        <v/>
      </c>
    </row>
    <row r="172" ht="15" customHeight="1">
      <c r="A172" t="inlineStr">
        <is>
          <t>A 41087-2024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45559</v>
      </c>
      <c r="E172" s="1" t="n">
        <v>46319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Garnlav</t>
        </is>
      </c>
      <c r="W172">
        <f>HYPERLINK("https://klasma.github.io/Logging_2582/artfynd/A 41087-2024 artfynd.xlsx", "A 41087-2024")</f>
        <v/>
      </c>
      <c r="X172">
        <f>HYPERLINK("https://klasma.github.io/Logging_2582/kartor/A 41087-2024 karta.png", "A 41087-2024")</f>
        <v/>
      </c>
      <c r="Y172">
        <f>HYPERLINK("https://klasma.github.io/Logging_2582/kartor_geotiff/A 41087-2024 georefererad karta.tif", "A 41087-2024")</f>
        <v/>
      </c>
      <c r="AA172">
        <f>HYPERLINK("https://klasma.github.io/Logging_2582/klagomål/A 41087-2024 FSC-klagomål.docx", "A 41087-2024")</f>
        <v/>
      </c>
      <c r="AB172">
        <f>HYPERLINK("https://klasma.github.io/Logging_2582/klagomålsmail/A 41087-2024 FSC-klagomål mail.docx", "A 41087-2024")</f>
        <v/>
      </c>
      <c r="AC172">
        <f>HYPERLINK("https://klasma.github.io/Logging_2582/tillsyn/A 41087-2024 tillsynsbegäran.docx", "A 41087-2024")</f>
        <v/>
      </c>
      <c r="AD172">
        <f>HYPERLINK("https://klasma.github.io/Logging_2582/tillsynsmail/A 41087-2024 tillsynsbegäran mail.docx", "A 41087-2024")</f>
        <v/>
      </c>
    </row>
    <row r="173" ht="15" customHeight="1">
      <c r="A173" t="inlineStr">
        <is>
          <t>A 32600-2024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46319</v>
      </c>
      <c r="F173" t="inlineStr">
        <is>
          <t>NORRBOTTENS LÄN</t>
        </is>
      </c>
      <c r="G173" t="inlineStr">
        <is>
          <t>BODEN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HYPERLINK("https://klasma.github.io/Logging_2582/artfynd/A 32600-2024 artfynd.xlsx", "A 32600-2024")</f>
        <v/>
      </c>
      <c r="X173">
        <f>HYPERLINK("https://klasma.github.io/Logging_2582/kartor/A 32600-2024 karta.png", "A 32600-2024")</f>
        <v/>
      </c>
      <c r="Y173">
        <f>HYPERLINK("https://klasma.github.io/Logging_2582/kartor_geotiff/A 32600-2024 georefererad karta.tif", "A 32600-2024")</f>
        <v/>
      </c>
      <c r="AA173">
        <f>HYPERLINK("https://klasma.github.io/Logging_2582/klagomål/A 32600-2024 FSC-klagomål.docx", "A 32600-2024")</f>
        <v/>
      </c>
      <c r="AB173">
        <f>HYPERLINK("https://klasma.github.io/Logging_2582/klagomålsmail/A 32600-2024 FSC-klagomål mail.docx", "A 32600-2024")</f>
        <v/>
      </c>
      <c r="AC173">
        <f>HYPERLINK("https://klasma.github.io/Logging_2582/tillsyn/A 32600-2024 tillsynsbegäran.docx", "A 32600-2024")</f>
        <v/>
      </c>
      <c r="AD173">
        <f>HYPERLINK("https://klasma.github.io/Logging_2582/tillsynsmail/A 32600-2024 tillsynsbegäran mail.docx", "A 32600-2024")</f>
        <v/>
      </c>
    </row>
    <row r="174" ht="15" customHeight="1">
      <c r="A174" t="inlineStr">
        <is>
          <t>A 43166-2026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46311</v>
      </c>
      <c r="E174" s="1" t="n">
        <v>46319</v>
      </c>
      <c r="F174" t="inlineStr">
        <is>
          <t>NORRBOTTENS LÄN</t>
        </is>
      </c>
      <c r="G174" t="inlineStr">
        <is>
          <t>BODEN</t>
        </is>
      </c>
      <c r="I174" t="n">
        <v>10.6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Tofsmes</t>
        </is>
      </c>
      <c r="W174">
        <f>HYPERLINK("https://klasma.github.io/Logging_2582/artfynd/A 43166-2026 artfynd.xlsx", "A 43166-2026")</f>
        <v/>
      </c>
      <c r="X174">
        <f>HYPERLINK("https://klasma.github.io/Logging_2582/kartor/A 43166-2026 karta.png", "A 43166-2026")</f>
        <v/>
      </c>
      <c r="Y174">
        <f>HYPERLINK("https://klasma.github.io/Logging_2582/kartor_geotiff/A 43166-2026 georefererad karta.tif", "A 43166-2026")</f>
        <v/>
      </c>
      <c r="AA174">
        <f>HYPERLINK("https://klasma.github.io/Logging_2582/klagomål/A 43166-2026 FSC-klagomål.docx", "A 43166-2026")</f>
        <v/>
      </c>
      <c r="AB174">
        <f>HYPERLINK("https://klasma.github.io/Logging_2582/klagomålsmail/A 43166-2026 FSC-klagomål mail.docx", "A 43166-2026")</f>
        <v/>
      </c>
      <c r="AC174">
        <f>HYPERLINK("https://klasma.github.io/Logging_2582/tillsyn/A 43166-2026 tillsynsbegäran.docx", "A 43166-2026")</f>
        <v/>
      </c>
      <c r="AD174">
        <f>HYPERLINK("https://klasma.github.io/Logging_2582/tillsynsmail/A 43166-2026 tillsynsbegäran mail.docx", "A 43166-2026")</f>
        <v/>
      </c>
    </row>
    <row r="175" ht="15" customHeight="1">
      <c r="A175" t="inlineStr">
        <is>
          <t>A 36734-2026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46319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10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Fläcknycklar</t>
        </is>
      </c>
      <c r="W175">
        <f>HYPERLINK("https://klasma.github.io/Logging_2582/artfynd/A 36734-2026 artfynd.xlsx", "A 36734-2026")</f>
        <v/>
      </c>
      <c r="X175">
        <f>HYPERLINK("https://klasma.github.io/Logging_2582/kartor/A 36734-2026 karta.png", "A 36734-2026")</f>
        <v/>
      </c>
      <c r="Y175">
        <f>HYPERLINK("https://klasma.github.io/Logging_2582/kartor_geotiff/A 36734-2026 georefererad karta.tif", "A 36734-2026")</f>
        <v/>
      </c>
      <c r="AA175">
        <f>HYPERLINK("https://klasma.github.io/Logging_2582/klagomål/A 36734-2026 FSC-klagomål.docx", "A 36734-2026")</f>
        <v/>
      </c>
      <c r="AB175">
        <f>HYPERLINK("https://klasma.github.io/Logging_2582/klagomålsmail/A 36734-2026 FSC-klagomål mail.docx", "A 36734-2026")</f>
        <v/>
      </c>
      <c r="AC175">
        <f>HYPERLINK("https://klasma.github.io/Logging_2582/tillsyn/A 36734-2026 tillsynsbegäran.docx", "A 36734-2026")</f>
        <v/>
      </c>
      <c r="AD175">
        <f>HYPERLINK("https://klasma.github.io/Logging_2582/tillsynsmail/A 36734-2026 tillsynsbegäran mail.docx", "A 36734-2026")</f>
        <v/>
      </c>
    </row>
    <row r="176" ht="15" customHeight="1">
      <c r="A176" t="inlineStr">
        <is>
          <t>A 36749-2026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46319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Vedflamlav</t>
        </is>
      </c>
      <c r="W176">
        <f>HYPERLINK("https://klasma.github.io/Logging_2582/artfynd/A 36749-2026 artfynd.xlsx", "A 36749-2026")</f>
        <v/>
      </c>
      <c r="X176">
        <f>HYPERLINK("https://klasma.github.io/Logging_2582/kartor/A 36749-2026 karta.png", "A 36749-2026")</f>
        <v/>
      </c>
      <c r="Y176">
        <f>HYPERLINK("https://klasma.github.io/Logging_2582/kartor_geotiff/A 36749-2026 georefererad karta.tif", "A 36749-2026")</f>
        <v/>
      </c>
      <c r="AA176">
        <f>HYPERLINK("https://klasma.github.io/Logging_2582/klagomål/A 36749-2026 FSC-klagomål.docx", "A 36749-2026")</f>
        <v/>
      </c>
      <c r="AB176">
        <f>HYPERLINK("https://klasma.github.io/Logging_2582/klagomålsmail/A 36749-2026 FSC-klagomål mail.docx", "A 36749-2026")</f>
        <v/>
      </c>
      <c r="AC176">
        <f>HYPERLINK("https://klasma.github.io/Logging_2582/tillsyn/A 36749-2026 tillsynsbegäran.docx", "A 36749-2026")</f>
        <v/>
      </c>
      <c r="AD176">
        <f>HYPERLINK("https://klasma.github.io/Logging_2582/tillsynsmail/A 36749-2026 tillsynsbegäran mail.docx", "A 36749-2026")</f>
        <v/>
      </c>
    </row>
    <row r="177" ht="15" customHeight="1">
      <c r="A177" t="inlineStr">
        <is>
          <t>A 21310-2026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46319</v>
      </c>
      <c r="F177" t="inlineStr">
        <is>
          <t>NORRBOTTENS LÄN</t>
        </is>
      </c>
      <c r="G177" t="inlineStr">
        <is>
          <t>BODEN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HYPERLINK("https://klasma.github.io/Logging_2582/artfynd/A 21310-2026 artfynd.xlsx", "A 21310-2026")</f>
        <v/>
      </c>
      <c r="X177">
        <f>HYPERLINK("https://klasma.github.io/Logging_2582/kartor/A 21310-2026 karta.png", "A 21310-2026")</f>
        <v/>
      </c>
      <c r="Y177">
        <f>HYPERLINK("https://klasma.github.io/Logging_2582/kartor_geotiff/A 21310-2026 georefererad karta.tif", "A 21310-2026")</f>
        <v/>
      </c>
      <c r="AA177">
        <f>HYPERLINK("https://klasma.github.io/Logging_2582/klagomål/A 21310-2026 FSC-klagomål.docx", "A 21310-2026")</f>
        <v/>
      </c>
      <c r="AB177">
        <f>HYPERLINK("https://klasma.github.io/Logging_2582/klagomålsmail/A 21310-2026 FSC-klagomål mail.docx", "A 21310-2026")</f>
        <v/>
      </c>
      <c r="AC177">
        <f>HYPERLINK("https://klasma.github.io/Logging_2582/tillsyn/A 21310-2026 tillsynsbegäran.docx", "A 21310-2026")</f>
        <v/>
      </c>
      <c r="AD177">
        <f>HYPERLINK("https://klasma.github.io/Logging_2582/tillsynsmail/A 21310-2026 tillsynsbegäran mail.docx", "A 21310-2026")</f>
        <v/>
      </c>
    </row>
    <row r="178" ht="15" customHeight="1">
      <c r="A178" t="inlineStr">
        <is>
          <t>A 12832-2022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46319</v>
      </c>
      <c r="F178" t="inlineStr">
        <is>
          <t>NORRBOTTENS LÄN</t>
        </is>
      </c>
      <c r="G178" t="inlineStr">
        <is>
          <t>BODEN</t>
        </is>
      </c>
      <c r="I178" t="n">
        <v>6.6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Doftticka</t>
        </is>
      </c>
      <c r="W178">
        <f>HYPERLINK("https://klasma.github.io/Logging_2582/artfynd/A 12832-2022 artfynd.xlsx", "A 12832-2022")</f>
        <v/>
      </c>
      <c r="X178">
        <f>HYPERLINK("https://klasma.github.io/Logging_2582/kartor/A 12832-2022 karta.png", "A 12832-2022")</f>
        <v/>
      </c>
      <c r="Y178">
        <f>HYPERLINK("https://klasma.github.io/Logging_2582/kartor_geotiff/A 12832-2022 georefererad karta.tif", "A 12832-2022")</f>
        <v/>
      </c>
      <c r="AA178">
        <f>HYPERLINK("https://klasma.github.io/Logging_2582/klagomål/A 12832-2022 FSC-klagomål.docx", "A 12832-2022")</f>
        <v/>
      </c>
      <c r="AB178">
        <f>HYPERLINK("https://klasma.github.io/Logging_2582/klagomålsmail/A 12832-2022 FSC-klagomål mail.docx", "A 12832-2022")</f>
        <v/>
      </c>
      <c r="AC178">
        <f>HYPERLINK("https://klasma.github.io/Logging_2582/tillsyn/A 12832-2022 tillsynsbegäran.docx", "A 12832-2022")</f>
        <v/>
      </c>
      <c r="AD178">
        <f>HYPERLINK("https://klasma.github.io/Logging_2582/tillsynsmail/A 12832-2022 tillsynsbegäran mail.docx", "A 12832-2022")</f>
        <v/>
      </c>
    </row>
    <row r="179" ht="15" customHeight="1">
      <c r="A179" t="inlineStr">
        <is>
          <t>A 19396-2022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44692</v>
      </c>
      <c r="E179" s="1" t="n">
        <v>46319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HYPERLINK("https://klasma.github.io/Logging_2582/artfynd/A 19396-2022 artfynd.xlsx", "A 19396-2022")</f>
        <v/>
      </c>
      <c r="X179">
        <f>HYPERLINK("https://klasma.github.io/Logging_2582/kartor/A 19396-2022 karta.png", "A 19396-2022")</f>
        <v/>
      </c>
      <c r="Y179">
        <f>HYPERLINK("https://klasma.github.io/Logging_2582/kartor_geotiff/A 19396-2022 georefererad karta.tif", "A 19396-2022")</f>
        <v/>
      </c>
      <c r="AA179">
        <f>HYPERLINK("https://klasma.github.io/Logging_2582/klagomål/A 19396-2022 FSC-klagomål.docx", "A 19396-2022")</f>
        <v/>
      </c>
      <c r="AB179">
        <f>HYPERLINK("https://klasma.github.io/Logging_2582/klagomålsmail/A 19396-2022 FSC-klagomål mail.docx", "A 19396-2022")</f>
        <v/>
      </c>
      <c r="AC179">
        <f>HYPERLINK("https://klasma.github.io/Logging_2582/tillsyn/A 19396-2022 tillsynsbegäran.docx", "A 19396-2022")</f>
        <v/>
      </c>
      <c r="AD179">
        <f>HYPERLINK("https://klasma.github.io/Logging_2582/tillsynsmail/A 19396-2022 tillsynsbegäran mail.docx", "A 19396-2022")</f>
        <v/>
      </c>
    </row>
    <row r="180" ht="15" customHeight="1">
      <c r="A180" t="inlineStr">
        <is>
          <t>S 187-2023</t>
        </is>
      </c>
      <c r="B180" t="inlineStr">
        <is>
          <t>samrådsanmälan</t>
        </is>
      </c>
      <c r="C180" t="inlineStr">
        <is>
          <t>Skogsgödsling</t>
        </is>
      </c>
      <c r="D180" s="1" t="n">
        <v>44944</v>
      </c>
      <c r="E180" s="1" t="n">
        <v>46319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407.1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HYPERLINK("https://klasma.github.io/Logging_2582/artfynd/S 187-2023 artfynd.xlsx", "S 187-2023")</f>
        <v/>
      </c>
      <c r="X180">
        <f>HYPERLINK("https://klasma.github.io/Logging_2582/kartor/S 187-2023 karta.png", "S 187-2023")</f>
        <v/>
      </c>
      <c r="Y180">
        <f>HYPERLINK("https://klasma.github.io/Logging_2582/kartor_geotiff/S 187-2023 georefererad karta.tif", "S 187-2023")</f>
        <v/>
      </c>
      <c r="AA180">
        <f>HYPERLINK("https://klasma.github.io/Logging_2582/klagomål/S 187-2023 FSC-klagomål.docx", "S 187-2023")</f>
        <v/>
      </c>
      <c r="AB180">
        <f>HYPERLINK("https://klasma.github.io/Logging_2582/klagomålsmail/S 187-2023 FSC-klagomål mail.docx", "S 187-2023")</f>
        <v/>
      </c>
      <c r="AC180">
        <f>HYPERLINK("https://klasma.github.io/Logging_2582/tillsyn/S 187-2023 tillsynsbegäran.docx", "S 187-2023")</f>
        <v/>
      </c>
      <c r="AD180">
        <f>HYPERLINK("https://klasma.github.io/Logging_2582/tillsynsmail/S 187-2023 tillsynsbegäran mail.docx", "S 187-2023")</f>
        <v/>
      </c>
      <c r="AE180">
        <f>HYPERLINK("https://klasma.github.io/Logging_2582/fåglar/S 187-2023 prioriterade fågelarter.docx", "S 187-2023")</f>
        <v/>
      </c>
    </row>
    <row r="181" ht="15" customHeight="1">
      <c r="A181" t="inlineStr">
        <is>
          <t>S 1448-2024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45418</v>
      </c>
      <c r="E181" s="1" t="n">
        <v>46319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Tallticka</t>
        </is>
      </c>
      <c r="W181">
        <f>HYPERLINK("https://klasma.github.io/Logging_2582/artfynd/S 1448-2024 artfynd.xlsx", "S 1448-2024")</f>
        <v/>
      </c>
      <c r="X181">
        <f>HYPERLINK("https://klasma.github.io/Logging_2582/kartor/S 1448-2024 karta.png", "S 1448-2024")</f>
        <v/>
      </c>
      <c r="Y181">
        <f>HYPERLINK("https://klasma.github.io/Logging_2582/kartor_geotiff/S 1448-2024 georefererad karta.tif", "S 1448-2024")</f>
        <v/>
      </c>
      <c r="AA181">
        <f>HYPERLINK("https://klasma.github.io/Logging_2582/klagomål/S 1448-2024 FSC-klagomål.docx", "S 1448-2024")</f>
        <v/>
      </c>
      <c r="AB181">
        <f>HYPERLINK("https://klasma.github.io/Logging_2582/klagomålsmail/S 1448-2024 FSC-klagomål mail.docx", "S 1448-2024")</f>
        <v/>
      </c>
      <c r="AC181">
        <f>HYPERLINK("https://klasma.github.io/Logging_2582/tillsyn/S 1448-2024 tillsynsbegäran.docx", "S 1448-2024")</f>
        <v/>
      </c>
      <c r="AD181">
        <f>HYPERLINK("https://klasma.github.io/Logging_2582/tillsynsmail/S 1448-2024 tillsynsbegäran mail.docx", "S 1448-2024")</f>
        <v/>
      </c>
    </row>
    <row r="182" ht="15" customHeight="1">
      <c r="A182" t="inlineStr">
        <is>
          <t>S 1234-2023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45028</v>
      </c>
      <c r="E182" s="1" t="n">
        <v>46319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100.1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HYPERLINK("https://klasma.github.io/Logging_2582/artfynd/S 1234-2023 artfynd.xlsx", "S 1234-2023")</f>
        <v/>
      </c>
      <c r="X182">
        <f>HYPERLINK("https://klasma.github.io/Logging_2582/kartor/S 1234-2023 karta.png", "S 1234-2023")</f>
        <v/>
      </c>
      <c r="Y182">
        <f>HYPERLINK("https://klasma.github.io/Logging_2582/kartor_geotiff/S 1234-2023 georefererad karta.tif", "S 1234-2023")</f>
        <v/>
      </c>
      <c r="AA182">
        <f>HYPERLINK("https://klasma.github.io/Logging_2582/klagomål/S 1234-2023 FSC-klagomål.docx", "S 1234-2023")</f>
        <v/>
      </c>
      <c r="AB182">
        <f>HYPERLINK("https://klasma.github.io/Logging_2582/klagomålsmail/S 1234-2023 FSC-klagomål mail.docx", "S 1234-2023")</f>
        <v/>
      </c>
      <c r="AC182">
        <f>HYPERLINK("https://klasma.github.io/Logging_2582/tillsyn/S 1234-2023 tillsynsbegäran.docx", "S 1234-2023")</f>
        <v/>
      </c>
      <c r="AD182">
        <f>HYPERLINK("https://klasma.github.io/Logging_2582/tillsynsmail/S 1234-2023 tillsynsbegäran mail.docx", "S 1234-2023")</f>
        <v/>
      </c>
    </row>
    <row r="183" ht="15" customHeight="1">
      <c r="A183" t="inlineStr">
        <is>
          <t>S 5116-2024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45643</v>
      </c>
      <c r="E183" s="1" t="n">
        <v>46319</v>
      </c>
      <c r="F183" t="inlineStr">
        <is>
          <t>NORRBOTTENS LÄN</t>
        </is>
      </c>
      <c r="G183" t="inlineStr">
        <is>
          <t>BODEN</t>
        </is>
      </c>
      <c r="I183" t="n">
        <v>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Mattlummer</t>
        </is>
      </c>
      <c r="W183">
        <f>HYPERLINK("https://klasma.github.io/Logging_2582/artfynd/S 5116-2024 artfynd.xlsx", "S 5116-2024")</f>
        <v/>
      </c>
      <c r="X183">
        <f>HYPERLINK("https://klasma.github.io/Logging_2582/kartor/S 5116-2024 karta.png", "S 5116-2024")</f>
        <v/>
      </c>
      <c r="Y183">
        <f>HYPERLINK("https://klasma.github.io/Logging_2582/kartor_geotiff/S 5116-2024 georefererad karta.tif", "S 5116-2024")</f>
        <v/>
      </c>
      <c r="AA183">
        <f>HYPERLINK("https://klasma.github.io/Logging_2582/klagomål/S 5116-2024 FSC-klagomål.docx", "S 5116-2024")</f>
        <v/>
      </c>
      <c r="AB183">
        <f>HYPERLINK("https://klasma.github.io/Logging_2582/klagomålsmail/S 5116-2024 FSC-klagomål mail.docx", "S 5116-2024")</f>
        <v/>
      </c>
      <c r="AC183">
        <f>HYPERLINK("https://klasma.github.io/Logging_2582/tillsyn/S 5116-2024 tillsynsbegäran.docx", "S 5116-2024")</f>
        <v/>
      </c>
      <c r="AD183">
        <f>HYPERLINK("https://klasma.github.io/Logging_2582/tillsynsmail/S 5116-2024 tillsynsbegäran mail.docx", "S 5116-2024")</f>
        <v/>
      </c>
    </row>
    <row r="184" ht="15" customHeight="1">
      <c r="A184" t="inlineStr">
        <is>
          <t>S 1634-2025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45799</v>
      </c>
      <c r="E184" s="1" t="n">
        <v>46319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1.9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Knärot</t>
        </is>
      </c>
      <c r="W184">
        <f>HYPERLINK("https://klasma.github.io/Logging_2582/artfynd/S 1634-2025 artfynd.xlsx", "S 1634-2025")</f>
        <v/>
      </c>
      <c r="X184">
        <f>HYPERLINK("https://klasma.github.io/Logging_2582/kartor/S 1634-2025 karta.png", "S 1634-2025")</f>
        <v/>
      </c>
      <c r="Y184">
        <f>HYPERLINK("https://klasma.github.io/Logging_2582/kartor_geotiff/S 1634-2025 georefererad karta.tif", "S 1634-2025")</f>
        <v/>
      </c>
      <c r="Z184">
        <f>HYPERLINK("https://klasma.github.io/Logging_2582/knärot/S 1634-2025 karta knärot.png", "S 1634-2025")</f>
        <v/>
      </c>
      <c r="AA184">
        <f>HYPERLINK("https://klasma.github.io/Logging_2582/klagomål/S 1634-2025 FSC-klagomål.docx", "S 1634-2025")</f>
        <v/>
      </c>
      <c r="AB184">
        <f>HYPERLINK("https://klasma.github.io/Logging_2582/klagomålsmail/S 1634-2025 FSC-klagomål mail.docx", "S 1634-2025")</f>
        <v/>
      </c>
      <c r="AC184">
        <f>HYPERLINK("https://klasma.github.io/Logging_2582/tillsyn/S 1634-2025 tillsynsbegäran.docx", "S 1634-2025")</f>
        <v/>
      </c>
      <c r="AD184">
        <f>HYPERLINK("https://klasma.github.io/Logging_2582/tillsynsmail/S 1634-2025 tillsynsbegäran mail.docx", "S 1634-2025")</f>
        <v/>
      </c>
    </row>
    <row r="185" ht="15" customHeight="1">
      <c r="A185" t="inlineStr">
        <is>
          <t>S 2450-2025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45901</v>
      </c>
      <c r="E185" s="1" t="n">
        <v>46319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HYPERLINK("https://klasma.github.io/Logging_2582/artfynd/S 2450-2025 artfynd.xlsx", "S 2450-2025")</f>
        <v/>
      </c>
      <c r="X185">
        <f>HYPERLINK("https://klasma.github.io/Logging_2582/kartor/S 2450-2025 karta.png", "S 2450-2025")</f>
        <v/>
      </c>
      <c r="Y185">
        <f>HYPERLINK("https://klasma.github.io/Logging_2582/kartor_geotiff/S 2450-2025 georefererad karta.tif", "S 2450-2025")</f>
        <v/>
      </c>
      <c r="AA185">
        <f>HYPERLINK("https://klasma.github.io/Logging_2582/klagomål/S 2450-2025 FSC-klagomål.docx", "S 2450-2025")</f>
        <v/>
      </c>
      <c r="AB185">
        <f>HYPERLINK("https://klasma.github.io/Logging_2582/klagomålsmail/S 2450-2025 FSC-klagomål mail.docx", "S 2450-2025")</f>
        <v/>
      </c>
      <c r="AC185">
        <f>HYPERLINK("https://klasma.github.io/Logging_2582/tillsyn/S 2450-2025 tillsynsbegäran.docx", "S 2450-2025")</f>
        <v/>
      </c>
      <c r="AD185">
        <f>HYPERLINK("https://klasma.github.io/Logging_2582/tillsynsmail/S 2450-2025 tillsynsbegäran mail.docx", "S 2450-2025")</f>
        <v/>
      </c>
    </row>
    <row r="186" ht="15" customHeight="1">
      <c r="A186" t="inlineStr">
        <is>
          <t>S 2940-2025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45952</v>
      </c>
      <c r="E186" s="1" t="n">
        <v>46319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0.7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Skinnlav</t>
        </is>
      </c>
      <c r="W186">
        <f>HYPERLINK("https://klasma.github.io/Logging_2582/artfynd/S 2940-2025 artfynd.xlsx", "S 2940-2025")</f>
        <v/>
      </c>
      <c r="X186">
        <f>HYPERLINK("https://klasma.github.io/Logging_2582/kartor/S 2940-2025 karta.png", "S 2940-2025")</f>
        <v/>
      </c>
      <c r="Y186">
        <f>HYPERLINK("https://klasma.github.io/Logging_2582/kartor_geotiff/S 2940-2025 georefererad karta.tif", "S 2940-2025")</f>
        <v/>
      </c>
      <c r="AA186">
        <f>HYPERLINK("https://klasma.github.io/Logging_2582/klagomål/S 2940-2025 FSC-klagomål.docx", "S 2940-2025")</f>
        <v/>
      </c>
      <c r="AB186">
        <f>HYPERLINK("https://klasma.github.io/Logging_2582/klagomålsmail/S 2940-2025 FSC-klagomål mail.docx", "S 2940-2025")</f>
        <v/>
      </c>
      <c r="AC186">
        <f>HYPERLINK("https://klasma.github.io/Logging_2582/tillsyn/S 2940-2025 tillsynsbegäran.docx", "S 2940-2025")</f>
        <v/>
      </c>
      <c r="AD186">
        <f>HYPERLINK("https://klasma.github.io/Logging_2582/tillsynsmail/S 2940-2025 tillsynsbegäran mail.docx", "S 2940-2025")</f>
        <v/>
      </c>
    </row>
    <row r="187" ht="15" customHeight="1">
      <c r="A187" t="inlineStr">
        <is>
          <t>A 63790-2021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46319</v>
      </c>
      <c r="F187" t="inlineStr">
        <is>
          <t>NORRBOTTENS LÄN</t>
        </is>
      </c>
      <c r="G187" t="inlineStr">
        <is>
          <t>BODEN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46319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44577</v>
      </c>
      <c r="E189" s="1" t="n">
        <v>46319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46319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46319</v>
      </c>
      <c r="F191" t="inlineStr">
        <is>
          <t>NORRBOTTENS LÄN</t>
        </is>
      </c>
      <c r="G191" t="inlineStr">
        <is>
          <t>BODEN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46319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46319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46319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46319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46319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46319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46319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46319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46319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46319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46319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71833-2021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46319</v>
      </c>
      <c r="F203" t="inlineStr">
        <is>
          <t>NORRBOTTENS LÄN</t>
        </is>
      </c>
      <c r="G203" t="inlineStr">
        <is>
          <t>BODEN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46319</v>
      </c>
      <c r="F204" t="inlineStr">
        <is>
          <t>NORRBOTTENS LÄN</t>
        </is>
      </c>
      <c r="G204" t="inlineStr">
        <is>
          <t>BODEN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46319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46319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46319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46319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46319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46319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46319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46319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46319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46319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46319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46319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46319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46319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46319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46319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46319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46319</v>
      </c>
      <c r="F222" t="inlineStr">
        <is>
          <t>NORRBOTTENS LÄN</t>
        </is>
      </c>
      <c r="G222" t="inlineStr">
        <is>
          <t>BODEN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46319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46319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44565</v>
      </c>
      <c r="E225" s="1" t="n">
        <v>46319</v>
      </c>
      <c r="F225" t="inlineStr">
        <is>
          <t>NORRBOTTENS LÄN</t>
        </is>
      </c>
      <c r="G225" t="inlineStr">
        <is>
          <t>BODEN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46319</v>
      </c>
      <c r="F226" t="inlineStr">
        <is>
          <t>NORRBOTTENS LÄN</t>
        </is>
      </c>
      <c r="G226" t="inlineStr">
        <is>
          <t>BODEN</t>
        </is>
      </c>
      <c r="H226" t="inlineStr">
        <is>
          <t>Kyrkan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46319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46319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46319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46319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877-2023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44931</v>
      </c>
      <c r="E231" s="1" t="n">
        <v>46319</v>
      </c>
      <c r="F231" t="inlineStr">
        <is>
          <t>NORRBOTTENS LÄN</t>
        </is>
      </c>
      <c r="G231" t="inlineStr">
        <is>
          <t>BODEN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46319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46319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46319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46319</v>
      </c>
      <c r="F235" t="inlineStr">
        <is>
          <t>NORRBOTTENS LÄN</t>
        </is>
      </c>
      <c r="G235" t="inlineStr">
        <is>
          <t>BODEN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45643</v>
      </c>
      <c r="E236" s="1" t="n">
        <v>46319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46319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46319</v>
      </c>
      <c r="F238" t="inlineStr">
        <is>
          <t>NORRBOTTENS LÄN</t>
        </is>
      </c>
      <c r="G238" t="inlineStr">
        <is>
          <t>BODEN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46319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46319</v>
      </c>
      <c r="F240" t="inlineStr">
        <is>
          <t>NORRBOTTENS LÄN</t>
        </is>
      </c>
      <c r="G240" t="inlineStr">
        <is>
          <t>BODEN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46319</v>
      </c>
      <c r="F241" t="inlineStr">
        <is>
          <t>NORRBOTTENS LÄN</t>
        </is>
      </c>
      <c r="G241" t="inlineStr">
        <is>
          <t>BODEN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46319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46319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43969-2024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45572</v>
      </c>
      <c r="E244" s="1" t="n">
        <v>46319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46319</v>
      </c>
      <c r="F245" t="inlineStr">
        <is>
          <t>NORRBOTTENS LÄN</t>
        </is>
      </c>
      <c r="G245" t="inlineStr">
        <is>
          <t>BODEN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46319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46319</v>
      </c>
      <c r="F247" t="inlineStr">
        <is>
          <t>NORRBOTTENS LÄN</t>
        </is>
      </c>
      <c r="G247" t="inlineStr">
        <is>
          <t>BODEN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46319</v>
      </c>
      <c r="F248" t="inlineStr">
        <is>
          <t>NORRBOTTENS LÄN</t>
        </is>
      </c>
      <c r="G248" t="inlineStr">
        <is>
          <t>BODEN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45544</v>
      </c>
      <c r="E249" s="1" t="n">
        <v>46319</v>
      </c>
      <c r="F249" t="inlineStr">
        <is>
          <t>NORRBOTTENS LÄN</t>
        </is>
      </c>
      <c r="G249" t="inlineStr">
        <is>
          <t>BODEN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45001</v>
      </c>
      <c r="E250" s="1" t="n">
        <v>46319</v>
      </c>
      <c r="F250" t="inlineStr">
        <is>
          <t>NORRBOTTENS LÄN</t>
        </is>
      </c>
      <c r="G250" t="inlineStr">
        <is>
          <t>BODEN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46319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41691-2025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45902</v>
      </c>
      <c r="E252" s="1" t="n">
        <v>46319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46319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45907</v>
      </c>
      <c r="E254" s="1" t="n">
        <v>46319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46319</v>
      </c>
      <c r="F255" t="inlineStr">
        <is>
          <t>NORRBOTTENS LÄN</t>
        </is>
      </c>
      <c r="G255" t="inlineStr">
        <is>
          <t>BODEN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46319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3462-2022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44585</v>
      </c>
      <c r="E257" s="1" t="n">
        <v>46319</v>
      </c>
      <c r="F257" t="inlineStr">
        <is>
          <t>NORRBOTTENS LÄN</t>
        </is>
      </c>
      <c r="G257" t="inlineStr">
        <is>
          <t>BODEN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46319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46319</v>
      </c>
      <c r="F259" t="inlineStr">
        <is>
          <t>NORRBOTTENS LÄN</t>
        </is>
      </c>
      <c r="G259" t="inlineStr">
        <is>
          <t>BODEN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46319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44847</v>
      </c>
      <c r="E261" s="1" t="n">
        <v>46319</v>
      </c>
      <c r="F261" t="inlineStr">
        <is>
          <t>NORRBOTTENS LÄN</t>
        </is>
      </c>
      <c r="G261" t="inlineStr">
        <is>
          <t>BODEN</t>
        </is>
      </c>
      <c r="I261" t="n">
        <v>28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46319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46319</v>
      </c>
      <c r="F263" t="inlineStr">
        <is>
          <t>NORRBOTTENS LÄN</t>
        </is>
      </c>
      <c r="G263" t="inlineStr">
        <is>
          <t>BODEN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45744</v>
      </c>
      <c r="E264" s="1" t="n">
        <v>46319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46319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46319</v>
      </c>
      <c r="F266" t="inlineStr">
        <is>
          <t>NORRBOTTENS LÄN</t>
        </is>
      </c>
      <c r="G266" t="inlineStr">
        <is>
          <t>BODEN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46319</v>
      </c>
      <c r="F267" t="inlineStr">
        <is>
          <t>NORRBOTTENS LÄN</t>
        </is>
      </c>
      <c r="G267" t="inlineStr">
        <is>
          <t>BODEN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46319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46319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46319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46319</v>
      </c>
      <c r="F271" t="inlineStr">
        <is>
          <t>NORRBOTTENS LÄN</t>
        </is>
      </c>
      <c r="G271" t="inlineStr">
        <is>
          <t>BODEN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46319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46319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46319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46319</v>
      </c>
      <c r="F275" t="inlineStr">
        <is>
          <t>NORRBOTTENS LÄN</t>
        </is>
      </c>
      <c r="G275" t="inlineStr">
        <is>
          <t>BODEN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46319</v>
      </c>
      <c r="F276" t="inlineStr">
        <is>
          <t>NORRBOTTENS LÄN</t>
        </is>
      </c>
      <c r="G276" t="inlineStr">
        <is>
          <t>BODEN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73910-2021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44552</v>
      </c>
      <c r="E277" s="1" t="n">
        <v>46319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46319</v>
      </c>
      <c r="F278" t="inlineStr">
        <is>
          <t>NORRBOTTENS LÄN</t>
        </is>
      </c>
      <c r="G278" t="inlineStr">
        <is>
          <t>BODEN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46319</v>
      </c>
      <c r="F279" t="inlineStr">
        <is>
          <t>NORRBOTTENS LÄN</t>
        </is>
      </c>
      <c r="G279" t="inlineStr">
        <is>
          <t>BODEN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46319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46319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46319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Aktiebolag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46319</v>
      </c>
      <c r="F283" t="inlineStr">
        <is>
          <t>NORRBOTTENS LÄN</t>
        </is>
      </c>
      <c r="G283" t="inlineStr">
        <is>
          <t>BODEN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46319</v>
      </c>
      <c r="F284" t="inlineStr">
        <is>
          <t>NORRBOTTENS LÄN</t>
        </is>
      </c>
      <c r="G284" t="inlineStr">
        <is>
          <t>BODEN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46168</v>
      </c>
      <c r="E285" s="1" t="n">
        <v>46319</v>
      </c>
      <c r="F285" t="inlineStr">
        <is>
          <t>NORRBOTTENS LÄN</t>
        </is>
      </c>
      <c r="G285" t="inlineStr">
        <is>
          <t>BODEN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46319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46319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17.6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46319</v>
      </c>
      <c r="F288" t="inlineStr">
        <is>
          <t>NORRBOTTENS LÄN</t>
        </is>
      </c>
      <c r="G288" t="inlineStr">
        <is>
          <t>BODEN</t>
        </is>
      </c>
      <c r="I288" t="n">
        <v>17.2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46319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45969-2025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45924</v>
      </c>
      <c r="E290" s="1" t="n">
        <v>46319</v>
      </c>
      <c r="F290" t="inlineStr">
        <is>
          <t>NORRBOTTENS LÄN</t>
        </is>
      </c>
      <c r="G290" t="inlineStr">
        <is>
          <t>BODEN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46319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46319</v>
      </c>
      <c r="F292" t="inlineStr">
        <is>
          <t>NORRBOTTENS LÄN</t>
        </is>
      </c>
      <c r="G292" t="inlineStr">
        <is>
          <t>BODEN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46319</v>
      </c>
      <c r="F293" t="inlineStr">
        <is>
          <t>NORRBOTTENS LÄN</t>
        </is>
      </c>
      <c r="G293" t="inlineStr">
        <is>
          <t>BODEN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708-2022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44566</v>
      </c>
      <c r="E294" s="1" t="n">
        <v>46319</v>
      </c>
      <c r="F294" t="inlineStr">
        <is>
          <t>NORRBOTTENS LÄN</t>
        </is>
      </c>
      <c r="G294" t="inlineStr">
        <is>
          <t>BODEN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46319</v>
      </c>
      <c r="F295" t="inlineStr">
        <is>
          <t>NORRBOTTENS LÄN</t>
        </is>
      </c>
      <c r="G295" t="inlineStr">
        <is>
          <t>BODEN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46319</v>
      </c>
      <c r="F296" t="inlineStr">
        <is>
          <t>NORRBOTTENS LÄN</t>
        </is>
      </c>
      <c r="G296" t="inlineStr">
        <is>
          <t>BODEN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46319</v>
      </c>
      <c r="F297" t="inlineStr">
        <is>
          <t>NORRBOTTENS LÄN</t>
        </is>
      </c>
      <c r="G297" t="inlineStr">
        <is>
          <t>BODEN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46319</v>
      </c>
      <c r="F298" t="inlineStr">
        <is>
          <t>NORRBOTTENS LÄN</t>
        </is>
      </c>
      <c r="G298" t="inlineStr">
        <is>
          <t>BODEN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46319</v>
      </c>
      <c r="F299" t="inlineStr">
        <is>
          <t>NORRBOTTENS LÄN</t>
        </is>
      </c>
      <c r="G299" t="inlineStr">
        <is>
          <t>BODEN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45543</v>
      </c>
      <c r="E300" s="1" t="n">
        <v>46319</v>
      </c>
      <c r="F300" t="inlineStr">
        <is>
          <t>NORRBOTTENS LÄN</t>
        </is>
      </c>
      <c r="G300" t="inlineStr">
        <is>
          <t>BODEN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46319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46319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46319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46319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46172</v>
      </c>
      <c r="E305" s="1" t="n">
        <v>46319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47595-2025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46319</v>
      </c>
      <c r="F306" t="inlineStr">
        <is>
          <t>NORRBOTTENS LÄN</t>
        </is>
      </c>
      <c r="G306" t="inlineStr">
        <is>
          <t>BODEN</t>
        </is>
      </c>
      <c r="H306" t="inlineStr">
        <is>
          <t>Övriga Aktiebolag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46319</v>
      </c>
      <c r="F307" t="inlineStr">
        <is>
          <t>NORRBOTTENS LÄN</t>
        </is>
      </c>
      <c r="G307" t="inlineStr">
        <is>
          <t>BODEN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44841</v>
      </c>
      <c r="E308" s="1" t="n">
        <v>46319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46319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46319</v>
      </c>
      <c r="F310" t="inlineStr">
        <is>
          <t>NORRBOTTENS LÄN</t>
        </is>
      </c>
      <c r="G310" t="inlineStr">
        <is>
          <t>BODEN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46319</v>
      </c>
      <c r="F311" t="inlineStr">
        <is>
          <t>NORRBOTTENS LÄN</t>
        </is>
      </c>
      <c r="G311" t="inlineStr">
        <is>
          <t>BODEN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46319</v>
      </c>
      <c r="F312" t="inlineStr">
        <is>
          <t>NORRBOTTENS LÄN</t>
        </is>
      </c>
      <c r="G312" t="inlineStr">
        <is>
          <t>BODEN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45906</v>
      </c>
      <c r="E313" s="1" t="n">
        <v>46319</v>
      </c>
      <c r="F313" t="inlineStr">
        <is>
          <t>NORRBOTTENS LÄN</t>
        </is>
      </c>
      <c r="G313" t="inlineStr">
        <is>
          <t>BODEN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46319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46319</v>
      </c>
      <c r="F315" t="inlineStr">
        <is>
          <t>NORRBOTTENS LÄN</t>
        </is>
      </c>
      <c r="G315" t="inlineStr">
        <is>
          <t>BODEN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45933</v>
      </c>
      <c r="E316" s="1" t="n">
        <v>46319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46319</v>
      </c>
      <c r="F317" t="inlineStr">
        <is>
          <t>NORRBOTTENS LÄN</t>
        </is>
      </c>
      <c r="G317" t="inlineStr">
        <is>
          <t>BODEN</t>
        </is>
      </c>
      <c r="I317" t="n">
        <v>10.2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46319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46319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46319</v>
      </c>
      <c r="F320" t="inlineStr">
        <is>
          <t>NORRBOTTENS LÄN</t>
        </is>
      </c>
      <c r="G320" t="inlineStr">
        <is>
          <t>BODEN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46319</v>
      </c>
      <c r="F321" t="inlineStr">
        <is>
          <t>NORRBOTTENS LÄN</t>
        </is>
      </c>
      <c r="G321" t="inlineStr">
        <is>
          <t>BODEN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46319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46319</v>
      </c>
      <c r="F323" t="inlineStr">
        <is>
          <t>NORRBOTTENS LÄN</t>
        </is>
      </c>
      <c r="G323" t="inlineStr">
        <is>
          <t>BODEN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50419-2025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46319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46319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46319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46319</v>
      </c>
      <c r="F327" t="inlineStr">
        <is>
          <t>NORRBOTTENS LÄN</t>
        </is>
      </c>
      <c r="G327" t="inlineStr">
        <is>
          <t>BODEN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46319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46319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46319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46319</v>
      </c>
      <c r="F331" t="inlineStr">
        <is>
          <t>NORRBOTTENS LÄN</t>
        </is>
      </c>
      <c r="G331" t="inlineStr">
        <is>
          <t>BODEN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44935</v>
      </c>
      <c r="E332" s="1" t="n">
        <v>46319</v>
      </c>
      <c r="F332" t="inlineStr">
        <is>
          <t>NORRBOTTENS LÄN</t>
        </is>
      </c>
      <c r="G332" t="inlineStr">
        <is>
          <t>BODEN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46319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statliga verk och myndigheter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46319</v>
      </c>
      <c r="F334" t="inlineStr">
        <is>
          <t>NORRBOTTENS LÄN</t>
        </is>
      </c>
      <c r="G334" t="inlineStr">
        <is>
          <t>BODEN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45463</v>
      </c>
      <c r="E335" s="1" t="n">
        <v>46319</v>
      </c>
      <c r="F335" t="inlineStr">
        <is>
          <t>NORRBOTTENS LÄN</t>
        </is>
      </c>
      <c r="G335" t="inlineStr">
        <is>
          <t>BODEN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26964-2023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46319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46319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46319</v>
      </c>
      <c r="F338" t="inlineStr">
        <is>
          <t>NORRBOTTENS LÄN</t>
        </is>
      </c>
      <c r="G338" t="inlineStr">
        <is>
          <t>BODEN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46319</v>
      </c>
      <c r="F339" t="inlineStr">
        <is>
          <t>NORRBOTTENS LÄN</t>
        </is>
      </c>
      <c r="G339" t="inlineStr">
        <is>
          <t>BODEN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46319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46319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45356</v>
      </c>
      <c r="E342" s="1" t="n">
        <v>46319</v>
      </c>
      <c r="F342" t="inlineStr">
        <is>
          <t>NORRBOTTENS LÄN</t>
        </is>
      </c>
      <c r="G342" t="inlineStr">
        <is>
          <t>BODEN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46319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46319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46319</v>
      </c>
      <c r="F345" t="inlineStr">
        <is>
          <t>NORRBOTTENS LÄN</t>
        </is>
      </c>
      <c r="G345" t="inlineStr">
        <is>
          <t>BODEN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46319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46319</v>
      </c>
      <c r="F347" t="inlineStr">
        <is>
          <t>NORRBOTTENS LÄN</t>
        </is>
      </c>
      <c r="G347" t="inlineStr">
        <is>
          <t>BODEN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46319</v>
      </c>
      <c r="F348" t="inlineStr">
        <is>
          <t>NORRBOTTENS LÄN</t>
        </is>
      </c>
      <c r="G348" t="inlineStr">
        <is>
          <t>BODEN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46319</v>
      </c>
      <c r="F349" t="inlineStr">
        <is>
          <t>NORRBOTTENS LÄN</t>
        </is>
      </c>
      <c r="G349" t="inlineStr">
        <is>
          <t>BODEN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46319</v>
      </c>
      <c r="F350" t="inlineStr">
        <is>
          <t>NORRBOTTENS LÄN</t>
        </is>
      </c>
      <c r="G350" t="inlineStr">
        <is>
          <t>BODEN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46319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46319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46319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46319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46319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45677</v>
      </c>
      <c r="E356" s="1" t="n">
        <v>46319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51525-2025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46319</v>
      </c>
      <c r="F357" t="inlineStr">
        <is>
          <t>NORRBOTTENS LÄN</t>
        </is>
      </c>
      <c r="G357" t="inlineStr">
        <is>
          <t>BODEN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46319</v>
      </c>
      <c r="F358" t="inlineStr">
        <is>
          <t>NORRBOTTENS LÄN</t>
        </is>
      </c>
      <c r="G358" t="inlineStr">
        <is>
          <t>BODEN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46319</v>
      </c>
      <c r="F359" t="inlineStr">
        <is>
          <t>NORRBOTTENS LÄN</t>
        </is>
      </c>
      <c r="G359" t="inlineStr">
        <is>
          <t>BODEN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45512</v>
      </c>
      <c r="E360" s="1" t="n">
        <v>46319</v>
      </c>
      <c r="F360" t="inlineStr">
        <is>
          <t>NORRBOTTENS LÄN</t>
        </is>
      </c>
      <c r="G360" t="inlineStr">
        <is>
          <t>BODEN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45125</v>
      </c>
      <c r="E361" s="1" t="n">
        <v>46319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46319</v>
      </c>
      <c r="F362" t="inlineStr">
        <is>
          <t>NORRBOTTENS LÄN</t>
        </is>
      </c>
      <c r="G362" t="inlineStr">
        <is>
          <t>BODEN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46319</v>
      </c>
      <c r="F363" t="inlineStr">
        <is>
          <t>NORRBOTTENS LÄN</t>
        </is>
      </c>
      <c r="G363" t="inlineStr">
        <is>
          <t>BODEN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46319</v>
      </c>
      <c r="F364" t="inlineStr">
        <is>
          <t>NORRBOTTENS LÄN</t>
        </is>
      </c>
      <c r="G364" t="inlineStr">
        <is>
          <t>BODEN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45955</v>
      </c>
      <c r="E365" s="1" t="n">
        <v>46319</v>
      </c>
      <c r="F365" t="inlineStr">
        <is>
          <t>NORRBOTTENS LÄN</t>
        </is>
      </c>
      <c r="G365" t="inlineStr">
        <is>
          <t>BODEN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46319</v>
      </c>
      <c r="F366" t="inlineStr">
        <is>
          <t>NORRBOTTENS LÄN</t>
        </is>
      </c>
      <c r="G366" t="inlineStr">
        <is>
          <t>BODEN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45766</v>
      </c>
      <c r="E367" s="1" t="n">
        <v>46319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46319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  <c r="Z368">
        <f>HYPERLINK("https://klasma.github.io/Logging_2582/knärot/A 26776-2026 karta knärot.png", "A 26776-2026")</f>
        <v/>
      </c>
      <c r="AA368">
        <f>HYPERLINK("https://klasma.github.io/Logging_2582/klagomål/A 26776-2026 FSC-klagomål.docx", "A 26776-2026")</f>
        <v/>
      </c>
      <c r="AB368">
        <f>HYPERLINK("https://klasma.github.io/Logging_2582/klagomålsmail/A 26776-2026 FSC-klagomål mail.docx", "A 26776-2026")</f>
        <v/>
      </c>
      <c r="AC368">
        <f>HYPERLINK("https://klasma.github.io/Logging_2582/tillsyn/A 26776-2026 tillsynsbegäran.docx", "A 26776-2026")</f>
        <v/>
      </c>
      <c r="AD368">
        <f>HYPERLINK("https://klasma.github.io/Logging_2582/tillsynsmail/A 26776-2026 tillsynsbegäran mail.docx", "A 26776-2026")</f>
        <v/>
      </c>
    </row>
    <row r="369" ht="15" customHeight="1">
      <c r="A369" t="inlineStr">
        <is>
          <t>A 26714-2026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46184</v>
      </c>
      <c r="E369" s="1" t="n">
        <v>46319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53623-2025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45960</v>
      </c>
      <c r="E370" s="1" t="n">
        <v>46319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46319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46319</v>
      </c>
      <c r="F372" t="inlineStr">
        <is>
          <t>NORRBOTTENS LÄN</t>
        </is>
      </c>
      <c r="G372" t="inlineStr">
        <is>
          <t>BODEN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46319</v>
      </c>
      <c r="F373" t="inlineStr">
        <is>
          <t>NORRBOTTENS LÄN</t>
        </is>
      </c>
      <c r="G373" t="inlineStr">
        <is>
          <t>BODEN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46319</v>
      </c>
      <c r="F374" t="inlineStr">
        <is>
          <t>NORRBOTTENS LÄN</t>
        </is>
      </c>
      <c r="G374" t="inlineStr">
        <is>
          <t>BODEN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46319</v>
      </c>
      <c r="F375" t="inlineStr">
        <is>
          <t>NORRBOTTENS LÄN</t>
        </is>
      </c>
      <c r="G375" t="inlineStr">
        <is>
          <t>BODEN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46319</v>
      </c>
      <c r="F376" t="inlineStr">
        <is>
          <t>NORRBOTTENS LÄN</t>
        </is>
      </c>
      <c r="G376" t="inlineStr">
        <is>
          <t>BODEN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46319</v>
      </c>
      <c r="F377" t="inlineStr">
        <is>
          <t>NORRBOTTENS LÄN</t>
        </is>
      </c>
      <c r="G377" t="inlineStr">
        <is>
          <t>BODEN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46319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46319</v>
      </c>
      <c r="F379" t="inlineStr">
        <is>
          <t>NORRBOTTENS LÄN</t>
        </is>
      </c>
      <c r="G379" t="inlineStr">
        <is>
          <t>BODEN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46319</v>
      </c>
      <c r="F380" t="inlineStr">
        <is>
          <t>NORRBOTTENS LÄN</t>
        </is>
      </c>
      <c r="G380" t="inlineStr">
        <is>
          <t>BODEN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46319</v>
      </c>
      <c r="F381" t="inlineStr">
        <is>
          <t>NORRBOTTENS LÄN</t>
        </is>
      </c>
      <c r="G381" t="inlineStr">
        <is>
          <t>BODEN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46319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46319</v>
      </c>
      <c r="F383" t="inlineStr">
        <is>
          <t>NORRBOTTENS LÄN</t>
        </is>
      </c>
      <c r="G383" t="inlineStr">
        <is>
          <t>BODEN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8028-2024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45350</v>
      </c>
      <c r="E384" s="1" t="n">
        <v>46319</v>
      </c>
      <c r="F384" t="inlineStr">
        <is>
          <t>NORRBOTTENS LÄN</t>
        </is>
      </c>
      <c r="G384" t="inlineStr">
        <is>
          <t>BODEN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46319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46319</v>
      </c>
      <c r="F386" t="inlineStr">
        <is>
          <t>NORRBOTTENS LÄN</t>
        </is>
      </c>
      <c r="G386" t="inlineStr">
        <is>
          <t>BODEN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46319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46319</v>
      </c>
      <c r="F388" t="inlineStr">
        <is>
          <t>NORRBOTTENS LÄN</t>
        </is>
      </c>
      <c r="G388" t="inlineStr">
        <is>
          <t>BODEN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46319</v>
      </c>
      <c r="F389" t="inlineStr">
        <is>
          <t>NORRBOTTENS LÄN</t>
        </is>
      </c>
      <c r="G389" t="inlineStr">
        <is>
          <t>BODEN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74264-2021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44558</v>
      </c>
      <c r="E390" s="1" t="n">
        <v>46319</v>
      </c>
      <c r="F390" t="inlineStr">
        <is>
          <t>NORRBOTTENS LÄN</t>
        </is>
      </c>
      <c r="G390" t="inlineStr">
        <is>
          <t>BODEN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46319</v>
      </c>
      <c r="F391" t="inlineStr">
        <is>
          <t>NORRBOTTENS LÄN</t>
        </is>
      </c>
      <c r="G391" t="inlineStr">
        <is>
          <t>BODEN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46319</v>
      </c>
      <c r="F392" t="inlineStr">
        <is>
          <t>NORRBOTTENS LÄN</t>
        </is>
      </c>
      <c r="G392" t="inlineStr">
        <is>
          <t>BODEN</t>
        </is>
      </c>
      <c r="I392" t="n">
        <v>14.5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46319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46319</v>
      </c>
      <c r="F394" t="inlineStr">
        <is>
          <t>NORRBOTTENS LÄN</t>
        </is>
      </c>
      <c r="G394" t="inlineStr">
        <is>
          <t>BODEN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46319</v>
      </c>
      <c r="F395" t="inlineStr">
        <is>
          <t>NORRBOTTENS LÄN</t>
        </is>
      </c>
      <c r="G395" t="inlineStr">
        <is>
          <t>BODEN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46319</v>
      </c>
      <c r="F396" t="inlineStr">
        <is>
          <t>NORRBOTTENS LÄN</t>
        </is>
      </c>
      <c r="G396" t="inlineStr">
        <is>
          <t>BODEN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56560-2025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46319</v>
      </c>
      <c r="F397" t="inlineStr">
        <is>
          <t>NORRBOTTENS LÄN</t>
        </is>
      </c>
      <c r="G397" t="inlineStr">
        <is>
          <t>BODEN</t>
        </is>
      </c>
      <c r="H397" t="inlineStr">
        <is>
          <t>Naturvårdsverket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46319</v>
      </c>
      <c r="F398" t="inlineStr">
        <is>
          <t>NORRBOTTENS LÄN</t>
        </is>
      </c>
      <c r="G398" t="inlineStr">
        <is>
          <t>BODEN</t>
        </is>
      </c>
      <c r="H398" t="inlineStr">
        <is>
          <t>Naturvårdsverket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46319</v>
      </c>
      <c r="F399" t="inlineStr">
        <is>
          <t>NORRBOTTENS LÄN</t>
        </is>
      </c>
      <c r="G399" t="inlineStr">
        <is>
          <t>BODEN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46319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46319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56867-2025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46319</v>
      </c>
      <c r="F402" t="inlineStr">
        <is>
          <t>NORRBOTTENS LÄN</t>
        </is>
      </c>
      <c r="G402" t="inlineStr">
        <is>
          <t>BODEN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46319</v>
      </c>
      <c r="F403" t="inlineStr">
        <is>
          <t>NORRBOTTENS LÄN</t>
        </is>
      </c>
      <c r="G403" t="inlineStr">
        <is>
          <t>BODEN</t>
        </is>
      </c>
      <c r="H403" t="inlineStr">
        <is>
          <t>Övriga statliga verk och myndigheter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46319</v>
      </c>
      <c r="F404" t="inlineStr">
        <is>
          <t>NORRBOTTENS LÄN</t>
        </is>
      </c>
      <c r="G404" t="inlineStr">
        <is>
          <t>BODEN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46319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46319</v>
      </c>
      <c r="F406" t="inlineStr">
        <is>
          <t>NORRBOTTENS LÄN</t>
        </is>
      </c>
      <c r="G406" t="inlineStr">
        <is>
          <t>BODEN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46319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46319</v>
      </c>
      <c r="F408" t="inlineStr">
        <is>
          <t>NORRBOTTENS LÄN</t>
        </is>
      </c>
      <c r="G408" t="inlineStr">
        <is>
          <t>BODEN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46319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46319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44833</v>
      </c>
      <c r="E411" s="1" t="n">
        <v>46319</v>
      </c>
      <c r="F411" t="inlineStr">
        <is>
          <t>NORRBOTTENS LÄN</t>
        </is>
      </c>
      <c r="G411" t="inlineStr">
        <is>
          <t>BODEN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45254</v>
      </c>
      <c r="E412" s="1" t="n">
        <v>46319</v>
      </c>
      <c r="F412" t="inlineStr">
        <is>
          <t>NORRBOTTENS LÄN</t>
        </is>
      </c>
      <c r="G412" t="inlineStr">
        <is>
          <t>BODEN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44935</v>
      </c>
      <c r="E413" s="1" t="n">
        <v>46319</v>
      </c>
      <c r="F413" t="inlineStr">
        <is>
          <t>NORRBOTTENS LÄN</t>
        </is>
      </c>
      <c r="G413" t="inlineStr">
        <is>
          <t>BODEN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46319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46319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46319</v>
      </c>
      <c r="F416" t="inlineStr">
        <is>
          <t>NORRBOTTENS LÄN</t>
        </is>
      </c>
      <c r="G416" t="inlineStr">
        <is>
          <t>BODEN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46319</v>
      </c>
      <c r="F417" t="inlineStr">
        <is>
          <t>NORRBOTTENS LÄN</t>
        </is>
      </c>
      <c r="G417" t="inlineStr">
        <is>
          <t>BODEN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46319</v>
      </c>
      <c r="F418" t="inlineStr">
        <is>
          <t>NORRBOTTENS LÄN</t>
        </is>
      </c>
      <c r="G418" t="inlineStr">
        <is>
          <t>BODEN</t>
        </is>
      </c>
      <c r="I418" t="n">
        <v>38.7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46319</v>
      </c>
      <c r="F419" t="inlineStr">
        <is>
          <t>NORRBOTTENS LÄN</t>
        </is>
      </c>
      <c r="G419" t="inlineStr">
        <is>
          <t>BODEN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45984</v>
      </c>
      <c r="E420" s="1" t="n">
        <v>46319</v>
      </c>
      <c r="F420" t="inlineStr">
        <is>
          <t>NORRBOTTENS LÄN</t>
        </is>
      </c>
      <c r="G420" t="inlineStr">
        <is>
          <t>BODEN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46319</v>
      </c>
      <c r="F421" t="inlineStr">
        <is>
          <t>NORRBOTTENS LÄN</t>
        </is>
      </c>
      <c r="G421" t="inlineStr">
        <is>
          <t>BODEN</t>
        </is>
      </c>
      <c r="H421" t="inlineStr">
        <is>
          <t>Kommuner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46319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15.2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46319</v>
      </c>
      <c r="F423" t="inlineStr">
        <is>
          <t>NORRBOTTENS LÄN</t>
        </is>
      </c>
      <c r="G423" t="inlineStr">
        <is>
          <t>BODEN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46319</v>
      </c>
      <c r="F424" t="inlineStr">
        <is>
          <t>NORRBOTTENS LÄN</t>
        </is>
      </c>
      <c r="G424" t="inlineStr">
        <is>
          <t>BODEN</t>
        </is>
      </c>
      <c r="H424" t="inlineStr">
        <is>
          <t>Övriga statliga verk och myndigheter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45653</v>
      </c>
      <c r="E425" s="1" t="n">
        <v>46319</v>
      </c>
      <c r="F425" t="inlineStr">
        <is>
          <t>NORRBOTTENS LÄN</t>
        </is>
      </c>
      <c r="G425" t="inlineStr">
        <is>
          <t>BODEN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46319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46319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30077-2026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46319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46208</v>
      </c>
      <c r="E429" s="1" t="n">
        <v>46319</v>
      </c>
      <c r="F429" t="inlineStr">
        <is>
          <t>NORRBOTTENS LÄN</t>
        </is>
      </c>
      <c r="G429" t="inlineStr">
        <is>
          <t>BODEN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46319</v>
      </c>
      <c r="F430" t="inlineStr">
        <is>
          <t>NORRBOTTENS LÄN</t>
        </is>
      </c>
      <c r="G430" t="inlineStr">
        <is>
          <t>BODEN</t>
        </is>
      </c>
      <c r="H430" t="inlineStr">
        <is>
          <t>Kommuner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46319</v>
      </c>
      <c r="F431" t="inlineStr">
        <is>
          <t>NORRBOTTENS LÄN</t>
        </is>
      </c>
      <c r="G431" t="inlineStr">
        <is>
          <t>BODEN</t>
        </is>
      </c>
      <c r="H431" t="inlineStr">
        <is>
          <t>Kommuner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30745-2026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46211</v>
      </c>
      <c r="E432" s="1" t="n">
        <v>46319</v>
      </c>
      <c r="F432" t="inlineStr">
        <is>
          <t>NORRBOTTENS LÄN</t>
        </is>
      </c>
      <c r="G432" t="inlineStr">
        <is>
          <t>BODEN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45672</v>
      </c>
      <c r="E433" s="1" t="n">
        <v>46319</v>
      </c>
      <c r="F433" t="inlineStr">
        <is>
          <t>NORRBOTTENS LÄN</t>
        </is>
      </c>
      <c r="G433" t="inlineStr">
        <is>
          <t>BODEN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46319</v>
      </c>
      <c r="F434" t="inlineStr">
        <is>
          <t>NORRBOTTENS LÄN</t>
        </is>
      </c>
      <c r="G434" t="inlineStr">
        <is>
          <t>BODEN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54590-2022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44883</v>
      </c>
      <c r="E435" s="1" t="n">
        <v>46319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46319</v>
      </c>
      <c r="F436" t="inlineStr">
        <is>
          <t>NORRBOTTENS LÄN</t>
        </is>
      </c>
      <c r="G436" t="inlineStr">
        <is>
          <t>BODEN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60235-2025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46319</v>
      </c>
      <c r="F437" t="inlineStr">
        <is>
          <t>NORRBOTTENS LÄN</t>
        </is>
      </c>
      <c r="G437" t="inlineStr">
        <is>
          <t>BODEN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46319</v>
      </c>
      <c r="F438" t="inlineStr">
        <is>
          <t>NORRBOTTENS LÄN</t>
        </is>
      </c>
      <c r="G438" t="inlineStr">
        <is>
          <t>BODEN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46319</v>
      </c>
      <c r="F439" t="inlineStr">
        <is>
          <t>NORRBOTTENS LÄN</t>
        </is>
      </c>
      <c r="G439" t="inlineStr">
        <is>
          <t>BODEN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46319</v>
      </c>
      <c r="F440" t="inlineStr">
        <is>
          <t>NORRBOTTENS LÄN</t>
        </is>
      </c>
      <c r="G440" t="inlineStr">
        <is>
          <t>BODEN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45476</v>
      </c>
      <c r="E441" s="1" t="n">
        <v>46319</v>
      </c>
      <c r="F441" t="inlineStr">
        <is>
          <t>NORRBOTTENS LÄN</t>
        </is>
      </c>
      <c r="G441" t="inlineStr">
        <is>
          <t>BODEN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46319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46319</v>
      </c>
      <c r="F443" t="inlineStr">
        <is>
          <t>NORRBOTTENS LÄN</t>
        </is>
      </c>
      <c r="G443" t="inlineStr">
        <is>
          <t>BODEN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46319</v>
      </c>
      <c r="F444" t="inlineStr">
        <is>
          <t>NORRBOTTENS LÄN</t>
        </is>
      </c>
      <c r="G444" t="inlineStr">
        <is>
          <t>BODEN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46319</v>
      </c>
      <c r="F445" t="inlineStr">
        <is>
          <t>NORRBOTTENS LÄN</t>
        </is>
      </c>
      <c r="G445" t="inlineStr">
        <is>
          <t>BODEN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45996</v>
      </c>
      <c r="E446" s="1" t="n">
        <v>46319</v>
      </c>
      <c r="F446" t="inlineStr">
        <is>
          <t>NORRBOTTENS LÄN</t>
        </is>
      </c>
      <c r="G446" t="inlineStr">
        <is>
          <t>BODEN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46319</v>
      </c>
      <c r="F447" t="inlineStr">
        <is>
          <t>NORRBOTTENS LÄN</t>
        </is>
      </c>
      <c r="G447" t="inlineStr">
        <is>
          <t>BODEN</t>
        </is>
      </c>
      <c r="H447" t="inlineStr">
        <is>
          <t>Sveaskog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46319</v>
      </c>
      <c r="F448" t="inlineStr">
        <is>
          <t>NORRBOTTENS LÄN</t>
        </is>
      </c>
      <c r="G448" t="inlineStr">
        <is>
          <t>BODEN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46319</v>
      </c>
      <c r="F449" t="inlineStr">
        <is>
          <t>NORRBOTTENS LÄN</t>
        </is>
      </c>
      <c r="G449" t="inlineStr">
        <is>
          <t>BODEN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46319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46217</v>
      </c>
      <c r="E451" s="1" t="n">
        <v>46319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8.800000000000001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46319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46217</v>
      </c>
      <c r="E453" s="1" t="n">
        <v>46319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45906</v>
      </c>
      <c r="E454" s="1" t="n">
        <v>46319</v>
      </c>
      <c r="F454" t="inlineStr">
        <is>
          <t>NORRBOTTENS LÄN</t>
        </is>
      </c>
      <c r="G454" t="inlineStr">
        <is>
          <t>BODEN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46319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46319</v>
      </c>
      <c r="F456" t="inlineStr">
        <is>
          <t>NORRBOTTENS LÄN</t>
        </is>
      </c>
      <c r="G456" t="inlineStr">
        <is>
          <t>BODEN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46319</v>
      </c>
      <c r="F457" t="inlineStr">
        <is>
          <t>NORRBOTTENS LÄN</t>
        </is>
      </c>
      <c r="G457" t="inlineStr">
        <is>
          <t>BODEN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46319</v>
      </c>
      <c r="F458" t="inlineStr">
        <is>
          <t>NORRBOTTENS LÄN</t>
        </is>
      </c>
      <c r="G458" t="inlineStr">
        <is>
          <t>BODEN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45397</v>
      </c>
      <c r="E459" s="1" t="n">
        <v>46319</v>
      </c>
      <c r="F459" t="inlineStr">
        <is>
          <t>NORRBOTTENS LÄN</t>
        </is>
      </c>
      <c r="G459" t="inlineStr">
        <is>
          <t>BODEN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45397</v>
      </c>
      <c r="E460" s="1" t="n">
        <v>46319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46319</v>
      </c>
      <c r="F461" t="inlineStr">
        <is>
          <t>NORRBOTTENS LÄN</t>
        </is>
      </c>
      <c r="G461" t="inlineStr">
        <is>
          <t>BODEN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46001</v>
      </c>
      <c r="E462" s="1" t="n">
        <v>46319</v>
      </c>
      <c r="F462" t="inlineStr">
        <is>
          <t>NORRBOTTENS LÄN</t>
        </is>
      </c>
      <c r="G462" t="inlineStr">
        <is>
          <t>BODEN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45391</v>
      </c>
      <c r="E463" s="1" t="n">
        <v>46319</v>
      </c>
      <c r="F463" t="inlineStr">
        <is>
          <t>NORRBOTTENS LÄN</t>
        </is>
      </c>
      <c r="G463" t="inlineStr">
        <is>
          <t>BODEN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46001</v>
      </c>
      <c r="E464" s="1" t="n">
        <v>46319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46319</v>
      </c>
      <c r="F465" t="inlineStr">
        <is>
          <t>NORRBOTTENS LÄN</t>
        </is>
      </c>
      <c r="G465" t="inlineStr">
        <is>
          <t>BODEN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45778</v>
      </c>
      <c r="E466" s="1" t="n">
        <v>46319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46319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46319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46319</v>
      </c>
      <c r="F469" t="inlineStr">
        <is>
          <t>NORRBOTTENS LÄN</t>
        </is>
      </c>
      <c r="G469" t="inlineStr">
        <is>
          <t>BODEN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46319</v>
      </c>
      <c r="F470" t="inlineStr">
        <is>
          <t>NORRBOTTENS LÄN</t>
        </is>
      </c>
      <c r="G470" t="inlineStr">
        <is>
          <t>BODEN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46319</v>
      </c>
      <c r="F471" t="inlineStr">
        <is>
          <t>NORRBOTTENS LÄN</t>
        </is>
      </c>
      <c r="G471" t="inlineStr">
        <is>
          <t>BODEN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46319</v>
      </c>
      <c r="F472" t="inlineStr">
        <is>
          <t>NORRBOTTENS LÄN</t>
        </is>
      </c>
      <c r="G472" t="inlineStr">
        <is>
          <t>BODEN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46234</v>
      </c>
      <c r="E473" s="1" t="n">
        <v>46319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46319</v>
      </c>
      <c r="F474" t="inlineStr">
        <is>
          <t>NORRBOTTENS LÄN</t>
        </is>
      </c>
      <c r="G474" t="inlineStr">
        <is>
          <t>BODEN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46319</v>
      </c>
      <c r="F475" t="inlineStr">
        <is>
          <t>NORRBOTTENS LÄN</t>
        </is>
      </c>
      <c r="G475" t="inlineStr">
        <is>
          <t>BODEN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46319</v>
      </c>
      <c r="F476" t="inlineStr">
        <is>
          <t>NORRBOTTENS LÄN</t>
        </is>
      </c>
      <c r="G476" t="inlineStr">
        <is>
          <t>BODEN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46319</v>
      </c>
      <c r="F477" t="inlineStr">
        <is>
          <t>NORRBOTTENS LÄN</t>
        </is>
      </c>
      <c r="G477" t="inlineStr">
        <is>
          <t>BODEN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46234</v>
      </c>
      <c r="E478" s="1" t="n">
        <v>46319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63399-2025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46012</v>
      </c>
      <c r="E479" s="1" t="n">
        <v>46319</v>
      </c>
      <c r="F479" t="inlineStr">
        <is>
          <t>NORRBOTTENS LÄN</t>
        </is>
      </c>
      <c r="G479" t="inlineStr">
        <is>
          <t>BODEN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46012</v>
      </c>
      <c r="E480" s="1" t="n">
        <v>46319</v>
      </c>
      <c r="F480" t="inlineStr">
        <is>
          <t>NORRBOTTENS LÄN</t>
        </is>
      </c>
      <c r="G480" t="inlineStr">
        <is>
          <t>BODEN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45902</v>
      </c>
      <c r="E481" s="1" t="n">
        <v>46319</v>
      </c>
      <c r="F481" t="inlineStr">
        <is>
          <t>NORRBOTTENS LÄN</t>
        </is>
      </c>
      <c r="G481" t="inlineStr">
        <is>
          <t>BODEN</t>
        </is>
      </c>
      <c r="H481" t="inlineStr">
        <is>
          <t>Övriga statliga verk och myndigheter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46319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46281</v>
      </c>
      <c r="E483" s="1" t="n">
        <v>46319</v>
      </c>
      <c r="F483" t="inlineStr">
        <is>
          <t>NORRBOTTENS LÄN</t>
        </is>
      </c>
      <c r="G483" t="inlineStr">
        <is>
          <t>BODEN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22372-2025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45786</v>
      </c>
      <c r="E484" s="1" t="n">
        <v>46319</v>
      </c>
      <c r="F484" t="inlineStr">
        <is>
          <t>NORRBOTTENS LÄN</t>
        </is>
      </c>
      <c r="G484" t="inlineStr">
        <is>
          <t>BODEN</t>
        </is>
      </c>
      <c r="H484" t="inlineStr">
        <is>
          <t>Kommuner</t>
        </is>
      </c>
      <c r="I484" t="n">
        <v>16.3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46319</v>
      </c>
      <c r="F485" t="inlineStr">
        <is>
          <t>NORRBOTTENS LÄN</t>
        </is>
      </c>
      <c r="G485" t="inlineStr">
        <is>
          <t>BODEN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46319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46319</v>
      </c>
      <c r="F487" t="inlineStr">
        <is>
          <t>NORRBOTTENS LÄN</t>
        </is>
      </c>
      <c r="G487" t="inlineStr">
        <is>
          <t>BODEN</t>
        </is>
      </c>
      <c r="H487" t="inlineStr">
        <is>
          <t>Övriga Aktiebolag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46319</v>
      </c>
      <c r="F488" t="inlineStr">
        <is>
          <t>NORRBOTTENS LÄN</t>
        </is>
      </c>
      <c r="G488" t="inlineStr">
        <is>
          <t>BODEN</t>
        </is>
      </c>
      <c r="H488" t="inlineStr">
        <is>
          <t>Övriga Aktiebolag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46319</v>
      </c>
      <c r="F489" t="inlineStr">
        <is>
          <t>NORRBOTTENS LÄN</t>
        </is>
      </c>
      <c r="G489" t="inlineStr">
        <is>
          <t>BODEN</t>
        </is>
      </c>
      <c r="H489" t="inlineStr">
        <is>
          <t>Övriga Aktiebolag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46319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46319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46319</v>
      </c>
      <c r="F492" t="inlineStr">
        <is>
          <t>NORRBOTTENS LÄN</t>
        </is>
      </c>
      <c r="G492" t="inlineStr">
        <is>
          <t>BODEN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46319</v>
      </c>
      <c r="F493" t="inlineStr">
        <is>
          <t>NORRBOTTENS LÄN</t>
        </is>
      </c>
      <c r="G493" t="inlineStr">
        <is>
          <t>BODEN</t>
        </is>
      </c>
      <c r="I493" t="n">
        <v>9.6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46319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26.6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46319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31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46319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46319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46319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46319</v>
      </c>
      <c r="F499" t="inlineStr">
        <is>
          <t>NORRBOTTENS LÄN</t>
        </is>
      </c>
      <c r="G499" t="inlineStr">
        <is>
          <t>BODEN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46319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45379</v>
      </c>
      <c r="E501" s="1" t="n">
        <v>46319</v>
      </c>
      <c r="F501" t="inlineStr">
        <is>
          <t>NORRBOTTENS LÄN</t>
        </is>
      </c>
      <c r="G501" t="inlineStr">
        <is>
          <t>BODEN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46020</v>
      </c>
      <c r="E502" s="1" t="n">
        <v>46319</v>
      </c>
      <c r="F502" t="inlineStr">
        <is>
          <t>NORRBOTTENS LÄN</t>
        </is>
      </c>
      <c r="G502" t="inlineStr">
        <is>
          <t>BODEN</t>
        </is>
      </c>
      <c r="I502" t="n">
        <v>10.9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45791</v>
      </c>
      <c r="E503" s="1" t="n">
        <v>46319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46319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38576-2026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46283</v>
      </c>
      <c r="E505" s="1" t="n">
        <v>46319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45419</v>
      </c>
      <c r="E506" s="1" t="n">
        <v>46319</v>
      </c>
      <c r="F506" t="inlineStr">
        <is>
          <t>NORRBOTTENS LÄN</t>
        </is>
      </c>
      <c r="G506" t="inlineStr">
        <is>
          <t>BODEN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46319</v>
      </c>
      <c r="F507" t="inlineStr">
        <is>
          <t>NORRBOTTENS LÄN</t>
        </is>
      </c>
      <c r="G507" t="inlineStr">
        <is>
          <t>BODEN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38574-2026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46283</v>
      </c>
      <c r="E508" s="1" t="n">
        <v>46319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46319</v>
      </c>
      <c r="F509" t="inlineStr">
        <is>
          <t>NORRBOTTENS LÄN</t>
        </is>
      </c>
      <c r="G509" t="inlineStr">
        <is>
          <t>BODEN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46319</v>
      </c>
      <c r="F510" t="inlineStr">
        <is>
          <t>NORRBOTTENS LÄN</t>
        </is>
      </c>
      <c r="G510" t="inlineStr">
        <is>
          <t>BODEN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45793</v>
      </c>
      <c r="E511" s="1" t="n">
        <v>46319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45590</v>
      </c>
      <c r="E512" s="1" t="n">
        <v>46319</v>
      </c>
      <c r="F512" t="inlineStr">
        <is>
          <t>NORRBOTTENS LÄN</t>
        </is>
      </c>
      <c r="G512" t="inlineStr">
        <is>
          <t>BODEN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46319</v>
      </c>
      <c r="F513" t="inlineStr">
        <is>
          <t>NORRBOTTENS LÄN</t>
        </is>
      </c>
      <c r="G513" t="inlineStr">
        <is>
          <t>BODEN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46319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45798</v>
      </c>
      <c r="E515" s="1" t="n">
        <v>46319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46319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15.8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46319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46319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49806-2022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44862</v>
      </c>
      <c r="E519" s="1" t="n">
        <v>46319</v>
      </c>
      <c r="F519" t="inlineStr">
        <is>
          <t>NORRBOTTENS LÄN</t>
        </is>
      </c>
      <c r="G519" t="inlineStr">
        <is>
          <t>BODEN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39007-2026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46319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46319</v>
      </c>
      <c r="F521" t="inlineStr">
        <is>
          <t>NORRBOTTENS LÄN</t>
        </is>
      </c>
      <c r="G521" t="inlineStr">
        <is>
          <t>BODEN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46319</v>
      </c>
      <c r="F522" t="inlineStr">
        <is>
          <t>NORRBOTTENS LÄN</t>
        </is>
      </c>
      <c r="G522" t="inlineStr">
        <is>
          <t>BODEN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46319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46319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46319</v>
      </c>
      <c r="F525" t="inlineStr">
        <is>
          <t>NORRBOTTENS LÄN</t>
        </is>
      </c>
      <c r="G525" t="inlineStr">
        <is>
          <t>BODEN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46319</v>
      </c>
      <c r="F526" t="inlineStr">
        <is>
          <t>NORRBOTTENS LÄN</t>
        </is>
      </c>
      <c r="G526" t="inlineStr">
        <is>
          <t>BODEN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46319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45590</v>
      </c>
      <c r="E528" s="1" t="n">
        <v>46319</v>
      </c>
      <c r="F528" t="inlineStr">
        <is>
          <t>NORRBOTTENS LÄN</t>
        </is>
      </c>
      <c r="G528" t="inlineStr">
        <is>
          <t>BODEN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46290</v>
      </c>
      <c r="E529" s="1" t="n">
        <v>46319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46319</v>
      </c>
      <c r="F530" t="inlineStr">
        <is>
          <t>NORRBOTTENS LÄN</t>
        </is>
      </c>
      <c r="G530" t="inlineStr">
        <is>
          <t>BODEN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46319</v>
      </c>
      <c r="F531" t="inlineStr">
        <is>
          <t>NORRBOTTENS LÄN</t>
        </is>
      </c>
      <c r="G531" t="inlineStr">
        <is>
          <t>BODEN</t>
        </is>
      </c>
      <c r="I531" t="n">
        <v>24.6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45608</v>
      </c>
      <c r="E532" s="1" t="n">
        <v>46319</v>
      </c>
      <c r="F532" t="inlineStr">
        <is>
          <t>NORRBOTTENS LÄN</t>
        </is>
      </c>
      <c r="G532" t="inlineStr">
        <is>
          <t>BODEN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46319</v>
      </c>
      <c r="F533" t="inlineStr">
        <is>
          <t>NORRBOTTENS LÄN</t>
        </is>
      </c>
      <c r="G533" t="inlineStr">
        <is>
          <t>BODEN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45763</v>
      </c>
      <c r="E534" s="1" t="n">
        <v>46319</v>
      </c>
      <c r="F534" t="inlineStr">
        <is>
          <t>NORRBOTTENS LÄN</t>
        </is>
      </c>
      <c r="G534" t="inlineStr">
        <is>
          <t>BODEN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46319</v>
      </c>
      <c r="F535" t="inlineStr">
        <is>
          <t>NORRBOTTENS LÄN</t>
        </is>
      </c>
      <c r="G535" t="inlineStr">
        <is>
          <t>BODEN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45546</v>
      </c>
      <c r="E536" s="1" t="n">
        <v>46319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46319</v>
      </c>
      <c r="F537" t="inlineStr">
        <is>
          <t>NORRBOTTENS LÄN</t>
        </is>
      </c>
      <c r="G537" t="inlineStr">
        <is>
          <t>BODEN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46319</v>
      </c>
      <c r="F538" t="inlineStr">
        <is>
          <t>NORRBOTTENS LÄN</t>
        </is>
      </c>
      <c r="G538" t="inlineStr">
        <is>
          <t>BODEN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45464</v>
      </c>
      <c r="E539" s="1" t="n">
        <v>46319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46319</v>
      </c>
      <c r="F540" t="inlineStr">
        <is>
          <t>NORRBOTTENS LÄN</t>
        </is>
      </c>
      <c r="G540" t="inlineStr">
        <is>
          <t>BODEN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46319</v>
      </c>
      <c r="F541" t="inlineStr">
        <is>
          <t>NORRBOTTENS LÄN</t>
        </is>
      </c>
      <c r="G541" t="inlineStr">
        <is>
          <t>BODEN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46319</v>
      </c>
      <c r="F542" t="inlineStr">
        <is>
          <t>NORRBOTTENS LÄN</t>
        </is>
      </c>
      <c r="G542" t="inlineStr">
        <is>
          <t>BODEN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45429</v>
      </c>
      <c r="E543" s="1" t="n">
        <v>46319</v>
      </c>
      <c r="F543" t="inlineStr">
        <is>
          <t>NORRBOTTENS LÄN</t>
        </is>
      </c>
      <c r="G543" t="inlineStr">
        <is>
          <t>BODEN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46319</v>
      </c>
      <c r="F544" t="inlineStr">
        <is>
          <t>NORRBOTTENS LÄN</t>
        </is>
      </c>
      <c r="G544" t="inlineStr">
        <is>
          <t>BODEN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46293</v>
      </c>
      <c r="E545" s="1" t="n">
        <v>46319</v>
      </c>
      <c r="F545" t="inlineStr">
        <is>
          <t>NORRBOTTENS LÄN</t>
        </is>
      </c>
      <c r="G545" t="inlineStr">
        <is>
          <t>BODEN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46319</v>
      </c>
      <c r="F546" t="inlineStr">
        <is>
          <t>NORRBOTTENS LÄN</t>
        </is>
      </c>
      <c r="G546" t="inlineStr">
        <is>
          <t>BODEN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40151-2026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46293</v>
      </c>
      <c r="E547" s="1" t="n">
        <v>46319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46319</v>
      </c>
      <c r="F548" t="inlineStr">
        <is>
          <t>NORRBOTTENS LÄN</t>
        </is>
      </c>
      <c r="G548" t="inlineStr">
        <is>
          <t>BODEN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46319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46319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13.9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46319</v>
      </c>
      <c r="F551" t="inlineStr">
        <is>
          <t>NORRBOTTENS LÄN</t>
        </is>
      </c>
      <c r="G551" t="inlineStr">
        <is>
          <t>BODEN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45766</v>
      </c>
      <c r="E552" s="1" t="n">
        <v>46319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40028-2026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46293</v>
      </c>
      <c r="E553" s="1" t="n">
        <v>46319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46319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46319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46319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45316</v>
      </c>
      <c r="E557" s="1" t="n">
        <v>46319</v>
      </c>
      <c r="F557" t="inlineStr">
        <is>
          <t>NORRBOTTENS LÄN</t>
        </is>
      </c>
      <c r="G557" t="inlineStr">
        <is>
          <t>BODEN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46319</v>
      </c>
      <c r="F558" t="inlineStr">
        <is>
          <t>NORRBOTTENS LÄN</t>
        </is>
      </c>
      <c r="G558" t="inlineStr">
        <is>
          <t>BODEN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46319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45481</v>
      </c>
      <c r="E560" s="1" t="n">
        <v>46319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40434-2026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46319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28270-2025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45818</v>
      </c>
      <c r="E562" s="1" t="n">
        <v>46319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46319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45516</v>
      </c>
      <c r="E564" s="1" t="n">
        <v>46319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46319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46248</v>
      </c>
      <c r="E566" s="1" t="n">
        <v>46319</v>
      </c>
      <c r="F566" t="inlineStr">
        <is>
          <t>NORRBOTTENS LÄN</t>
        </is>
      </c>
      <c r="G566" t="inlineStr">
        <is>
          <t>BODEN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46319</v>
      </c>
      <c r="F567" t="inlineStr">
        <is>
          <t>NORRBOTTENS LÄN</t>
        </is>
      </c>
      <c r="G567" t="inlineStr">
        <is>
          <t>BODEN</t>
        </is>
      </c>
      <c r="H567" t="inlineStr">
        <is>
          <t>Naturvårdsverket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46319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14.5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46319</v>
      </c>
      <c r="F569" t="inlineStr">
        <is>
          <t>NORRBOTTENS LÄN</t>
        </is>
      </c>
      <c r="G569" t="inlineStr">
        <is>
          <t>BODEN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46319</v>
      </c>
      <c r="F570" t="inlineStr">
        <is>
          <t>NORRBOTTENS LÄN</t>
        </is>
      </c>
      <c r="G570" t="inlineStr">
        <is>
          <t>BODEN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46319</v>
      </c>
      <c r="F571" t="inlineStr">
        <is>
          <t>NORRBOTTENS LÄN</t>
        </is>
      </c>
      <c r="G571" t="inlineStr">
        <is>
          <t>BODEN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46319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46319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46319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30089-2025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46319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46319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46319</v>
      </c>
      <c r="F577" t="inlineStr">
        <is>
          <t>NORRBOTTENS LÄN</t>
        </is>
      </c>
      <c r="G577" t="inlineStr">
        <is>
          <t>BODEN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46319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46319</v>
      </c>
      <c r="F579" t="inlineStr">
        <is>
          <t>NORRBOTTENS LÄN</t>
        </is>
      </c>
      <c r="G579" t="inlineStr">
        <is>
          <t>BODEN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46319</v>
      </c>
      <c r="F580" t="inlineStr">
        <is>
          <t>NORRBOTTENS LÄN</t>
        </is>
      </c>
      <c r="G580" t="inlineStr">
        <is>
          <t>BODEN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11632-2026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46319</v>
      </c>
      <c r="F581" t="inlineStr">
        <is>
          <t>NORRBOTTENS LÄN</t>
        </is>
      </c>
      <c r="G581" t="inlineStr">
        <is>
          <t>BODEN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45813</v>
      </c>
      <c r="E582" s="1" t="n">
        <v>46319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46319</v>
      </c>
      <c r="F583" t="inlineStr">
        <is>
          <t>NORRBOTTENS LÄN</t>
        </is>
      </c>
      <c r="G583" t="inlineStr">
        <is>
          <t>BODEN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45833</v>
      </c>
      <c r="E584" s="1" t="n">
        <v>46319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Aktiebolag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46319</v>
      </c>
      <c r="F585" t="inlineStr">
        <is>
          <t>NORRBOTTENS LÄN</t>
        </is>
      </c>
      <c r="G585" t="inlineStr">
        <is>
          <t>BODEN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46319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18.5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46319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45833</v>
      </c>
      <c r="E588" s="1" t="n">
        <v>46319</v>
      </c>
      <c r="F588" t="inlineStr">
        <is>
          <t>NORRBOTTENS LÄN</t>
        </is>
      </c>
      <c r="G588" t="inlineStr">
        <is>
          <t>BODEN</t>
        </is>
      </c>
      <c r="H588" t="inlineStr">
        <is>
          <t>Övriga Aktiebolag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46319</v>
      </c>
      <c r="F589" t="inlineStr">
        <is>
          <t>NORRBOTTENS LÄN</t>
        </is>
      </c>
      <c r="G589" t="inlineStr">
        <is>
          <t>BODEN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46319</v>
      </c>
      <c r="F590" t="inlineStr">
        <is>
          <t>NORRBOTTENS LÄN</t>
        </is>
      </c>
      <c r="G590" t="inlineStr">
        <is>
          <t>BODEN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46297</v>
      </c>
      <c r="E591" s="1" t="n">
        <v>46319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46300</v>
      </c>
      <c r="E592" s="1" t="n">
        <v>46319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45835</v>
      </c>
      <c r="E593" s="1" t="n">
        <v>46319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46319</v>
      </c>
      <c r="F594" t="inlineStr">
        <is>
          <t>NORRBOTTENS LÄN</t>
        </is>
      </c>
      <c r="G594" t="inlineStr">
        <is>
          <t>BODEN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46319</v>
      </c>
      <c r="F595" t="inlineStr">
        <is>
          <t>NORRBOTTENS LÄN</t>
        </is>
      </c>
      <c r="G595" t="inlineStr">
        <is>
          <t>BODEN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46300</v>
      </c>
      <c r="E596" s="1" t="n">
        <v>46319</v>
      </c>
      <c r="F596" t="inlineStr">
        <is>
          <t>NORRBOTTENS LÄN</t>
        </is>
      </c>
      <c r="G596" t="inlineStr">
        <is>
          <t>BODEN</t>
        </is>
      </c>
      <c r="H596" t="inlineStr">
        <is>
          <t>Sveaskog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46319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45376-2025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45922</v>
      </c>
      <c r="E598" s="1" t="n">
        <v>46319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46319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46319</v>
      </c>
      <c r="F600" t="inlineStr">
        <is>
          <t>NORRBOTTENS LÄN</t>
        </is>
      </c>
      <c r="G600" t="inlineStr">
        <is>
          <t>BODEN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33130-2025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45840</v>
      </c>
      <c r="E601" s="1" t="n">
        <v>46319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14245-2026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46099</v>
      </c>
      <c r="E602" s="1" t="n">
        <v>46319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46319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46299</v>
      </c>
      <c r="E604" s="1" t="n">
        <v>46319</v>
      </c>
      <c r="F604" t="inlineStr">
        <is>
          <t>NORRBOTTENS LÄN</t>
        </is>
      </c>
      <c r="G604" t="inlineStr">
        <is>
          <t>BODEN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18002-2025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45761</v>
      </c>
      <c r="E605" s="1" t="n">
        <v>46319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statliga verk och myndigheter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46300</v>
      </c>
      <c r="E606" s="1" t="n">
        <v>46319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46319</v>
      </c>
      <c r="F607" t="inlineStr">
        <is>
          <t>NORRBOTTENS LÄN</t>
        </is>
      </c>
      <c r="G607" t="inlineStr">
        <is>
          <t>BODEN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46300</v>
      </c>
      <c r="E608" s="1" t="n">
        <v>46319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46319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46319</v>
      </c>
      <c r="F610" t="inlineStr">
        <is>
          <t>NORRBOTTENS LÄN</t>
        </is>
      </c>
      <c r="G610" t="inlineStr">
        <is>
          <t>BODEN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33981-2025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45843</v>
      </c>
      <c r="E611" s="1" t="n">
        <v>46319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46319</v>
      </c>
      <c r="F612" t="inlineStr">
        <is>
          <t>NORRBOTTENS LÄN</t>
        </is>
      </c>
      <c r="G612" t="inlineStr">
        <is>
          <t>BODEN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34898-2026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46319</v>
      </c>
      <c r="F613" t="inlineStr">
        <is>
          <t>NORRBOTTENS LÄN</t>
        </is>
      </c>
      <c r="G613" t="inlineStr">
        <is>
          <t>BODEN</t>
        </is>
      </c>
      <c r="H613" t="inlineStr">
        <is>
          <t>Naturvårdsverket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46319</v>
      </c>
      <c r="F614" t="inlineStr">
        <is>
          <t>NORRBOTTENS LÄN</t>
        </is>
      </c>
      <c r="G614" t="inlineStr">
        <is>
          <t>BODEN</t>
        </is>
      </c>
      <c r="H614" t="inlineStr">
        <is>
          <t>Naturvårdsverket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34897-2026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46259</v>
      </c>
      <c r="E615" s="1" t="n">
        <v>46319</v>
      </c>
      <c r="F615" t="inlineStr">
        <is>
          <t>NORRBOTTENS LÄN</t>
        </is>
      </c>
      <c r="G615" t="inlineStr">
        <is>
          <t>BODEN</t>
        </is>
      </c>
      <c r="H615" t="inlineStr">
        <is>
          <t>Naturvårdsverket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51280-2024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46319</v>
      </c>
      <c r="F616" t="inlineStr">
        <is>
          <t>NORRBOTTENS LÄN</t>
        </is>
      </c>
      <c r="G616" t="inlineStr">
        <is>
          <t>BODEN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46319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44.8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46319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45674</v>
      </c>
      <c r="E619" s="1" t="n">
        <v>46319</v>
      </c>
      <c r="F619" t="inlineStr">
        <is>
          <t>NORRBOTTENS LÄN</t>
        </is>
      </c>
      <c r="G619" t="inlineStr">
        <is>
          <t>BODEN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49728-2024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46319</v>
      </c>
      <c r="F620" t="inlineStr">
        <is>
          <t>NORRBOTTENS LÄN</t>
        </is>
      </c>
      <c r="G620" t="inlineStr">
        <is>
          <t>BODEN</t>
        </is>
      </c>
      <c r="I620" t="n">
        <v>22.7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24058-2025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45796</v>
      </c>
      <c r="E621" s="1" t="n">
        <v>46319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45863</v>
      </c>
      <c r="E622" s="1" t="n">
        <v>46319</v>
      </c>
      <c r="F622" t="inlineStr">
        <is>
          <t>NORRBOTTENS LÄN</t>
        </is>
      </c>
      <c r="G622" t="inlineStr">
        <is>
          <t>BODEN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46319</v>
      </c>
      <c r="F623" t="inlineStr">
        <is>
          <t>NORRBOTTENS LÄN</t>
        </is>
      </c>
      <c r="G623" t="inlineStr">
        <is>
          <t>BODEN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46304</v>
      </c>
      <c r="E624" s="1" t="n">
        <v>46319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35407-2026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46319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45980</v>
      </c>
      <c r="E626" s="1" t="n">
        <v>46319</v>
      </c>
      <c r="F626" t="inlineStr">
        <is>
          <t>NORRBOTTENS LÄN</t>
        </is>
      </c>
      <c r="G626" t="inlineStr">
        <is>
          <t>BODEN</t>
        </is>
      </c>
      <c r="I626" t="n">
        <v>19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46319</v>
      </c>
      <c r="F627" t="inlineStr">
        <is>
          <t>NORRBOTTENS LÄN</t>
        </is>
      </c>
      <c r="G627" t="inlineStr">
        <is>
          <t>BODEN</t>
        </is>
      </c>
      <c r="I627" t="n">
        <v>10.9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46319</v>
      </c>
      <c r="F628" t="inlineStr">
        <is>
          <t>NORRBOTTENS LÄN</t>
        </is>
      </c>
      <c r="G628" t="inlineStr">
        <is>
          <t>BODEN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45456</v>
      </c>
      <c r="E629" s="1" t="n">
        <v>46319</v>
      </c>
      <c r="F629" t="inlineStr">
        <is>
          <t>NORRBOTTENS LÄN</t>
        </is>
      </c>
      <c r="G629" t="inlineStr">
        <is>
          <t>BODEN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17909-2026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46122</v>
      </c>
      <c r="E630" s="1" t="n">
        <v>46319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46319</v>
      </c>
      <c r="F631" t="inlineStr">
        <is>
          <t>NORRBOTTENS LÄN</t>
        </is>
      </c>
      <c r="G631" t="inlineStr">
        <is>
          <t>BODEN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46261</v>
      </c>
      <c r="E632" s="1" t="n">
        <v>46319</v>
      </c>
      <c r="F632" t="inlineStr">
        <is>
          <t>NORRBOTTENS LÄN</t>
        </is>
      </c>
      <c r="G632" t="inlineStr">
        <is>
          <t>BODEN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46319</v>
      </c>
      <c r="F633" t="inlineStr">
        <is>
          <t>NORRBOTTENS LÄN</t>
        </is>
      </c>
      <c r="G633" t="inlineStr">
        <is>
          <t>BODEN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46319</v>
      </c>
      <c r="F634" t="inlineStr">
        <is>
          <t>NORRBOTTENS LÄN</t>
        </is>
      </c>
      <c r="G634" t="inlineStr">
        <is>
          <t>BODEN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  <c r="Z634">
        <f>HYPERLINK("https://klasma.github.io/Logging_2582/knärot/A 35295-2026 karta knärot.png", "A 35295-2026")</f>
        <v/>
      </c>
      <c r="AA634">
        <f>HYPERLINK("https://klasma.github.io/Logging_2582/klagomål/A 35295-2026 FSC-klagomål.docx", "A 35295-2026")</f>
        <v/>
      </c>
      <c r="AB634">
        <f>HYPERLINK("https://klasma.github.io/Logging_2582/klagomålsmail/A 35295-2026 FSC-klagomål mail.docx", "A 35295-2026")</f>
        <v/>
      </c>
      <c r="AC634">
        <f>HYPERLINK("https://klasma.github.io/Logging_2582/tillsyn/A 35295-2026 tillsynsbegäran.docx", "A 35295-2026")</f>
        <v/>
      </c>
      <c r="AD634">
        <f>HYPERLINK("https://klasma.github.io/Logging_2582/tillsynsmail/A 35295-2026 tillsynsbegäran mail.docx", "A 35295-2026")</f>
        <v/>
      </c>
    </row>
    <row r="635" ht="15" customHeight="1">
      <c r="A635" t="inlineStr">
        <is>
          <t>A 10730-2024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45369</v>
      </c>
      <c r="E635" s="1" t="n">
        <v>46319</v>
      </c>
      <c r="F635" t="inlineStr">
        <is>
          <t>NORRBOTTENS LÄN</t>
        </is>
      </c>
      <c r="G635" t="inlineStr">
        <is>
          <t>BODEN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18221-2026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46319</v>
      </c>
      <c r="F636" t="inlineStr">
        <is>
          <t>NORRBOTTENS LÄN</t>
        </is>
      </c>
      <c r="G636" t="inlineStr">
        <is>
          <t>BODEN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45868</v>
      </c>
      <c r="E637" s="1" t="n">
        <v>46319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46319</v>
      </c>
      <c r="F638" t="inlineStr">
        <is>
          <t>NORRBOTTENS LÄN</t>
        </is>
      </c>
      <c r="G638" t="inlineStr">
        <is>
          <t>BODEN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46319</v>
      </c>
      <c r="F639" t="inlineStr">
        <is>
          <t>NORRBOTTENS LÄN</t>
        </is>
      </c>
      <c r="G639" t="inlineStr">
        <is>
          <t>BODEN</t>
        </is>
      </c>
      <c r="I639" t="n">
        <v>11.7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37404-2025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45877</v>
      </c>
      <c r="E640" s="1" t="n">
        <v>46319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46305</v>
      </c>
      <c r="E641" s="1" t="n">
        <v>46319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46319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45880</v>
      </c>
      <c r="E643" s="1" t="n">
        <v>46319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19200-2026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46319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45881</v>
      </c>
      <c r="E645" s="1" t="n">
        <v>46319</v>
      </c>
      <c r="F645" t="inlineStr">
        <is>
          <t>NORRBOTTENS LÄN</t>
        </is>
      </c>
      <c r="G645" t="inlineStr">
        <is>
          <t>BODEN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45882</v>
      </c>
      <c r="E646" s="1" t="n">
        <v>46319</v>
      </c>
      <c r="F646" t="inlineStr">
        <is>
          <t>NORRBOTTENS LÄN</t>
        </is>
      </c>
      <c r="G646" t="inlineStr">
        <is>
          <t>BODEN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45882</v>
      </c>
      <c r="E647" s="1" t="n">
        <v>46319</v>
      </c>
      <c r="F647" t="inlineStr">
        <is>
          <t>NORRBOTTENS LÄN</t>
        </is>
      </c>
      <c r="G647" t="inlineStr">
        <is>
          <t>BODEN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46319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46307</v>
      </c>
      <c r="E649" s="1" t="n">
        <v>46319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61107-2022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44908</v>
      </c>
      <c r="E650" s="1" t="n">
        <v>46319</v>
      </c>
      <c r="F650" t="inlineStr">
        <is>
          <t>NORRBOTTENS LÄN</t>
        </is>
      </c>
      <c r="G650" t="inlineStr">
        <is>
          <t>BODEN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45429</v>
      </c>
      <c r="E651" s="1" t="n">
        <v>46319</v>
      </c>
      <c r="F651" t="inlineStr">
        <is>
          <t>NORRBOTTENS LÄN</t>
        </is>
      </c>
      <c r="G651" t="inlineStr">
        <is>
          <t>BODEN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45429</v>
      </c>
      <c r="E652" s="1" t="n">
        <v>46319</v>
      </c>
      <c r="F652" t="inlineStr">
        <is>
          <t>NORRBOTTENS LÄN</t>
        </is>
      </c>
      <c r="G652" t="inlineStr">
        <is>
          <t>BODEN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46319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46319</v>
      </c>
      <c r="F654" t="inlineStr">
        <is>
          <t>NORRBOTTENS LÄN</t>
        </is>
      </c>
      <c r="G654" t="inlineStr">
        <is>
          <t>BODEN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46306</v>
      </c>
      <c r="E655" s="1" t="n">
        <v>46319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11651-2023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44994</v>
      </c>
      <c r="E656" s="1" t="n">
        <v>46319</v>
      </c>
      <c r="F656" t="inlineStr">
        <is>
          <t>NORRBOTTENS LÄN</t>
        </is>
      </c>
      <c r="G656" t="inlineStr">
        <is>
          <t>BODEN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48415-2024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46319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42312-2026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46307</v>
      </c>
      <c r="E658" s="1" t="n">
        <v>46319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42203-2026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46305</v>
      </c>
      <c r="E659" s="1" t="n">
        <v>46319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49113-2023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45204</v>
      </c>
      <c r="E660" s="1" t="n">
        <v>46319</v>
      </c>
      <c r="F660" t="inlineStr">
        <is>
          <t>NORRBOTTENS LÄN</t>
        </is>
      </c>
      <c r="G660" t="inlineStr">
        <is>
          <t>BODEN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56163-2022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44889</v>
      </c>
      <c r="E661" s="1" t="n">
        <v>46319</v>
      </c>
      <c r="F661" t="inlineStr">
        <is>
          <t>NORRBOTTENS LÄN</t>
        </is>
      </c>
      <c r="G661" t="inlineStr">
        <is>
          <t>BODEN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58373-2022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46319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62589-2025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46319</v>
      </c>
      <c r="F663" t="inlineStr">
        <is>
          <t>NORRBOTTENS LÄN</t>
        </is>
      </c>
      <c r="G663" t="inlineStr">
        <is>
          <t>BODEN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46319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42978-2026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46310</v>
      </c>
      <c r="E665" s="1" t="n">
        <v>46319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44903</v>
      </c>
      <c r="E666" s="1" t="n">
        <v>46319</v>
      </c>
      <c r="F666" t="inlineStr">
        <is>
          <t>NORRBOTTENS LÄN</t>
        </is>
      </c>
      <c r="G666" t="inlineStr">
        <is>
          <t>BODEN</t>
        </is>
      </c>
      <c r="I666" t="n">
        <v>16.1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68565-2021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46319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46309</v>
      </c>
      <c r="E668" s="1" t="n">
        <v>46319</v>
      </c>
      <c r="F668" t="inlineStr">
        <is>
          <t>NORRBOTTENS LÄN</t>
        </is>
      </c>
      <c r="G668" t="inlineStr">
        <is>
          <t>BODEN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35902-2026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46266</v>
      </c>
      <c r="E669" s="1" t="n">
        <v>46319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36398-2026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46268</v>
      </c>
      <c r="E670" s="1" t="n">
        <v>46319</v>
      </c>
      <c r="F670" t="inlineStr">
        <is>
          <t>NORRBOTTENS LÄN</t>
        </is>
      </c>
      <c r="G670" t="inlineStr">
        <is>
          <t>BODEN</t>
        </is>
      </c>
      <c r="H670" t="inlineStr">
        <is>
          <t>Kommuner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46267</v>
      </c>
      <c r="E671" s="1" t="n">
        <v>46319</v>
      </c>
      <c r="F671" t="inlineStr">
        <is>
          <t>NORRBOTTENS LÄN</t>
        </is>
      </c>
      <c r="G671" t="inlineStr">
        <is>
          <t>BODEN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45691</v>
      </c>
      <c r="E672" s="1" t="n">
        <v>46319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10240-2026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46319</v>
      </c>
      <c r="F673" t="inlineStr">
        <is>
          <t>NORRBOTTENS LÄN</t>
        </is>
      </c>
      <c r="G673" t="inlineStr">
        <is>
          <t>BODEN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43105-2026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46311</v>
      </c>
      <c r="E674" s="1" t="n">
        <v>46319</v>
      </c>
      <c r="F674" t="inlineStr">
        <is>
          <t>NORRBOTTENS LÄN</t>
        </is>
      </c>
      <c r="G674" t="inlineStr">
        <is>
          <t>BODEN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46311</v>
      </c>
      <c r="E675" s="1" t="n">
        <v>46319</v>
      </c>
      <c r="F675" t="inlineStr">
        <is>
          <t>NORRBOTTENS LÄN</t>
        </is>
      </c>
      <c r="G675" t="inlineStr">
        <is>
          <t>BODEN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48459-2025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45935</v>
      </c>
      <c r="E676" s="1" t="n">
        <v>46319</v>
      </c>
      <c r="F676" t="inlineStr">
        <is>
          <t>NORRBOTTENS LÄN</t>
        </is>
      </c>
      <c r="G676" t="inlineStr">
        <is>
          <t>BODEN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43200-2026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46314</v>
      </c>
      <c r="E677" s="1" t="n">
        <v>46319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46319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43097-2026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46311</v>
      </c>
      <c r="E679" s="1" t="n">
        <v>46319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43106-2026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46311</v>
      </c>
      <c r="E680" s="1" t="n">
        <v>46319</v>
      </c>
      <c r="F680" t="inlineStr">
        <is>
          <t>NORRBOTTENS LÄN</t>
        </is>
      </c>
      <c r="G680" t="inlineStr">
        <is>
          <t>BODEN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47024-2024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45586</v>
      </c>
      <c r="E681" s="1" t="n">
        <v>46319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46268</v>
      </c>
      <c r="E682" s="1" t="n">
        <v>46319</v>
      </c>
      <c r="F682" t="inlineStr">
        <is>
          <t>NORRBOTTENS LÄN</t>
        </is>
      </c>
      <c r="G682" t="inlineStr">
        <is>
          <t>BODEN</t>
        </is>
      </c>
      <c r="I682" t="n">
        <v>6.4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54240-2022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46319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6776-2023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44966</v>
      </c>
      <c r="E684" s="1" t="n">
        <v>46319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46306</v>
      </c>
      <c r="E685" s="1" t="n">
        <v>46319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46269</v>
      </c>
      <c r="E686" s="1" t="n">
        <v>46319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16180-2025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45750</v>
      </c>
      <c r="E687" s="1" t="n">
        <v>46319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Aktiebolag</t>
        </is>
      </c>
      <c r="I687" t="n">
        <v>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46319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46311</v>
      </c>
      <c r="E689" s="1" t="n">
        <v>46319</v>
      </c>
      <c r="F689" t="inlineStr">
        <is>
          <t>NORRBOTTENS LÄN</t>
        </is>
      </c>
      <c r="G689" t="inlineStr">
        <is>
          <t>BODEN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50561-2025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45944</v>
      </c>
      <c r="E690" s="1" t="n">
        <v>46319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46319</v>
      </c>
      <c r="F691" t="inlineStr">
        <is>
          <t>NORRBOTTENS LÄN</t>
        </is>
      </c>
      <c r="G691" t="inlineStr">
        <is>
          <t>BODEN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45132</v>
      </c>
      <c r="E692" s="1" t="n">
        <v>46319</v>
      </c>
      <c r="F692" t="inlineStr">
        <is>
          <t>NORRBOTTENS LÄN</t>
        </is>
      </c>
      <c r="G692" t="inlineStr">
        <is>
          <t>BODEN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46003</v>
      </c>
      <c r="E693" s="1" t="n">
        <v>46319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14743-2023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45013</v>
      </c>
      <c r="E694" s="1" t="n">
        <v>46319</v>
      </c>
      <c r="F694" t="inlineStr">
        <is>
          <t>NORRBOTTENS LÄN</t>
        </is>
      </c>
      <c r="G694" t="inlineStr">
        <is>
          <t>BODEN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46270</v>
      </c>
      <c r="E695" s="1" t="n">
        <v>46319</v>
      </c>
      <c r="F695" t="inlineStr">
        <is>
          <t>NORRBOTTENS LÄN</t>
        </is>
      </c>
      <c r="G695" t="inlineStr">
        <is>
          <t>BODEN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46319</v>
      </c>
      <c r="F696" t="inlineStr">
        <is>
          <t>NORRBOTTENS LÄN</t>
        </is>
      </c>
      <c r="G696" t="inlineStr">
        <is>
          <t>BODEN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36792-2026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46319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32775-2025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45839</v>
      </c>
      <c r="E698" s="1" t="n">
        <v>46319</v>
      </c>
      <c r="F698" t="inlineStr">
        <is>
          <t>NORRBOTTENS LÄN</t>
        </is>
      </c>
      <c r="G698" t="inlineStr">
        <is>
          <t>BODEN</t>
        </is>
      </c>
      <c r="I698" t="n">
        <v>13.6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35755-2025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45860</v>
      </c>
      <c r="E699" s="1" t="n">
        <v>46319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45818</v>
      </c>
      <c r="E700" s="1" t="n">
        <v>46319</v>
      </c>
      <c r="F700" t="inlineStr">
        <is>
          <t>NORRBOTTENS LÄN</t>
        </is>
      </c>
      <c r="G700" t="inlineStr">
        <is>
          <t>BODEN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46316</v>
      </c>
      <c r="E701" s="1" t="n">
        <v>46319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Aktiebolag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45653</v>
      </c>
      <c r="E702" s="1" t="n">
        <v>46319</v>
      </c>
      <c r="F702" t="inlineStr">
        <is>
          <t>NORRBOTTENS LÄN</t>
        </is>
      </c>
      <c r="G702" t="inlineStr">
        <is>
          <t>BODEN</t>
        </is>
      </c>
      <c r="I702" t="n">
        <v>47.3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45999</v>
      </c>
      <c r="E703" s="1" t="n">
        <v>46319</v>
      </c>
      <c r="F703" t="inlineStr">
        <is>
          <t>NORRBOTTENS LÄN</t>
        </is>
      </c>
      <c r="G703" t="inlineStr">
        <is>
          <t>BODEN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37029-2026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46273</v>
      </c>
      <c r="E704" s="1" t="n">
        <v>46319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46319</v>
      </c>
      <c r="F705" t="inlineStr">
        <is>
          <t>NORRBOTTENS LÄN</t>
        </is>
      </c>
      <c r="G705" t="inlineStr">
        <is>
          <t>BODEN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46319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46319</v>
      </c>
      <c r="F707" t="inlineStr">
        <is>
          <t>NORRBOTTENS LÄN</t>
        </is>
      </c>
      <c r="G707" t="inlineStr">
        <is>
          <t>BODEN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46315</v>
      </c>
      <c r="E708" s="1" t="n">
        <v>46319</v>
      </c>
      <c r="F708" t="inlineStr">
        <is>
          <t>NORRBOTTENS LÄN</t>
        </is>
      </c>
      <c r="G708" t="inlineStr">
        <is>
          <t>BODEN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46315</v>
      </c>
      <c r="E709" s="1" t="n">
        <v>46319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46319</v>
      </c>
      <c r="F710" t="inlineStr">
        <is>
          <t>NORRBOTTENS LÄN</t>
        </is>
      </c>
      <c r="G710" t="inlineStr">
        <is>
          <t>BODEN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62017-2025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46003</v>
      </c>
      <c r="E711" s="1" t="n">
        <v>46319</v>
      </c>
      <c r="F711" t="inlineStr">
        <is>
          <t>NORRBOTTENS LÄN</t>
        </is>
      </c>
      <c r="G711" t="inlineStr">
        <is>
          <t>BODEN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46319</v>
      </c>
      <c r="F712" t="inlineStr">
        <is>
          <t>NORRBOTTENS LÄN</t>
        </is>
      </c>
      <c r="G712" t="inlineStr">
        <is>
          <t>BODEN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45523</v>
      </c>
      <c r="E713" s="1" t="n">
        <v>46319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47424-2024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45587</v>
      </c>
      <c r="E714" s="1" t="n">
        <v>46319</v>
      </c>
      <c r="F714" t="inlineStr">
        <is>
          <t>NORRBOTTENS LÄN</t>
        </is>
      </c>
      <c r="G714" t="inlineStr">
        <is>
          <t>BODEN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46319</v>
      </c>
      <c r="F715" t="inlineStr">
        <is>
          <t>NORRBOTTENS LÄN</t>
        </is>
      </c>
      <c r="G715" t="inlineStr">
        <is>
          <t>BODEN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46901-2024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46319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46275</v>
      </c>
      <c r="E717" s="1" t="n">
        <v>46319</v>
      </c>
      <c r="F717" t="inlineStr">
        <is>
          <t>NORRBOTTENS LÄN</t>
        </is>
      </c>
      <c r="G717" t="inlineStr">
        <is>
          <t>BODEN</t>
        </is>
      </c>
      <c r="I717" t="n">
        <v>23.1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46275</v>
      </c>
      <c r="E718" s="1" t="n">
        <v>46319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46276</v>
      </c>
      <c r="E719" s="1" t="n">
        <v>46319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46274</v>
      </c>
      <c r="E720" s="1" t="n">
        <v>46319</v>
      </c>
      <c r="F720" t="inlineStr">
        <is>
          <t>NORRBOTTENS LÄN</t>
        </is>
      </c>
      <c r="G720" t="inlineStr">
        <is>
          <t>BODEN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43989-2026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46319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43978-2026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46319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37588-2026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46276</v>
      </c>
      <c r="E723" s="1" t="n">
        <v>46319</v>
      </c>
      <c r="F723" t="inlineStr">
        <is>
          <t>NORRBOTTENS LÄN</t>
        </is>
      </c>
      <c r="G723" t="inlineStr">
        <is>
          <t>BODEN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45649</v>
      </c>
      <c r="E724" s="1" t="n">
        <v>46319</v>
      </c>
      <c r="F724" t="inlineStr">
        <is>
          <t>NORRBOTTENS LÄN</t>
        </is>
      </c>
      <c r="G724" t="inlineStr">
        <is>
          <t>BODEN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45649</v>
      </c>
      <c r="E725" s="1" t="n">
        <v>46319</v>
      </c>
      <c r="F725" t="inlineStr">
        <is>
          <t>NORRBOTTENS LÄN</t>
        </is>
      </c>
      <c r="G725" t="inlineStr">
        <is>
          <t>BODEN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37472-2026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46275</v>
      </c>
      <c r="E726" s="1" t="n">
        <v>46319</v>
      </c>
      <c r="F726" t="inlineStr">
        <is>
          <t>NORRBOTTENS LÄN</t>
        </is>
      </c>
      <c r="G726" t="inlineStr">
        <is>
          <t>BODEN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46275</v>
      </c>
      <c r="E727" s="1" t="n">
        <v>46319</v>
      </c>
      <c r="F727" t="inlineStr">
        <is>
          <t>NORRBOTTENS LÄN</t>
        </is>
      </c>
      <c r="G727" t="inlineStr">
        <is>
          <t>BODEN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46319</v>
      </c>
      <c r="F728" t="inlineStr">
        <is>
          <t>NORRBOTTENS LÄN</t>
        </is>
      </c>
      <c r="G728" t="inlineStr">
        <is>
          <t>BODEN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37119-2026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46274</v>
      </c>
      <c r="E729" s="1" t="n">
        <v>46319</v>
      </c>
      <c r="F729" t="inlineStr">
        <is>
          <t>NORRBOTTENS LÄN</t>
        </is>
      </c>
      <c r="G729" t="inlineStr">
        <is>
          <t>BODEN</t>
        </is>
      </c>
      <c r="I729" t="n">
        <v>12.3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44726</v>
      </c>
      <c r="E730" s="1" t="n">
        <v>46319</v>
      </c>
      <c r="F730" t="inlineStr">
        <is>
          <t>NORRBOTTENS LÄN</t>
        </is>
      </c>
      <c r="G730" t="inlineStr">
        <is>
          <t>BODEN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45893</v>
      </c>
      <c r="E731" s="1" t="n">
        <v>46319</v>
      </c>
      <c r="F731" t="inlineStr">
        <is>
          <t>NORRBOTTENS LÄN</t>
        </is>
      </c>
      <c r="G731" t="inlineStr">
        <is>
          <t>BODEN</t>
        </is>
      </c>
      <c r="H731" t="inlineStr">
        <is>
          <t>Övriga statliga verk och myndigheter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46317</v>
      </c>
      <c r="E732" s="1" t="n">
        <v>46319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37162-2026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46274</v>
      </c>
      <c r="E733" s="1" t="n">
        <v>46319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46274</v>
      </c>
      <c r="E734" s="1" t="n">
        <v>46319</v>
      </c>
      <c r="F734" t="inlineStr">
        <is>
          <t>NORRBOTTENS LÄN</t>
        </is>
      </c>
      <c r="G734" t="inlineStr">
        <is>
          <t>BODEN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46319</v>
      </c>
      <c r="F735" t="inlineStr">
        <is>
          <t>NORRBOTTENS LÄN</t>
        </is>
      </c>
      <c r="G735" t="inlineStr">
        <is>
          <t>BODEN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12893-2022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44642</v>
      </c>
      <c r="E736" s="1" t="n">
        <v>46319</v>
      </c>
      <c r="F736" t="inlineStr">
        <is>
          <t>NORRBOTTENS LÄN</t>
        </is>
      </c>
      <c r="G736" t="inlineStr">
        <is>
          <t>BODEN</t>
        </is>
      </c>
      <c r="H736" t="inlineStr">
        <is>
          <t>Övriga statliga verk och myndigheter</t>
        </is>
      </c>
      <c r="I736" t="n">
        <v>15.8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37459-2026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46275</v>
      </c>
      <c r="E737" s="1" t="n">
        <v>46319</v>
      </c>
      <c r="F737" t="inlineStr">
        <is>
          <t>NORRBOTTENS LÄN</t>
        </is>
      </c>
      <c r="G737" t="inlineStr">
        <is>
          <t>BODEN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45548</v>
      </c>
      <c r="E738" s="1" t="n">
        <v>46319</v>
      </c>
      <c r="F738" t="inlineStr">
        <is>
          <t>NORRBOTTENS LÄN</t>
        </is>
      </c>
      <c r="G738" t="inlineStr">
        <is>
          <t>BODEN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20505-2023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45054</v>
      </c>
      <c r="E739" s="1" t="n">
        <v>46319</v>
      </c>
      <c r="F739" t="inlineStr">
        <is>
          <t>NORRBOTTENS LÄN</t>
        </is>
      </c>
      <c r="G739" t="inlineStr">
        <is>
          <t>BODEN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46319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44963</v>
      </c>
      <c r="E741" s="1" t="n">
        <v>46319</v>
      </c>
      <c r="F741" t="inlineStr">
        <is>
          <t>NORRBOTTENS LÄN</t>
        </is>
      </c>
      <c r="G741" t="inlineStr">
        <is>
          <t>BODEN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55628-2023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45238</v>
      </c>
      <c r="E742" s="1" t="n">
        <v>46319</v>
      </c>
      <c r="F742" t="inlineStr">
        <is>
          <t>NORRBOTTENS LÄN</t>
        </is>
      </c>
      <c r="G742" t="inlineStr">
        <is>
          <t>BODEN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46319</v>
      </c>
      <c r="F743" t="inlineStr">
        <is>
          <t>NORRBOTTENS LÄN</t>
        </is>
      </c>
      <c r="G743" t="inlineStr">
        <is>
          <t>BODEN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46319</v>
      </c>
      <c r="F744" t="inlineStr">
        <is>
          <t>NORRBOTTENS LÄN</t>
        </is>
      </c>
      <c r="G744" t="inlineStr">
        <is>
          <t>BODEN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22264-2026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46319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46150</v>
      </c>
      <c r="E746" s="1" t="n">
        <v>46319</v>
      </c>
      <c r="F746" t="inlineStr">
        <is>
          <t>NORRBOTTENS LÄN</t>
        </is>
      </c>
      <c r="G746" t="inlineStr">
        <is>
          <t>BODEN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46149</v>
      </c>
      <c r="E747" s="1" t="n">
        <v>46319</v>
      </c>
      <c r="F747" t="inlineStr">
        <is>
          <t>NORRBOTTENS LÄN</t>
        </is>
      </c>
      <c r="G747" t="inlineStr">
        <is>
          <t>BODEN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46319</v>
      </c>
      <c r="F748" t="inlineStr">
        <is>
          <t>NORRBOTTENS LÄN</t>
        </is>
      </c>
      <c r="G748" t="inlineStr">
        <is>
          <t>BODEN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22239-2026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46319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19051-2025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45764</v>
      </c>
      <c r="E750" s="1" t="n">
        <v>46319</v>
      </c>
      <c r="F750" t="inlineStr">
        <is>
          <t>NORRBOTTENS LÄN</t>
        </is>
      </c>
      <c r="G750" t="inlineStr">
        <is>
          <t>BODEN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46319</v>
      </c>
      <c r="F751" t="inlineStr">
        <is>
          <t>NORRBOTTENS LÄN</t>
        </is>
      </c>
      <c r="G751" t="inlineStr">
        <is>
          <t>BODEN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46319</v>
      </c>
      <c r="F752" t="inlineStr">
        <is>
          <t>NORRBOTTENS LÄN</t>
        </is>
      </c>
      <c r="G752" t="inlineStr">
        <is>
          <t>BODEN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14995-2022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44657</v>
      </c>
      <c r="E753" s="1" t="n">
        <v>46319</v>
      </c>
      <c r="F753" t="inlineStr">
        <is>
          <t>NORRBOTTENS LÄN</t>
        </is>
      </c>
      <c r="G753" t="inlineStr">
        <is>
          <t>BODEN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46319</v>
      </c>
      <c r="F754" t="inlineStr">
        <is>
          <t>NORRBOTTENS LÄN</t>
        </is>
      </c>
      <c r="G754" t="inlineStr">
        <is>
          <t>BODEN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15000-2022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44657</v>
      </c>
      <c r="E755" s="1" t="n">
        <v>46319</v>
      </c>
      <c r="F755" t="inlineStr">
        <is>
          <t>NORRBOTTENS LÄN</t>
        </is>
      </c>
      <c r="G755" t="inlineStr">
        <is>
          <t>BODEN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11647-2023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44994</v>
      </c>
      <c r="E756" s="1" t="n">
        <v>46319</v>
      </c>
      <c r="F756" t="inlineStr">
        <is>
          <t>NORRBOTTENS LÄN</t>
        </is>
      </c>
      <c r="G756" t="inlineStr">
        <is>
          <t>BODEN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45427</v>
      </c>
      <c r="E757" s="1" t="n">
        <v>46319</v>
      </c>
      <c r="F757" t="inlineStr">
        <is>
          <t>NORRBOTTENS LÄN</t>
        </is>
      </c>
      <c r="G757" t="inlineStr">
        <is>
          <t>BODEN</t>
        </is>
      </c>
      <c r="I757" t="n">
        <v>22.1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16741-2022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44673</v>
      </c>
      <c r="E758" s="1" t="n">
        <v>46319</v>
      </c>
      <c r="F758" t="inlineStr">
        <is>
          <t>NORRBOTTENS LÄN</t>
        </is>
      </c>
      <c r="G758" t="inlineStr">
        <is>
          <t>BODEN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46319</v>
      </c>
      <c r="F759" t="inlineStr">
        <is>
          <t>NORRBOTTENS LÄN</t>
        </is>
      </c>
      <c r="G759" t="inlineStr">
        <is>
          <t>BODEN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46319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46319</v>
      </c>
      <c r="F761" t="inlineStr">
        <is>
          <t>NORRBOTTENS LÄN</t>
        </is>
      </c>
      <c r="G761" t="inlineStr">
        <is>
          <t>BODEN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47922-2024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45589</v>
      </c>
      <c r="E762" s="1" t="n">
        <v>46319</v>
      </c>
      <c r="F762" t="inlineStr">
        <is>
          <t>NORRBOTTENS LÄN</t>
        </is>
      </c>
      <c r="G762" t="inlineStr">
        <is>
          <t>BODEN</t>
        </is>
      </c>
      <c r="H762" t="inlineStr">
        <is>
          <t>Naturvårdsverket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47924-2024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45589</v>
      </c>
      <c r="E763" s="1" t="n">
        <v>46319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59035-2025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45988</v>
      </c>
      <c r="E764" s="1" t="n">
        <v>46319</v>
      </c>
      <c r="F764" t="inlineStr">
        <is>
          <t>NORRBOTTENS LÄN</t>
        </is>
      </c>
      <c r="G764" t="inlineStr">
        <is>
          <t>BODEN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46319</v>
      </c>
      <c r="F765" t="inlineStr">
        <is>
          <t>NORRBOTTENS LÄN</t>
        </is>
      </c>
      <c r="G765" t="inlineStr">
        <is>
          <t>BODEN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46319</v>
      </c>
      <c r="F766" t="inlineStr">
        <is>
          <t>NORRBOTTENS LÄN</t>
        </is>
      </c>
      <c r="G766" t="inlineStr">
        <is>
          <t>BODEN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21329-2024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45440</v>
      </c>
      <c r="E767" s="1" t="n">
        <v>46319</v>
      </c>
      <c r="F767" t="inlineStr">
        <is>
          <t>NORRBOTTENS LÄN</t>
        </is>
      </c>
      <c r="G767" t="inlineStr">
        <is>
          <t>BODEN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56457-2024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46319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59029-2022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44903</v>
      </c>
      <c r="E769" s="1" t="n">
        <v>46319</v>
      </c>
      <c r="F769" t="inlineStr">
        <is>
          <t>NORRBOTTENS LÄN</t>
        </is>
      </c>
      <c r="G769" t="inlineStr">
        <is>
          <t>BODEN</t>
        </is>
      </c>
      <c r="I769" t="n">
        <v>7.3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45212</v>
      </c>
      <c r="E770" s="1" t="n">
        <v>46319</v>
      </c>
      <c r="F770" t="inlineStr">
        <is>
          <t>NORRBOTTENS LÄN</t>
        </is>
      </c>
      <c r="G770" t="inlineStr">
        <is>
          <t>BODEN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38370-2023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45161</v>
      </c>
      <c r="E771" s="1" t="n">
        <v>46319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44994</v>
      </c>
      <c r="E772" s="1" t="n">
        <v>46319</v>
      </c>
      <c r="F772" t="inlineStr">
        <is>
          <t>NORRBOTTENS LÄN</t>
        </is>
      </c>
      <c r="G772" t="inlineStr">
        <is>
          <t>BODEN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45929-2023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45195</v>
      </c>
      <c r="E773" s="1" t="n">
        <v>46319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35040-2022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46319</v>
      </c>
      <c r="F774" t="inlineStr">
        <is>
          <t>NORRBOTTENS LÄN</t>
        </is>
      </c>
      <c r="G774" t="inlineStr">
        <is>
          <t>BODEN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45085</v>
      </c>
      <c r="E775" s="1" t="n">
        <v>46319</v>
      </c>
      <c r="F775" t="inlineStr">
        <is>
          <t>NORRBOTTENS LÄN</t>
        </is>
      </c>
      <c r="G775" t="inlineStr">
        <is>
          <t>BODEN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45153</v>
      </c>
      <c r="E776" s="1" t="n">
        <v>46319</v>
      </c>
      <c r="F776" t="inlineStr">
        <is>
          <t>NORRBOTTENS LÄN</t>
        </is>
      </c>
      <c r="G776" t="inlineStr">
        <is>
          <t>BODEN</t>
        </is>
      </c>
      <c r="I776" t="n">
        <v>7.5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61750-2024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45649</v>
      </c>
      <c r="E777" s="1" t="n">
        <v>46319</v>
      </c>
      <c r="F777" t="inlineStr">
        <is>
          <t>NORRBOTTENS LÄN</t>
        </is>
      </c>
      <c r="G777" t="inlineStr">
        <is>
          <t>BODEN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46319</v>
      </c>
      <c r="F778" t="inlineStr">
        <is>
          <t>NORRBOTTENS LÄN</t>
        </is>
      </c>
      <c r="G778" t="inlineStr">
        <is>
          <t>BODEN</t>
        </is>
      </c>
      <c r="I778" t="n">
        <v>16.1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44856</v>
      </c>
      <c r="E779" s="1" t="n">
        <v>46319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28745-2023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45103</v>
      </c>
      <c r="E780" s="1" t="n">
        <v>46319</v>
      </c>
      <c r="F780" t="inlineStr">
        <is>
          <t>NORRBOTTENS LÄN</t>
        </is>
      </c>
      <c r="G780" t="inlineStr">
        <is>
          <t>BODEN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40624-2022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44823</v>
      </c>
      <c r="E781" s="1" t="n">
        <v>46319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718-2022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44568</v>
      </c>
      <c r="E782" s="1" t="n">
        <v>46319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1205-2025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45667</v>
      </c>
      <c r="E783" s="1" t="n">
        <v>46319</v>
      </c>
      <c r="F783" t="inlineStr">
        <is>
          <t>NORRBOTTENS LÄN</t>
        </is>
      </c>
      <c r="G783" t="inlineStr">
        <is>
          <t>BODEN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13714-2022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44648</v>
      </c>
      <c r="E784" s="1" t="n">
        <v>46319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45499</v>
      </c>
      <c r="E785" s="1" t="n">
        <v>46319</v>
      </c>
      <c r="F785" t="inlineStr">
        <is>
          <t>NORRBOTTENS LÄN</t>
        </is>
      </c>
      <c r="G785" t="inlineStr">
        <is>
          <t>BODEN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45446-2023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45194</v>
      </c>
      <c r="E786" s="1" t="n">
        <v>46319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46319</v>
      </c>
      <c r="F787" t="inlineStr">
        <is>
          <t>NORRBOTTENS LÄN</t>
        </is>
      </c>
      <c r="G787" t="inlineStr">
        <is>
          <t>BODEN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18871-2025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45764</v>
      </c>
      <c r="E788" s="1" t="n">
        <v>46319</v>
      </c>
      <c r="F788" t="inlineStr">
        <is>
          <t>NORRBOTTENS LÄN</t>
        </is>
      </c>
      <c r="G788" t="inlineStr">
        <is>
          <t>BODEN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20260-2025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45773</v>
      </c>
      <c r="E789" s="1" t="n">
        <v>46319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46319</v>
      </c>
      <c r="F790" t="inlineStr">
        <is>
          <t>NORRBOTTENS LÄN</t>
        </is>
      </c>
      <c r="G790" t="inlineStr">
        <is>
          <t>BODEN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46319</v>
      </c>
      <c r="F791" t="inlineStr">
        <is>
          <t>NORRBOTTENS LÄN</t>
        </is>
      </c>
      <c r="G791" t="inlineStr">
        <is>
          <t>BODEN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67438-2021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44524</v>
      </c>
      <c r="E792" s="1" t="n">
        <v>46319</v>
      </c>
      <c r="F792" t="inlineStr">
        <is>
          <t>NORRBOTTENS LÄN</t>
        </is>
      </c>
      <c r="G792" t="inlineStr">
        <is>
          <t>BODEN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18173-2025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45761</v>
      </c>
      <c r="E793" s="1" t="n">
        <v>46319</v>
      </c>
      <c r="F793" t="inlineStr">
        <is>
          <t>NORRBOTTENS LÄN</t>
        </is>
      </c>
      <c r="G793" t="inlineStr">
        <is>
          <t>BODEN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54104-2022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46319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58099-2023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45248</v>
      </c>
      <c r="E795" s="1" t="n">
        <v>46319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49127-2023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45210</v>
      </c>
      <c r="E796" s="1" t="n">
        <v>46319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55540-2022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44887</v>
      </c>
      <c r="E797" s="1" t="n">
        <v>46319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44565</v>
      </c>
      <c r="E798" s="1" t="n">
        <v>46319</v>
      </c>
      <c r="F798" t="inlineStr">
        <is>
          <t>NORRBOTTENS LÄN</t>
        </is>
      </c>
      <c r="G798" t="inlineStr">
        <is>
          <t>BODEN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45233</v>
      </c>
      <c r="E799" s="1" t="n">
        <v>46319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22460-2023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45070</v>
      </c>
      <c r="E800" s="1" t="n">
        <v>46319</v>
      </c>
      <c r="F800" t="inlineStr">
        <is>
          <t>NORRBOTTENS LÄN</t>
        </is>
      </c>
      <c r="G800" t="inlineStr">
        <is>
          <t>BODEN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45085</v>
      </c>
      <c r="E801" s="1" t="n">
        <v>46319</v>
      </c>
      <c r="F801" t="inlineStr">
        <is>
          <t>NORRBOTTENS LÄN</t>
        </is>
      </c>
      <c r="G801" t="inlineStr">
        <is>
          <t>BODEN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68591-2021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44529</v>
      </c>
      <c r="E802" s="1" t="n">
        <v>46319</v>
      </c>
      <c r="F802" t="inlineStr">
        <is>
          <t>NORRBOTTENS LÄN</t>
        </is>
      </c>
      <c r="G802" t="inlineStr">
        <is>
          <t>BODEN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22458-2023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46319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38219-2022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44812</v>
      </c>
      <c r="E804" s="1" t="n">
        <v>46319</v>
      </c>
      <c r="F804" t="inlineStr">
        <is>
          <t>NORRBOTTENS LÄN</t>
        </is>
      </c>
      <c r="G804" t="inlineStr">
        <is>
          <t>BODEN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45079</v>
      </c>
      <c r="E805" s="1" t="n">
        <v>46319</v>
      </c>
      <c r="F805" t="inlineStr">
        <is>
          <t>NORRBOTTENS LÄN</t>
        </is>
      </c>
      <c r="G805" t="inlineStr">
        <is>
          <t>BODEN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28444-2023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45102</v>
      </c>
      <c r="E806" s="1" t="n">
        <v>46319</v>
      </c>
      <c r="F806" t="inlineStr">
        <is>
          <t>NORRBOTTENS LÄN</t>
        </is>
      </c>
      <c r="G806" t="inlineStr">
        <is>
          <t>BODEN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48592-2024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45593</v>
      </c>
      <c r="E807" s="1" t="n">
        <v>46319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45406</v>
      </c>
      <c r="E808" s="1" t="n">
        <v>46319</v>
      </c>
      <c r="F808" t="inlineStr">
        <is>
          <t>NORRBOTTENS LÄN</t>
        </is>
      </c>
      <c r="G808" t="inlineStr">
        <is>
          <t>BODEN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61103-2022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44908</v>
      </c>
      <c r="E809" s="1" t="n">
        <v>46319</v>
      </c>
      <c r="F809" t="inlineStr">
        <is>
          <t>NORRBOTTENS LÄN</t>
        </is>
      </c>
      <c r="G809" t="inlineStr">
        <is>
          <t>BODEN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28359-2023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45099</v>
      </c>
      <c r="E810" s="1" t="n">
        <v>46319</v>
      </c>
      <c r="F810" t="inlineStr">
        <is>
          <t>NORRBOTTENS LÄN</t>
        </is>
      </c>
      <c r="G810" t="inlineStr">
        <is>
          <t>BODEN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46319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30299-2023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45110</v>
      </c>
      <c r="E812" s="1" t="n">
        <v>46319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39272-2024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45551</v>
      </c>
      <c r="E813" s="1" t="n">
        <v>46319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37866-2024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45544</v>
      </c>
      <c r="E814" s="1" t="n">
        <v>46319</v>
      </c>
      <c r="F814" t="inlineStr">
        <is>
          <t>NORRBOTTENS LÄN</t>
        </is>
      </c>
      <c r="G814" t="inlineStr">
        <is>
          <t>BODEN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44553-2024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46319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44567-2024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45574</v>
      </c>
      <c r="E816" s="1" t="n">
        <v>46319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64649-2023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45281</v>
      </c>
      <c r="E817" s="1" t="n">
        <v>46319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68611-2021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44529</v>
      </c>
      <c r="E818" s="1" t="n">
        <v>46319</v>
      </c>
      <c r="F818" t="inlineStr">
        <is>
          <t>NORRBOTTENS LÄN</t>
        </is>
      </c>
      <c r="G818" t="inlineStr">
        <is>
          <t>BODEN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37384-2023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45156</v>
      </c>
      <c r="E819" s="1" t="n">
        <v>46319</v>
      </c>
      <c r="F819" t="inlineStr">
        <is>
          <t>NORRBOTTENS LÄN</t>
        </is>
      </c>
      <c r="G819" t="inlineStr">
        <is>
          <t>BODEN</t>
        </is>
      </c>
      <c r="I819" t="n">
        <v>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9596-2023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44983</v>
      </c>
      <c r="E820" s="1" t="n">
        <v>46319</v>
      </c>
      <c r="F820" t="inlineStr">
        <is>
          <t>NORRBOTTENS LÄN</t>
        </is>
      </c>
      <c r="G820" t="inlineStr">
        <is>
          <t>BODEN</t>
        </is>
      </c>
      <c r="I820" t="n">
        <v>37.1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46319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51614-2024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45604</v>
      </c>
      <c r="E822" s="1" t="n">
        <v>46319</v>
      </c>
      <c r="F822" t="inlineStr">
        <is>
          <t>NORRBOTTENS LÄN</t>
        </is>
      </c>
      <c r="G822" t="inlineStr">
        <is>
          <t>BODEN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20041-2025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45772</v>
      </c>
      <c r="E823" s="1" t="n">
        <v>46319</v>
      </c>
      <c r="F823" t="inlineStr">
        <is>
          <t>NORRBOTTENS LÄN</t>
        </is>
      </c>
      <c r="G823" t="inlineStr">
        <is>
          <t>BODEN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67068-2021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44522</v>
      </c>
      <c r="E824" s="1" t="n">
        <v>46319</v>
      </c>
      <c r="F824" t="inlineStr">
        <is>
          <t>NORRBOTTENS LÄN</t>
        </is>
      </c>
      <c r="G824" t="inlineStr">
        <is>
          <t>BODEN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48472-2024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45591</v>
      </c>
      <c r="E825" s="1" t="n">
        <v>46319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7.7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8120-2022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44609</v>
      </c>
      <c r="E826" s="1" t="n">
        <v>46319</v>
      </c>
      <c r="F826" t="inlineStr">
        <is>
          <t>NORRBOTTENS LÄN</t>
        </is>
      </c>
      <c r="G826" t="inlineStr">
        <is>
          <t>BODEN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38371-2023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45161</v>
      </c>
      <c r="E827" s="1" t="n">
        <v>46319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38372-2023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45161</v>
      </c>
      <c r="E828" s="1" t="n">
        <v>46319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45758</v>
      </c>
      <c r="E829" s="1" t="n">
        <v>46319</v>
      </c>
      <c r="F829" t="inlineStr">
        <is>
          <t>NORRBOTTENS LÄN</t>
        </is>
      </c>
      <c r="G829" t="inlineStr">
        <is>
          <t>BODEN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34760-2022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44795</v>
      </c>
      <c r="E830" s="1" t="n">
        <v>46319</v>
      </c>
      <c r="F830" t="inlineStr">
        <is>
          <t>NORRBOTTENS LÄN</t>
        </is>
      </c>
      <c r="G830" t="inlineStr">
        <is>
          <t>BODEN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50327-2023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45216</v>
      </c>
      <c r="E831" s="1" t="n">
        <v>46319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45596</v>
      </c>
      <c r="E832" s="1" t="n">
        <v>46319</v>
      </c>
      <c r="F832" t="inlineStr">
        <is>
          <t>NORRBOTTENS LÄN</t>
        </is>
      </c>
      <c r="G832" t="inlineStr">
        <is>
          <t>BODEN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50103-2024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45600</v>
      </c>
      <c r="E833" s="1" t="n">
        <v>46319</v>
      </c>
      <c r="F833" t="inlineStr">
        <is>
          <t>NORRBOTTENS LÄN</t>
        </is>
      </c>
      <c r="G833" t="inlineStr">
        <is>
          <t>BODEN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45600</v>
      </c>
      <c r="E834" s="1" t="n">
        <v>46319</v>
      </c>
      <c r="F834" t="inlineStr">
        <is>
          <t>NORRBOTTENS LÄN</t>
        </is>
      </c>
      <c r="G834" t="inlineStr">
        <is>
          <t>BODEN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706-2022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44566</v>
      </c>
      <c r="E835" s="1" t="n">
        <v>46319</v>
      </c>
      <c r="F835" t="inlineStr">
        <is>
          <t>NORRBOTTENS LÄN</t>
        </is>
      </c>
      <c r="G835" t="inlineStr">
        <is>
          <t>BODEN</t>
        </is>
      </c>
      <c r="I835" t="n">
        <v>12.4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46319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16965-2024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45411</v>
      </c>
      <c r="E837" s="1" t="n">
        <v>46319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2426-2024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45310</v>
      </c>
      <c r="E838" s="1" t="n">
        <v>46319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11092-2022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44628</v>
      </c>
      <c r="E839" s="1" t="n">
        <v>46319</v>
      </c>
      <c r="F839" t="inlineStr">
        <is>
          <t>NORRBOTTENS LÄN</t>
        </is>
      </c>
      <c r="G839" t="inlineStr">
        <is>
          <t>BODEN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46319</v>
      </c>
      <c r="F840" t="inlineStr">
        <is>
          <t>NORRBOTTENS LÄN</t>
        </is>
      </c>
      <c r="G840" t="inlineStr">
        <is>
          <t>BODEN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32347-2024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45512</v>
      </c>
      <c r="E841" s="1" t="n">
        <v>46319</v>
      </c>
      <c r="F841" t="inlineStr">
        <is>
          <t>NORRBOTTENS LÄN</t>
        </is>
      </c>
      <c r="G841" t="inlineStr">
        <is>
          <t>BODEN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48950-2022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44859</v>
      </c>
      <c r="E842" s="1" t="n">
        <v>46319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49859-2023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45212</v>
      </c>
      <c r="E843" s="1" t="n">
        <v>46319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4630-2025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45687</v>
      </c>
      <c r="E844" s="1" t="n">
        <v>46319</v>
      </c>
      <c r="F844" t="inlineStr">
        <is>
          <t>NORRBOTTENS LÄN</t>
        </is>
      </c>
      <c r="G844" t="inlineStr">
        <is>
          <t>BODEN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45560</v>
      </c>
      <c r="E845" s="1" t="n">
        <v>46319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19590-2025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45770</v>
      </c>
      <c r="E846" s="1" t="n">
        <v>46319</v>
      </c>
      <c r="F846" t="inlineStr">
        <is>
          <t>NORRBOTTENS LÄN</t>
        </is>
      </c>
      <c r="G846" t="inlineStr">
        <is>
          <t>BODEN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31456-2024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45505</v>
      </c>
      <c r="E847" s="1" t="n">
        <v>46319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24744-2024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46319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Aktiebolag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55317-2023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45237</v>
      </c>
      <c r="E849" s="1" t="n">
        <v>46319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49162-2023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45210</v>
      </c>
      <c r="E850" s="1" t="n">
        <v>46319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46319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38874-2023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45161</v>
      </c>
      <c r="E852" s="1" t="n">
        <v>46319</v>
      </c>
      <c r="F852" t="inlineStr">
        <is>
          <t>NORRBOTTENS LÄN</t>
        </is>
      </c>
      <c r="G852" t="inlineStr">
        <is>
          <t>BODEN</t>
        </is>
      </c>
      <c r="I852" t="n">
        <v>15.5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32754-2022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44783</v>
      </c>
      <c r="E853" s="1" t="n">
        <v>46319</v>
      </c>
      <c r="F853" t="inlineStr">
        <is>
          <t>NORRBOTTENS LÄN</t>
        </is>
      </c>
      <c r="G853" t="inlineStr">
        <is>
          <t>BODEN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47097-2023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46319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11865-2025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45728</v>
      </c>
      <c r="E855" s="1" t="n">
        <v>46319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10.6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57579-2023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45246</v>
      </c>
      <c r="E856" s="1" t="n">
        <v>46319</v>
      </c>
      <c r="F856" t="inlineStr">
        <is>
          <t>NORRBOTTENS LÄN</t>
        </is>
      </c>
      <c r="G856" t="inlineStr">
        <is>
          <t>BODEN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18428-2025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45762</v>
      </c>
      <c r="E857" s="1" t="n">
        <v>46319</v>
      </c>
      <c r="F857" t="inlineStr">
        <is>
          <t>NORRBOTTENS LÄN</t>
        </is>
      </c>
      <c r="G857" t="inlineStr">
        <is>
          <t>BODEN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39463-2023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45166</v>
      </c>
      <c r="E858" s="1" t="n">
        <v>46319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9940-2025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45718</v>
      </c>
      <c r="E859" s="1" t="n">
        <v>46319</v>
      </c>
      <c r="F859" t="inlineStr">
        <is>
          <t>NORRBOTTENS LÄN</t>
        </is>
      </c>
      <c r="G859" t="inlineStr">
        <is>
          <t>BODEN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57968-2023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45247</v>
      </c>
      <c r="E860" s="1" t="n">
        <v>46319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45314</v>
      </c>
      <c r="E861" s="1" t="n">
        <v>46319</v>
      </c>
      <c r="F861" t="inlineStr">
        <is>
          <t>NORRBOTTENS LÄN</t>
        </is>
      </c>
      <c r="G861" t="inlineStr">
        <is>
          <t>BODEN</t>
        </is>
      </c>
      <c r="I861" t="n">
        <v>17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59688-2023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45256</v>
      </c>
      <c r="E862" s="1" t="n">
        <v>46319</v>
      </c>
      <c r="F862" t="inlineStr">
        <is>
          <t>NORRBOTTENS LÄN</t>
        </is>
      </c>
      <c r="G862" t="inlineStr">
        <is>
          <t>BODEN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45680</v>
      </c>
      <c r="E863" s="1" t="n">
        <v>46319</v>
      </c>
      <c r="F863" t="inlineStr">
        <is>
          <t>NORRBOTTENS LÄN</t>
        </is>
      </c>
      <c r="G863" t="inlineStr">
        <is>
          <t>BODEN</t>
        </is>
      </c>
      <c r="H863" t="inlineStr">
        <is>
          <t>Naturvårdsverket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59890-2023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45254</v>
      </c>
      <c r="E864" s="1" t="n">
        <v>46319</v>
      </c>
      <c r="F864" t="inlineStr">
        <is>
          <t>NORRBOTTENS LÄN</t>
        </is>
      </c>
      <c r="G864" t="inlineStr">
        <is>
          <t>BODEN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59983-2023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45257</v>
      </c>
      <c r="E865" s="1" t="n">
        <v>46319</v>
      </c>
      <c r="F865" t="inlineStr">
        <is>
          <t>NORRBOTTENS LÄN</t>
        </is>
      </c>
      <c r="G865" t="inlineStr">
        <is>
          <t>BODEN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13556-2022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44648</v>
      </c>
      <c r="E866" s="1" t="n">
        <v>46319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61488-2023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45264</v>
      </c>
      <c r="E867" s="1" t="n">
        <v>46319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46319</v>
      </c>
      <c r="F868" t="inlineStr">
        <is>
          <t>NORRBOTTENS LÄN</t>
        </is>
      </c>
      <c r="G868" t="inlineStr">
        <is>
          <t>BODEN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5792-2025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45694</v>
      </c>
      <c r="E869" s="1" t="n">
        <v>46319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61241-2023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45260</v>
      </c>
      <c r="E870" s="1" t="n">
        <v>46319</v>
      </c>
      <c r="F870" t="inlineStr">
        <is>
          <t>NORRBOTTENS LÄN</t>
        </is>
      </c>
      <c r="G870" t="inlineStr">
        <is>
          <t>BODEN</t>
        </is>
      </c>
      <c r="I870" t="n">
        <v>33.9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45022</v>
      </c>
      <c r="E871" s="1" t="n">
        <v>46319</v>
      </c>
      <c r="F871" t="inlineStr">
        <is>
          <t>NORRBOTTENS LÄN</t>
        </is>
      </c>
      <c r="G871" t="inlineStr">
        <is>
          <t>BODEN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1497-2022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44573</v>
      </c>
      <c r="E872" s="1" t="n">
        <v>46319</v>
      </c>
      <c r="F872" t="inlineStr">
        <is>
          <t>NORRBOTTENS LÄN</t>
        </is>
      </c>
      <c r="G872" t="inlineStr">
        <is>
          <t>BODEN</t>
        </is>
      </c>
      <c r="H872" t="inlineStr">
        <is>
          <t>Övriga statliga verk och myndigheter</t>
        </is>
      </c>
      <c r="I872" t="n">
        <v>9.9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7442-2024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45345</v>
      </c>
      <c r="E873" s="1" t="n">
        <v>46319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29377-2024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45483</v>
      </c>
      <c r="E874" s="1" t="n">
        <v>46319</v>
      </c>
      <c r="F874" t="inlineStr">
        <is>
          <t>NORRBOTTENS LÄN</t>
        </is>
      </c>
      <c r="G874" t="inlineStr">
        <is>
          <t>BODEN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64975-2023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45285</v>
      </c>
      <c r="E875" s="1" t="n">
        <v>46319</v>
      </c>
      <c r="F875" t="inlineStr">
        <is>
          <t>NORRBOTTENS LÄN</t>
        </is>
      </c>
      <c r="G875" t="inlineStr">
        <is>
          <t>BODEN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35115-2024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45529</v>
      </c>
      <c r="E876" s="1" t="n">
        <v>46319</v>
      </c>
      <c r="F876" t="inlineStr">
        <is>
          <t>NORRBOTTENS LÄN</t>
        </is>
      </c>
      <c r="G876" t="inlineStr">
        <is>
          <t>BODEN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25627-2022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44732</v>
      </c>
      <c r="E877" s="1" t="n">
        <v>46319</v>
      </c>
      <c r="F877" t="inlineStr">
        <is>
          <t>NORRBOTTENS LÄN</t>
        </is>
      </c>
      <c r="G877" t="inlineStr">
        <is>
          <t>BODEN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45323</v>
      </c>
      <c r="E878" s="1" t="n">
        <v>46319</v>
      </c>
      <c r="F878" t="inlineStr">
        <is>
          <t>NORRBOTTENS LÄN</t>
        </is>
      </c>
      <c r="G878" t="inlineStr">
        <is>
          <t>BODEN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7159-2023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44970</v>
      </c>
      <c r="E879" s="1" t="n">
        <v>46319</v>
      </c>
      <c r="F879" t="inlineStr">
        <is>
          <t>NORRBOTTENS LÄN</t>
        </is>
      </c>
      <c r="G879" t="inlineStr">
        <is>
          <t>BODEN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49124-2023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45210</v>
      </c>
      <c r="E880" s="1" t="n">
        <v>46319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45692</v>
      </c>
      <c r="E881" s="1" t="n">
        <v>46319</v>
      </c>
      <c r="F881" t="inlineStr">
        <is>
          <t>NORRBOTTENS LÄN</t>
        </is>
      </c>
      <c r="G881" t="inlineStr">
        <is>
          <t>BODEN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31754-2024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45509</v>
      </c>
      <c r="E882" s="1" t="n">
        <v>46319</v>
      </c>
      <c r="F882" t="inlineStr">
        <is>
          <t>NORRBOTTENS LÄN</t>
        </is>
      </c>
      <c r="G882" t="inlineStr">
        <is>
          <t>BODEN</t>
        </is>
      </c>
      <c r="I882" t="n">
        <v>11.1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36438-2024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45537</v>
      </c>
      <c r="E883" s="1" t="n">
        <v>46319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6242-2023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44964</v>
      </c>
      <c r="E884" s="1" t="n">
        <v>46319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37114-2024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45539</v>
      </c>
      <c r="E885" s="1" t="n">
        <v>46319</v>
      </c>
      <c r="F885" t="inlineStr">
        <is>
          <t>NORRBOTTENS LÄN</t>
        </is>
      </c>
      <c r="G885" t="inlineStr">
        <is>
          <t>BODEN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19563-2024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45429</v>
      </c>
      <c r="E886" s="1" t="n">
        <v>46319</v>
      </c>
      <c r="F886" t="inlineStr">
        <is>
          <t>NORRBOTTENS LÄN</t>
        </is>
      </c>
      <c r="G886" t="inlineStr">
        <is>
          <t>BODEN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44747</v>
      </c>
      <c r="E887" s="1" t="n">
        <v>46319</v>
      </c>
      <c r="F887" t="inlineStr">
        <is>
          <t>NORRBOTTENS LÄN</t>
        </is>
      </c>
      <c r="G887" t="inlineStr">
        <is>
          <t>BODEN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44706</v>
      </c>
      <c r="E888" s="1" t="n">
        <v>46319</v>
      </c>
      <c r="F888" t="inlineStr">
        <is>
          <t>NORRBOTTENS LÄN</t>
        </is>
      </c>
      <c r="G888" t="inlineStr">
        <is>
          <t>BODEN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53840-2022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44880</v>
      </c>
      <c r="E889" s="1" t="n">
        <v>46319</v>
      </c>
      <c r="F889" t="inlineStr">
        <is>
          <t>NORRBOTTENS LÄN</t>
        </is>
      </c>
      <c r="G889" t="inlineStr">
        <is>
          <t>BODEN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44979</v>
      </c>
      <c r="E890" s="1" t="n">
        <v>46319</v>
      </c>
      <c r="F890" t="inlineStr">
        <is>
          <t>NORRBOTTENS LÄN</t>
        </is>
      </c>
      <c r="G890" t="inlineStr">
        <is>
          <t>BODEN</t>
        </is>
      </c>
      <c r="H890" t="inlineStr">
        <is>
          <t>Övriga statliga verk och myndigheter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885-2024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45376</v>
      </c>
      <c r="E891" s="1" t="n">
        <v>46319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1063-2023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45013</v>
      </c>
      <c r="E892" s="1" t="n">
        <v>46319</v>
      </c>
      <c r="F892" t="inlineStr">
        <is>
          <t>NORRBOTTENS LÄN</t>
        </is>
      </c>
      <c r="G892" t="inlineStr">
        <is>
          <t>BODEN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883-2024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45376</v>
      </c>
      <c r="E893" s="1" t="n">
        <v>46319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52-2025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45667</v>
      </c>
      <c r="E894" s="1" t="n">
        <v>46319</v>
      </c>
      <c r="F894" t="inlineStr">
        <is>
          <t>NORRBOTTENS LÄN</t>
        </is>
      </c>
      <c r="G894" t="inlineStr">
        <is>
          <t>BODEN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190-2023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44945</v>
      </c>
      <c r="E895" s="1" t="n">
        <v>46319</v>
      </c>
      <c r="F895" t="inlineStr">
        <is>
          <t>NORRBOTTENS LÄN</t>
        </is>
      </c>
      <c r="G895" t="inlineStr">
        <is>
          <t>BODEN</t>
        </is>
      </c>
      <c r="H895" t="inlineStr">
        <is>
          <t>SCA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977-2025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45743</v>
      </c>
      <c r="E896" s="1" t="n">
        <v>46319</v>
      </c>
      <c r="F896" t="inlineStr">
        <is>
          <t>NORRBOTTENS LÄN</t>
        </is>
      </c>
      <c r="G896" t="inlineStr">
        <is>
          <t>BODEN</t>
        </is>
      </c>
      <c r="I896" t="n">
        <v>11.1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978-2025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45743</v>
      </c>
      <c r="E897" s="1" t="n">
        <v>46319</v>
      </c>
      <c r="F897" t="inlineStr">
        <is>
          <t>NORRBOTTENS LÄN</t>
        </is>
      </c>
      <c r="G897" t="inlineStr">
        <is>
          <t>BODEN</t>
        </is>
      </c>
      <c r="I897" t="n">
        <v>19.5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1498-2025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45789</v>
      </c>
      <c r="E898" s="1" t="n">
        <v>46319</v>
      </c>
      <c r="F898" t="inlineStr">
        <is>
          <t>NORRBOTTENS LÄN</t>
        </is>
      </c>
      <c r="G898" t="inlineStr">
        <is>
          <t>BODEN</t>
        </is>
      </c>
      <c r="H898" t="inlineStr">
        <is>
          <t>Övriga Aktiebolag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1572-2025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45792</v>
      </c>
      <c r="E899" s="1" t="n">
        <v>46319</v>
      </c>
      <c r="F899" t="inlineStr">
        <is>
          <t>NORRBOTTENS LÄN</t>
        </is>
      </c>
      <c r="G899" t="inlineStr">
        <is>
          <t>BODEN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1631-2025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45799</v>
      </c>
      <c r="E900" s="1" t="n">
        <v>46319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1633-2025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45799</v>
      </c>
      <c r="E901" s="1" t="n">
        <v>46319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1632-2025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45799</v>
      </c>
      <c r="E902" s="1" t="n">
        <v>46319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1734-2025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45810</v>
      </c>
      <c r="E903" s="1" t="n">
        <v>46319</v>
      </c>
      <c r="F903" t="inlineStr">
        <is>
          <t>NORRBOTTENS LÄN</t>
        </is>
      </c>
      <c r="G903" t="inlineStr">
        <is>
          <t>BODEN</t>
        </is>
      </c>
      <c r="H903" t="inlineStr">
        <is>
          <t>Sveaskog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1811-2025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45818</v>
      </c>
      <c r="E904" s="1" t="n">
        <v>46319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2072-2025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45840</v>
      </c>
      <c r="E905" s="1" t="n">
        <v>46319</v>
      </c>
      <c r="F905" t="inlineStr">
        <is>
          <t>NORRBOTTENS LÄN</t>
        </is>
      </c>
      <c r="G905" t="inlineStr">
        <is>
          <t>BODEN</t>
        </is>
      </c>
      <c r="H905" t="inlineStr">
        <is>
          <t>Sveaskog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3580-2025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46018</v>
      </c>
      <c r="E906" s="1" t="n">
        <v>46319</v>
      </c>
      <c r="F906" t="inlineStr">
        <is>
          <t>NORRBOTTENS LÄN</t>
        </is>
      </c>
      <c r="G906" t="inlineStr">
        <is>
          <t>BODEN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1267-2026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46147</v>
      </c>
      <c r="E907" s="1" t="n">
        <v>46319</v>
      </c>
      <c r="F907" t="inlineStr">
        <is>
          <t>NORRBOTTENS LÄN</t>
        </is>
      </c>
      <c r="G907" t="inlineStr">
        <is>
          <t>BODEN</t>
        </is>
      </c>
      <c r="I907" t="n">
        <v>57.4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1261-2026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46147</v>
      </c>
      <c r="E908" s="1" t="n">
        <v>46319</v>
      </c>
      <c r="F908" t="inlineStr">
        <is>
          <t>NORRBOTTENS LÄN</t>
        </is>
      </c>
      <c r="G908" t="inlineStr">
        <is>
          <t>BODEN</t>
        </is>
      </c>
      <c r="I908" t="n">
        <v>16.9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1262-2026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46147</v>
      </c>
      <c r="E909" s="1" t="n">
        <v>46319</v>
      </c>
      <c r="F909" t="inlineStr">
        <is>
          <t>NORRBOTTENS LÄN</t>
        </is>
      </c>
      <c r="G909" t="inlineStr">
        <is>
          <t>BODEN</t>
        </is>
      </c>
      <c r="H909" t="inlineStr">
        <is>
          <t>Kommuner</t>
        </is>
      </c>
      <c r="I909" t="n">
        <v>16.2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1356-2026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46152</v>
      </c>
      <c r="E910" s="1" t="n">
        <v>46319</v>
      </c>
      <c r="F910" t="inlineStr">
        <is>
          <t>NORRBOTTENS LÄN</t>
        </is>
      </c>
      <c r="G910" t="inlineStr">
        <is>
          <t>BODEN</t>
        </is>
      </c>
      <c r="I910" t="n">
        <v>124.7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1357-2026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46152</v>
      </c>
      <c r="E911" s="1" t="n">
        <v>46319</v>
      </c>
      <c r="F911" t="inlineStr">
        <is>
          <t>NORRBOTTENS LÄN</t>
        </is>
      </c>
      <c r="G911" t="inlineStr">
        <is>
          <t>BODEN</t>
        </is>
      </c>
      <c r="I911" t="n">
        <v>38.2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1297-2026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46148</v>
      </c>
      <c r="E912" s="1" t="n">
        <v>46319</v>
      </c>
      <c r="F912" t="inlineStr">
        <is>
          <t>NORRBOTTENS LÄN</t>
        </is>
      </c>
      <c r="G912" t="inlineStr">
        <is>
          <t>BODEN</t>
        </is>
      </c>
      <c r="I912" t="n">
        <v>20.5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2026-10-24T02:04:50Z</dcterms:created>
  <dcterms:modified xmlns:dcterms="http://purl.org/dc/terms/" xmlns:xsi="http://www.w3.org/2001/XMLSchema-instance" xsi:type="dcterms:W3CDTF">2026-10-24T02:04:51Z</dcterms:modified>
</cp:coreProperties>
</file>