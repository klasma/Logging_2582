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46242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46242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46242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46242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46242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46242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46242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46242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46242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46242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46242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46242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46242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46242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46242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46242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46242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46242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46242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46242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46242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46242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46242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46242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46242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46242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58902-2021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46242</v>
      </c>
      <c r="F28" t="inlineStr">
        <is>
          <t>NORRBOTTENS LÄN</t>
        </is>
      </c>
      <c r="G28" t="inlineStr">
        <is>
          <t>BODEN</t>
        </is>
      </c>
      <c r="I28" t="n">
        <v>4.5</v>
      </c>
      <c r="J28" t="n">
        <v>1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8</v>
      </c>
      <c r="U28" t="n">
        <v>8</v>
      </c>
      <c r="V28" s="2" t="inlineStr">
        <is>
          <t>Brunpudrad nållav
Enkelbeckasin
Gammelgransskål
Lunglav
Vedticka</t>
        </is>
      </c>
      <c r="W28">
        <f>HYPERLINK("https://klasma.github.io/Logging_2582/artfynd/A 58902-2021 artfynd.xlsx", "A 58902-2021")</f>
        <v/>
      </c>
      <c r="X28">
        <f>HYPERLINK("https://klasma.github.io/Logging_2582/kartor/A 58902-2021 karta.png", "A 58902-2021")</f>
        <v/>
      </c>
      <c r="Y28">
        <f>HYPERLINK("https://klasma.github.io/Logging_2582/kartor_geotiff/A 58902-2021 georefererad karta.tif", "A 58902-2021")</f>
        <v/>
      </c>
      <c r="AA28">
        <f>HYPERLINK("https://klasma.github.io/Logging_2582/klagomål/A 58902-2021 FSC-klagomål.docx", "A 58902-2021")</f>
        <v/>
      </c>
      <c r="AB28">
        <f>HYPERLINK("https://klasma.github.io/Logging_2582/klagomålsmail/A 58902-2021 FSC-klagomål mail.docx", "A 58902-2021")</f>
        <v/>
      </c>
      <c r="AC28">
        <f>HYPERLINK("https://klasma.github.io/Logging_2582/tillsyn/A 58902-2021 tillsynsbegäran.docx", "A 58902-2021")</f>
        <v/>
      </c>
      <c r="AD28">
        <f>HYPERLINK("https://klasma.github.io/Logging_2582/tillsynsmail/A 58902-2021 tillsynsbegäran mail.docx", "A 58902-2021")</f>
        <v/>
      </c>
      <c r="AE28">
        <f>HYPERLINK("https://klasma.github.io/Logging_2582/fåglar/A 58902-2021 prioriterade fågelarter.docx", "A 58902-2021")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46242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43709-2025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46242</v>
      </c>
      <c r="F30" t="inlineStr">
        <is>
          <t>NORRBOTTENS LÄN</t>
        </is>
      </c>
      <c r="G30" t="inlineStr">
        <is>
          <t>BODEN</t>
        </is>
      </c>
      <c r="I30" t="n">
        <v>7.7</v>
      </c>
      <c r="J30" t="n">
        <v>4</v>
      </c>
      <c r="K30" t="n">
        <v>1</v>
      </c>
      <c r="L30" t="n">
        <v>2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Vitryggig hackspett
Talltita
Tretåig hackspett
Björksplintborre
Spillkråka</t>
        </is>
      </c>
      <c r="W30">
        <f>HYPERLINK("https://klasma.github.io/Logging_2582/artfynd/A 43709-2025 artfynd.xlsx", "A 43709-2025")</f>
        <v/>
      </c>
      <c r="X30">
        <f>HYPERLINK("https://klasma.github.io/Logging_2582/kartor/A 43709-2025 karta.png", "A 43709-2025")</f>
        <v/>
      </c>
      <c r="Y30">
        <f>HYPERLINK("https://klasma.github.io/Logging_2582/kartor_geotiff/A 43709-2025 georefererad karta.tif", "A 43709-2025")</f>
        <v/>
      </c>
      <c r="AA30">
        <f>HYPERLINK("https://klasma.github.io/Logging_2582/klagomål/A 43709-2025 FSC-klagomål.docx", "A 43709-2025")</f>
        <v/>
      </c>
      <c r="AB30">
        <f>HYPERLINK("https://klasma.github.io/Logging_2582/klagomålsmail/A 43709-2025 FSC-klagomål mail.docx", "A 43709-2025")</f>
        <v/>
      </c>
      <c r="AC30">
        <f>HYPERLINK("https://klasma.github.io/Logging_2582/tillsyn/A 43709-2025 tillsynsbegäran.docx", "A 43709-2025")</f>
        <v/>
      </c>
      <c r="AD30">
        <f>HYPERLINK("https://klasma.github.io/Logging_2582/tillsynsmail/A 43709-2025 tillsynsbegäran mail.docx", "A 43709-2025")</f>
        <v/>
      </c>
      <c r="AE30">
        <f>HYPERLINK("https://klasma.github.io/Logging_2582/fåglar/A 43709-2025 prioriterade fågelarter.docx", "A 43709-2025")</f>
        <v/>
      </c>
    </row>
    <row r="31" ht="15" customHeight="1">
      <c r="A31" t="inlineStr">
        <is>
          <t>A 31030-2025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46242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11.1</v>
      </c>
      <c r="J31" t="n">
        <v>3</v>
      </c>
      <c r="K31" t="n">
        <v>2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9</v>
      </c>
      <c r="U31" t="n">
        <v>9</v>
      </c>
      <c r="V31" s="2" t="inlineStr">
        <is>
          <t>Knärot
Lunglav
Spindelblomster
Stuplav
Fläcknycklar</t>
        </is>
      </c>
      <c r="W31">
        <f>HYPERLINK("https://klasma.github.io/Logging_2582/artfynd/A 31030-2025 artfynd.xlsx", "A 31030-2025")</f>
        <v/>
      </c>
      <c r="X31">
        <f>HYPERLINK("https://klasma.github.io/Logging_2582/kartor/A 31030-2025 karta.png", "A 31030-2025")</f>
        <v/>
      </c>
      <c r="Y31">
        <f>HYPERLINK("https://klasma.github.io/Logging_2582/kartor_geotiff/A 31030-2025 georefererad karta.tif", "A 31030-2025")</f>
        <v/>
      </c>
      <c r="Z31">
        <f>HYPERLINK("https://klasma.github.io/Logging_2582/knärot/A 31030-2025 karta knärot.png", "A 31030-2025")</f>
        <v/>
      </c>
      <c r="AA31">
        <f>HYPERLINK("https://klasma.github.io/Logging_2582/klagomål/A 31030-2025 FSC-klagomål.docx", "A 31030-2025")</f>
        <v/>
      </c>
      <c r="AB31">
        <f>HYPERLINK("https://klasma.github.io/Logging_2582/klagomålsmail/A 31030-2025 FSC-klagomål mail.docx", "A 31030-2025")</f>
        <v/>
      </c>
      <c r="AC31">
        <f>HYPERLINK("https://klasma.github.io/Logging_2582/tillsyn/A 31030-2025 tillsynsbegäran.docx", "A 31030-2025")</f>
        <v/>
      </c>
      <c r="AD31">
        <f>HYPERLINK("https://klasma.github.io/Logging_2582/tillsynsmail/A 31030-2025 tillsynsbegäran mail.docx", "A 31030-2025")</f>
        <v/>
      </c>
    </row>
    <row r="32" ht="15" customHeight="1">
      <c r="A32" t="inlineStr">
        <is>
          <t>A 32309-2025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46242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13.6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6</v>
      </c>
      <c r="U32" t="n">
        <v>4</v>
      </c>
      <c r="V32" s="2" t="inlineStr">
        <is>
          <t>Doftticka
Garnlav
Lunglav
Bårdlav
Stuplav</t>
        </is>
      </c>
      <c r="W32">
        <f>HYPERLINK("https://klasma.github.io/Logging_2582/artfynd/A 32309-2025 artfynd.xlsx", "A 32309-2025")</f>
        <v/>
      </c>
      <c r="X32">
        <f>HYPERLINK("https://klasma.github.io/Logging_2582/kartor/A 32309-2025 karta.png", "A 32309-2025")</f>
        <v/>
      </c>
      <c r="Y32">
        <f>HYPERLINK("https://klasma.github.io/Logging_2582/kartor_geotiff/A 32309-2025 georefererad karta.tif", "A 32309-2025")</f>
        <v/>
      </c>
      <c r="AA32">
        <f>HYPERLINK("https://klasma.github.io/Logging_2582/klagomål/A 32309-2025 FSC-klagomål.docx", "A 32309-2025")</f>
        <v/>
      </c>
      <c r="AB32">
        <f>HYPERLINK("https://klasma.github.io/Logging_2582/klagomålsmail/A 32309-2025 FSC-klagomål mail.docx", "A 32309-2025")</f>
        <v/>
      </c>
      <c r="AC32">
        <f>HYPERLINK("https://klasma.github.io/Logging_2582/tillsyn/A 32309-2025 tillsynsbegäran.docx", "A 32309-2025")</f>
        <v/>
      </c>
      <c r="AD32">
        <f>HYPERLINK("https://klasma.github.io/Logging_2582/tillsynsmail/A 32309-2025 tillsynsbegäran mail.docx", "A 32309-2025")</f>
        <v/>
      </c>
    </row>
    <row r="33" ht="15" customHeight="1">
      <c r="A33" t="inlineStr">
        <is>
          <t>A 32325-2024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45512</v>
      </c>
      <c r="E33" s="1" t="n">
        <v>46242</v>
      </c>
      <c r="F33" t="inlineStr">
        <is>
          <t>NORRBOTTENS LÄN</t>
        </is>
      </c>
      <c r="G33" t="inlineStr">
        <is>
          <t>BODEN</t>
        </is>
      </c>
      <c r="H33" t="inlineStr">
        <is>
          <t>Övriga Aktiebolag</t>
        </is>
      </c>
      <c r="I33" t="n">
        <v>36.5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7</v>
      </c>
      <c r="U33" t="n">
        <v>7</v>
      </c>
      <c r="V33" s="2" t="inlineStr">
        <is>
          <t>Garnlav
Knärot
Gammelgransskål
Luddlav
Skinnlav</t>
        </is>
      </c>
      <c r="W33">
        <f>HYPERLINK("https://klasma.github.io/Logging_2582/artfynd/A 32325-2024 artfynd.xlsx", "A 32325-2024")</f>
        <v/>
      </c>
      <c r="X33">
        <f>HYPERLINK("https://klasma.github.io/Logging_2582/kartor/A 32325-2024 karta.png", "A 32325-2024")</f>
        <v/>
      </c>
      <c r="Y33">
        <f>HYPERLINK("https://klasma.github.io/Logging_2582/kartor_geotiff/A 32325-2024 georefererad karta.tif", "A 32325-2024")</f>
        <v/>
      </c>
      <c r="Z33">
        <f>HYPERLINK("https://klasma.github.io/Logging_2582/knärot/A 32325-2024 karta knärot.png", "A 32325-2024")</f>
        <v/>
      </c>
      <c r="AA33">
        <f>HYPERLINK("https://klasma.github.io/Logging_2582/klagomål/A 32325-2024 FSC-klagomål.docx", "A 32325-2024")</f>
        <v/>
      </c>
      <c r="AB33">
        <f>HYPERLINK("https://klasma.github.io/Logging_2582/klagomålsmail/A 32325-2024 FSC-klagomål mail.docx", "A 32325-2024")</f>
        <v/>
      </c>
      <c r="AC33">
        <f>HYPERLINK("https://klasma.github.io/Logging_2582/tillsyn/A 32325-2024 tillsynsbegäran.docx", "A 32325-2024")</f>
        <v/>
      </c>
      <c r="AD33">
        <f>HYPERLINK("https://klasma.github.io/Logging_2582/tillsynsmail/A 32325-2024 tillsynsbegäran mail.docx", "A 32325-2024")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46242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46242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46242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46242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46242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t="n">
        <v>7</v>
      </c>
      <c r="V38" s="2" t="inlineStr">
        <is>
          <t>Knärot
Norna
Lunglav
Stuplav</t>
        </is>
      </c>
      <c r="W38">
        <f>HYPERLINK("https://klasma.github.io/Logging_2582/artfynd/A 28197-2025 artfynd.xlsx", "A 28197-2025")</f>
        <v/>
      </c>
      <c r="X38">
        <f>HYPERLINK("https://klasma.github.io/Logging_2582/kartor/A 28197-2025 karta.png", "A 28197-2025")</f>
        <v/>
      </c>
      <c r="Y38">
        <f>HYPERLINK("https://klasma.github.io/Logging_2582/kartor_geotiff/A 28197-2025 georefererad karta.tif", "A 28197-2025")</f>
        <v/>
      </c>
      <c r="Z38">
        <f>HYPERLINK("https://klasma.github.io/Logging_2582/knärot/A 28197-2025 karta knärot.png", "A 28197-2025")</f>
        <v/>
      </c>
      <c r="AA38">
        <f>HYPERLINK("https://klasma.github.io/Logging_2582/klagomål/A 28197-2025 FSC-klagomål.docx", "A 28197-2025")</f>
        <v/>
      </c>
      <c r="AB38">
        <f>HYPERLINK("https://klasma.github.io/Logging_2582/klagomålsmail/A 28197-2025 FSC-klagomål mail.docx", "A 28197-2025")</f>
        <v/>
      </c>
      <c r="AC38">
        <f>HYPERLINK("https://klasma.github.io/Logging_2582/tillsyn/A 28197-2025 tillsynsbegäran.docx", "A 28197-2025")</f>
        <v/>
      </c>
      <c r="AD38">
        <f>HYPERLINK("https://klasma.github.io/Logging_2582/tillsynsmail/A 28197-2025 tillsynsbegäran mail.docx", "A 28197-2025")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46242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46242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46242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Harticka
Tretåig hackspett
Smal svampklubba
Järpe</t>
        </is>
      </c>
      <c r="W41">
        <f>HYPERLINK("https://klasma.github.io/Logging_2582/artfynd/A 21475-2026 artfynd.xlsx", "A 21475-2026")</f>
        <v/>
      </c>
      <c r="X41">
        <f>HYPERLINK("https://klasma.github.io/Logging_2582/kartor/A 21475-2026 karta.png", "A 21475-2026")</f>
        <v/>
      </c>
      <c r="Y41">
        <f>HYPERLINK("https://klasma.github.io/Logging_2582/kartor_geotiff/A 21475-2026 georefererad karta.tif", "A 21475-2026")</f>
        <v/>
      </c>
      <c r="AA41">
        <f>HYPERLINK("https://klasma.github.io/Logging_2582/klagomål/A 21475-2026 FSC-klagomål.docx", "A 21475-2026")</f>
        <v/>
      </c>
      <c r="AB41">
        <f>HYPERLINK("https://klasma.github.io/Logging_2582/klagomålsmail/A 21475-2026 FSC-klagomål mail.docx", "A 21475-2026")</f>
        <v/>
      </c>
      <c r="AC41">
        <f>HYPERLINK("https://klasma.github.io/Logging_2582/tillsyn/A 21475-2026 tillsynsbegäran.docx", "A 21475-2026")</f>
        <v/>
      </c>
      <c r="AD41">
        <f>HYPERLINK("https://klasma.github.io/Logging_2582/tillsynsmail/A 21475-2026 tillsynsbegäran mail.docx", "A 21475-2026")</f>
        <v/>
      </c>
      <c r="AE41">
        <f>HYPERLINK("https://klasma.github.io/Logging_2582/fåglar/A 21475-2026 prioriterade fågelarter.docx", "A 21475-2026")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46242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46242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46242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28183-2026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46242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8.199999999999999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16</v>
      </c>
      <c r="U45" t="n">
        <v>16</v>
      </c>
      <c r="V45" s="2" t="inlineStr">
        <is>
          <t>Knärot
Lunglav
Grönpyrola
Fläcknycklar</t>
        </is>
      </c>
      <c r="W45">
        <f>HYPERLINK("https://klasma.github.io/Logging_2582/artfynd/A 28183-2026 artfynd.xlsx", "A 28183-2026")</f>
        <v/>
      </c>
      <c r="X45">
        <f>HYPERLINK("https://klasma.github.io/Logging_2582/kartor/A 28183-2026 karta.png", "A 28183-2026")</f>
        <v/>
      </c>
      <c r="Y45">
        <f>HYPERLINK("https://klasma.github.io/Logging_2582/kartor_geotiff/A 28183-2026 georefererad karta.tif", "A 28183-2026")</f>
        <v/>
      </c>
      <c r="Z45">
        <f>HYPERLINK("https://klasma.github.io/Logging_2582/knärot/A 28183-2026 karta knärot.png", "A 28183-2026")</f>
        <v/>
      </c>
      <c r="AA45">
        <f>HYPERLINK("https://klasma.github.io/Logging_2582/klagomål/A 28183-2026 FSC-klagomål.docx", "A 28183-2026")</f>
        <v/>
      </c>
      <c r="AB45">
        <f>HYPERLINK("https://klasma.github.io/Logging_2582/klagomålsmail/A 28183-2026 FSC-klagomål mail.docx", "A 28183-2026")</f>
        <v/>
      </c>
      <c r="AC45">
        <f>HYPERLINK("https://klasma.github.io/Logging_2582/tillsyn/A 28183-2026 tillsynsbegäran.docx", "A 28183-2026")</f>
        <v/>
      </c>
      <c r="AD45">
        <f>HYPERLINK("https://klasma.github.io/Logging_2582/tillsynsmail/A 28183-2026 tillsynsbegäran mail.docx", "A 28183-2026")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46242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6118-2025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45698</v>
      </c>
      <c r="E47" s="1" t="n">
        <v>46242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3.7</v>
      </c>
      <c r="J47" t="n">
        <v>2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14</v>
      </c>
      <c r="U47" t="n">
        <v>14</v>
      </c>
      <c r="V47" s="2" t="inlineStr">
        <is>
          <t>Garnlav
Tretåig hackspett
Spillkråka</t>
        </is>
      </c>
      <c r="W47">
        <f>HYPERLINK("https://klasma.github.io/Logging_2582/artfynd/A 6118-2025 artfynd.xlsx", "A 6118-2025")</f>
        <v/>
      </c>
      <c r="X47">
        <f>HYPERLINK("https://klasma.github.io/Logging_2582/kartor/A 6118-2025 karta.png", "A 6118-2025")</f>
        <v/>
      </c>
      <c r="Y47">
        <f>HYPERLINK("https://klasma.github.io/Logging_2582/kartor_geotiff/A 6118-2025 georefererad karta.tif", "A 6118-2025")</f>
        <v/>
      </c>
      <c r="AA47">
        <f>HYPERLINK("https://klasma.github.io/Logging_2582/klagomål/A 6118-2025 FSC-klagomål.docx", "A 6118-2025")</f>
        <v/>
      </c>
      <c r="AB47">
        <f>HYPERLINK("https://klasma.github.io/Logging_2582/klagomålsmail/A 6118-2025 FSC-klagomål mail.docx", "A 6118-2025")</f>
        <v/>
      </c>
      <c r="AC47">
        <f>HYPERLINK("https://klasma.github.io/Logging_2582/tillsyn/A 6118-2025 tillsynsbegäran.docx", "A 6118-2025")</f>
        <v/>
      </c>
      <c r="AD47">
        <f>HYPERLINK("https://klasma.github.io/Logging_2582/tillsynsmail/A 6118-2025 tillsynsbegäran mail.docx", "A 6118-2025")</f>
        <v/>
      </c>
      <c r="AE47">
        <f>HYPERLINK("https://klasma.github.io/Logging_2582/fåglar/A 6118-2025 prioriterade fågelarter.docx", "A 6118-2025")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46242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10087-2026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46073</v>
      </c>
      <c r="E49" s="1" t="n">
        <v>46242</v>
      </c>
      <c r="F49" t="inlineStr">
        <is>
          <t>NORRBOTTENS LÄN</t>
        </is>
      </c>
      <c r="G49" t="inlineStr">
        <is>
          <t>BODEN</t>
        </is>
      </c>
      <c r="I49" t="n">
        <v>5.9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Korthornad vedstekel
Skogsödla
Vanlig padda</t>
        </is>
      </c>
      <c r="W49">
        <f>HYPERLINK("https://klasma.github.io/Logging_2582/artfynd/A 10087-2026 artfynd.xlsx", "A 10087-2026")</f>
        <v/>
      </c>
      <c r="X49">
        <f>HYPERLINK("https://klasma.github.io/Logging_2582/kartor/A 10087-2026 karta.png", "A 10087-2026")</f>
        <v/>
      </c>
      <c r="Y49">
        <f>HYPERLINK("https://klasma.github.io/Logging_2582/kartor_geotiff/A 10087-2026 georefererad karta.tif", "A 10087-2026")</f>
        <v/>
      </c>
      <c r="AA49">
        <f>HYPERLINK("https://klasma.github.io/Logging_2582/klagomål/A 10087-2026 FSC-klagomål.docx", "A 10087-2026")</f>
        <v/>
      </c>
      <c r="AB49">
        <f>HYPERLINK("https://klasma.github.io/Logging_2582/klagomålsmail/A 10087-2026 FSC-klagomål mail.docx", "A 10087-2026")</f>
        <v/>
      </c>
      <c r="AC49">
        <f>HYPERLINK("https://klasma.github.io/Logging_2582/tillsyn/A 10087-2026 tillsynsbegäran.docx", "A 10087-2026")</f>
        <v/>
      </c>
      <c r="AD49">
        <f>HYPERLINK("https://klasma.github.io/Logging_2582/tillsynsmail/A 10087-2026 tillsynsbegäran mail.docx", "A 10087-2026")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46242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46242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46242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46242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46242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Grönpyrola
Fläcknycklar
Nattviol</t>
        </is>
      </c>
      <c r="W54">
        <f>HYPERLINK("https://klasma.github.io/Logging_2582/artfynd/A 23323-2025 artfynd.xlsx", "A 23323-2025")</f>
        <v/>
      </c>
      <c r="X54">
        <f>HYPERLINK("https://klasma.github.io/Logging_2582/kartor/A 23323-2025 karta.png", "A 23323-2025")</f>
        <v/>
      </c>
      <c r="Y54">
        <f>HYPERLINK("https://klasma.github.io/Logging_2582/kartor_geotiff/A 23323-2025 georefererad karta.tif", "A 23323-2025")</f>
        <v/>
      </c>
      <c r="AA54">
        <f>HYPERLINK("https://klasma.github.io/Logging_2582/klagomål/A 23323-2025 FSC-klagomål.docx", "A 23323-2025")</f>
        <v/>
      </c>
      <c r="AB54">
        <f>HYPERLINK("https://klasma.github.io/Logging_2582/klagomålsmail/A 23323-2025 FSC-klagomål mail.docx", "A 23323-2025")</f>
        <v/>
      </c>
      <c r="AC54">
        <f>HYPERLINK("https://klasma.github.io/Logging_2582/tillsyn/A 23323-2025 tillsynsbegäran.docx", "A 23323-2025")</f>
        <v/>
      </c>
      <c r="AD54">
        <f>HYPERLINK("https://klasma.github.io/Logging_2582/tillsynsmail/A 23323-2025 tillsynsbegäran mail.docx", "A 23323-2025")</f>
        <v/>
      </c>
    </row>
    <row r="55" ht="15" customHeight="1">
      <c r="A55" t="inlineStr">
        <is>
          <t>A 23575-2023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45077</v>
      </c>
      <c r="E55" s="1" t="n">
        <v>46242</v>
      </c>
      <c r="F55" t="inlineStr">
        <is>
          <t>NORRBOTTENS LÄN</t>
        </is>
      </c>
      <c r="G55" t="inlineStr">
        <is>
          <t>BODEN</t>
        </is>
      </c>
      <c r="I55" t="n">
        <v>7.9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1</v>
      </c>
      <c r="V55" s="2" t="inlineStr">
        <is>
          <t>Gammelgransskål
Nordfladdermus
Bollvitmossa</t>
        </is>
      </c>
      <c r="W55">
        <f>HYPERLINK("https://klasma.github.io/Logging_2582/artfynd/A 23575-2023 artfynd.xlsx", "A 23575-2023")</f>
        <v/>
      </c>
      <c r="X55">
        <f>HYPERLINK("https://klasma.github.io/Logging_2582/kartor/A 23575-2023 karta.png", "A 23575-2023")</f>
        <v/>
      </c>
      <c r="Y55">
        <f>HYPERLINK("https://klasma.github.io/Logging_2582/kartor_geotiff/A 23575-2023 georefererad karta.tif", "A 23575-2023")</f>
        <v/>
      </c>
      <c r="AA55">
        <f>HYPERLINK("https://klasma.github.io/Logging_2582/klagomål/A 23575-2023 FSC-klagomål.docx", "A 23575-2023")</f>
        <v/>
      </c>
      <c r="AB55">
        <f>HYPERLINK("https://klasma.github.io/Logging_2582/klagomålsmail/A 23575-2023 FSC-klagomål mail.docx", "A 23575-2023")</f>
        <v/>
      </c>
      <c r="AC55">
        <f>HYPERLINK("https://klasma.github.io/Logging_2582/tillsyn/A 23575-2023 tillsynsbegäran.docx", "A 23575-2023")</f>
        <v/>
      </c>
      <c r="AD55">
        <f>HYPERLINK("https://klasma.github.io/Logging_2582/tillsynsmail/A 23575-2023 tillsynsbegäran mail.docx", "A 23575-2023")</f>
        <v/>
      </c>
    </row>
    <row r="56" ht="15" customHeight="1">
      <c r="A56" t="inlineStr">
        <is>
          <t>A 29868-2026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46242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5.3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6</v>
      </c>
      <c r="U56" t="n">
        <v>2</v>
      </c>
      <c r="V56" s="2" t="inlineStr">
        <is>
          <t>Garnlav
Lunglav
Spindelblomster</t>
        </is>
      </c>
      <c r="W56">
        <f>HYPERLINK("https://klasma.github.io/Logging_2582/artfynd/A 29868-2026 artfynd.xlsx", "A 29868-2026")</f>
        <v/>
      </c>
      <c r="X56">
        <f>HYPERLINK("https://klasma.github.io/Logging_2582/kartor/A 29868-2026 karta.png", "A 29868-2026")</f>
        <v/>
      </c>
      <c r="Y56">
        <f>HYPERLINK("https://klasma.github.io/Logging_2582/kartor_geotiff/A 29868-2026 georefererad karta.tif", "A 29868-2026")</f>
        <v/>
      </c>
      <c r="AA56">
        <f>HYPERLINK("https://klasma.github.io/Logging_2582/klagomål/A 29868-2026 FSC-klagomål.docx", "A 29868-2026")</f>
        <v/>
      </c>
      <c r="AB56">
        <f>HYPERLINK("https://klasma.github.io/Logging_2582/klagomålsmail/A 29868-2026 FSC-klagomål mail.docx", "A 29868-2026")</f>
        <v/>
      </c>
      <c r="AC56">
        <f>HYPERLINK("https://klasma.github.io/Logging_2582/tillsyn/A 29868-2026 tillsynsbegäran.docx", "A 29868-2026")</f>
        <v/>
      </c>
      <c r="AD56">
        <f>HYPERLINK("https://klasma.github.io/Logging_2582/tillsynsmail/A 29868-2026 tillsynsbegäran mail.docx", "A 29868-2026")</f>
        <v/>
      </c>
    </row>
    <row r="57" ht="15" customHeight="1">
      <c r="A57" t="inlineStr">
        <is>
          <t>A 31230-2026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46217</v>
      </c>
      <c r="E57" s="1" t="n">
        <v>46242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Fläcknycklar
Fläcknycklar × sumpnycklar</t>
        </is>
      </c>
      <c r="W57">
        <f>HYPERLINK("https://klasma.github.io/Logging_2582/artfynd/A 31230-2026 artfynd.xlsx", "A 31230-2026")</f>
        <v/>
      </c>
      <c r="X57">
        <f>HYPERLINK("https://klasma.github.io/Logging_2582/kartor/A 31230-2026 karta.png", "A 31230-2026")</f>
        <v/>
      </c>
      <c r="Y57">
        <f>HYPERLINK("https://klasma.github.io/Logging_2582/kartor_geotiff/A 31230-2026 georefererad karta.tif", "A 31230-2026")</f>
        <v/>
      </c>
      <c r="AA57">
        <f>HYPERLINK("https://klasma.github.io/Logging_2582/klagomål/A 31230-2026 FSC-klagomål.docx", "A 31230-2026")</f>
        <v/>
      </c>
      <c r="AB57">
        <f>HYPERLINK("https://klasma.github.io/Logging_2582/klagomålsmail/A 31230-2026 FSC-klagomål mail.docx", "A 31230-2026")</f>
        <v/>
      </c>
      <c r="AC57">
        <f>HYPERLINK("https://klasma.github.io/Logging_2582/tillsyn/A 31230-2026 tillsynsbegäran.docx", "A 31230-2026")</f>
        <v/>
      </c>
      <c r="AD57">
        <f>HYPERLINK("https://klasma.github.io/Logging_2582/tillsynsmail/A 31230-2026 tillsynsbegäran mail.docx", "A 31230-2026")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46242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46242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46242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46242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46242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46242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46242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46242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46242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6639-2024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45341</v>
      </c>
      <c r="E67" s="1" t="n">
        <v>46242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23.8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Lunglav
Kungsfågel</t>
        </is>
      </c>
      <c r="W67">
        <f>HYPERLINK("https://klasma.github.io/Logging_2582/artfynd/A 6639-2024 artfynd.xlsx", "A 6639-2024")</f>
        <v/>
      </c>
      <c r="X67">
        <f>HYPERLINK("https://klasma.github.io/Logging_2582/kartor/A 6639-2024 karta.png", "A 6639-2024")</f>
        <v/>
      </c>
      <c r="Y67">
        <f>HYPERLINK("https://klasma.github.io/Logging_2582/kartor_geotiff/A 6639-2024 georefererad karta.tif", "A 6639-2024")</f>
        <v/>
      </c>
      <c r="AA67">
        <f>HYPERLINK("https://klasma.github.io/Logging_2582/klagomål/A 6639-2024 FSC-klagomål.docx", "A 6639-2024")</f>
        <v/>
      </c>
      <c r="AB67">
        <f>HYPERLINK("https://klasma.github.io/Logging_2582/klagomålsmail/A 6639-2024 FSC-klagomål mail.docx", "A 6639-2024")</f>
        <v/>
      </c>
      <c r="AC67">
        <f>HYPERLINK("https://klasma.github.io/Logging_2582/tillsyn/A 6639-2024 tillsynsbegäran.docx", "A 6639-2024")</f>
        <v/>
      </c>
      <c r="AD67">
        <f>HYPERLINK("https://klasma.github.io/Logging_2582/tillsynsmail/A 6639-2024 tillsynsbegäran mail.docx", "A 6639-2024")</f>
        <v/>
      </c>
    </row>
    <row r="68" ht="15" customHeight="1">
      <c r="A68" t="inlineStr">
        <is>
          <t>A 32971-2024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46242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4</v>
      </c>
      <c r="V68" s="2" t="inlineStr">
        <is>
          <t>Lunglav
Fläcknycklar</t>
        </is>
      </c>
      <c r="W68">
        <f>HYPERLINK("https://klasma.github.io/Logging_2582/artfynd/A 32971-2024 artfynd.xlsx", "A 32971-2024")</f>
        <v/>
      </c>
      <c r="X68">
        <f>HYPERLINK("https://klasma.github.io/Logging_2582/kartor/A 32971-2024 karta.png", "A 32971-2024")</f>
        <v/>
      </c>
      <c r="Y68">
        <f>HYPERLINK("https://klasma.github.io/Logging_2582/kartor_geotiff/A 32971-2024 georefererad karta.tif", "A 32971-2024")</f>
        <v/>
      </c>
      <c r="AA68">
        <f>HYPERLINK("https://klasma.github.io/Logging_2582/klagomål/A 32971-2024 FSC-klagomål.docx", "A 32971-2024")</f>
        <v/>
      </c>
      <c r="AB68">
        <f>HYPERLINK("https://klasma.github.io/Logging_2582/klagomålsmail/A 32971-2024 FSC-klagomål mail.docx", "A 32971-2024")</f>
        <v/>
      </c>
      <c r="AC68">
        <f>HYPERLINK("https://klasma.github.io/Logging_2582/tillsyn/A 32971-2024 tillsynsbegäran.docx", "A 32971-2024")</f>
        <v/>
      </c>
      <c r="AD68">
        <f>HYPERLINK("https://klasma.github.io/Logging_2582/tillsynsmail/A 32971-2024 tillsynsbegäran mail.docx", "A 32971-2024")</f>
        <v/>
      </c>
    </row>
    <row r="69" ht="15" customHeight="1">
      <c r="A69" t="inlineStr">
        <is>
          <t>A 8754-2026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46066</v>
      </c>
      <c r="E69" s="1" t="n">
        <v>46242</v>
      </c>
      <c r="F69" t="inlineStr">
        <is>
          <t>NORRBOTTENS LÄN</t>
        </is>
      </c>
      <c r="G69" t="inlineStr">
        <is>
          <t>BODEN</t>
        </is>
      </c>
      <c r="I69" t="n">
        <v>2.1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Ullticka</t>
        </is>
      </c>
      <c r="W69">
        <f>HYPERLINK("https://klasma.github.io/Logging_2582/artfynd/A 8754-2026 artfynd.xlsx", "A 8754-2026")</f>
        <v/>
      </c>
      <c r="X69">
        <f>HYPERLINK("https://klasma.github.io/Logging_2582/kartor/A 8754-2026 karta.png", "A 8754-2026")</f>
        <v/>
      </c>
      <c r="Y69">
        <f>HYPERLINK("https://klasma.github.io/Logging_2582/kartor_geotiff/A 8754-2026 georefererad karta.tif", "A 8754-2026")</f>
        <v/>
      </c>
      <c r="AA69">
        <f>HYPERLINK("https://klasma.github.io/Logging_2582/klagomål/A 8754-2026 FSC-klagomål.docx", "A 8754-2026")</f>
        <v/>
      </c>
      <c r="AB69">
        <f>HYPERLINK("https://klasma.github.io/Logging_2582/klagomålsmail/A 8754-2026 FSC-klagomål mail.docx", "A 8754-2026")</f>
        <v/>
      </c>
      <c r="AC69">
        <f>HYPERLINK("https://klasma.github.io/Logging_2582/tillsyn/A 8754-2026 tillsynsbegäran.docx", "A 8754-2026")</f>
        <v/>
      </c>
      <c r="AD69">
        <f>HYPERLINK("https://klasma.github.io/Logging_2582/tillsynsmail/A 8754-2026 tillsynsbegäran mail.docx", "A 8754-2026")</f>
        <v/>
      </c>
    </row>
    <row r="70" ht="15" customHeight="1">
      <c r="A70" t="inlineStr">
        <is>
          <t>A 1507-2022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46242</v>
      </c>
      <c r="F70" t="inlineStr">
        <is>
          <t>NORRBOTTENS LÄN</t>
        </is>
      </c>
      <c r="G70" t="inlineStr">
        <is>
          <t>BODEN</t>
        </is>
      </c>
      <c r="H70" t="inlineStr">
        <is>
          <t>Övriga statliga verk och myndigheter</t>
        </is>
      </c>
      <c r="I70" t="n">
        <v>15.4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Talltita
Gråspett</t>
        </is>
      </c>
      <c r="W70">
        <f>HYPERLINK("https://klasma.github.io/Logging_2582/artfynd/A 1507-2022 artfynd.xlsx", "A 1507-2022")</f>
        <v/>
      </c>
      <c r="X70">
        <f>HYPERLINK("https://klasma.github.io/Logging_2582/kartor/A 1507-2022 karta.png", "A 1507-2022")</f>
        <v/>
      </c>
      <c r="Y70">
        <f>HYPERLINK("https://klasma.github.io/Logging_2582/kartor_geotiff/A 1507-2022 georefererad karta.tif", "A 1507-2022")</f>
        <v/>
      </c>
      <c r="AA70">
        <f>HYPERLINK("https://klasma.github.io/Logging_2582/klagomål/A 1507-2022 FSC-klagomål.docx", "A 1507-2022")</f>
        <v/>
      </c>
      <c r="AB70">
        <f>HYPERLINK("https://klasma.github.io/Logging_2582/klagomålsmail/A 1507-2022 FSC-klagomål mail.docx", "A 1507-2022")</f>
        <v/>
      </c>
      <c r="AC70">
        <f>HYPERLINK("https://klasma.github.io/Logging_2582/tillsyn/A 1507-2022 tillsynsbegäran.docx", "A 1507-2022")</f>
        <v/>
      </c>
      <c r="AD70">
        <f>HYPERLINK("https://klasma.github.io/Logging_2582/tillsynsmail/A 1507-2022 tillsynsbegäran mail.docx", "A 1507-2022")</f>
        <v/>
      </c>
      <c r="AE70">
        <f>HYPERLINK("https://klasma.github.io/Logging_2582/fåglar/A 1507-2022 prioriterade fågelarter.docx", "A 1507-2022")</f>
        <v/>
      </c>
    </row>
    <row r="71" ht="15" customHeight="1">
      <c r="A71" t="inlineStr">
        <is>
          <t>A 6895-2025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45701</v>
      </c>
      <c r="E71" s="1" t="n">
        <v>46242</v>
      </c>
      <c r="F71" t="inlineStr">
        <is>
          <t>NORRBOTTENS LÄN</t>
        </is>
      </c>
      <c r="G71" t="inlineStr">
        <is>
          <t>BODEN</t>
        </is>
      </c>
      <c r="I71" t="n">
        <v>1.5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Kolflarnlav
Plattlummer</t>
        </is>
      </c>
      <c r="W71">
        <f>HYPERLINK("https://klasma.github.io/Logging_2582/artfynd/A 6895-2025 artfynd.xlsx", "A 6895-2025")</f>
        <v/>
      </c>
      <c r="X71">
        <f>HYPERLINK("https://klasma.github.io/Logging_2582/kartor/A 6895-2025 karta.png", "A 6895-2025")</f>
        <v/>
      </c>
      <c r="Y71">
        <f>HYPERLINK("https://klasma.github.io/Logging_2582/kartor_geotiff/A 6895-2025 georefererad karta.tif", "A 6895-2025")</f>
        <v/>
      </c>
      <c r="AA71">
        <f>HYPERLINK("https://klasma.github.io/Logging_2582/klagomål/A 6895-2025 FSC-klagomål.docx", "A 6895-2025")</f>
        <v/>
      </c>
      <c r="AB71">
        <f>HYPERLINK("https://klasma.github.io/Logging_2582/klagomålsmail/A 6895-2025 FSC-klagomål mail.docx", "A 6895-2025")</f>
        <v/>
      </c>
      <c r="AC71">
        <f>HYPERLINK("https://klasma.github.io/Logging_2582/tillsyn/A 6895-2025 tillsynsbegäran.docx", "A 6895-2025")</f>
        <v/>
      </c>
      <c r="AD71">
        <f>HYPERLINK("https://klasma.github.io/Logging_2582/tillsynsmail/A 6895-2025 tillsynsbegäran mail.docx", "A 6895-2025")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46242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46242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43315-2025 artfynd.xlsx", "A 43315-2025")</f>
        <v/>
      </c>
      <c r="X73">
        <f>HYPERLINK("https://klasma.github.io/Logging_2582/kartor/A 43315-2025 karta.png", "A 43315-2025")</f>
        <v/>
      </c>
      <c r="Y73">
        <f>HYPERLINK("https://klasma.github.io/Logging_2582/kartor_geotiff/A 43315-2025 georefererad karta.tif", "A 43315-2025")</f>
        <v/>
      </c>
      <c r="AA73">
        <f>HYPERLINK("https://klasma.github.io/Logging_2582/klagomål/A 43315-2025 FSC-klagomål.docx", "A 43315-2025")</f>
        <v/>
      </c>
      <c r="AB73">
        <f>HYPERLINK("https://klasma.github.io/Logging_2582/klagomålsmail/A 43315-2025 FSC-klagomål mail.docx", "A 43315-2025")</f>
        <v/>
      </c>
      <c r="AC73">
        <f>HYPERLINK("https://klasma.github.io/Logging_2582/tillsyn/A 43315-2025 tillsynsbegäran.docx", "A 43315-2025")</f>
        <v/>
      </c>
      <c r="AD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46242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43310-2025 artfynd.xlsx", "A 43310-2025")</f>
        <v/>
      </c>
      <c r="X74">
        <f>HYPERLINK("https://klasma.github.io/Logging_2582/kartor/A 43310-2025 karta.png", "A 43310-2025")</f>
        <v/>
      </c>
      <c r="Y74">
        <f>HYPERLINK("https://klasma.github.io/Logging_2582/kartor_geotiff/A 43310-2025 georefererad karta.tif", "A 43310-2025")</f>
        <v/>
      </c>
      <c r="AA74">
        <f>HYPERLINK("https://klasma.github.io/Logging_2582/klagomål/A 43310-2025 FSC-klagomål.docx", "A 43310-2025")</f>
        <v/>
      </c>
      <c r="AB74">
        <f>HYPERLINK("https://klasma.github.io/Logging_2582/klagomålsmail/A 43310-2025 FSC-klagomål mail.docx", "A 43310-2025")</f>
        <v/>
      </c>
      <c r="AC74">
        <f>HYPERLINK("https://klasma.github.io/Logging_2582/tillsyn/A 43310-2025 tillsynsbegäran.docx", "A 43310-2025")</f>
        <v/>
      </c>
      <c r="AD74">
        <f>HYPERLINK("https://klasma.github.io/Logging_2582/tillsynsmail/A 43310-2025 tillsynsbegäran mail.docx", "A 43310-2025")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46242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Doftticka
Lunglav</t>
        </is>
      </c>
      <c r="W75">
        <f>HYPERLINK("https://klasma.github.io/Logging_2582/artfynd/A 45477-2025 artfynd.xlsx", "A 45477-2025")</f>
        <v/>
      </c>
      <c r="X75">
        <f>HYPERLINK("https://klasma.github.io/Logging_2582/kartor/A 45477-2025 karta.png", "A 45477-2025")</f>
        <v/>
      </c>
      <c r="Y75">
        <f>HYPERLINK("https://klasma.github.io/Logging_2582/kartor_geotiff/A 45477-2025 georefererad karta.tif", "A 45477-2025")</f>
        <v/>
      </c>
      <c r="AA75">
        <f>HYPERLINK("https://klasma.github.io/Logging_2582/klagomål/A 45477-2025 FSC-klagomål.docx", "A 45477-2025")</f>
        <v/>
      </c>
      <c r="AB75">
        <f>HYPERLINK("https://klasma.github.io/Logging_2582/klagomålsmail/A 45477-2025 FSC-klagomål mail.docx", "A 45477-2025")</f>
        <v/>
      </c>
      <c r="AC75">
        <f>HYPERLINK("https://klasma.github.io/Logging_2582/tillsyn/A 45477-2025 tillsynsbegäran.docx", "A 45477-2025")</f>
        <v/>
      </c>
      <c r="AD75">
        <f>HYPERLINK("https://klasma.github.io/Logging_2582/tillsynsmail/A 45477-2025 tillsynsbegäran mail.docx", "A 45477-2025")</f>
        <v/>
      </c>
    </row>
    <row r="76" ht="15" customHeight="1">
      <c r="A76" t="inlineStr">
        <is>
          <t>A 28867-2025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46242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8.199999999999999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12</v>
      </c>
      <c r="U76" t="n">
        <v>12</v>
      </c>
      <c r="V76" s="2" t="inlineStr">
        <is>
          <t>Knärot
Fläcknycklar</t>
        </is>
      </c>
      <c r="W76">
        <f>HYPERLINK("https://klasma.github.io/Logging_2582/artfynd/A 28867-2025 artfynd.xlsx", "A 28867-2025")</f>
        <v/>
      </c>
      <c r="X76">
        <f>HYPERLINK("https://klasma.github.io/Logging_2582/kartor/A 28867-2025 karta.png", "A 28867-2025")</f>
        <v/>
      </c>
      <c r="Y76">
        <f>HYPERLINK("https://klasma.github.io/Logging_2582/kartor_geotiff/A 28867-2025 georefererad karta.tif", "A 28867-2025")</f>
        <v/>
      </c>
      <c r="Z76">
        <f>HYPERLINK("https://klasma.github.io/Logging_2582/knärot/A 28867-2025 karta knärot.png", "A 28867-2025")</f>
        <v/>
      </c>
      <c r="AA76">
        <f>HYPERLINK("https://klasma.github.io/Logging_2582/klagomål/A 28867-2025 FSC-klagomål.docx", "A 28867-2025")</f>
        <v/>
      </c>
      <c r="AB76">
        <f>HYPERLINK("https://klasma.github.io/Logging_2582/klagomålsmail/A 28867-2025 FSC-klagomål mail.docx", "A 28867-2025")</f>
        <v/>
      </c>
      <c r="AC76">
        <f>HYPERLINK("https://klasma.github.io/Logging_2582/tillsyn/A 28867-2025 tillsynsbegäran.docx", "A 28867-2025")</f>
        <v/>
      </c>
      <c r="AD76">
        <f>HYPERLINK("https://klasma.github.io/Logging_2582/tillsynsmail/A 28867-2025 tillsynsbegäran mail.docx", "A 28867-2025")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46242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46242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Lunglav
Rynkskinn</t>
        </is>
      </c>
      <c r="W78">
        <f>HYPERLINK("https://klasma.github.io/Logging_2582/artfynd/A 9306-2025 artfynd.xlsx", "A 9306-2025")</f>
        <v/>
      </c>
      <c r="X78">
        <f>HYPERLINK("https://klasma.github.io/Logging_2582/kartor/A 9306-2025 karta.png", "A 9306-2025")</f>
        <v/>
      </c>
      <c r="Y78">
        <f>HYPERLINK("https://klasma.github.io/Logging_2582/kartor_geotiff/A 9306-2025 georefererad karta.tif", "A 9306-2025")</f>
        <v/>
      </c>
      <c r="AA78">
        <f>HYPERLINK("https://klasma.github.io/Logging_2582/klagomål/A 9306-2025 FSC-klagomål.docx", "A 9306-2025")</f>
        <v/>
      </c>
      <c r="AB78">
        <f>HYPERLINK("https://klasma.github.io/Logging_2582/klagomålsmail/A 9306-2025 FSC-klagomål mail.docx", "A 9306-2025")</f>
        <v/>
      </c>
      <c r="AC78">
        <f>HYPERLINK("https://klasma.github.io/Logging_2582/tillsyn/A 9306-2025 tillsynsbegäran.docx", "A 9306-2025")</f>
        <v/>
      </c>
      <c r="AD78">
        <f>HYPERLINK("https://klasma.github.io/Logging_2582/tillsynsmail/A 9306-2025 tillsynsbegäran mail.docx", "A 9306-2025")</f>
        <v/>
      </c>
    </row>
    <row r="79" ht="15" customHeight="1">
      <c r="A79" t="inlineStr">
        <is>
          <t>A 48899-2024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46242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18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Hässlebrodd
Fläcknycklar</t>
        </is>
      </c>
      <c r="W79">
        <f>HYPERLINK("https://klasma.github.io/Logging_2582/artfynd/A 48899-2024 artfynd.xlsx", "A 48899-2024")</f>
        <v/>
      </c>
      <c r="X79">
        <f>HYPERLINK("https://klasma.github.io/Logging_2582/kartor/A 48899-2024 karta.png", "A 48899-2024")</f>
        <v/>
      </c>
      <c r="Y79">
        <f>HYPERLINK("https://klasma.github.io/Logging_2582/kartor_geotiff/A 48899-2024 georefererad karta.tif", "A 48899-2024")</f>
        <v/>
      </c>
      <c r="AA79">
        <f>HYPERLINK("https://klasma.github.io/Logging_2582/klagomål/A 48899-2024 FSC-klagomål.docx", "A 48899-2024")</f>
        <v/>
      </c>
      <c r="AB79">
        <f>HYPERLINK("https://klasma.github.io/Logging_2582/klagomålsmail/A 48899-2024 FSC-klagomål mail.docx", "A 48899-2024")</f>
        <v/>
      </c>
      <c r="AC79">
        <f>HYPERLINK("https://klasma.github.io/Logging_2582/tillsyn/A 48899-2024 tillsynsbegäran.docx", "A 48899-2024")</f>
        <v/>
      </c>
      <c r="AD79">
        <f>HYPERLINK("https://klasma.github.io/Logging_2582/tillsynsmail/A 48899-2024 tillsynsbegäran mail.docx", "A 48899-2024")</f>
        <v/>
      </c>
    </row>
    <row r="80" ht="15" customHeight="1">
      <c r="A80" t="inlineStr">
        <is>
          <t>A 61210-2024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46242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4</v>
      </c>
      <c r="U80" t="n">
        <v>0</v>
      </c>
      <c r="V80" s="2" t="inlineStr">
        <is>
          <t>Skrovlig taggsvamp
Blå taggsvamp</t>
        </is>
      </c>
      <c r="W80">
        <f>HYPERLINK("https://klasma.github.io/Logging_2582/artfynd/A 61210-2024 artfynd.xlsx", "A 61210-2024")</f>
        <v/>
      </c>
      <c r="X80">
        <f>HYPERLINK("https://klasma.github.io/Logging_2582/kartor/A 61210-2024 karta.png", "A 61210-2024")</f>
        <v/>
      </c>
      <c r="Y80">
        <f>HYPERLINK("https://klasma.github.io/Logging_2582/kartor_geotiff/A 61210-2024 georefererad karta.tif", "A 61210-2024")</f>
        <v/>
      </c>
      <c r="AA80">
        <f>HYPERLINK("https://klasma.github.io/Logging_2582/klagomål/A 61210-2024 FSC-klagomål.docx", "A 61210-2024")</f>
        <v/>
      </c>
      <c r="AB80">
        <f>HYPERLINK("https://klasma.github.io/Logging_2582/klagomålsmail/A 61210-2024 FSC-klagomål mail.docx", "A 61210-2024")</f>
        <v/>
      </c>
      <c r="AC80">
        <f>HYPERLINK("https://klasma.github.io/Logging_2582/tillsyn/A 61210-2024 tillsynsbegäran.docx", "A 61210-2024")</f>
        <v/>
      </c>
      <c r="AD80">
        <f>HYPERLINK("https://klasma.github.io/Logging_2582/tillsynsmail/A 61210-2024 tillsynsbegäran mail.docx", "A 61210-2024")</f>
        <v/>
      </c>
    </row>
    <row r="81" ht="15" customHeight="1">
      <c r="A81" t="inlineStr">
        <is>
          <t>A 60774-2025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46242</v>
      </c>
      <c r="F81" t="inlineStr">
        <is>
          <t>NORRBOTTENS LÄN</t>
        </is>
      </c>
      <c r="G81" t="inlineStr">
        <is>
          <t>BODEN</t>
        </is>
      </c>
      <c r="I81" t="n">
        <v>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Ullticka
Skinnlav</t>
        </is>
      </c>
      <c r="W81">
        <f>HYPERLINK("https://klasma.github.io/Logging_2582/artfynd/A 60774-2025 artfynd.xlsx", "A 60774-2025")</f>
        <v/>
      </c>
      <c r="X81">
        <f>HYPERLINK("https://klasma.github.io/Logging_2582/kartor/A 60774-2025 karta.png", "A 60774-2025")</f>
        <v/>
      </c>
      <c r="Y81">
        <f>HYPERLINK("https://klasma.github.io/Logging_2582/kartor_geotiff/A 60774-2025 georefererad karta.tif", "A 60774-2025")</f>
        <v/>
      </c>
      <c r="AA81">
        <f>HYPERLINK("https://klasma.github.io/Logging_2582/klagomål/A 60774-2025 FSC-klagomål.docx", "A 60774-2025")</f>
        <v/>
      </c>
      <c r="AB81">
        <f>HYPERLINK("https://klasma.github.io/Logging_2582/klagomålsmail/A 60774-2025 FSC-klagomål mail.docx", "A 60774-2025")</f>
        <v/>
      </c>
      <c r="AC81">
        <f>HYPERLINK("https://klasma.github.io/Logging_2582/tillsyn/A 60774-2025 tillsynsbegäran.docx", "A 60774-2025")</f>
        <v/>
      </c>
      <c r="AD81">
        <f>HYPERLINK("https://klasma.github.io/Logging_2582/tillsynsmail/A 60774-2025 tillsynsbegäran mail.docx", "A 60774-2025")</f>
        <v/>
      </c>
    </row>
    <row r="82" ht="15" customHeight="1">
      <c r="A82" t="inlineStr">
        <is>
          <t>A 54167-2025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46242</v>
      </c>
      <c r="F82" t="inlineStr">
        <is>
          <t>NORRBOTTENS LÄN</t>
        </is>
      </c>
      <c r="G82" t="inlineStr">
        <is>
          <t>BODEN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Lunglav
Stiftgelélav</t>
        </is>
      </c>
      <c r="W82">
        <f>HYPERLINK("https://klasma.github.io/Logging_2582/artfynd/A 54167-2025 artfynd.xlsx", "A 54167-2025")</f>
        <v/>
      </c>
      <c r="X82">
        <f>HYPERLINK("https://klasma.github.io/Logging_2582/kartor/A 54167-2025 karta.png", "A 54167-2025")</f>
        <v/>
      </c>
      <c r="Y82">
        <f>HYPERLINK("https://klasma.github.io/Logging_2582/kartor_geotiff/A 54167-2025 georefererad karta.tif", "A 54167-2025")</f>
        <v/>
      </c>
      <c r="AA82">
        <f>HYPERLINK("https://klasma.github.io/Logging_2582/klagomål/A 54167-2025 FSC-klagomål.docx", "A 54167-2025")</f>
        <v/>
      </c>
      <c r="AB82">
        <f>HYPERLINK("https://klasma.github.io/Logging_2582/klagomålsmail/A 54167-2025 FSC-klagomål mail.docx", "A 54167-2025")</f>
        <v/>
      </c>
      <c r="AC82">
        <f>HYPERLINK("https://klasma.github.io/Logging_2582/tillsyn/A 54167-2025 tillsynsbegäran.docx", "A 54167-2025")</f>
        <v/>
      </c>
      <c r="AD82">
        <f>HYPERLINK("https://klasma.github.io/Logging_2582/tillsynsmail/A 54167-2025 tillsynsbegäran mail.docx", "A 54167-2025")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46242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46242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46242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31758-2025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46242</v>
      </c>
      <c r="F86" t="inlineStr">
        <is>
          <t>NORRBOTTENS LÄN</t>
        </is>
      </c>
      <c r="G86" t="inlineStr">
        <is>
          <t>BODEN</t>
        </is>
      </c>
      <c r="I86" t="n">
        <v>19.9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Tretåig hackspett</t>
        </is>
      </c>
      <c r="W86">
        <f>HYPERLINK("https://klasma.github.io/Logging_2582/artfynd/A 31758-2025 artfynd.xlsx", "A 31758-2025")</f>
        <v/>
      </c>
      <c r="X86">
        <f>HYPERLINK("https://klasma.github.io/Logging_2582/kartor/A 31758-2025 karta.png", "A 31758-2025")</f>
        <v/>
      </c>
      <c r="Y86">
        <f>HYPERLINK("https://klasma.github.io/Logging_2582/kartor_geotiff/A 31758-2025 georefererad karta.tif", "A 31758-2025")</f>
        <v/>
      </c>
      <c r="AA86">
        <f>HYPERLINK("https://klasma.github.io/Logging_2582/klagomål/A 31758-2025 FSC-klagomål.docx", "A 31758-2025")</f>
        <v/>
      </c>
      <c r="AB86">
        <f>HYPERLINK("https://klasma.github.io/Logging_2582/klagomålsmail/A 31758-2025 FSC-klagomål mail.docx", "A 31758-2025")</f>
        <v/>
      </c>
      <c r="AC86">
        <f>HYPERLINK("https://klasma.github.io/Logging_2582/tillsyn/A 31758-2025 tillsynsbegäran.docx", "A 31758-2025")</f>
        <v/>
      </c>
      <c r="AD86">
        <f>HYPERLINK("https://klasma.github.io/Logging_2582/tillsynsmail/A 31758-2025 tillsynsbegäran mail.docx", "A 31758-2025")</f>
        <v/>
      </c>
      <c r="AE86">
        <f>HYPERLINK("https://klasma.github.io/Logging_2582/fåglar/A 31758-2025 prioriterade fågelarter.docx", "A 31758-2025")</f>
        <v/>
      </c>
    </row>
    <row r="87" ht="15" customHeight="1">
      <c r="A87" t="inlineStr">
        <is>
          <t>A 21657-2026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46149</v>
      </c>
      <c r="E87" s="1" t="n">
        <v>46242</v>
      </c>
      <c r="F87" t="inlineStr">
        <is>
          <t>NORRBOTTENS LÄN</t>
        </is>
      </c>
      <c r="G87" t="inlineStr">
        <is>
          <t>BODEN</t>
        </is>
      </c>
      <c r="I87" t="n">
        <v>9.800000000000001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Orre
Utter</t>
        </is>
      </c>
      <c r="W87">
        <f>HYPERLINK("https://klasma.github.io/Logging_2582/artfynd/A 21657-2026 artfynd.xlsx", "A 21657-2026")</f>
        <v/>
      </c>
      <c r="X87">
        <f>HYPERLINK("https://klasma.github.io/Logging_2582/kartor/A 21657-2026 karta.png", "A 21657-2026")</f>
        <v/>
      </c>
      <c r="Y87">
        <f>HYPERLINK("https://klasma.github.io/Logging_2582/kartor_geotiff/A 21657-2026 georefererad karta.tif", "A 21657-2026")</f>
        <v/>
      </c>
      <c r="AA87">
        <f>HYPERLINK("https://klasma.github.io/Logging_2582/klagomål/A 21657-2026 FSC-klagomål.docx", "A 21657-2026")</f>
        <v/>
      </c>
      <c r="AB87">
        <f>HYPERLINK("https://klasma.github.io/Logging_2582/klagomålsmail/A 21657-2026 FSC-klagomål mail.docx", "A 21657-2026")</f>
        <v/>
      </c>
      <c r="AC87">
        <f>HYPERLINK("https://klasma.github.io/Logging_2582/tillsyn/A 21657-2026 tillsynsbegäran.docx", "A 21657-2026")</f>
        <v/>
      </c>
      <c r="AD87">
        <f>HYPERLINK("https://klasma.github.io/Logging_2582/tillsynsmail/A 21657-2026 tillsynsbegäran mail.docx", "A 21657-2026")</f>
        <v/>
      </c>
      <c r="AE87">
        <f>HYPERLINK("https://klasma.github.io/Logging_2582/fåglar/A 21657-2026 prioriterade fågelarter.docx", "A 21657-2026")</f>
        <v/>
      </c>
    </row>
    <row r="88" ht="15" customHeight="1">
      <c r="A88" t="inlineStr">
        <is>
          <t>A 29807-2026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46242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Mörk kolflarnlav</t>
        </is>
      </c>
      <c r="W88">
        <f>HYPERLINK("https://klasma.github.io/Logging_2582/artfynd/A 29807-2026 artfynd.xlsx", "A 29807-2026")</f>
        <v/>
      </c>
      <c r="X88">
        <f>HYPERLINK("https://klasma.github.io/Logging_2582/kartor/A 29807-2026 karta.png", "A 29807-2026")</f>
        <v/>
      </c>
      <c r="Y88">
        <f>HYPERLINK("https://klasma.github.io/Logging_2582/kartor_geotiff/A 29807-2026 georefererad karta.tif", "A 29807-2026")</f>
        <v/>
      </c>
      <c r="AA88">
        <f>HYPERLINK("https://klasma.github.io/Logging_2582/klagomål/A 29807-2026 FSC-klagomål.docx", "A 29807-2026")</f>
        <v/>
      </c>
      <c r="AB88">
        <f>HYPERLINK("https://klasma.github.io/Logging_2582/klagomålsmail/A 29807-2026 FSC-klagomål mail.docx", "A 29807-2026")</f>
        <v/>
      </c>
      <c r="AC88">
        <f>HYPERLINK("https://klasma.github.io/Logging_2582/tillsyn/A 29807-2026 tillsynsbegäran.docx", "A 29807-2026")</f>
        <v/>
      </c>
      <c r="AD88">
        <f>HYPERLINK("https://klasma.github.io/Logging_2582/tillsynsmail/A 29807-2026 tillsynsbegäran mail.docx", "A 29807-2026")</f>
        <v/>
      </c>
    </row>
    <row r="89" ht="15" customHeight="1">
      <c r="A89" t="inlineStr">
        <is>
          <t>A 29860-2026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46242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Knottrig blåslav
Lunglav</t>
        </is>
      </c>
      <c r="W89">
        <f>HYPERLINK("https://klasma.github.io/Logging_2582/artfynd/A 29860-2026 artfynd.xlsx", "A 29860-2026")</f>
        <v/>
      </c>
      <c r="X89">
        <f>HYPERLINK("https://klasma.github.io/Logging_2582/kartor/A 29860-2026 karta.png", "A 29860-2026")</f>
        <v/>
      </c>
      <c r="Y89">
        <f>HYPERLINK("https://klasma.github.io/Logging_2582/kartor_geotiff/A 29860-2026 georefererad karta.tif", "A 29860-2026")</f>
        <v/>
      </c>
      <c r="AA89">
        <f>HYPERLINK("https://klasma.github.io/Logging_2582/klagomål/A 29860-2026 FSC-klagomål.docx", "A 29860-2026")</f>
        <v/>
      </c>
      <c r="AB89">
        <f>HYPERLINK("https://klasma.github.io/Logging_2582/klagomålsmail/A 29860-2026 FSC-klagomål mail.docx", "A 29860-2026")</f>
        <v/>
      </c>
      <c r="AC89">
        <f>HYPERLINK("https://klasma.github.io/Logging_2582/tillsyn/A 29860-2026 tillsynsbegäran.docx", "A 29860-2026")</f>
        <v/>
      </c>
      <c r="AD89">
        <f>HYPERLINK("https://klasma.github.io/Logging_2582/tillsynsmail/A 29860-2026 tillsynsbegäran mail.docx", "A 29860-2026")</f>
        <v/>
      </c>
    </row>
    <row r="90" ht="15" customHeight="1">
      <c r="A90" t="inlineStr">
        <is>
          <t>A 29881-2026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46242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Lunglav
Fläcknycklar</t>
        </is>
      </c>
      <c r="W90">
        <f>HYPERLINK("https://klasma.github.io/Logging_2582/artfynd/A 29881-2026 artfynd.xlsx", "A 29881-2026")</f>
        <v/>
      </c>
      <c r="X90">
        <f>HYPERLINK("https://klasma.github.io/Logging_2582/kartor/A 29881-2026 karta.png", "A 29881-2026")</f>
        <v/>
      </c>
      <c r="Y90">
        <f>HYPERLINK("https://klasma.github.io/Logging_2582/kartor_geotiff/A 29881-2026 georefererad karta.tif", "A 29881-2026")</f>
        <v/>
      </c>
      <c r="AA90">
        <f>HYPERLINK("https://klasma.github.io/Logging_2582/klagomål/A 29881-2026 FSC-klagomål.docx", "A 29881-2026")</f>
        <v/>
      </c>
      <c r="AB90">
        <f>HYPERLINK("https://klasma.github.io/Logging_2582/klagomålsmail/A 29881-2026 FSC-klagomål mail.docx", "A 29881-2026")</f>
        <v/>
      </c>
      <c r="AC90">
        <f>HYPERLINK("https://klasma.github.io/Logging_2582/tillsyn/A 29881-2026 tillsynsbegäran.docx", "A 29881-2026")</f>
        <v/>
      </c>
      <c r="AD90">
        <f>HYPERLINK("https://klasma.github.io/Logging_2582/tillsynsmail/A 29881-2026 tillsynsbegäran mail.docx", "A 29881-2026")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46242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34164-2023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45137</v>
      </c>
      <c r="E92" s="1" t="n">
        <v>46242</v>
      </c>
      <c r="F92" t="inlineStr">
        <is>
          <t>NORRBOTTENS LÄN</t>
        </is>
      </c>
      <c r="G92" t="inlineStr">
        <is>
          <t>BODEN</t>
        </is>
      </c>
      <c r="H92" t="inlineStr">
        <is>
          <t>SCA</t>
        </is>
      </c>
      <c r="I92" t="n">
        <v>2.2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Tretåig hackspett</t>
        </is>
      </c>
      <c r="W92">
        <f>HYPERLINK("https://klasma.github.io/Logging_2582/artfynd/A 34164-2023 artfynd.xlsx", "A 34164-2023")</f>
        <v/>
      </c>
      <c r="X92">
        <f>HYPERLINK("https://klasma.github.io/Logging_2582/kartor/A 34164-2023 karta.png", "A 34164-2023")</f>
        <v/>
      </c>
      <c r="Y92">
        <f>HYPERLINK("https://klasma.github.io/Logging_2582/kartor_geotiff/A 34164-2023 georefererad karta.tif", "A 34164-2023")</f>
        <v/>
      </c>
      <c r="AA92">
        <f>HYPERLINK("https://klasma.github.io/Logging_2582/klagomål/A 34164-2023 FSC-klagomål.docx", "A 34164-2023")</f>
        <v/>
      </c>
      <c r="AB92">
        <f>HYPERLINK("https://klasma.github.io/Logging_2582/klagomålsmail/A 34164-2023 FSC-klagomål mail.docx", "A 34164-2023")</f>
        <v/>
      </c>
      <c r="AC92">
        <f>HYPERLINK("https://klasma.github.io/Logging_2582/tillsyn/A 34164-2023 tillsynsbegäran.docx", "A 34164-2023")</f>
        <v/>
      </c>
      <c r="AD92">
        <f>HYPERLINK("https://klasma.github.io/Logging_2582/tillsynsmail/A 34164-2023 tillsynsbegäran mail.docx", "A 34164-2023")</f>
        <v/>
      </c>
      <c r="AE92">
        <f>HYPERLINK("https://klasma.github.io/Logging_2582/fåglar/A 34164-2023 prioriterade fågelarter.docx", "A 34164-2023")</f>
        <v/>
      </c>
    </row>
    <row r="93" ht="15" customHeight="1">
      <c r="A93" t="inlineStr">
        <is>
          <t>A 37086-2025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46242</v>
      </c>
      <c r="F93" t="inlineStr">
        <is>
          <t>NORRBOTTENS LÄN</t>
        </is>
      </c>
      <c r="G93" t="inlineStr">
        <is>
          <t>BODEN</t>
        </is>
      </c>
      <c r="H93" t="inlineStr">
        <is>
          <t>Övriga Aktiebolag</t>
        </is>
      </c>
      <c r="I93" t="n">
        <v>22.8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Stuplav</t>
        </is>
      </c>
      <c r="W93">
        <f>HYPERLINK("https://klasma.github.io/Logging_2582/artfynd/A 37086-2025 artfynd.xlsx", "A 37086-2025")</f>
        <v/>
      </c>
      <c r="X93">
        <f>HYPERLINK("https://klasma.github.io/Logging_2582/kartor/A 37086-2025 karta.png", "A 37086-2025")</f>
        <v/>
      </c>
      <c r="Y93">
        <f>HYPERLINK("https://klasma.github.io/Logging_2582/kartor_geotiff/A 37086-2025 georefererad karta.tif", "A 37086-2025")</f>
        <v/>
      </c>
      <c r="AA93">
        <f>HYPERLINK("https://klasma.github.io/Logging_2582/klagomål/A 37086-2025 FSC-klagomål.docx", "A 37086-2025")</f>
        <v/>
      </c>
      <c r="AB93">
        <f>HYPERLINK("https://klasma.github.io/Logging_2582/klagomålsmail/A 37086-2025 FSC-klagomål mail.docx", "A 37086-2025")</f>
        <v/>
      </c>
      <c r="AC93">
        <f>HYPERLINK("https://klasma.github.io/Logging_2582/tillsyn/A 37086-2025 tillsynsbegäran.docx", "A 37086-2025")</f>
        <v/>
      </c>
      <c r="AD93">
        <f>HYPERLINK("https://klasma.github.io/Logging_2582/tillsynsmail/A 37086-2025 tillsynsbegäran mail.docx", "A 37086-2025")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46242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46242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46242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46242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46242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1507-2022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46242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15.4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Talltita
Gråspett</t>
        </is>
      </c>
      <c r="W99">
        <f>HYPERLINK("https://klasma.github.io/Logging_2582/artfynd/A 1507-2022 artfynd.xlsx", "A 1507-2022")</f>
        <v/>
      </c>
      <c r="X99">
        <f>HYPERLINK("https://klasma.github.io/Logging_2582/kartor/A 1507-2022 karta.png", "A 1507-2022")</f>
        <v/>
      </c>
      <c r="Y99">
        <f>HYPERLINK("https://klasma.github.io/Logging_2582/kartor_geotiff/A 1507-2022 georefererad karta.tif", "A 1507-2022")</f>
        <v/>
      </c>
      <c r="AA99">
        <f>HYPERLINK("https://klasma.github.io/Logging_2582/klagomål/A 1507-2022 FSC-klagomål.docx", "A 1507-2022")</f>
        <v/>
      </c>
      <c r="AB99">
        <f>HYPERLINK("https://klasma.github.io/Logging_2582/klagomålsmail/A 1507-2022 FSC-klagomål mail.docx", "A 1507-2022")</f>
        <v/>
      </c>
      <c r="AC99">
        <f>HYPERLINK("https://klasma.github.io/Logging_2582/tillsyn/A 1507-2022 tillsynsbegäran.docx", "A 1507-2022")</f>
        <v/>
      </c>
      <c r="AD99">
        <f>HYPERLINK("https://klasma.github.io/Logging_2582/tillsynsmail/A 1507-2022 tillsynsbegäran mail.docx", "A 1507-2022")</f>
        <v/>
      </c>
      <c r="AE99">
        <f>HYPERLINK("https://klasma.github.io/Logging_2582/fåglar/A 1507-2022 prioriterade fågelarter.docx", "A 1507-2022")</f>
        <v/>
      </c>
    </row>
    <row r="100" ht="15" customHeight="1">
      <c r="A100" t="inlineStr">
        <is>
          <t>A 22906-2023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45072</v>
      </c>
      <c r="E100" s="1" t="n">
        <v>46242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3.5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Talltita
Utter</t>
        </is>
      </c>
      <c r="W100">
        <f>HYPERLINK("https://klasma.github.io/Logging_2582/artfynd/A 22906-2023 artfynd.xlsx", "A 22906-2023")</f>
        <v/>
      </c>
      <c r="X100">
        <f>HYPERLINK("https://klasma.github.io/Logging_2582/kartor/A 22906-2023 karta.png", "A 22906-2023")</f>
        <v/>
      </c>
      <c r="Y100">
        <f>HYPERLINK("https://klasma.github.io/Logging_2582/kartor_geotiff/A 22906-2023 georefererad karta.tif", "A 22906-2023")</f>
        <v/>
      </c>
      <c r="AA100">
        <f>HYPERLINK("https://klasma.github.io/Logging_2582/klagomål/A 22906-2023 FSC-klagomål.docx", "A 22906-2023")</f>
        <v/>
      </c>
      <c r="AB100">
        <f>HYPERLINK("https://klasma.github.io/Logging_2582/klagomålsmail/A 22906-2023 FSC-klagomål mail.docx", "A 22906-2023")</f>
        <v/>
      </c>
      <c r="AC100">
        <f>HYPERLINK("https://klasma.github.io/Logging_2582/tillsyn/A 22906-2023 tillsynsbegäran.docx", "A 22906-2023")</f>
        <v/>
      </c>
      <c r="AD100">
        <f>HYPERLINK("https://klasma.github.io/Logging_2582/tillsynsmail/A 22906-2023 tillsynsbegäran mail.docx", "A 22906-2023")</f>
        <v/>
      </c>
      <c r="AE100">
        <f>HYPERLINK("https://klasma.github.io/Logging_2582/fåglar/A 22906-2023 prioriterade fågelarter.docx", "A 22906-2023")</f>
        <v/>
      </c>
    </row>
    <row r="101" ht="15" customHeight="1">
      <c r="A101" t="inlineStr">
        <is>
          <t>A 17292-2022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46242</v>
      </c>
      <c r="F101" t="inlineStr">
        <is>
          <t>NORRBOTTENS LÄN</t>
        </is>
      </c>
      <c r="G101" t="inlineStr">
        <is>
          <t>BODEN</t>
        </is>
      </c>
      <c r="H101" t="inlineStr">
        <is>
          <t>Kyrkan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Revlummer</t>
        </is>
      </c>
      <c r="W101">
        <f>HYPERLINK("https://klasma.github.io/Logging_2582/artfynd/A 17292-2022 artfynd.xlsx", "A 17292-2022")</f>
        <v/>
      </c>
      <c r="X101">
        <f>HYPERLINK("https://klasma.github.io/Logging_2582/kartor/A 17292-2022 karta.png", "A 17292-2022")</f>
        <v/>
      </c>
      <c r="Y101">
        <f>HYPERLINK("https://klasma.github.io/Logging_2582/kartor_geotiff/A 17292-2022 georefererad karta.tif", "A 17292-2022")</f>
        <v/>
      </c>
      <c r="AA101">
        <f>HYPERLINK("https://klasma.github.io/Logging_2582/klagomål/A 17292-2022 FSC-klagomål.docx", "A 17292-2022")</f>
        <v/>
      </c>
      <c r="AB101">
        <f>HYPERLINK("https://klasma.github.io/Logging_2582/klagomålsmail/A 17292-2022 FSC-klagomål mail.docx", "A 17292-2022")</f>
        <v/>
      </c>
      <c r="AC101">
        <f>HYPERLINK("https://klasma.github.io/Logging_2582/tillsyn/A 17292-2022 tillsynsbegäran.docx", "A 17292-2022")</f>
        <v/>
      </c>
      <c r="AD101">
        <f>HYPERLINK("https://klasma.github.io/Logging_2582/tillsynsmail/A 17292-2022 tillsynsbegäran mail.docx", "A 17292-2022")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46242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46242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46242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46242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46242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46242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46242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46242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52078-2021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44463</v>
      </c>
      <c r="E110" s="1" t="n">
        <v>46242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4</v>
      </c>
      <c r="V110" s="2" t="inlineStr">
        <is>
          <t>Knärot</t>
        </is>
      </c>
      <c r="W110">
        <f>HYPERLINK("https://klasma.github.io/Logging_2582/artfynd/A 52078-2021 artfynd.xlsx", "A 52078-2021")</f>
        <v/>
      </c>
      <c r="X110">
        <f>HYPERLINK("https://klasma.github.io/Logging_2582/kartor/A 52078-2021 karta.png", "A 52078-2021")</f>
        <v/>
      </c>
      <c r="Y110">
        <f>HYPERLINK("https://klasma.github.io/Logging_2582/kartor_geotiff/A 52078-2021 georefererad karta.tif", "A 52078-2021")</f>
        <v/>
      </c>
      <c r="Z110">
        <f>HYPERLINK("https://klasma.github.io/Logging_2582/knärot/A 52078-2021 karta knärot.png", "A 52078-2021")</f>
        <v/>
      </c>
      <c r="AA110">
        <f>HYPERLINK("https://klasma.github.io/Logging_2582/klagomål/A 52078-2021 FSC-klagomål.docx", "A 52078-2021")</f>
        <v/>
      </c>
      <c r="AB110">
        <f>HYPERLINK("https://klasma.github.io/Logging_2582/klagomålsmail/A 52078-2021 FSC-klagomål mail.docx", "A 52078-2021")</f>
        <v/>
      </c>
      <c r="AC110">
        <f>HYPERLINK("https://klasma.github.io/Logging_2582/tillsyn/A 52078-2021 tillsynsbegäran.docx", "A 52078-2021")</f>
        <v/>
      </c>
      <c r="AD110">
        <f>HYPERLINK("https://klasma.github.io/Logging_2582/tillsynsmail/A 52078-2021 tillsynsbegäran mail.docx", "A 52078-2021")</f>
        <v/>
      </c>
    </row>
    <row r="111" ht="15" customHeight="1">
      <c r="A111" t="inlineStr">
        <is>
          <t>A 68560-2021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46242</v>
      </c>
      <c r="F111" t="inlineStr">
        <is>
          <t>NORRBOTTENS LÄN</t>
        </is>
      </c>
      <c r="G111" t="inlineStr">
        <is>
          <t>BODEN</t>
        </is>
      </c>
      <c r="I111" t="n">
        <v>3.5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4</v>
      </c>
      <c r="U111" t="n">
        <v>4</v>
      </c>
      <c r="V111" s="2" t="inlineStr">
        <is>
          <t>Småflikig brosklav</t>
        </is>
      </c>
      <c r="W111">
        <f>HYPERLINK("https://klasma.github.io/Logging_2582/artfynd/A 68560-2021 artfynd.xlsx", "A 68560-2021")</f>
        <v/>
      </c>
      <c r="X111">
        <f>HYPERLINK("https://klasma.github.io/Logging_2582/kartor/A 68560-2021 karta.png", "A 68560-2021")</f>
        <v/>
      </c>
      <c r="Y111">
        <f>HYPERLINK("https://klasma.github.io/Logging_2582/kartor_geotiff/A 68560-2021 georefererad karta.tif", "A 68560-2021")</f>
        <v/>
      </c>
      <c r="AA111">
        <f>HYPERLINK("https://klasma.github.io/Logging_2582/klagomål/A 68560-2021 FSC-klagomål.docx", "A 68560-2021")</f>
        <v/>
      </c>
      <c r="AB111">
        <f>HYPERLINK("https://klasma.github.io/Logging_2582/klagomålsmail/A 68560-2021 FSC-klagomål mail.docx", "A 68560-2021")</f>
        <v/>
      </c>
      <c r="AC111">
        <f>HYPERLINK("https://klasma.github.io/Logging_2582/tillsyn/A 68560-2021 tillsynsbegäran.docx", "A 68560-2021")</f>
        <v/>
      </c>
      <c r="AD111">
        <f>HYPERLINK("https://klasma.github.io/Logging_2582/tillsynsmail/A 68560-2021 tillsynsbegäran mail.docx", "A 68560-2021")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46242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46242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4878-2026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46242</v>
      </c>
      <c r="F114" t="inlineStr">
        <is>
          <t>NORRBOTTENS LÄN</t>
        </is>
      </c>
      <c r="G114" t="inlineStr">
        <is>
          <t>BODEN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padda</t>
        </is>
      </c>
      <c r="W114">
        <f>HYPERLINK("https://klasma.github.io/Logging_2582/artfynd/A 4878-2026 artfynd.xlsx", "A 4878-2026")</f>
        <v/>
      </c>
      <c r="X114">
        <f>HYPERLINK("https://klasma.github.io/Logging_2582/kartor/A 4878-2026 karta.png", "A 4878-2026")</f>
        <v/>
      </c>
      <c r="Y114">
        <f>HYPERLINK("https://klasma.github.io/Logging_2582/kartor_geotiff/A 4878-2026 georefererad karta.tif", "A 4878-2026")</f>
        <v/>
      </c>
      <c r="AA114">
        <f>HYPERLINK("https://klasma.github.io/Logging_2582/klagomål/A 4878-2026 FSC-klagomål.docx", "A 4878-2026")</f>
        <v/>
      </c>
      <c r="AB114">
        <f>HYPERLINK("https://klasma.github.io/Logging_2582/klagomålsmail/A 4878-2026 FSC-klagomål mail.docx", "A 4878-2026")</f>
        <v/>
      </c>
      <c r="AC114">
        <f>HYPERLINK("https://klasma.github.io/Logging_2582/tillsyn/A 4878-2026 tillsynsbegäran.docx", "A 4878-2026")</f>
        <v/>
      </c>
      <c r="AD114">
        <f>HYPERLINK("https://klasma.github.io/Logging_2582/tillsynsmail/A 4878-2026 tillsynsbegäran mail.docx", "A 4878-2026")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46242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HYPERLINK("https://klasma.github.io/Logging_2582/artfynd/A 41443-2025 artfynd.xlsx", "A 41443-2025")</f>
        <v/>
      </c>
      <c r="X115">
        <f>HYPERLINK("https://klasma.github.io/Logging_2582/kartor/A 41443-2025 karta.png", "A 41443-2025")</f>
        <v/>
      </c>
      <c r="Y115">
        <f>HYPERLINK("https://klasma.github.io/Logging_2582/kartor_geotiff/A 41443-2025 georefererad karta.tif", "A 41443-2025")</f>
        <v/>
      </c>
      <c r="AA115">
        <f>HYPERLINK("https://klasma.github.io/Logging_2582/klagomål/A 41443-2025 FSC-klagomål.docx", "A 41443-2025")</f>
        <v/>
      </c>
      <c r="AB115">
        <f>HYPERLINK("https://klasma.github.io/Logging_2582/klagomålsmail/A 41443-2025 FSC-klagomål mail.docx", "A 41443-2025")</f>
        <v/>
      </c>
      <c r="AC115">
        <f>HYPERLINK("https://klasma.github.io/Logging_2582/tillsyn/A 41443-2025 tillsynsbegäran.docx", "A 41443-2025")</f>
        <v/>
      </c>
      <c r="AD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13568-2022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46242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Lavskrika</t>
        </is>
      </c>
      <c r="W116">
        <f>HYPERLINK("https://klasma.github.io/Logging_2582/artfynd/A 13568-2022 artfynd.xlsx", "A 13568-2022")</f>
        <v/>
      </c>
      <c r="X116">
        <f>HYPERLINK("https://klasma.github.io/Logging_2582/kartor/A 13568-2022 karta.png", "A 13568-2022")</f>
        <v/>
      </c>
      <c r="Y116">
        <f>HYPERLINK("https://klasma.github.io/Logging_2582/kartor_geotiff/A 13568-2022 georefererad karta.tif", "A 13568-2022")</f>
        <v/>
      </c>
      <c r="AA116">
        <f>HYPERLINK("https://klasma.github.io/Logging_2582/klagomål/A 13568-2022 FSC-klagomål.docx", "A 13568-2022")</f>
        <v/>
      </c>
      <c r="AB116">
        <f>HYPERLINK("https://klasma.github.io/Logging_2582/klagomålsmail/A 13568-2022 FSC-klagomål mail.docx", "A 13568-2022")</f>
        <v/>
      </c>
      <c r="AC116">
        <f>HYPERLINK("https://klasma.github.io/Logging_2582/tillsyn/A 13568-2022 tillsynsbegäran.docx", "A 13568-2022")</f>
        <v/>
      </c>
      <c r="AD116">
        <f>HYPERLINK("https://klasma.github.io/Logging_2582/tillsynsmail/A 13568-2022 tillsynsbegäran mail.docx", "A 13568-2022")</f>
        <v/>
      </c>
      <c r="AE116">
        <f>HYPERLINK("https://klasma.github.io/Logging_2582/fåglar/A 13568-2022 prioriterade fågelarter.docx", "A 13568-2022")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46242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Fläcknycklar</t>
        </is>
      </c>
      <c r="W117">
        <f>HYPERLINK("https://klasma.github.io/Logging_2582/artfynd/A 41436-2025 artfynd.xlsx", "A 41436-2025")</f>
        <v/>
      </c>
      <c r="X117">
        <f>HYPERLINK("https://klasma.github.io/Logging_2582/kartor/A 41436-2025 karta.png", "A 41436-2025")</f>
        <v/>
      </c>
      <c r="Y117">
        <f>HYPERLINK("https://klasma.github.io/Logging_2582/kartor_geotiff/A 41436-2025 georefererad karta.tif", "A 41436-2025")</f>
        <v/>
      </c>
      <c r="AA117">
        <f>HYPERLINK("https://klasma.github.io/Logging_2582/klagomål/A 41436-2025 FSC-klagomål.docx", "A 41436-2025")</f>
        <v/>
      </c>
      <c r="AB117">
        <f>HYPERLINK("https://klasma.github.io/Logging_2582/klagomålsmail/A 41436-2025 FSC-klagomål mail.docx", "A 41436-2025")</f>
        <v/>
      </c>
      <c r="AC117">
        <f>HYPERLINK("https://klasma.github.io/Logging_2582/tillsyn/A 41436-2025 tillsynsbegäran.docx", "A 41436-2025")</f>
        <v/>
      </c>
      <c r="AD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46242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46242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46242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14329-2026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46242</v>
      </c>
      <c r="F121" t="inlineStr">
        <is>
          <t>NORRBOTTENS LÄN</t>
        </is>
      </c>
      <c r="G121" t="inlineStr">
        <is>
          <t>BODEN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HYPERLINK("https://klasma.github.io/Logging_2582/artfynd/A 14329-2026 artfynd.xlsx", "A 14329-2026")</f>
        <v/>
      </c>
      <c r="X121">
        <f>HYPERLINK("https://klasma.github.io/Logging_2582/kartor/A 14329-2026 karta.png", "A 14329-2026")</f>
        <v/>
      </c>
      <c r="Y121">
        <f>HYPERLINK("https://klasma.github.io/Logging_2582/kartor_geotiff/A 14329-2026 georefererad karta.tif", "A 14329-2026")</f>
        <v/>
      </c>
      <c r="AA121">
        <f>HYPERLINK("https://klasma.github.io/Logging_2582/klagomål/A 14329-2026 FSC-klagomål.docx", "A 14329-2026")</f>
        <v/>
      </c>
      <c r="AB121">
        <f>HYPERLINK("https://klasma.github.io/Logging_2582/klagomålsmail/A 14329-2026 FSC-klagomål mail.docx", "A 14329-2026")</f>
        <v/>
      </c>
      <c r="AC121">
        <f>HYPERLINK("https://klasma.github.io/Logging_2582/tillsyn/A 14329-2026 tillsynsbegäran.docx", "A 14329-2026")</f>
        <v/>
      </c>
      <c r="AD121">
        <f>HYPERLINK("https://klasma.github.io/Logging_2582/tillsynsmail/A 14329-2026 tillsynsbegäran mail.docx", "A 14329-2026")</f>
        <v/>
      </c>
      <c r="AE121">
        <f>HYPERLINK("https://klasma.github.io/Logging_2582/fåglar/A 14329-2026 prioriterade fågelarter.docx", "A 14329-2026")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46242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46242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51874-2025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45952</v>
      </c>
      <c r="E124" s="1" t="n">
        <v>46242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51874-2025 artfynd.xlsx", "A 51874-2025")</f>
        <v/>
      </c>
      <c r="X124">
        <f>HYPERLINK("https://klasma.github.io/Logging_2582/kartor/A 51874-2025 karta.png", "A 51874-2025")</f>
        <v/>
      </c>
      <c r="Y124">
        <f>HYPERLINK("https://klasma.github.io/Logging_2582/kartor_geotiff/A 51874-2025 georefererad karta.tif", "A 51874-2025")</f>
        <v/>
      </c>
      <c r="AA124">
        <f>HYPERLINK("https://klasma.github.io/Logging_2582/klagomål/A 51874-2025 FSC-klagomål.docx", "A 51874-2025")</f>
        <v/>
      </c>
      <c r="AB124">
        <f>HYPERLINK("https://klasma.github.io/Logging_2582/klagomålsmail/A 51874-2025 FSC-klagomål mail.docx", "A 51874-2025")</f>
        <v/>
      </c>
      <c r="AC124">
        <f>HYPERLINK("https://klasma.github.io/Logging_2582/tillsyn/A 51874-2025 tillsynsbegäran.docx", "A 51874-2025")</f>
        <v/>
      </c>
      <c r="AD124">
        <f>HYPERLINK("https://klasma.github.io/Logging_2582/tillsynsmail/A 51874-2025 tillsynsbegäran mail.docx", "A 51874-2025")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46242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46242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46242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46242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19580-2026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46134</v>
      </c>
      <c r="E129" s="1" t="n">
        <v>46242</v>
      </c>
      <c r="F129" t="inlineStr">
        <is>
          <t>NORRBOTTENS LÄN</t>
        </is>
      </c>
      <c r="G129" t="inlineStr">
        <is>
          <t>BODEN</t>
        </is>
      </c>
      <c r="I129" t="n">
        <v>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Dropptaggsvamp</t>
        </is>
      </c>
      <c r="W129">
        <f>HYPERLINK("https://klasma.github.io/Logging_2582/artfynd/A 19580-2026 artfynd.xlsx", "A 19580-2026")</f>
        <v/>
      </c>
      <c r="X129">
        <f>HYPERLINK("https://klasma.github.io/Logging_2582/kartor/A 19580-2026 karta.png", "A 19580-2026")</f>
        <v/>
      </c>
      <c r="Y129">
        <f>HYPERLINK("https://klasma.github.io/Logging_2582/kartor_geotiff/A 19580-2026 georefererad karta.tif", "A 19580-2026")</f>
        <v/>
      </c>
      <c r="AA129">
        <f>HYPERLINK("https://klasma.github.io/Logging_2582/klagomål/A 19580-2026 FSC-klagomål.docx", "A 19580-2026")</f>
        <v/>
      </c>
      <c r="AB129">
        <f>HYPERLINK("https://klasma.github.io/Logging_2582/klagomålsmail/A 19580-2026 FSC-klagomål mail.docx", "A 19580-2026")</f>
        <v/>
      </c>
      <c r="AC129">
        <f>HYPERLINK("https://klasma.github.io/Logging_2582/tillsyn/A 19580-2026 tillsynsbegäran.docx", "A 19580-2026")</f>
        <v/>
      </c>
      <c r="AD129">
        <f>HYPERLINK("https://klasma.github.io/Logging_2582/tillsynsmail/A 19580-2026 tillsynsbegäran mail.docx", "A 19580-2026")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46242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46242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36743-2024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46242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Lunglav</t>
        </is>
      </c>
      <c r="W132">
        <f>HYPERLINK("https://klasma.github.io/Logging_2582/artfynd/A 36743-2024 artfynd.xlsx", "A 36743-2024")</f>
        <v/>
      </c>
      <c r="X132">
        <f>HYPERLINK("https://klasma.github.io/Logging_2582/kartor/A 36743-2024 karta.png", "A 36743-2024")</f>
        <v/>
      </c>
      <c r="Y132">
        <f>HYPERLINK("https://klasma.github.io/Logging_2582/kartor_geotiff/A 36743-2024 georefererad karta.tif", "A 36743-2024")</f>
        <v/>
      </c>
      <c r="AA132">
        <f>HYPERLINK("https://klasma.github.io/Logging_2582/klagomål/A 36743-2024 FSC-klagomål.docx", "A 36743-2024")</f>
        <v/>
      </c>
      <c r="AB132">
        <f>HYPERLINK("https://klasma.github.io/Logging_2582/klagomålsmail/A 36743-2024 FSC-klagomål mail.docx", "A 36743-2024")</f>
        <v/>
      </c>
      <c r="AC132">
        <f>HYPERLINK("https://klasma.github.io/Logging_2582/tillsyn/A 36743-2024 tillsynsbegäran.docx", "A 36743-2024")</f>
        <v/>
      </c>
      <c r="AD132">
        <f>HYPERLINK("https://klasma.github.io/Logging_2582/tillsynsmail/A 36743-2024 tillsynsbegäran mail.docx", "A 36743-2024")</f>
        <v/>
      </c>
    </row>
    <row r="133" ht="15" customHeight="1">
      <c r="A133" t="inlineStr">
        <is>
          <t>A 62002-2025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46003</v>
      </c>
      <c r="E133" s="1" t="n">
        <v>46242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Vitgrynig nållav</t>
        </is>
      </c>
      <c r="W133">
        <f>HYPERLINK("https://klasma.github.io/Logging_2582/artfynd/A 62002-2025 artfynd.xlsx", "A 62002-2025")</f>
        <v/>
      </c>
      <c r="X133">
        <f>HYPERLINK("https://klasma.github.io/Logging_2582/kartor/A 62002-2025 karta.png", "A 62002-2025")</f>
        <v/>
      </c>
      <c r="Y133">
        <f>HYPERLINK("https://klasma.github.io/Logging_2582/kartor_geotiff/A 62002-2025 georefererad karta.tif", "A 62002-2025")</f>
        <v/>
      </c>
      <c r="AA133">
        <f>HYPERLINK("https://klasma.github.io/Logging_2582/klagomål/A 62002-2025 FSC-klagomål.docx", "A 62002-2025")</f>
        <v/>
      </c>
      <c r="AB133">
        <f>HYPERLINK("https://klasma.github.io/Logging_2582/klagomålsmail/A 62002-2025 FSC-klagomål mail.docx", "A 62002-2025")</f>
        <v/>
      </c>
      <c r="AC133">
        <f>HYPERLINK("https://klasma.github.io/Logging_2582/tillsyn/A 62002-2025 tillsynsbegäran.docx", "A 62002-2025")</f>
        <v/>
      </c>
      <c r="AD133">
        <f>HYPERLINK("https://klasma.github.io/Logging_2582/tillsynsmail/A 62002-2025 tillsynsbegäran mail.docx", "A 62002-2025")</f>
        <v/>
      </c>
    </row>
    <row r="134" ht="15" customHeight="1">
      <c r="A134" t="inlineStr">
        <is>
          <t>A 32600-2024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46242</v>
      </c>
      <c r="F134" t="inlineStr">
        <is>
          <t>NORRBOTTENS LÄN</t>
        </is>
      </c>
      <c r="G134" t="inlineStr">
        <is>
          <t>BODEN</t>
        </is>
      </c>
      <c r="I134" t="n">
        <v>2.5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HYPERLINK("https://klasma.github.io/Logging_2582/artfynd/A 32600-2024 artfynd.xlsx", "A 32600-2024")</f>
        <v/>
      </c>
      <c r="X134">
        <f>HYPERLINK("https://klasma.github.io/Logging_2582/kartor/A 32600-2024 karta.png", "A 32600-2024")</f>
        <v/>
      </c>
      <c r="Y134">
        <f>HYPERLINK("https://klasma.github.io/Logging_2582/kartor_geotiff/A 32600-2024 georefererad karta.tif", "A 32600-2024")</f>
        <v/>
      </c>
      <c r="AA134">
        <f>HYPERLINK("https://klasma.github.io/Logging_2582/klagomål/A 32600-2024 FSC-klagomål.docx", "A 32600-2024")</f>
        <v/>
      </c>
      <c r="AB134">
        <f>HYPERLINK("https://klasma.github.io/Logging_2582/klagomålsmail/A 32600-2024 FSC-klagomål mail.docx", "A 32600-2024")</f>
        <v/>
      </c>
      <c r="AC134">
        <f>HYPERLINK("https://klasma.github.io/Logging_2582/tillsyn/A 32600-2024 tillsynsbegäran.docx", "A 32600-2024")</f>
        <v/>
      </c>
      <c r="AD134">
        <f>HYPERLINK("https://klasma.github.io/Logging_2582/tillsynsmail/A 32600-2024 tillsynsbegäran mail.docx", "A 32600-2024")</f>
        <v/>
      </c>
    </row>
    <row r="135" ht="15" customHeight="1">
      <c r="A135" t="inlineStr">
        <is>
          <t>A 665-2023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44925</v>
      </c>
      <c r="E135" s="1" t="n">
        <v>46242</v>
      </c>
      <c r="F135" t="inlineStr">
        <is>
          <t>NORRBOTTENS LÄN</t>
        </is>
      </c>
      <c r="G135" t="inlineStr">
        <is>
          <t>BODEN</t>
        </is>
      </c>
      <c r="I135" t="n">
        <v>0.9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Duvhök</t>
        </is>
      </c>
      <c r="W135">
        <f>HYPERLINK("https://klasma.github.io/Logging_2582/artfynd/A 665-2023 artfynd.xlsx", "A 665-2023")</f>
        <v/>
      </c>
      <c r="X135">
        <f>HYPERLINK("https://klasma.github.io/Logging_2582/kartor/A 665-2023 karta.png", "A 665-2023")</f>
        <v/>
      </c>
      <c r="Y135">
        <f>HYPERLINK("https://klasma.github.io/Logging_2582/kartor_geotiff/A 665-2023 georefererad karta.tif", "A 665-2023")</f>
        <v/>
      </c>
      <c r="AA135">
        <f>HYPERLINK("https://klasma.github.io/Logging_2582/klagomål/A 665-2023 FSC-klagomål.docx", "A 665-2023")</f>
        <v/>
      </c>
      <c r="AB135">
        <f>HYPERLINK("https://klasma.github.io/Logging_2582/klagomålsmail/A 665-2023 FSC-klagomål mail.docx", "A 665-2023")</f>
        <v/>
      </c>
      <c r="AC135">
        <f>HYPERLINK("https://klasma.github.io/Logging_2582/tillsyn/A 665-2023 tillsynsbegäran.docx", "A 665-2023")</f>
        <v/>
      </c>
      <c r="AD135">
        <f>HYPERLINK("https://klasma.github.io/Logging_2582/tillsynsmail/A 665-2023 tillsynsbegäran mail.docx", "A 665-2023")</f>
        <v/>
      </c>
      <c r="AE135">
        <f>HYPERLINK("https://klasma.github.io/Logging_2582/fåglar/A 665-2023 prioriterade fågelarter.docx", "A 665-2023")</f>
        <v/>
      </c>
    </row>
    <row r="136" ht="15" customHeight="1">
      <c r="A136" t="inlineStr">
        <is>
          <t>A 21310-2026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46242</v>
      </c>
      <c r="F136" t="inlineStr">
        <is>
          <t>NORRBOTTENS LÄN</t>
        </is>
      </c>
      <c r="G136" t="inlineStr">
        <is>
          <t>BODEN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21310-2026 artfynd.xlsx", "A 21310-2026")</f>
        <v/>
      </c>
      <c r="X136">
        <f>HYPERLINK("https://klasma.github.io/Logging_2582/kartor/A 21310-2026 karta.png", "A 21310-2026")</f>
        <v/>
      </c>
      <c r="Y136">
        <f>HYPERLINK("https://klasma.github.io/Logging_2582/kartor_geotiff/A 21310-2026 georefererad karta.tif", "A 21310-2026")</f>
        <v/>
      </c>
      <c r="AA136">
        <f>HYPERLINK("https://klasma.github.io/Logging_2582/klagomål/A 21310-2026 FSC-klagomål.docx", "A 21310-2026")</f>
        <v/>
      </c>
      <c r="AB136">
        <f>HYPERLINK("https://klasma.github.io/Logging_2582/klagomålsmail/A 21310-2026 FSC-klagomål mail.docx", "A 21310-2026")</f>
        <v/>
      </c>
      <c r="AC136">
        <f>HYPERLINK("https://klasma.github.io/Logging_2582/tillsyn/A 21310-2026 tillsynsbegäran.docx", "A 21310-2026")</f>
        <v/>
      </c>
      <c r="AD136">
        <f>HYPERLINK("https://klasma.github.io/Logging_2582/tillsynsmail/A 21310-2026 tillsynsbegäran mail.docx", "A 21310-2026")</f>
        <v/>
      </c>
    </row>
    <row r="137" ht="15" customHeight="1">
      <c r="A137" t="inlineStr">
        <is>
          <t>A 12832-2022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46242</v>
      </c>
      <c r="F137" t="inlineStr">
        <is>
          <t>NORRBOTTENS LÄN</t>
        </is>
      </c>
      <c r="G137" t="inlineStr">
        <is>
          <t>BODEN</t>
        </is>
      </c>
      <c r="I137" t="n">
        <v>6.6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Doftticka</t>
        </is>
      </c>
      <c r="W137">
        <f>HYPERLINK("https://klasma.github.io/Logging_2582/artfynd/A 12832-2022 artfynd.xlsx", "A 12832-2022")</f>
        <v/>
      </c>
      <c r="X137">
        <f>HYPERLINK("https://klasma.github.io/Logging_2582/kartor/A 12832-2022 karta.png", "A 12832-2022")</f>
        <v/>
      </c>
      <c r="Y137">
        <f>HYPERLINK("https://klasma.github.io/Logging_2582/kartor_geotiff/A 12832-2022 georefererad karta.tif", "A 12832-2022")</f>
        <v/>
      </c>
      <c r="AA137">
        <f>HYPERLINK("https://klasma.github.io/Logging_2582/klagomål/A 12832-2022 FSC-klagomål.docx", "A 12832-2022")</f>
        <v/>
      </c>
      <c r="AB137">
        <f>HYPERLINK("https://klasma.github.io/Logging_2582/klagomålsmail/A 12832-2022 FSC-klagomål mail.docx", "A 12832-2022")</f>
        <v/>
      </c>
      <c r="AC137">
        <f>HYPERLINK("https://klasma.github.io/Logging_2582/tillsyn/A 12832-2022 tillsynsbegäran.docx", "A 12832-2022")</f>
        <v/>
      </c>
      <c r="AD137">
        <f>HYPERLINK("https://klasma.github.io/Logging_2582/tillsynsmail/A 12832-2022 tillsynsbegäran mail.docx", "A 12832-2022")</f>
        <v/>
      </c>
    </row>
    <row r="138" ht="15" customHeight="1">
      <c r="A138" t="inlineStr">
        <is>
          <t>A 29875-2026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46242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Tallticka</t>
        </is>
      </c>
      <c r="W138">
        <f>HYPERLINK("https://klasma.github.io/Logging_2582/artfynd/A 29875-2026 artfynd.xlsx", "A 29875-2026")</f>
        <v/>
      </c>
      <c r="X138">
        <f>HYPERLINK("https://klasma.github.io/Logging_2582/kartor/A 29875-2026 karta.png", "A 29875-2026")</f>
        <v/>
      </c>
      <c r="Y138">
        <f>HYPERLINK("https://klasma.github.io/Logging_2582/kartor_geotiff/A 29875-2026 georefererad karta.tif", "A 29875-2026")</f>
        <v/>
      </c>
      <c r="AA138">
        <f>HYPERLINK("https://klasma.github.io/Logging_2582/klagomål/A 29875-2026 FSC-klagomål.docx", "A 29875-2026")</f>
        <v/>
      </c>
      <c r="AB138">
        <f>HYPERLINK("https://klasma.github.io/Logging_2582/klagomålsmail/A 29875-2026 FSC-klagomål mail.docx", "A 29875-2026")</f>
        <v/>
      </c>
      <c r="AC138">
        <f>HYPERLINK("https://klasma.github.io/Logging_2582/tillsyn/A 29875-2026 tillsynsbegäran.docx", "A 29875-2026")</f>
        <v/>
      </c>
      <c r="AD138">
        <f>HYPERLINK("https://klasma.github.io/Logging_2582/tillsynsmail/A 29875-2026 tillsynsbegäran mail.docx", "A 29875-2026")</f>
        <v/>
      </c>
    </row>
    <row r="139" ht="15" customHeight="1">
      <c r="A139" t="inlineStr">
        <is>
          <t>A 24429-2026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46242</v>
      </c>
      <c r="F139" t="inlineStr">
        <is>
          <t>NORRBOTTENS LÄN</t>
        </is>
      </c>
      <c r="G139" t="inlineStr">
        <is>
          <t>BODEN</t>
        </is>
      </c>
      <c r="I139" t="n">
        <v>0.5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HYPERLINK("https://klasma.github.io/Logging_2582/artfynd/A 24429-2026 artfynd.xlsx", "A 24429-2026")</f>
        <v/>
      </c>
      <c r="X139">
        <f>HYPERLINK("https://klasma.github.io/Logging_2582/kartor/A 24429-2026 karta.png", "A 24429-2026")</f>
        <v/>
      </c>
      <c r="Y139">
        <f>HYPERLINK("https://klasma.github.io/Logging_2582/kartor_geotiff/A 24429-2026 georefererad karta.tif", "A 24429-2026")</f>
        <v/>
      </c>
      <c r="AA139">
        <f>HYPERLINK("https://klasma.github.io/Logging_2582/klagomål/A 24429-2026 FSC-klagomål.docx", "A 24429-2026")</f>
        <v/>
      </c>
      <c r="AB139">
        <f>HYPERLINK("https://klasma.github.io/Logging_2582/klagomålsmail/A 24429-2026 FSC-klagomål mail.docx", "A 24429-2026")</f>
        <v/>
      </c>
      <c r="AC139">
        <f>HYPERLINK("https://klasma.github.io/Logging_2582/tillsyn/A 24429-2026 tillsynsbegäran.docx", "A 24429-2026")</f>
        <v/>
      </c>
      <c r="AD139">
        <f>HYPERLINK("https://klasma.github.io/Logging_2582/tillsynsmail/A 24429-2026 tillsynsbegäran mail.docx", "A 24429-2026")</f>
        <v/>
      </c>
    </row>
    <row r="140" ht="15" customHeight="1">
      <c r="A140" t="inlineStr">
        <is>
          <t>A 49410-2023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46242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HYPERLINK("https://klasma.github.io/Logging_2582/artfynd/A 49410-2023 artfynd.xlsx", "A 49410-2023")</f>
        <v/>
      </c>
      <c r="X140">
        <f>HYPERLINK("https://klasma.github.io/Logging_2582/kartor/A 49410-2023 karta.png", "A 49410-2023")</f>
        <v/>
      </c>
      <c r="Y140">
        <f>HYPERLINK("https://klasma.github.io/Logging_2582/kartor_geotiff/A 49410-2023 georefererad karta.tif", "A 49410-2023")</f>
        <v/>
      </c>
      <c r="AA140">
        <f>HYPERLINK("https://klasma.github.io/Logging_2582/klagomål/A 49410-2023 FSC-klagomål.docx", "A 49410-2023")</f>
        <v/>
      </c>
      <c r="AB140">
        <f>HYPERLINK("https://klasma.github.io/Logging_2582/klagomålsmail/A 49410-2023 FSC-klagomål mail.docx", "A 49410-2023")</f>
        <v/>
      </c>
      <c r="AC140">
        <f>HYPERLINK("https://klasma.github.io/Logging_2582/tillsyn/A 49410-2023 tillsynsbegäran.docx", "A 49410-2023")</f>
        <v/>
      </c>
      <c r="AD140">
        <f>HYPERLINK("https://klasma.github.io/Logging_2582/tillsynsmail/A 49410-2023 tillsynsbegäran mail.docx", "A 49410-2023")</f>
        <v/>
      </c>
    </row>
    <row r="141" ht="15" customHeight="1">
      <c r="A141" t="inlineStr">
        <is>
          <t>A 41087-2024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45559</v>
      </c>
      <c r="E141" s="1" t="n">
        <v>46242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HYPERLINK("https://klasma.github.io/Logging_2582/artfynd/A 41087-2024 artfynd.xlsx", "A 41087-2024")</f>
        <v/>
      </c>
      <c r="X141">
        <f>HYPERLINK("https://klasma.github.io/Logging_2582/kartor/A 41087-2024 karta.png", "A 41087-2024")</f>
        <v/>
      </c>
      <c r="Y141">
        <f>HYPERLINK("https://klasma.github.io/Logging_2582/kartor_geotiff/A 41087-2024 georefererad karta.tif", "A 41087-2024")</f>
        <v/>
      </c>
      <c r="AA141">
        <f>HYPERLINK("https://klasma.github.io/Logging_2582/klagomål/A 41087-2024 FSC-klagomål.docx", "A 41087-2024")</f>
        <v/>
      </c>
      <c r="AB141">
        <f>HYPERLINK("https://klasma.github.io/Logging_2582/klagomålsmail/A 41087-2024 FSC-klagomål mail.docx", "A 41087-2024")</f>
        <v/>
      </c>
      <c r="AC141">
        <f>HYPERLINK("https://klasma.github.io/Logging_2582/tillsyn/A 41087-2024 tillsynsbegäran.docx", "A 41087-2024")</f>
        <v/>
      </c>
      <c r="AD141">
        <f>HYPERLINK("https://klasma.github.io/Logging_2582/tillsynsmail/A 41087-2024 tillsynsbegäran mail.docx", "A 41087-2024")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46242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HYPERLINK("https://klasma.github.io/Logging_2582/artfynd/A 25805-2026 artfynd.xlsx", "A 25805-2026")</f>
        <v/>
      </c>
      <c r="X142">
        <f>HYPERLINK("https://klasma.github.io/Logging_2582/kartor/A 25805-2026 karta.png", "A 25805-2026")</f>
        <v/>
      </c>
      <c r="Y142">
        <f>HYPERLINK("https://klasma.github.io/Logging_2582/kartor_geotiff/A 25805-2026 georefererad karta.tif", "A 25805-2026")</f>
        <v/>
      </c>
      <c r="AA142">
        <f>HYPERLINK("https://klasma.github.io/Logging_2582/klagomål/A 25805-2026 FSC-klagomål.docx", "A 25805-2026")</f>
        <v/>
      </c>
      <c r="AB142">
        <f>HYPERLINK("https://klasma.github.io/Logging_2582/klagomålsmail/A 25805-2026 FSC-klagomål mail.docx", "A 25805-2026")</f>
        <v/>
      </c>
      <c r="AC142">
        <f>HYPERLINK("https://klasma.github.io/Logging_2582/tillsyn/A 25805-2026 tillsynsbegäran.docx", "A 25805-2026")</f>
        <v/>
      </c>
      <c r="AD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46242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Spindelblomster</t>
        </is>
      </c>
      <c r="W143">
        <f>HYPERLINK("https://klasma.github.io/Logging_2582/artfynd/A 25803-2026 artfynd.xlsx", "A 25803-2026")</f>
        <v/>
      </c>
      <c r="X143">
        <f>HYPERLINK("https://klasma.github.io/Logging_2582/kartor/A 25803-2026 karta.png", "A 25803-2026")</f>
        <v/>
      </c>
      <c r="Y143">
        <f>HYPERLINK("https://klasma.github.io/Logging_2582/kartor_geotiff/A 25803-2026 georefererad karta.tif", "A 25803-2026")</f>
        <v/>
      </c>
      <c r="AA143">
        <f>HYPERLINK("https://klasma.github.io/Logging_2582/klagomål/A 25803-2026 FSC-klagomål.docx", "A 25803-2026")</f>
        <v/>
      </c>
      <c r="AB143">
        <f>HYPERLINK("https://klasma.github.io/Logging_2582/klagomålsmail/A 25803-2026 FSC-klagomål mail.docx", "A 25803-2026")</f>
        <v/>
      </c>
      <c r="AC143">
        <f>HYPERLINK("https://klasma.github.io/Logging_2582/tillsyn/A 25803-2026 tillsynsbegäran.docx", "A 25803-2026")</f>
        <v/>
      </c>
      <c r="AD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25801-2026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46242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25801-2026 artfynd.xlsx", "A 25801-2026")</f>
        <v/>
      </c>
      <c r="X144">
        <f>HYPERLINK("https://klasma.github.io/Logging_2582/kartor/A 25801-2026 karta.png", "A 25801-2026")</f>
        <v/>
      </c>
      <c r="Y144">
        <f>HYPERLINK("https://klasma.github.io/Logging_2582/kartor_geotiff/A 25801-2026 georefererad karta.tif", "A 25801-2026")</f>
        <v/>
      </c>
      <c r="Z144">
        <f>HYPERLINK("https://klasma.github.io/Logging_2582/knärot/A 25801-2026 karta knärot.png", "A 25801-2026")</f>
        <v/>
      </c>
      <c r="AA144">
        <f>HYPERLINK("https://klasma.github.io/Logging_2582/klagomål/A 25801-2026 FSC-klagomål.docx", "A 25801-2026")</f>
        <v/>
      </c>
      <c r="AB144">
        <f>HYPERLINK("https://klasma.github.io/Logging_2582/klagomålsmail/A 25801-2026 FSC-klagomål mail.docx", "A 25801-2026")</f>
        <v/>
      </c>
      <c r="AC144">
        <f>HYPERLINK("https://klasma.github.io/Logging_2582/tillsyn/A 25801-2026 tillsynsbegäran.docx", "A 25801-2026")</f>
        <v/>
      </c>
      <c r="AD144">
        <f>HYPERLINK("https://klasma.github.io/Logging_2582/tillsynsmail/A 25801-2026 tillsynsbegäran mail.docx", "A 25801-2026")</f>
        <v/>
      </c>
    </row>
    <row r="145" ht="15" customHeight="1">
      <c r="A145" t="inlineStr">
        <is>
          <t>A 26438-2026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46242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15.9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Kolflarnlav</t>
        </is>
      </c>
      <c r="W145">
        <f>HYPERLINK("https://klasma.github.io/Logging_2582/artfynd/A 26438-2026 artfynd.xlsx", "A 26438-2026")</f>
        <v/>
      </c>
      <c r="X145">
        <f>HYPERLINK("https://klasma.github.io/Logging_2582/kartor/A 26438-2026 karta.png", "A 26438-2026")</f>
        <v/>
      </c>
      <c r="Y145">
        <f>HYPERLINK("https://klasma.github.io/Logging_2582/kartor_geotiff/A 26438-2026 georefererad karta.tif", "A 26438-2026")</f>
        <v/>
      </c>
      <c r="AA145">
        <f>HYPERLINK("https://klasma.github.io/Logging_2582/klagomål/A 26438-2026 FSC-klagomål.docx", "A 26438-2026")</f>
        <v/>
      </c>
      <c r="AB145">
        <f>HYPERLINK("https://klasma.github.io/Logging_2582/klagomålsmail/A 26438-2026 FSC-klagomål mail.docx", "A 26438-2026")</f>
        <v/>
      </c>
      <c r="AC145">
        <f>HYPERLINK("https://klasma.github.io/Logging_2582/tillsyn/A 26438-2026 tillsynsbegäran.docx", "A 26438-2026")</f>
        <v/>
      </c>
      <c r="AD145">
        <f>HYPERLINK("https://klasma.github.io/Logging_2582/tillsynsmail/A 26438-2026 tillsynsbegäran mail.docx", "A 26438-2026")</f>
        <v/>
      </c>
    </row>
    <row r="146" ht="15" customHeight="1">
      <c r="A146" t="inlineStr">
        <is>
          <t>A 26690-2026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46242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11.9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HYPERLINK("https://klasma.github.io/Logging_2582/artfynd/A 26690-2026 artfynd.xlsx", "A 26690-2026")</f>
        <v/>
      </c>
      <c r="X146">
        <f>HYPERLINK("https://klasma.github.io/Logging_2582/kartor/A 26690-2026 karta.png", "A 26690-2026")</f>
        <v/>
      </c>
      <c r="Y146">
        <f>HYPERLINK("https://klasma.github.io/Logging_2582/kartor_geotiff/A 26690-2026 georefererad karta.tif", "A 26690-2026")</f>
        <v/>
      </c>
      <c r="Z146">
        <f>HYPERLINK("https://klasma.github.io/Logging_2582/knärot/A 26690-2026 karta knärot.png", "A 26690-2026")</f>
        <v/>
      </c>
      <c r="AA146">
        <f>HYPERLINK("https://klasma.github.io/Logging_2582/klagomål/A 26690-2026 FSC-klagomål.docx", "A 26690-2026")</f>
        <v/>
      </c>
      <c r="AB146">
        <f>HYPERLINK("https://klasma.github.io/Logging_2582/klagomålsmail/A 26690-2026 FSC-klagomål mail.docx", "A 26690-2026")</f>
        <v/>
      </c>
      <c r="AC146">
        <f>HYPERLINK("https://klasma.github.io/Logging_2582/tillsyn/A 26690-2026 tillsynsbegäran.docx", "A 26690-2026")</f>
        <v/>
      </c>
      <c r="AD146">
        <f>HYPERLINK("https://klasma.github.io/Logging_2582/tillsynsmail/A 26690-2026 tillsynsbegäran mail.docx", "A 26690-2026")</f>
        <v/>
      </c>
    </row>
    <row r="147" ht="15" customHeight="1">
      <c r="A147" t="inlineStr">
        <is>
          <t>A 2565-2026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46242</v>
      </c>
      <c r="F147" t="inlineStr">
        <is>
          <t>NORRBOTTENS LÄN</t>
        </is>
      </c>
      <c r="G147" t="inlineStr">
        <is>
          <t>BODEN</t>
        </is>
      </c>
      <c r="H147" t="inlineStr">
        <is>
          <t>Naturvårdsverket</t>
        </is>
      </c>
      <c r="I147" t="n">
        <v>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2</v>
      </c>
      <c r="V147" s="2" t="inlineStr">
        <is>
          <t>Garnlav</t>
        </is>
      </c>
      <c r="W147">
        <f>HYPERLINK("https://klasma.github.io/Logging_2582/artfynd/A 2565-2026 artfynd.xlsx", "A 2565-2026")</f>
        <v/>
      </c>
      <c r="X147">
        <f>HYPERLINK("https://klasma.github.io/Logging_2582/kartor/A 2565-2026 karta.png", "A 2565-2026")</f>
        <v/>
      </c>
      <c r="Y147">
        <f>HYPERLINK("https://klasma.github.io/Logging_2582/kartor_geotiff/A 2565-2026 georefererad karta.tif", "A 2565-2026")</f>
        <v/>
      </c>
      <c r="AA147">
        <f>HYPERLINK("https://klasma.github.io/Logging_2582/klagomål/A 2565-2026 FSC-klagomål.docx", "A 2565-2026")</f>
        <v/>
      </c>
      <c r="AB147">
        <f>HYPERLINK("https://klasma.github.io/Logging_2582/klagomålsmail/A 2565-2026 FSC-klagomål mail.docx", "A 2565-2026")</f>
        <v/>
      </c>
      <c r="AC147">
        <f>HYPERLINK("https://klasma.github.io/Logging_2582/tillsyn/A 2565-2026 tillsynsbegäran.docx", "A 2565-2026")</f>
        <v/>
      </c>
      <c r="AD147">
        <f>HYPERLINK("https://klasma.github.io/Logging_2582/tillsynsmail/A 2565-2026 tillsynsbegäran mail.docx", "A 2565-2026")</f>
        <v/>
      </c>
    </row>
    <row r="148" ht="15" customHeight="1">
      <c r="A148" t="inlineStr">
        <is>
          <t>A 32159-2026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46236</v>
      </c>
      <c r="E148" s="1" t="n">
        <v>46242</v>
      </c>
      <c r="F148" t="inlineStr">
        <is>
          <t>NORRBOTTENS LÄN</t>
        </is>
      </c>
      <c r="G148" t="inlineStr">
        <is>
          <t>BODEN</t>
        </is>
      </c>
      <c r="I148" t="n">
        <v>5.8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32159-2026 artfynd.xlsx", "A 32159-2026")</f>
        <v/>
      </c>
      <c r="X148">
        <f>HYPERLINK("https://klasma.github.io/Logging_2582/kartor/A 32159-2026 karta.png", "A 32159-2026")</f>
        <v/>
      </c>
      <c r="Y148">
        <f>HYPERLINK("https://klasma.github.io/Logging_2582/kartor_geotiff/A 32159-2026 georefererad karta.tif", "A 32159-2026")</f>
        <v/>
      </c>
      <c r="AA148">
        <f>HYPERLINK("https://klasma.github.io/Logging_2582/klagomål/A 32159-2026 FSC-klagomål.docx", "A 32159-2026")</f>
        <v/>
      </c>
      <c r="AB148">
        <f>HYPERLINK("https://klasma.github.io/Logging_2582/klagomålsmail/A 32159-2026 FSC-klagomål mail.docx", "A 32159-2026")</f>
        <v/>
      </c>
      <c r="AC148">
        <f>HYPERLINK("https://klasma.github.io/Logging_2582/tillsyn/A 32159-2026 tillsynsbegäran.docx", "A 32159-2026")</f>
        <v/>
      </c>
      <c r="AD148">
        <f>HYPERLINK("https://klasma.github.io/Logging_2582/tillsynsmail/A 32159-2026 tillsynsbegäran mail.docx", "A 32159-2026")</f>
        <v/>
      </c>
    </row>
    <row r="149" ht="15" customHeight="1">
      <c r="A149" t="inlineStr">
        <is>
          <t>A 32708-2026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46241</v>
      </c>
      <c r="E149" s="1" t="n">
        <v>46242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12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Lunglav</t>
        </is>
      </c>
      <c r="W149">
        <f>HYPERLINK("https://klasma.github.io/Logging_2582/artfynd/A 32708-2026 artfynd.xlsx", "A 32708-2026")</f>
        <v/>
      </c>
      <c r="X149">
        <f>HYPERLINK("https://klasma.github.io/Logging_2582/kartor/A 32708-2026 karta.png", "A 32708-2026")</f>
        <v/>
      </c>
      <c r="Y149">
        <f>HYPERLINK("https://klasma.github.io/Logging_2582/kartor_geotiff/A 32708-2026 georefererad karta.tif", "A 32708-2026")</f>
        <v/>
      </c>
      <c r="AA149">
        <f>HYPERLINK("https://klasma.github.io/Logging_2582/klagomål/A 32708-2026 FSC-klagomål.docx", "A 32708-2026")</f>
        <v/>
      </c>
      <c r="AB149">
        <f>HYPERLINK("https://klasma.github.io/Logging_2582/klagomålsmail/A 32708-2026 FSC-klagomål mail.docx", "A 32708-2026")</f>
        <v/>
      </c>
      <c r="AC149">
        <f>HYPERLINK("https://klasma.github.io/Logging_2582/tillsyn/A 32708-2026 tillsynsbegäran.docx", "A 32708-2026")</f>
        <v/>
      </c>
      <c r="AD149">
        <f>HYPERLINK("https://klasma.github.io/Logging_2582/tillsynsmail/A 32708-2026 tillsynsbegäran mail.docx", "A 32708-2026")</f>
        <v/>
      </c>
    </row>
    <row r="150" ht="15" customHeight="1">
      <c r="A150" t="inlineStr">
        <is>
          <t>A 19396-2022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46242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HYPERLINK("https://klasma.github.io/Logging_2582/artfynd/A 19396-2022 artfynd.xlsx", "A 19396-2022")</f>
        <v/>
      </c>
      <c r="X150">
        <f>HYPERLINK("https://klasma.github.io/Logging_2582/kartor/A 19396-2022 karta.png", "A 19396-2022")</f>
        <v/>
      </c>
      <c r="Y150">
        <f>HYPERLINK("https://klasma.github.io/Logging_2582/kartor_geotiff/A 19396-2022 georefererad karta.tif", "A 19396-2022")</f>
        <v/>
      </c>
      <c r="AA150">
        <f>HYPERLINK("https://klasma.github.io/Logging_2582/klagomål/A 19396-2022 FSC-klagomål.docx", "A 19396-2022")</f>
        <v/>
      </c>
      <c r="AB150">
        <f>HYPERLINK("https://klasma.github.io/Logging_2582/klagomålsmail/A 19396-2022 FSC-klagomål mail.docx", "A 19396-2022")</f>
        <v/>
      </c>
      <c r="AC150">
        <f>HYPERLINK("https://klasma.github.io/Logging_2582/tillsyn/A 19396-2022 tillsynsbegäran.docx", "A 19396-2022")</f>
        <v/>
      </c>
      <c r="AD150">
        <f>HYPERLINK("https://klasma.github.io/Logging_2582/tillsynsmail/A 19396-2022 tillsynsbegäran mail.docx", "A 19396-2022")</f>
        <v/>
      </c>
    </row>
    <row r="151" ht="15" customHeight="1">
      <c r="A151" t="inlineStr">
        <is>
          <t>A 32664-2026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46242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4</v>
      </c>
      <c r="U151" t="n">
        <v>0</v>
      </c>
      <c r="V151" s="2" t="inlineStr">
        <is>
          <t>Lunglav</t>
        </is>
      </c>
      <c r="W151">
        <f>HYPERLINK("https://klasma.github.io/Logging_2582/artfynd/A 32664-2026 artfynd.xlsx", "A 32664-2026")</f>
        <v/>
      </c>
      <c r="X151">
        <f>HYPERLINK("https://klasma.github.io/Logging_2582/kartor/A 32664-2026 karta.png", "A 32664-2026")</f>
        <v/>
      </c>
      <c r="Y151">
        <f>HYPERLINK("https://klasma.github.io/Logging_2582/kartor_geotiff/A 32664-2026 georefererad karta.tif", "A 32664-2026")</f>
        <v/>
      </c>
      <c r="AA151">
        <f>HYPERLINK("https://klasma.github.io/Logging_2582/klagomål/A 32664-2026 FSC-klagomål.docx", "A 32664-2026")</f>
        <v/>
      </c>
      <c r="AB151">
        <f>HYPERLINK("https://klasma.github.io/Logging_2582/klagomålsmail/A 32664-2026 FSC-klagomål mail.docx", "A 32664-2026")</f>
        <v/>
      </c>
      <c r="AC151">
        <f>HYPERLINK("https://klasma.github.io/Logging_2582/tillsyn/A 32664-2026 tillsynsbegäran.docx", "A 32664-2026")</f>
        <v/>
      </c>
      <c r="AD151">
        <f>HYPERLINK("https://klasma.github.io/Logging_2582/tillsynsmail/A 32664-2026 tillsynsbegäran mail.docx", "A 32664-2026")</f>
        <v/>
      </c>
    </row>
    <row r="152" ht="15" customHeight="1">
      <c r="A152" t="inlineStr">
        <is>
          <t>A 16217-2024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46242</v>
      </c>
      <c r="F152" t="inlineStr">
        <is>
          <t>NORRBOTTENS LÄN</t>
        </is>
      </c>
      <c r="G152" t="inlineStr">
        <is>
          <t>BODEN</t>
        </is>
      </c>
      <c r="I152" t="n">
        <v>7.2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Videsparv</t>
        </is>
      </c>
      <c r="W152">
        <f>HYPERLINK("https://klasma.github.io/Logging_2582/artfynd/A 16217-2024 artfynd.xlsx", "A 16217-2024")</f>
        <v/>
      </c>
      <c r="X152">
        <f>HYPERLINK("https://klasma.github.io/Logging_2582/kartor/A 16217-2024 karta.png", "A 16217-2024")</f>
        <v/>
      </c>
      <c r="Y152">
        <f>HYPERLINK("https://klasma.github.io/Logging_2582/kartor_geotiff/A 16217-2024 georefererad karta.tif", "A 16217-2024")</f>
        <v/>
      </c>
      <c r="AA152">
        <f>HYPERLINK("https://klasma.github.io/Logging_2582/klagomål/A 16217-2024 FSC-klagomål.docx", "A 16217-2024")</f>
        <v/>
      </c>
      <c r="AB152">
        <f>HYPERLINK("https://klasma.github.io/Logging_2582/klagomålsmail/A 16217-2024 FSC-klagomål mail.docx", "A 16217-2024")</f>
        <v/>
      </c>
      <c r="AC152">
        <f>HYPERLINK("https://klasma.github.io/Logging_2582/tillsyn/A 16217-2024 tillsynsbegäran.docx", "A 16217-2024")</f>
        <v/>
      </c>
      <c r="AD152">
        <f>HYPERLINK("https://klasma.github.io/Logging_2582/tillsynsmail/A 16217-2024 tillsynsbegäran mail.docx", "A 16217-2024")</f>
        <v/>
      </c>
      <c r="AE152">
        <f>HYPERLINK("https://klasma.github.io/Logging_2582/fåglar/A 16217-2024 prioriterade fågelarter.docx", "A 16217-2024")</f>
        <v/>
      </c>
    </row>
    <row r="153" ht="15" customHeight="1">
      <c r="A153" t="inlineStr">
        <is>
          <t>S 187-2023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44944</v>
      </c>
      <c r="E153" s="1" t="n">
        <v>46242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407.1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HYPERLINK("https://klasma.github.io/Logging_2582/artfynd/S 187-2023 artfynd.xlsx", "S 187-2023")</f>
        <v/>
      </c>
      <c r="X153">
        <f>HYPERLINK("https://klasma.github.io/Logging_2582/kartor/S 187-2023 karta.png", "S 187-2023")</f>
        <v/>
      </c>
      <c r="Y153">
        <f>HYPERLINK("https://klasma.github.io/Logging_2582/kartor_geotiff/S 187-2023 georefererad karta.tif", "S 187-2023")</f>
        <v/>
      </c>
      <c r="AA153">
        <f>HYPERLINK("https://klasma.github.io/Logging_2582/klagomål/S 187-2023 FSC-klagomål.docx", "S 187-2023")</f>
        <v/>
      </c>
      <c r="AB153">
        <f>HYPERLINK("https://klasma.github.io/Logging_2582/klagomålsmail/S 187-2023 FSC-klagomål mail.docx", "S 187-2023")</f>
        <v/>
      </c>
      <c r="AC153">
        <f>HYPERLINK("https://klasma.github.io/Logging_2582/tillsyn/S 187-2023 tillsynsbegäran.docx", "S 187-2023")</f>
        <v/>
      </c>
      <c r="AD153">
        <f>HYPERLINK("https://klasma.github.io/Logging_2582/tillsynsmail/S 187-2023 tillsynsbegäran mail.docx", "S 187-2023")</f>
        <v/>
      </c>
      <c r="AE153">
        <f>HYPERLINK("https://klasma.github.io/Logging_2582/fåglar/S 187-2023 prioriterade fågelarter.docx", "S 187-2023")</f>
        <v/>
      </c>
    </row>
    <row r="154" ht="15" customHeight="1">
      <c r="A154" t="inlineStr">
        <is>
          <t>S 1448-2024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45418</v>
      </c>
      <c r="E154" s="1" t="n">
        <v>46242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HYPERLINK("https://klasma.github.io/Logging_2582/artfynd/S 1448-2024 artfynd.xlsx", "S 1448-2024")</f>
        <v/>
      </c>
      <c r="X154">
        <f>HYPERLINK("https://klasma.github.io/Logging_2582/kartor/S 1448-2024 karta.png", "S 1448-2024")</f>
        <v/>
      </c>
      <c r="Y154">
        <f>HYPERLINK("https://klasma.github.io/Logging_2582/kartor_geotiff/S 1448-2024 georefererad karta.tif", "S 1448-2024")</f>
        <v/>
      </c>
      <c r="AA154">
        <f>HYPERLINK("https://klasma.github.io/Logging_2582/klagomål/S 1448-2024 FSC-klagomål.docx", "S 1448-2024")</f>
        <v/>
      </c>
      <c r="AB154">
        <f>HYPERLINK("https://klasma.github.io/Logging_2582/klagomålsmail/S 1448-2024 FSC-klagomål mail.docx", "S 1448-2024")</f>
        <v/>
      </c>
      <c r="AC154">
        <f>HYPERLINK("https://klasma.github.io/Logging_2582/tillsyn/S 1448-2024 tillsynsbegäran.docx", "S 1448-2024")</f>
        <v/>
      </c>
      <c r="AD154">
        <f>HYPERLINK("https://klasma.github.io/Logging_2582/tillsynsmail/S 1448-2024 tillsynsbegäran mail.docx", "S 1448-2024")</f>
        <v/>
      </c>
    </row>
    <row r="155" ht="15" customHeight="1">
      <c r="A155" t="inlineStr">
        <is>
          <t>S 1234-2023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45028</v>
      </c>
      <c r="E155" s="1" t="n">
        <v>46242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100.1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HYPERLINK("https://klasma.github.io/Logging_2582/artfynd/S 1234-2023 artfynd.xlsx", "S 1234-2023")</f>
        <v/>
      </c>
      <c r="X155">
        <f>HYPERLINK("https://klasma.github.io/Logging_2582/kartor/S 1234-2023 karta.png", "S 1234-2023")</f>
        <v/>
      </c>
      <c r="Y155">
        <f>HYPERLINK("https://klasma.github.io/Logging_2582/kartor_geotiff/S 1234-2023 georefererad karta.tif", "S 1234-2023")</f>
        <v/>
      </c>
      <c r="AA155">
        <f>HYPERLINK("https://klasma.github.io/Logging_2582/klagomål/S 1234-2023 FSC-klagomål.docx", "S 1234-2023")</f>
        <v/>
      </c>
      <c r="AB155">
        <f>HYPERLINK("https://klasma.github.io/Logging_2582/klagomålsmail/S 1234-2023 FSC-klagomål mail.docx", "S 1234-2023")</f>
        <v/>
      </c>
      <c r="AC155">
        <f>HYPERLINK("https://klasma.github.io/Logging_2582/tillsyn/S 1234-2023 tillsynsbegäran.docx", "S 1234-2023")</f>
        <v/>
      </c>
      <c r="AD155">
        <f>HYPERLINK("https://klasma.github.io/Logging_2582/tillsynsmail/S 1234-2023 tillsynsbegäran mail.docx", "S 1234-2023")</f>
        <v/>
      </c>
    </row>
    <row r="156" ht="15" customHeight="1">
      <c r="A156" t="inlineStr">
        <is>
          <t>S 5116-2024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45643</v>
      </c>
      <c r="E156" s="1" t="n">
        <v>46242</v>
      </c>
      <c r="F156" t="inlineStr">
        <is>
          <t>NORRBOTTENS LÄN</t>
        </is>
      </c>
      <c r="G156" t="inlineStr">
        <is>
          <t>BODEN</t>
        </is>
      </c>
      <c r="I156" t="n">
        <v>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HYPERLINK("https://klasma.github.io/Logging_2582/artfynd/S 5116-2024 artfynd.xlsx", "S 5116-2024")</f>
        <v/>
      </c>
      <c r="X156">
        <f>HYPERLINK("https://klasma.github.io/Logging_2582/kartor/S 5116-2024 karta.png", "S 5116-2024")</f>
        <v/>
      </c>
      <c r="Y156">
        <f>HYPERLINK("https://klasma.github.io/Logging_2582/kartor_geotiff/S 5116-2024 georefererad karta.tif", "S 5116-2024")</f>
        <v/>
      </c>
      <c r="AA156">
        <f>HYPERLINK("https://klasma.github.io/Logging_2582/klagomål/S 5116-2024 FSC-klagomål.docx", "S 5116-2024")</f>
        <v/>
      </c>
      <c r="AB156">
        <f>HYPERLINK("https://klasma.github.io/Logging_2582/klagomålsmail/S 5116-2024 FSC-klagomål mail.docx", "S 5116-2024")</f>
        <v/>
      </c>
      <c r="AC156">
        <f>HYPERLINK("https://klasma.github.io/Logging_2582/tillsyn/S 5116-2024 tillsynsbegäran.docx", "S 5116-2024")</f>
        <v/>
      </c>
      <c r="AD156">
        <f>HYPERLINK("https://klasma.github.io/Logging_2582/tillsynsmail/S 5116-2024 tillsynsbegäran mail.docx", "S 5116-2024")</f>
        <v/>
      </c>
    </row>
    <row r="157" ht="15" customHeight="1">
      <c r="A157" t="inlineStr">
        <is>
          <t>S 1634-2025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45799</v>
      </c>
      <c r="E157" s="1" t="n">
        <v>46242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HYPERLINK("https://klasma.github.io/Logging_2582/artfynd/S 1634-2025 artfynd.xlsx", "S 1634-2025")</f>
        <v/>
      </c>
      <c r="X157">
        <f>HYPERLINK("https://klasma.github.io/Logging_2582/kartor/S 1634-2025 karta.png", "S 1634-2025")</f>
        <v/>
      </c>
      <c r="Y157">
        <f>HYPERLINK("https://klasma.github.io/Logging_2582/kartor_geotiff/S 1634-2025 georefererad karta.tif", "S 1634-2025")</f>
        <v/>
      </c>
      <c r="Z157">
        <f>HYPERLINK("https://klasma.github.io/Logging_2582/knärot/S 1634-2025 karta knärot.png", "S 1634-2025")</f>
        <v/>
      </c>
      <c r="AA157">
        <f>HYPERLINK("https://klasma.github.io/Logging_2582/klagomål/S 1634-2025 FSC-klagomål.docx", "S 1634-2025")</f>
        <v/>
      </c>
      <c r="AB157">
        <f>HYPERLINK("https://klasma.github.io/Logging_2582/klagomålsmail/S 1634-2025 FSC-klagomål mail.docx", "S 1634-2025")</f>
        <v/>
      </c>
      <c r="AC157">
        <f>HYPERLINK("https://klasma.github.io/Logging_2582/tillsyn/S 1634-2025 tillsynsbegäran.docx", "S 1634-2025")</f>
        <v/>
      </c>
      <c r="AD157">
        <f>HYPERLINK("https://klasma.github.io/Logging_2582/tillsynsmail/S 1634-2025 tillsynsbegäran mail.docx", "S 1634-2025")</f>
        <v/>
      </c>
    </row>
    <row r="158" ht="15" customHeight="1">
      <c r="A158" t="inlineStr">
        <is>
          <t>S 2450-2025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45901</v>
      </c>
      <c r="E158" s="1" t="n">
        <v>46242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HYPERLINK("https://klasma.github.io/Logging_2582/artfynd/S 2450-2025 artfynd.xlsx", "S 2450-2025")</f>
        <v/>
      </c>
      <c r="X158">
        <f>HYPERLINK("https://klasma.github.io/Logging_2582/kartor/S 2450-2025 karta.png", "S 2450-2025")</f>
        <v/>
      </c>
      <c r="Y158">
        <f>HYPERLINK("https://klasma.github.io/Logging_2582/kartor_geotiff/S 2450-2025 georefererad karta.tif", "S 2450-2025")</f>
        <v/>
      </c>
      <c r="AA158">
        <f>HYPERLINK("https://klasma.github.io/Logging_2582/klagomål/S 2450-2025 FSC-klagomål.docx", "S 2450-2025")</f>
        <v/>
      </c>
      <c r="AB158">
        <f>HYPERLINK("https://klasma.github.io/Logging_2582/klagomålsmail/S 2450-2025 FSC-klagomål mail.docx", "S 2450-2025")</f>
        <v/>
      </c>
      <c r="AC158">
        <f>HYPERLINK("https://klasma.github.io/Logging_2582/tillsyn/S 2450-2025 tillsynsbegäran.docx", "S 2450-2025")</f>
        <v/>
      </c>
      <c r="AD158">
        <f>HYPERLINK("https://klasma.github.io/Logging_2582/tillsynsmail/S 2450-2025 tillsynsbegäran mail.docx", "S 2450-2025")</f>
        <v/>
      </c>
    </row>
    <row r="159" ht="15" customHeight="1">
      <c r="A159" t="inlineStr">
        <is>
          <t>S 2940-2025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45952</v>
      </c>
      <c r="E159" s="1" t="n">
        <v>46242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Skinnlav</t>
        </is>
      </c>
      <c r="W159">
        <f>HYPERLINK("https://klasma.github.io/Logging_2582/artfynd/S 2940-2025 artfynd.xlsx", "S 2940-2025")</f>
        <v/>
      </c>
      <c r="X159">
        <f>HYPERLINK("https://klasma.github.io/Logging_2582/kartor/S 2940-2025 karta.png", "S 2940-2025")</f>
        <v/>
      </c>
      <c r="Y159">
        <f>HYPERLINK("https://klasma.github.io/Logging_2582/kartor_geotiff/S 2940-2025 georefererad karta.tif", "S 2940-2025")</f>
        <v/>
      </c>
      <c r="AA159">
        <f>HYPERLINK("https://klasma.github.io/Logging_2582/klagomål/S 2940-2025 FSC-klagomål.docx", "S 2940-2025")</f>
        <v/>
      </c>
      <c r="AB159">
        <f>HYPERLINK("https://klasma.github.io/Logging_2582/klagomålsmail/S 2940-2025 FSC-klagomål mail.docx", "S 2940-2025")</f>
        <v/>
      </c>
      <c r="AC159">
        <f>HYPERLINK("https://klasma.github.io/Logging_2582/tillsyn/S 2940-2025 tillsynsbegäran.docx", "S 2940-2025")</f>
        <v/>
      </c>
      <c r="AD159">
        <f>HYPERLINK("https://klasma.github.io/Logging_2582/tillsynsmail/S 2940-2025 tillsynsbegäran mail.docx", "S 2940-2025")</f>
        <v/>
      </c>
    </row>
    <row r="160" ht="15" customHeight="1">
      <c r="A160" t="inlineStr">
        <is>
          <t>A 63790-2021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46242</v>
      </c>
      <c r="F160" t="inlineStr">
        <is>
          <t>NORRBOTTENS LÄN</t>
        </is>
      </c>
      <c r="G160" t="inlineStr">
        <is>
          <t>BODEN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46242</v>
      </c>
      <c r="F161" t="inlineStr">
        <is>
          <t>NORRBOTTENS LÄN</t>
        </is>
      </c>
      <c r="G161" t="inlineStr">
        <is>
          <t>BODEN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44577</v>
      </c>
      <c r="E162" s="1" t="n">
        <v>46242</v>
      </c>
      <c r="F162" t="inlineStr">
        <is>
          <t>NORRBOTTENS LÄN</t>
        </is>
      </c>
      <c r="G162" t="inlineStr">
        <is>
          <t>BODEN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46242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46242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46242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46242</v>
      </c>
      <c r="F166" t="inlineStr">
        <is>
          <t>NORRBOTTENS LÄN</t>
        </is>
      </c>
      <c r="G166" t="inlineStr">
        <is>
          <t>BODEN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46242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44815</v>
      </c>
      <c r="E168" s="1" t="n">
        <v>46242</v>
      </c>
      <c r="F168" t="inlineStr">
        <is>
          <t>NORRBOTTENS LÄN</t>
        </is>
      </c>
      <c r="G168" t="inlineStr">
        <is>
          <t>BODEN</t>
        </is>
      </c>
      <c r="H168" t="inlineStr">
        <is>
          <t>Övriga statliga verk och myndigheter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46242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44462</v>
      </c>
      <c r="E170" s="1" t="n">
        <v>46242</v>
      </c>
      <c r="F170" t="inlineStr">
        <is>
          <t>NORRBOTTENS LÄN</t>
        </is>
      </c>
      <c r="G170" t="inlineStr">
        <is>
          <t>BODEN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46242</v>
      </c>
      <c r="F171" t="inlineStr">
        <is>
          <t>NORRBOTTENS LÄN</t>
        </is>
      </c>
      <c r="G171" t="inlineStr">
        <is>
          <t>BODEN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46242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46242</v>
      </c>
      <c r="F173" t="inlineStr">
        <is>
          <t>NORRBOTTENS LÄN</t>
        </is>
      </c>
      <c r="G173" t="inlineStr">
        <is>
          <t>BODEN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46242</v>
      </c>
      <c r="F174" t="inlineStr">
        <is>
          <t>NORRBOTTENS LÄN</t>
        </is>
      </c>
      <c r="G174" t="inlineStr">
        <is>
          <t>BODEN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46242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46242</v>
      </c>
      <c r="F176" t="inlineStr">
        <is>
          <t>NORRBOTTENS LÄN</t>
        </is>
      </c>
      <c r="G176" t="inlineStr">
        <is>
          <t>BODEN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46242</v>
      </c>
      <c r="F177" t="inlineStr">
        <is>
          <t>NORRBOTTENS LÄN</t>
        </is>
      </c>
      <c r="G177" t="inlineStr">
        <is>
          <t>BODEN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46242</v>
      </c>
      <c r="F178" t="inlineStr">
        <is>
          <t>NORRBOTTENS LÄN</t>
        </is>
      </c>
      <c r="G178" t="inlineStr">
        <is>
          <t>BODEN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46242</v>
      </c>
      <c r="F179" t="inlineStr">
        <is>
          <t>NORRBOTTENS LÄN</t>
        </is>
      </c>
      <c r="G179" t="inlineStr">
        <is>
          <t>BODEN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46242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46242</v>
      </c>
      <c r="F181" t="inlineStr">
        <is>
          <t>NORRBOTTENS LÄN</t>
        </is>
      </c>
      <c r="G181" t="inlineStr">
        <is>
          <t>BODEN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71833-2021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44543</v>
      </c>
      <c r="E182" s="1" t="n">
        <v>46242</v>
      </c>
      <c r="F182" t="inlineStr">
        <is>
          <t>NORRBOTTENS LÄN</t>
        </is>
      </c>
      <c r="G182" t="inlineStr">
        <is>
          <t>BODEN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68914-2021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46242</v>
      </c>
      <c r="F183" t="inlineStr">
        <is>
          <t>NORRBOTTENS LÄN</t>
        </is>
      </c>
      <c r="G183" t="inlineStr">
        <is>
          <t>BODEN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13552-2022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46242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46242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46242</v>
      </c>
      <c r="F186" t="inlineStr">
        <is>
          <t>NORRBOTTENS LÄN</t>
        </is>
      </c>
      <c r="G186" t="inlineStr">
        <is>
          <t>BODEN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44566</v>
      </c>
      <c r="E187" s="1" t="n">
        <v>46242</v>
      </c>
      <c r="F187" t="inlineStr">
        <is>
          <t>NORRBOTTENS LÄN</t>
        </is>
      </c>
      <c r="G187" t="inlineStr">
        <is>
          <t>BODEN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714-2022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46242</v>
      </c>
      <c r="F188" t="inlineStr">
        <is>
          <t>NORRBOTTENS LÄN</t>
        </is>
      </c>
      <c r="G188" t="inlineStr">
        <is>
          <t>BODEN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44600</v>
      </c>
      <c r="E189" s="1" t="n">
        <v>46242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46242</v>
      </c>
      <c r="F190" t="inlineStr">
        <is>
          <t>NORRBOTTENS LÄN</t>
        </is>
      </c>
      <c r="G190" t="inlineStr">
        <is>
          <t>BODEN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46242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46242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46242</v>
      </c>
      <c r="F193" t="inlineStr">
        <is>
          <t>NORRBOTTENS LÄN</t>
        </is>
      </c>
      <c r="G193" t="inlineStr">
        <is>
          <t>BODEN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69124-2021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44530</v>
      </c>
      <c r="E194" s="1" t="n">
        <v>46242</v>
      </c>
      <c r="F194" t="inlineStr">
        <is>
          <t>NORRBOTTENS LÄN</t>
        </is>
      </c>
      <c r="G194" t="inlineStr">
        <is>
          <t>BODEN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44565</v>
      </c>
      <c r="E195" s="1" t="n">
        <v>46242</v>
      </c>
      <c r="F195" t="inlineStr">
        <is>
          <t>NORRBOTTENS LÄN</t>
        </is>
      </c>
      <c r="G195" t="inlineStr">
        <is>
          <t>BODEN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46242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46242</v>
      </c>
      <c r="F197" t="inlineStr">
        <is>
          <t>NORRBOTTENS LÄN</t>
        </is>
      </c>
      <c r="G197" t="inlineStr">
        <is>
          <t>BODEN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46242</v>
      </c>
      <c r="F198" t="inlineStr">
        <is>
          <t>NORRBOTTENS LÄN</t>
        </is>
      </c>
      <c r="G198" t="inlineStr">
        <is>
          <t>BODEN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46242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11.3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44625</v>
      </c>
      <c r="E200" s="1" t="n">
        <v>46242</v>
      </c>
      <c r="F200" t="inlineStr">
        <is>
          <t>NORRBOTTENS LÄN</t>
        </is>
      </c>
      <c r="G200" t="inlineStr">
        <is>
          <t>BODEN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46242</v>
      </c>
      <c r="F201" t="inlineStr">
        <is>
          <t>NORRBOTTENS LÄN</t>
        </is>
      </c>
      <c r="G201" t="inlineStr">
        <is>
          <t>BODEN</t>
        </is>
      </c>
      <c r="H201" t="inlineStr">
        <is>
          <t>Övriga statliga verk och myndigheter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46242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44799</v>
      </c>
      <c r="E203" s="1" t="n">
        <v>46242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46242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44743</v>
      </c>
      <c r="E205" s="1" t="n">
        <v>46242</v>
      </c>
      <c r="F205" t="inlineStr">
        <is>
          <t>NORRBOTTENS LÄN</t>
        </is>
      </c>
      <c r="G205" t="inlineStr">
        <is>
          <t>BODEN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46242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46242</v>
      </c>
      <c r="F207" t="inlineStr">
        <is>
          <t>NORRBOTTENS LÄN</t>
        </is>
      </c>
      <c r="G207" t="inlineStr">
        <is>
          <t>BODEN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46242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45189-2021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46242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46242</v>
      </c>
      <c r="F210" t="inlineStr">
        <is>
          <t>NORRBOTTENS LÄN</t>
        </is>
      </c>
      <c r="G210" t="inlineStr">
        <is>
          <t>BODEN</t>
        </is>
      </c>
      <c r="H210" t="inlineStr">
        <is>
          <t>Kyrkan</t>
        </is>
      </c>
      <c r="I210" t="n">
        <v>16.5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46242</v>
      </c>
      <c r="F211" t="inlineStr">
        <is>
          <t>NORRBOTTENS LÄN</t>
        </is>
      </c>
      <c r="G211" t="inlineStr">
        <is>
          <t>BODEN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46242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46242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46242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46242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44795</v>
      </c>
      <c r="E216" s="1" t="n">
        <v>46242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44489</v>
      </c>
      <c r="E217" s="1" t="n">
        <v>46242</v>
      </c>
      <c r="F217" t="inlineStr">
        <is>
          <t>NORRBOTTENS LÄN</t>
        </is>
      </c>
      <c r="G217" t="inlineStr">
        <is>
          <t>BODEN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46242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46242</v>
      </c>
      <c r="F219" t="inlineStr">
        <is>
          <t>NORRBOTTENS LÄN</t>
        </is>
      </c>
      <c r="G219" t="inlineStr">
        <is>
          <t>BODEN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44463</v>
      </c>
      <c r="E220" s="1" t="n">
        <v>46242</v>
      </c>
      <c r="F220" t="inlineStr">
        <is>
          <t>NORRBOTTENS LÄN</t>
        </is>
      </c>
      <c r="G220" t="inlineStr">
        <is>
          <t>BODEN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41180-2021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44423</v>
      </c>
      <c r="E221" s="1" t="n">
        <v>46242</v>
      </c>
      <c r="F221" t="inlineStr">
        <is>
          <t>NORRBOTTENS LÄN</t>
        </is>
      </c>
      <c r="G221" t="inlineStr">
        <is>
          <t>BODEN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46242</v>
      </c>
      <c r="F222" t="inlineStr">
        <is>
          <t>NORRBOTTENS LÄN</t>
        </is>
      </c>
      <c r="G222" t="inlineStr">
        <is>
          <t>BODEN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2426-2024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45310</v>
      </c>
      <c r="E223" s="1" t="n">
        <v>46242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46242</v>
      </c>
      <c r="F224" t="inlineStr">
        <is>
          <t>NORRBOTTENS LÄN</t>
        </is>
      </c>
      <c r="G224" t="inlineStr">
        <is>
          <t>BODEN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73910-2021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46242</v>
      </c>
      <c r="F225" t="inlineStr">
        <is>
          <t>NORRBOTTENS LÄN</t>
        </is>
      </c>
      <c r="G225" t="inlineStr">
        <is>
          <t>BODEN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46242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46242</v>
      </c>
      <c r="F227" t="inlineStr">
        <is>
          <t>NORRBOTTENS LÄN</t>
        </is>
      </c>
      <c r="G227" t="inlineStr">
        <is>
          <t>BODEN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46242</v>
      </c>
      <c r="F228" t="inlineStr">
        <is>
          <t>NORRBOTTENS LÄN</t>
        </is>
      </c>
      <c r="G228" t="inlineStr">
        <is>
          <t>BODEN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46242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46242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46242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46242</v>
      </c>
      <c r="F232" t="inlineStr">
        <is>
          <t>NORRBOTTENS LÄN</t>
        </is>
      </c>
      <c r="G232" t="inlineStr">
        <is>
          <t>BODEN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45125</v>
      </c>
      <c r="E233" s="1" t="n">
        <v>46242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46242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46242</v>
      </c>
      <c r="F235" t="inlineStr">
        <is>
          <t>NORRBOTTENS LÄN</t>
        </is>
      </c>
      <c r="G235" t="inlineStr">
        <is>
          <t>BODEN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44489</v>
      </c>
      <c r="E236" s="1" t="n">
        <v>46242</v>
      </c>
      <c r="F236" t="inlineStr">
        <is>
          <t>NORRBOTTENS LÄN</t>
        </is>
      </c>
      <c r="G236" t="inlineStr">
        <is>
          <t>BODEN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46242</v>
      </c>
      <c r="F237" t="inlineStr">
        <is>
          <t>NORRBOTTENS LÄN</t>
        </is>
      </c>
      <c r="G237" t="inlineStr">
        <is>
          <t>BODEN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46242</v>
      </c>
      <c r="F238" t="inlineStr">
        <is>
          <t>NORRBOTTENS LÄN</t>
        </is>
      </c>
      <c r="G238" t="inlineStr">
        <is>
          <t>BODEN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46242</v>
      </c>
      <c r="F239" t="inlineStr">
        <is>
          <t>NORRBOTTENS LÄN</t>
        </is>
      </c>
      <c r="G239" t="inlineStr">
        <is>
          <t>BODEN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46242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46242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46242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46242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45537</v>
      </c>
      <c r="E244" s="1" t="n">
        <v>46242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46242</v>
      </c>
      <c r="F245" t="inlineStr">
        <is>
          <t>NORRBOTTENS LÄN</t>
        </is>
      </c>
      <c r="G245" t="inlineStr">
        <is>
          <t>BODEN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45345</v>
      </c>
      <c r="E246" s="1" t="n">
        <v>46242</v>
      </c>
      <c r="F246" t="inlineStr">
        <is>
          <t>NORRBOTTENS LÄN</t>
        </is>
      </c>
      <c r="G246" t="inlineStr">
        <is>
          <t>BODEN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45512</v>
      </c>
      <c r="E247" s="1" t="n">
        <v>46242</v>
      </c>
      <c r="F247" t="inlineStr">
        <is>
          <t>NORRBOTTENS LÄN</t>
        </is>
      </c>
      <c r="G247" t="inlineStr">
        <is>
          <t>BODEN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74264-2021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44558</v>
      </c>
      <c r="E248" s="1" t="n">
        <v>46242</v>
      </c>
      <c r="F248" t="inlineStr">
        <is>
          <t>NORRBOTTENS LÄN</t>
        </is>
      </c>
      <c r="G248" t="inlineStr">
        <is>
          <t>BODEN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45766</v>
      </c>
      <c r="E249" s="1" t="n">
        <v>46242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45539</v>
      </c>
      <c r="E250" s="1" t="n">
        <v>46242</v>
      </c>
      <c r="F250" t="inlineStr">
        <is>
          <t>NORRBOTTENS LÄN</t>
        </is>
      </c>
      <c r="G250" t="inlineStr">
        <is>
          <t>BODEN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46242</v>
      </c>
      <c r="F251" t="inlineStr">
        <is>
          <t>NORRBOTTENS LÄN</t>
        </is>
      </c>
      <c r="G251" t="inlineStr">
        <is>
          <t>BODEN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45285</v>
      </c>
      <c r="E252" s="1" t="n">
        <v>46242</v>
      </c>
      <c r="F252" t="inlineStr">
        <is>
          <t>NORRBOTTENS LÄN</t>
        </is>
      </c>
      <c r="G252" t="inlineStr">
        <is>
          <t>BODEN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46242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46242</v>
      </c>
      <c r="F254" t="inlineStr">
        <is>
          <t>NORRBOTTENS LÄN</t>
        </is>
      </c>
      <c r="G254" t="inlineStr">
        <is>
          <t>BODEN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44441</v>
      </c>
      <c r="E255" s="1" t="n">
        <v>46242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46242</v>
      </c>
      <c r="F256" t="inlineStr">
        <is>
          <t>NORRBOTTENS LÄN</t>
        </is>
      </c>
      <c r="G256" t="inlineStr">
        <is>
          <t>BODEN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46242</v>
      </c>
      <c r="F257" t="inlineStr">
        <is>
          <t>NORRBOTTENS LÄN</t>
        </is>
      </c>
      <c r="G257" t="inlineStr">
        <is>
          <t>BODEN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55080-2021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44474</v>
      </c>
      <c r="E258" s="1" t="n">
        <v>46242</v>
      </c>
      <c r="F258" t="inlineStr">
        <is>
          <t>NORRBOTTENS LÄN</t>
        </is>
      </c>
      <c r="G258" t="inlineStr">
        <is>
          <t>BODEN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46242</v>
      </c>
      <c r="F259" t="inlineStr">
        <is>
          <t>NORRBOTTENS LÄN</t>
        </is>
      </c>
      <c r="G259" t="inlineStr">
        <is>
          <t>BODEN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46242</v>
      </c>
      <c r="F260" t="inlineStr">
        <is>
          <t>NORRBOTTENS LÄN</t>
        </is>
      </c>
      <c r="G260" t="inlineStr">
        <is>
          <t>BODEN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44983</v>
      </c>
      <c r="E261" s="1" t="n">
        <v>46242</v>
      </c>
      <c r="F261" t="inlineStr">
        <is>
          <t>NORRBOTTENS LÄN</t>
        </is>
      </c>
      <c r="G261" t="inlineStr">
        <is>
          <t>BODEN</t>
        </is>
      </c>
      <c r="I261" t="n">
        <v>37.1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46242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15.8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46242</v>
      </c>
      <c r="F263" t="inlineStr">
        <is>
          <t>NORRBOTTENS LÄN</t>
        </is>
      </c>
      <c r="G263" t="inlineStr">
        <is>
          <t>BODEN</t>
        </is>
      </c>
      <c r="I263" t="n">
        <v>33.9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46242</v>
      </c>
      <c r="F264" t="inlineStr">
        <is>
          <t>NORRBOTTENS LÄN</t>
        </is>
      </c>
      <c r="G264" t="inlineStr">
        <is>
          <t>BODEN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46242</v>
      </c>
      <c r="F265" t="inlineStr">
        <is>
          <t>NORRBOTTENS LÄN</t>
        </is>
      </c>
      <c r="G265" t="inlineStr">
        <is>
          <t>BODEN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57873-2021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44484</v>
      </c>
      <c r="E266" s="1" t="n">
        <v>46242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44862</v>
      </c>
      <c r="E267" s="1" t="n">
        <v>46242</v>
      </c>
      <c r="F267" t="inlineStr">
        <is>
          <t>NORRBOTTENS LÄN</t>
        </is>
      </c>
      <c r="G267" t="inlineStr">
        <is>
          <t>BODEN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46242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46242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46242</v>
      </c>
      <c r="F270" t="inlineStr">
        <is>
          <t>NORRBOTTENS LÄN</t>
        </is>
      </c>
      <c r="G270" t="inlineStr">
        <is>
          <t>BODEN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46242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46242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46242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46242</v>
      </c>
      <c r="F274" t="inlineStr">
        <is>
          <t>NORRBOTTENS LÄN</t>
        </is>
      </c>
      <c r="G274" t="inlineStr">
        <is>
          <t>BODEN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46242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46242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46242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45516</v>
      </c>
      <c r="E278" s="1" t="n">
        <v>46242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46242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46242</v>
      </c>
      <c r="F280" t="inlineStr">
        <is>
          <t>NORRBOTTENS LÄN</t>
        </is>
      </c>
      <c r="G280" t="inlineStr">
        <is>
          <t>BODEN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46242</v>
      </c>
      <c r="F281" t="inlineStr">
        <is>
          <t>NORRBOTTENS LÄN</t>
        </is>
      </c>
      <c r="G281" t="inlineStr">
        <is>
          <t>BODEN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46242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63841-2025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46242</v>
      </c>
      <c r="F283" t="inlineStr">
        <is>
          <t>NORRBOTTENS LÄN</t>
        </is>
      </c>
      <c r="G283" t="inlineStr">
        <is>
          <t>BODEN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46242</v>
      </c>
      <c r="F284" t="inlineStr">
        <is>
          <t>NORRBOTTENS LÄN</t>
        </is>
      </c>
      <c r="G284" t="inlineStr">
        <is>
          <t>BODEN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46242</v>
      </c>
      <c r="F285" t="inlineStr">
        <is>
          <t>NORRBOTTENS LÄN</t>
        </is>
      </c>
      <c r="G285" t="inlineStr">
        <is>
          <t>BODEN</t>
        </is>
      </c>
      <c r="H285" t="inlineStr">
        <is>
          <t>Naturvårdsverket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46036</v>
      </c>
      <c r="E286" s="1" t="n">
        <v>46242</v>
      </c>
      <c r="F286" t="inlineStr">
        <is>
          <t>NORRBOTTENS LÄN</t>
        </is>
      </c>
      <c r="G286" t="inlineStr">
        <is>
          <t>BODEN</t>
        </is>
      </c>
      <c r="H286" t="inlineStr">
        <is>
          <t>Kommuner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46242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45464</v>
      </c>
      <c r="E288" s="1" t="n">
        <v>46242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46242</v>
      </c>
      <c r="F289" t="inlineStr">
        <is>
          <t>NORRBOTTENS LÄN</t>
        </is>
      </c>
      <c r="G289" t="inlineStr">
        <is>
          <t>BODEN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45543</v>
      </c>
      <c r="E290" s="1" t="n">
        <v>46242</v>
      </c>
      <c r="F290" t="inlineStr">
        <is>
          <t>NORRBOTTENS LÄN</t>
        </is>
      </c>
      <c r="G290" t="inlineStr">
        <is>
          <t>BODEN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45709</v>
      </c>
      <c r="E291" s="1" t="n">
        <v>46242</v>
      </c>
      <c r="F291" t="inlineStr">
        <is>
          <t>NORRBOTTENS LÄN</t>
        </is>
      </c>
      <c r="G291" t="inlineStr">
        <is>
          <t>BODEN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46242</v>
      </c>
      <c r="F292" t="inlineStr">
        <is>
          <t>NORRBOTTENS LÄN</t>
        </is>
      </c>
      <c r="G292" t="inlineStr">
        <is>
          <t>BODEN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46242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46242</v>
      </c>
      <c r="F294" t="inlineStr">
        <is>
          <t>NORRBOTTENS LÄN</t>
        </is>
      </c>
      <c r="G294" t="inlineStr">
        <is>
          <t>BODEN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45560</v>
      </c>
      <c r="E295" s="1" t="n">
        <v>46242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46242</v>
      </c>
      <c r="F296" t="inlineStr">
        <is>
          <t>NORRBOTTENS LÄN</t>
        </is>
      </c>
      <c r="G296" t="inlineStr">
        <is>
          <t>BODEN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45649</v>
      </c>
      <c r="E297" s="1" t="n">
        <v>46242</v>
      </c>
      <c r="F297" t="inlineStr">
        <is>
          <t>NORRBOTTENS LÄN</t>
        </is>
      </c>
      <c r="G297" t="inlineStr">
        <is>
          <t>BODEN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57563-2023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46242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46242</v>
      </c>
      <c r="F299" t="inlineStr">
        <is>
          <t>NORRBOTTENS LÄN</t>
        </is>
      </c>
      <c r="G299" t="inlineStr">
        <is>
          <t>BODEN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46242</v>
      </c>
      <c r="F300" t="inlineStr">
        <is>
          <t>NORRBOTTENS LÄN</t>
        </is>
      </c>
      <c r="G300" t="inlineStr">
        <is>
          <t>BODEN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46242</v>
      </c>
      <c r="F301" t="inlineStr">
        <is>
          <t>NORRBOTTENS LÄN</t>
        </is>
      </c>
      <c r="G301" t="inlineStr">
        <is>
          <t>BODEN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45194</v>
      </c>
      <c r="E302" s="1" t="n">
        <v>46242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46242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46242</v>
      </c>
      <c r="F304" t="inlineStr">
        <is>
          <t>NORRBOTTENS LÄN</t>
        </is>
      </c>
      <c r="G304" t="inlineStr">
        <is>
          <t>BODEN</t>
        </is>
      </c>
      <c r="H304" t="inlineStr">
        <is>
          <t>Övriga statliga verk och myndigheter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46242</v>
      </c>
      <c r="F305" t="inlineStr">
        <is>
          <t>NORRBOTTENS LÄN</t>
        </is>
      </c>
      <c r="G305" t="inlineStr">
        <is>
          <t>BODEN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46242</v>
      </c>
      <c r="F306" t="inlineStr">
        <is>
          <t>NORRBOTTENS LÄN</t>
        </is>
      </c>
      <c r="G306" t="inlineStr">
        <is>
          <t>BODEN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45748</v>
      </c>
      <c r="E307" s="1" t="n">
        <v>46242</v>
      </c>
      <c r="F307" t="inlineStr">
        <is>
          <t>NORRBOTTENS LÄN</t>
        </is>
      </c>
      <c r="G307" t="inlineStr">
        <is>
          <t>BODEN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46242</v>
      </c>
      <c r="F308" t="inlineStr">
        <is>
          <t>NORRBOTTENS LÄN</t>
        </is>
      </c>
      <c r="G308" t="inlineStr">
        <is>
          <t>BODEN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46242</v>
      </c>
      <c r="F309" t="inlineStr">
        <is>
          <t>NORRBOTTENS LÄN</t>
        </is>
      </c>
      <c r="G309" t="inlineStr">
        <is>
          <t>BODEN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46242</v>
      </c>
      <c r="F310" t="inlineStr">
        <is>
          <t>NORRBOTTENS LÄN</t>
        </is>
      </c>
      <c r="G310" t="inlineStr">
        <is>
          <t>BODEN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46242</v>
      </c>
      <c r="F311" t="inlineStr">
        <is>
          <t>NORRBOTTENS LÄN</t>
        </is>
      </c>
      <c r="G311" t="inlineStr">
        <is>
          <t>BODEN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46242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46242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46242</v>
      </c>
      <c r="F314" t="inlineStr">
        <is>
          <t>NORRBOTTENS LÄN</t>
        </is>
      </c>
      <c r="G314" t="inlineStr">
        <is>
          <t>BODEN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41691-2025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45902</v>
      </c>
      <c r="E315" s="1" t="n">
        <v>46242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46242</v>
      </c>
      <c r="F316" t="inlineStr">
        <is>
          <t>NORRBOTTENS LÄN</t>
        </is>
      </c>
      <c r="G316" t="inlineStr">
        <is>
          <t>BODEN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46242</v>
      </c>
      <c r="F317" t="inlineStr">
        <is>
          <t>NORRBOTTENS LÄN</t>
        </is>
      </c>
      <c r="G317" t="inlineStr">
        <is>
          <t>BODEN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46242</v>
      </c>
      <c r="F318" t="inlineStr">
        <is>
          <t>NORRBOTTENS LÄN</t>
        </is>
      </c>
      <c r="G318" t="inlineStr">
        <is>
          <t>BODEN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46242</v>
      </c>
      <c r="F319" t="inlineStr">
        <is>
          <t>NORRBOTTENS LÄN</t>
        </is>
      </c>
      <c r="G319" t="inlineStr">
        <is>
          <t>BODEN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46242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46242</v>
      </c>
      <c r="F321" t="inlineStr">
        <is>
          <t>NORRBOTTENS LÄN</t>
        </is>
      </c>
      <c r="G321" t="inlineStr">
        <is>
          <t>BODEN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46242</v>
      </c>
      <c r="F322" t="inlineStr">
        <is>
          <t>NORRBOTTENS LÄN</t>
        </is>
      </c>
      <c r="G322" t="inlineStr">
        <is>
          <t>BODEN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46242</v>
      </c>
      <c r="F323" t="inlineStr">
        <is>
          <t>NORRBOTTENS LÄN</t>
        </is>
      </c>
      <c r="G323" t="inlineStr">
        <is>
          <t>BODEN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45907</v>
      </c>
      <c r="E324" s="1" t="n">
        <v>46242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45911</v>
      </c>
      <c r="E325" s="1" t="n">
        <v>46242</v>
      </c>
      <c r="F325" t="inlineStr">
        <is>
          <t>NORRBOTTENS LÄN</t>
        </is>
      </c>
      <c r="G325" t="inlineStr">
        <is>
          <t>BODEN</t>
        </is>
      </c>
      <c r="I325" t="n">
        <v>9.699999999999999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46242</v>
      </c>
      <c r="F326" t="inlineStr">
        <is>
          <t>NORRBOTTENS LÄN</t>
        </is>
      </c>
      <c r="G326" t="inlineStr">
        <is>
          <t>BODEN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46242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45884</v>
      </c>
      <c r="E328" s="1" t="n">
        <v>46242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46242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46242</v>
      </c>
      <c r="F330" t="inlineStr">
        <is>
          <t>NORRBOTTENS LÄN</t>
        </is>
      </c>
      <c r="G330" t="inlineStr">
        <is>
          <t>BODEN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46242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46242</v>
      </c>
      <c r="F332" t="inlineStr">
        <is>
          <t>NORRBOTTENS LÄN</t>
        </is>
      </c>
      <c r="G332" t="inlineStr">
        <is>
          <t>BODEN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46063</v>
      </c>
      <c r="E333" s="1" t="n">
        <v>46242</v>
      </c>
      <c r="F333" t="inlineStr">
        <is>
          <t>NORRBOTTENS LÄN</t>
        </is>
      </c>
      <c r="G333" t="inlineStr">
        <is>
          <t>BODEN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46242</v>
      </c>
      <c r="F334" t="inlineStr">
        <is>
          <t>NORRBOTTENS LÄN</t>
        </is>
      </c>
      <c r="G334" t="inlineStr">
        <is>
          <t>BODEN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46242</v>
      </c>
      <c r="F335" t="inlineStr">
        <is>
          <t>NORRBOTTENS LÄN</t>
        </is>
      </c>
      <c r="G335" t="inlineStr">
        <is>
          <t>BODEN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46242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13.9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46242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46242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46242</v>
      </c>
      <c r="F339" t="inlineStr">
        <is>
          <t>NORRBOTTENS LÄN</t>
        </is>
      </c>
      <c r="G339" t="inlineStr">
        <is>
          <t>BODEN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46065</v>
      </c>
      <c r="E340" s="1" t="n">
        <v>46242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46242</v>
      </c>
      <c r="F341" t="inlineStr">
        <is>
          <t>NORRBOTTENS LÄN</t>
        </is>
      </c>
      <c r="G341" t="inlineStr">
        <is>
          <t>BODEN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46242</v>
      </c>
      <c r="F342" t="inlineStr">
        <is>
          <t>NORRBOTTENS LÄN</t>
        </is>
      </c>
      <c r="G342" t="inlineStr">
        <is>
          <t>BODEN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45316</v>
      </c>
      <c r="E343" s="1" t="n">
        <v>46242</v>
      </c>
      <c r="F343" t="inlineStr">
        <is>
          <t>NORRBOTTENS LÄN</t>
        </is>
      </c>
      <c r="G343" t="inlineStr">
        <is>
          <t>BODEN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59890-2023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45254</v>
      </c>
      <c r="E344" s="1" t="n">
        <v>46242</v>
      </c>
      <c r="F344" t="inlineStr">
        <is>
          <t>NORRBOTTENS LÄN</t>
        </is>
      </c>
      <c r="G344" t="inlineStr">
        <is>
          <t>BODEN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46242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45481</v>
      </c>
      <c r="E346" s="1" t="n">
        <v>46242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45463</v>
      </c>
      <c r="E347" s="1" t="n">
        <v>46242</v>
      </c>
      <c r="F347" t="inlineStr">
        <is>
          <t>NORRBOTTENS LÄN</t>
        </is>
      </c>
      <c r="G347" t="inlineStr">
        <is>
          <t>BODEN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46242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46242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45766</v>
      </c>
      <c r="E350" s="1" t="n">
        <v>46242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46242</v>
      </c>
      <c r="F351" t="inlineStr">
        <is>
          <t>NORRBOTTENS LÄN</t>
        </is>
      </c>
      <c r="G351" t="inlineStr">
        <is>
          <t>BODEN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46242</v>
      </c>
      <c r="F352" t="inlineStr">
        <is>
          <t>NORRBOTTENS LÄN</t>
        </is>
      </c>
      <c r="G352" t="inlineStr">
        <is>
          <t>BODEN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46242</v>
      </c>
      <c r="F353" t="inlineStr">
        <is>
          <t>NORRBOTTENS LÄN</t>
        </is>
      </c>
      <c r="G353" t="inlineStr">
        <is>
          <t>BODEN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45667</v>
      </c>
      <c r="E354" s="1" t="n">
        <v>46242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46242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46242</v>
      </c>
      <c r="F356" t="inlineStr">
        <is>
          <t>NORRBOTTENS LÄN</t>
        </is>
      </c>
      <c r="G356" t="inlineStr">
        <is>
          <t>BODEN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46242</v>
      </c>
      <c r="F357" t="inlineStr">
        <is>
          <t>NORRBOTTENS LÄN</t>
        </is>
      </c>
      <c r="G357" t="inlineStr">
        <is>
          <t>BODEN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46242</v>
      </c>
      <c r="F358" t="inlineStr">
        <is>
          <t>NORRBOTTENS LÄN</t>
        </is>
      </c>
      <c r="G358" t="inlineStr">
        <is>
          <t>BODEN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46242</v>
      </c>
      <c r="F359" t="inlineStr">
        <is>
          <t>NORRBOTTENS LÄN</t>
        </is>
      </c>
      <c r="G359" t="inlineStr">
        <is>
          <t>BODEN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19060-2024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45427</v>
      </c>
      <c r="E360" s="1" t="n">
        <v>46242</v>
      </c>
      <c r="F360" t="inlineStr">
        <is>
          <t>NORRBOTTENS LÄN</t>
        </is>
      </c>
      <c r="G360" t="inlineStr">
        <is>
          <t>BODEN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45969-2025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45924</v>
      </c>
      <c r="E361" s="1" t="n">
        <v>46242</v>
      </c>
      <c r="F361" t="inlineStr">
        <is>
          <t>NORRBOTTENS LÄN</t>
        </is>
      </c>
      <c r="G361" t="inlineStr">
        <is>
          <t>BODEN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46242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46242</v>
      </c>
      <c r="F363" t="inlineStr">
        <is>
          <t>NORRBOTTENS LÄN</t>
        </is>
      </c>
      <c r="G363" t="inlineStr">
        <is>
          <t>BODEN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46242</v>
      </c>
      <c r="F364" t="inlineStr">
        <is>
          <t>NORRBOTTENS LÄN</t>
        </is>
      </c>
      <c r="G364" t="inlineStr">
        <is>
          <t>BODEN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46078</v>
      </c>
      <c r="E365" s="1" t="n">
        <v>46242</v>
      </c>
      <c r="F365" t="inlineStr">
        <is>
          <t>NORRBOTTENS LÄN</t>
        </is>
      </c>
      <c r="G365" t="inlineStr">
        <is>
          <t>BODEN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46242</v>
      </c>
      <c r="F366" t="inlineStr">
        <is>
          <t>NORRBOTTENS LÄN</t>
        </is>
      </c>
      <c r="G366" t="inlineStr">
        <is>
          <t>BODEN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46242</v>
      </c>
      <c r="F367" t="inlineStr">
        <is>
          <t>NORRBOTTENS LÄN</t>
        </is>
      </c>
      <c r="G367" t="inlineStr">
        <is>
          <t>BODEN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46242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11092-2022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44628</v>
      </c>
      <c r="E369" s="1" t="n">
        <v>46242</v>
      </c>
      <c r="F369" t="inlineStr">
        <is>
          <t>NORRBOTTENS LÄN</t>
        </is>
      </c>
      <c r="G369" t="inlineStr">
        <is>
          <t>BODEN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46242</v>
      </c>
      <c r="F370" t="inlineStr">
        <is>
          <t>NORRBOTTENS LÄN</t>
        </is>
      </c>
      <c r="G370" t="inlineStr">
        <is>
          <t>BODEN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46242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46242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46242</v>
      </c>
      <c r="F373" t="inlineStr">
        <is>
          <t>NORRBOTTENS LÄN</t>
        </is>
      </c>
      <c r="G373" t="inlineStr">
        <is>
          <t>BODEN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45718</v>
      </c>
      <c r="E374" s="1" t="n">
        <v>46242</v>
      </c>
      <c r="F374" t="inlineStr">
        <is>
          <t>NORRBOTTENS LÄN</t>
        </is>
      </c>
      <c r="G374" t="inlineStr">
        <is>
          <t>BODEN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47204-2025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46242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46242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28270-2025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45818</v>
      </c>
      <c r="E377" s="1" t="n">
        <v>46242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57579-2023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46242</v>
      </c>
      <c r="F378" t="inlineStr">
        <is>
          <t>NORRBOTTENS LÄN</t>
        </is>
      </c>
      <c r="G378" t="inlineStr">
        <is>
          <t>BODEN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46242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40781-2021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44421</v>
      </c>
      <c r="E380" s="1" t="n">
        <v>46242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46242</v>
      </c>
      <c r="F381" t="inlineStr">
        <is>
          <t>NORRBOTTENS LÄN</t>
        </is>
      </c>
      <c r="G381" t="inlineStr">
        <is>
          <t>BODEN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46242</v>
      </c>
      <c r="F382" t="inlineStr">
        <is>
          <t>NORRBOTTENS LÄN</t>
        </is>
      </c>
      <c r="G382" t="inlineStr">
        <is>
          <t>BODEN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46242</v>
      </c>
      <c r="F383" t="inlineStr">
        <is>
          <t>NORRBOTTENS LÄN</t>
        </is>
      </c>
      <c r="G383" t="inlineStr">
        <is>
          <t>BODEN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45933</v>
      </c>
      <c r="E384" s="1" t="n">
        <v>46242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46242</v>
      </c>
      <c r="F385" t="inlineStr">
        <is>
          <t>NORRBOTTENS LÄN</t>
        </is>
      </c>
      <c r="G385" t="inlineStr">
        <is>
          <t>BODEN</t>
        </is>
      </c>
      <c r="I385" t="n">
        <v>9.199999999999999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46242</v>
      </c>
      <c r="F386" t="inlineStr">
        <is>
          <t>NORRBOTTENS LÄN</t>
        </is>
      </c>
      <c r="G386" t="inlineStr">
        <is>
          <t>BODEN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45906</v>
      </c>
      <c r="E387" s="1" t="n">
        <v>46242</v>
      </c>
      <c r="F387" t="inlineStr">
        <is>
          <t>NORRBOTTENS LÄN</t>
        </is>
      </c>
      <c r="G387" t="inlineStr">
        <is>
          <t>BODEN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46242</v>
      </c>
      <c r="F388" t="inlineStr">
        <is>
          <t>NORRBOTTENS LÄN</t>
        </is>
      </c>
      <c r="G388" t="inlineStr">
        <is>
          <t>BODEN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11631-2026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46242</v>
      </c>
      <c r="F389" t="inlineStr">
        <is>
          <t>NORRBOTTENS LÄN</t>
        </is>
      </c>
      <c r="G389" t="inlineStr">
        <is>
          <t>BODEN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46086</v>
      </c>
      <c r="E390" s="1" t="n">
        <v>46242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45102</v>
      </c>
      <c r="E391" s="1" t="n">
        <v>46242</v>
      </c>
      <c r="F391" t="inlineStr">
        <is>
          <t>NORRBOTTENS LÄN</t>
        </is>
      </c>
      <c r="G391" t="inlineStr">
        <is>
          <t>BODEN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48172-2025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46242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48173-2025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46242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45316</v>
      </c>
      <c r="E394" s="1" t="n">
        <v>46242</v>
      </c>
      <c r="F394" t="inlineStr">
        <is>
          <t>NORRBOTTENS LÄN</t>
        </is>
      </c>
      <c r="G394" t="inlineStr">
        <is>
          <t>BODEN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46242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46242</v>
      </c>
      <c r="F396" t="inlineStr">
        <is>
          <t>NORRBOTTENS LÄN</t>
        </is>
      </c>
      <c r="G396" t="inlineStr">
        <is>
          <t>BODEN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44529</v>
      </c>
      <c r="E397" s="1" t="n">
        <v>46242</v>
      </c>
      <c r="F397" t="inlineStr">
        <is>
          <t>NORRBOTTENS LÄN</t>
        </is>
      </c>
      <c r="G397" t="inlineStr">
        <is>
          <t>BODEN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46242</v>
      </c>
      <c r="F398" t="inlineStr">
        <is>
          <t>NORRBOTTENS LÄN</t>
        </is>
      </c>
      <c r="G398" t="inlineStr">
        <is>
          <t>BODEN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49357-2025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46242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46242</v>
      </c>
      <c r="F400" t="inlineStr">
        <is>
          <t>NORRBOTTENS LÄN</t>
        </is>
      </c>
      <c r="G400" t="inlineStr">
        <is>
          <t>BODEN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13556-2022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44648</v>
      </c>
      <c r="E401" s="1" t="n">
        <v>46242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45212</v>
      </c>
      <c r="E402" s="1" t="n">
        <v>46242</v>
      </c>
      <c r="F402" t="inlineStr">
        <is>
          <t>NORRBOTTENS LÄN</t>
        </is>
      </c>
      <c r="G402" t="inlineStr">
        <is>
          <t>BODEN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46242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46242</v>
      </c>
      <c r="F404" t="inlineStr">
        <is>
          <t>NORRBOTTENS LÄN</t>
        </is>
      </c>
      <c r="G404" t="inlineStr">
        <is>
          <t>BODEN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46242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46242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28079-2024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45476</v>
      </c>
      <c r="E407" s="1" t="n">
        <v>46242</v>
      </c>
      <c r="F407" t="inlineStr">
        <is>
          <t>NORRBOTTENS LÄN</t>
        </is>
      </c>
      <c r="G407" t="inlineStr">
        <is>
          <t>BODEN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50147-2025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45943</v>
      </c>
      <c r="E408" s="1" t="n">
        <v>46242</v>
      </c>
      <c r="F408" t="inlineStr">
        <is>
          <t>NORRBOTTENS LÄN</t>
        </is>
      </c>
      <c r="G408" t="inlineStr">
        <is>
          <t>BODEN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54935-2021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44474</v>
      </c>
      <c r="E409" s="1" t="n">
        <v>46242</v>
      </c>
      <c r="F409" t="inlineStr">
        <is>
          <t>NORRBOTTENS LÄN</t>
        </is>
      </c>
      <c r="G409" t="inlineStr">
        <is>
          <t>BODEN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708-2022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44566</v>
      </c>
      <c r="E410" s="1" t="n">
        <v>46242</v>
      </c>
      <c r="F410" t="inlineStr">
        <is>
          <t>NORRBOTTENS LÄN</t>
        </is>
      </c>
      <c r="G410" t="inlineStr">
        <is>
          <t>BODEN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39272-2024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45551</v>
      </c>
      <c r="E411" s="1" t="n">
        <v>46242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46242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46242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45707</v>
      </c>
      <c r="E414" s="1" t="n">
        <v>46242</v>
      </c>
      <c r="F414" t="inlineStr">
        <is>
          <t>NORRBOTTENS LÄN</t>
        </is>
      </c>
      <c r="G414" t="inlineStr">
        <is>
          <t>BODEN</t>
        </is>
      </c>
      <c r="I414" t="n">
        <v>11.3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46242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46242</v>
      </c>
      <c r="F416" t="inlineStr">
        <is>
          <t>NORRBOTTENS LÄN</t>
        </is>
      </c>
      <c r="G416" t="inlineStr">
        <is>
          <t>BODEN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46242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46242</v>
      </c>
      <c r="F418" t="inlineStr">
        <is>
          <t>NORRBOTTENS LÄN</t>
        </is>
      </c>
      <c r="G418" t="inlineStr">
        <is>
          <t>BODEN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13717-2026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46242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46242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46242</v>
      </c>
      <c r="F421" t="inlineStr">
        <is>
          <t>NORRBOTTENS LÄN</t>
        </is>
      </c>
      <c r="G421" t="inlineStr">
        <is>
          <t>BODEN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45944</v>
      </c>
      <c r="E422" s="1" t="n">
        <v>46242</v>
      </c>
      <c r="F422" t="inlineStr">
        <is>
          <t>NORRBOTTENS LÄN</t>
        </is>
      </c>
      <c r="G422" t="inlineStr">
        <is>
          <t>BODEN</t>
        </is>
      </c>
      <c r="H422" t="inlineStr">
        <is>
          <t>Sveaskog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44477</v>
      </c>
      <c r="E423" s="1" t="n">
        <v>46242</v>
      </c>
      <c r="F423" t="inlineStr">
        <is>
          <t>NORRBOTTENS LÄN</t>
        </is>
      </c>
      <c r="G423" t="inlineStr">
        <is>
          <t>BODEN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45376-2025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45922</v>
      </c>
      <c r="E424" s="1" t="n">
        <v>46242</v>
      </c>
      <c r="F424" t="inlineStr">
        <is>
          <t>NORRBOTTENS LÄN</t>
        </is>
      </c>
      <c r="G424" t="inlineStr">
        <is>
          <t>BODEN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46100</v>
      </c>
      <c r="E425" s="1" t="n">
        <v>46242</v>
      </c>
      <c r="F425" t="inlineStr">
        <is>
          <t>NORRBOTTENS LÄN</t>
        </is>
      </c>
      <c r="G425" t="inlineStr">
        <is>
          <t>BODEN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45132</v>
      </c>
      <c r="E426" s="1" t="n">
        <v>46242</v>
      </c>
      <c r="F426" t="inlineStr">
        <is>
          <t>NORRBOTTENS LÄN</t>
        </is>
      </c>
      <c r="G426" t="inlineStr">
        <is>
          <t>BODEN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18002-2025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46242</v>
      </c>
      <c r="F427" t="inlineStr">
        <is>
          <t>NORRBOTTENS LÄN</t>
        </is>
      </c>
      <c r="G427" t="inlineStr">
        <is>
          <t>BODEN</t>
        </is>
      </c>
      <c r="H427" t="inlineStr">
        <is>
          <t>Övriga statliga verk och myndigheter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14245-2026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46099</v>
      </c>
      <c r="E428" s="1" t="n">
        <v>46242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45947</v>
      </c>
      <c r="E429" s="1" t="n">
        <v>46242</v>
      </c>
      <c r="F429" t="inlineStr">
        <is>
          <t>NORRBOTTENS LÄN</t>
        </is>
      </c>
      <c r="G429" t="inlineStr">
        <is>
          <t>BODEN</t>
        </is>
      </c>
      <c r="H429" t="inlineStr">
        <is>
          <t>Sveaskog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46242</v>
      </c>
      <c r="F430" t="inlineStr">
        <is>
          <t>NORRBOTTENS LÄN</t>
        </is>
      </c>
      <c r="G430" t="inlineStr">
        <is>
          <t>BODEN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45649</v>
      </c>
      <c r="E431" s="1" t="n">
        <v>46242</v>
      </c>
      <c r="F431" t="inlineStr">
        <is>
          <t>NORRBOTTENS LÄN</t>
        </is>
      </c>
      <c r="G431" t="inlineStr">
        <is>
          <t>BODEN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46242</v>
      </c>
      <c r="F432" t="inlineStr">
        <is>
          <t>NORRBOTTENS LÄN</t>
        </is>
      </c>
      <c r="G432" t="inlineStr">
        <is>
          <t>BODEN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46242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46242</v>
      </c>
      <c r="F434" t="inlineStr">
        <is>
          <t>NORRBOTTENS LÄN</t>
        </is>
      </c>
      <c r="G434" t="inlineStr">
        <is>
          <t>BODEN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46242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45105</v>
      </c>
      <c r="E436" s="1" t="n">
        <v>46242</v>
      </c>
      <c r="F436" t="inlineStr">
        <is>
          <t>NORRBOTTENS LÄN</t>
        </is>
      </c>
      <c r="G436" t="inlineStr">
        <is>
          <t>BODEN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46242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46242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46242</v>
      </c>
      <c r="F439" t="inlineStr">
        <is>
          <t>NORRBOTTENS LÄN</t>
        </is>
      </c>
      <c r="G439" t="inlineStr">
        <is>
          <t>BODEN</t>
        </is>
      </c>
      <c r="H439" t="inlineStr">
        <is>
          <t>Sveaskog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47097-2023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45201</v>
      </c>
      <c r="E440" s="1" t="n">
        <v>46242</v>
      </c>
      <c r="F440" t="inlineStr">
        <is>
          <t>NORRBOTTENS LÄN</t>
        </is>
      </c>
      <c r="G440" t="inlineStr">
        <is>
          <t>BODEN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45099</v>
      </c>
      <c r="E441" s="1" t="n">
        <v>46242</v>
      </c>
      <c r="F441" t="inlineStr">
        <is>
          <t>NORRBOTTENS LÄN</t>
        </is>
      </c>
      <c r="G441" t="inlineStr">
        <is>
          <t>BODEN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46242</v>
      </c>
      <c r="F442" t="inlineStr">
        <is>
          <t>NORRBOTTENS LÄN</t>
        </is>
      </c>
      <c r="G442" t="inlineStr">
        <is>
          <t>BODEN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44994</v>
      </c>
      <c r="E443" s="1" t="n">
        <v>46242</v>
      </c>
      <c r="F443" t="inlineStr">
        <is>
          <t>NORRBOTTENS LÄN</t>
        </is>
      </c>
      <c r="G443" t="inlineStr">
        <is>
          <t>BODEN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57895-2021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44486</v>
      </c>
      <c r="E444" s="1" t="n">
        <v>46242</v>
      </c>
      <c r="F444" t="inlineStr">
        <is>
          <t>NORRBOTTENS LÄN</t>
        </is>
      </c>
      <c r="G444" t="inlineStr">
        <is>
          <t>BODEN</t>
        </is>
      </c>
      <c r="I444" t="n">
        <v>9.199999999999999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45728</v>
      </c>
      <c r="E445" s="1" t="n">
        <v>46242</v>
      </c>
      <c r="F445" t="inlineStr">
        <is>
          <t>NORRBOTTENS LÄN</t>
        </is>
      </c>
      <c r="G445" t="inlineStr">
        <is>
          <t>BODEN</t>
        </is>
      </c>
      <c r="H445" t="inlineStr">
        <is>
          <t>Övriga Aktiebolag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51525-2025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45950</v>
      </c>
      <c r="E446" s="1" t="n">
        <v>46242</v>
      </c>
      <c r="F446" t="inlineStr">
        <is>
          <t>NORRBOTTENS LÄN</t>
        </is>
      </c>
      <c r="G446" t="inlineStr">
        <is>
          <t>BODEN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52645-2025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45955</v>
      </c>
      <c r="E447" s="1" t="n">
        <v>46242</v>
      </c>
      <c r="F447" t="inlineStr">
        <is>
          <t>NORRBOTTENS LÄN</t>
        </is>
      </c>
      <c r="G447" t="inlineStr">
        <is>
          <t>BODEN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45955</v>
      </c>
      <c r="E448" s="1" t="n">
        <v>46242</v>
      </c>
      <c r="F448" t="inlineStr">
        <is>
          <t>NORRBOTTENS LÄN</t>
        </is>
      </c>
      <c r="G448" t="inlineStr">
        <is>
          <t>BODEN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45583</v>
      </c>
      <c r="E449" s="1" t="n">
        <v>46242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53623-2025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45960</v>
      </c>
      <c r="E450" s="1" t="n">
        <v>46242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11.7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46541-2021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44445</v>
      </c>
      <c r="E451" s="1" t="n">
        <v>46242</v>
      </c>
      <c r="F451" t="inlineStr">
        <is>
          <t>NORRBOTTENS LÄN</t>
        </is>
      </c>
      <c r="G451" t="inlineStr">
        <is>
          <t>BODEN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46242</v>
      </c>
      <c r="F452" t="inlineStr">
        <is>
          <t>NORRBOTTENS LÄN</t>
        </is>
      </c>
      <c r="G452" t="inlineStr">
        <is>
          <t>BODEN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6638-2024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45341</v>
      </c>
      <c r="E453" s="1" t="n">
        <v>46242</v>
      </c>
      <c r="F453" t="inlineStr">
        <is>
          <t>NORRBOTTENS LÄN</t>
        </is>
      </c>
      <c r="G453" t="inlineStr">
        <is>
          <t>BODEN</t>
        </is>
      </c>
      <c r="H453" t="inlineStr">
        <is>
          <t>Övriga statliga verk och myndigheter</t>
        </is>
      </c>
      <c r="I453" t="n">
        <v>12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46242</v>
      </c>
      <c r="F454" t="inlineStr">
        <is>
          <t>NORRBOTTENS LÄN</t>
        </is>
      </c>
      <c r="G454" t="inlineStr">
        <is>
          <t>BODEN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41957-2024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46242</v>
      </c>
      <c r="F455" t="inlineStr">
        <is>
          <t>NORRBOTTENS LÄN</t>
        </is>
      </c>
      <c r="G455" t="inlineStr">
        <is>
          <t>BODEN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46242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46242</v>
      </c>
      <c r="F457" t="inlineStr">
        <is>
          <t>NORRBOTTENS LÄN</t>
        </is>
      </c>
      <c r="G457" t="inlineStr">
        <is>
          <t>BODEN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46242</v>
      </c>
      <c r="F458" t="inlineStr">
        <is>
          <t>NORRBOTTENS LÄN</t>
        </is>
      </c>
      <c r="G458" t="inlineStr">
        <is>
          <t>BODEN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45832</v>
      </c>
      <c r="E459" s="1" t="n">
        <v>46242</v>
      </c>
      <c r="F459" t="inlineStr">
        <is>
          <t>NORRBOTTENS LÄN</t>
        </is>
      </c>
      <c r="G459" t="inlineStr">
        <is>
          <t>BODEN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45257</v>
      </c>
      <c r="E460" s="1" t="n">
        <v>46242</v>
      </c>
      <c r="F460" t="inlineStr">
        <is>
          <t>NORRBOTTENS LÄN</t>
        </is>
      </c>
      <c r="G460" t="inlineStr">
        <is>
          <t>BODEN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54523-2025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46242</v>
      </c>
      <c r="F461" t="inlineStr">
        <is>
          <t>NORRBOTTENS LÄN</t>
        </is>
      </c>
      <c r="G461" t="inlineStr">
        <is>
          <t>BODEN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67068-2021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44522</v>
      </c>
      <c r="E462" s="1" t="n">
        <v>46242</v>
      </c>
      <c r="F462" t="inlineStr">
        <is>
          <t>NORRBOTTENS LÄN</t>
        </is>
      </c>
      <c r="G462" t="inlineStr">
        <is>
          <t>BODEN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45964</v>
      </c>
      <c r="E463" s="1" t="n">
        <v>46242</v>
      </c>
      <c r="F463" t="inlineStr">
        <is>
          <t>NORRBOTTENS LÄN</t>
        </is>
      </c>
      <c r="G463" t="inlineStr">
        <is>
          <t>BODEN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46242</v>
      </c>
      <c r="F464" t="inlineStr">
        <is>
          <t>NORRBOTTENS LÄN</t>
        </is>
      </c>
      <c r="G464" t="inlineStr">
        <is>
          <t>BODEN</t>
        </is>
      </c>
      <c r="I464" t="n">
        <v>19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54834-2025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46242</v>
      </c>
      <c r="F465" t="inlineStr">
        <is>
          <t>NORRBOTTENS LÄN</t>
        </is>
      </c>
      <c r="G465" t="inlineStr">
        <is>
          <t>BODEN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54845-2025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45966</v>
      </c>
      <c r="E466" s="1" t="n">
        <v>46242</v>
      </c>
      <c r="F466" t="inlineStr">
        <is>
          <t>NORRBOTTENS LÄN</t>
        </is>
      </c>
      <c r="G466" t="inlineStr">
        <is>
          <t>BODEN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46242</v>
      </c>
      <c r="F467" t="inlineStr">
        <is>
          <t>NORRBOTTENS LÄN</t>
        </is>
      </c>
      <c r="G467" t="inlineStr">
        <is>
          <t>BODEN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46242</v>
      </c>
      <c r="F468" t="inlineStr">
        <is>
          <t>NORRBOTTENS LÄN</t>
        </is>
      </c>
      <c r="G468" t="inlineStr">
        <is>
          <t>BODEN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45587</v>
      </c>
      <c r="E469" s="1" t="n">
        <v>46242</v>
      </c>
      <c r="F469" t="inlineStr">
        <is>
          <t>NORRBOTTENS LÄN</t>
        </is>
      </c>
      <c r="G469" t="inlineStr">
        <is>
          <t>BODEN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46242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46122</v>
      </c>
      <c r="E471" s="1" t="n">
        <v>46242</v>
      </c>
      <c r="F471" t="inlineStr">
        <is>
          <t>NORRBOTTENS LÄN</t>
        </is>
      </c>
      <c r="G471" t="inlineStr">
        <is>
          <t>BODEN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46242</v>
      </c>
      <c r="F472" t="inlineStr">
        <is>
          <t>NORRBOTTENS LÄN</t>
        </is>
      </c>
      <c r="G472" t="inlineStr">
        <is>
          <t>BODEN</t>
        </is>
      </c>
      <c r="H472" t="inlineStr">
        <is>
          <t>Övriga Aktiebolag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18221-2026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46242</v>
      </c>
      <c r="F473" t="inlineStr">
        <is>
          <t>NORRBOTTENS LÄN</t>
        </is>
      </c>
      <c r="G473" t="inlineStr">
        <is>
          <t>BODEN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55562-2025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46242</v>
      </c>
      <c r="F474" t="inlineStr">
        <is>
          <t>NORRBOTTENS LÄN</t>
        </is>
      </c>
      <c r="G474" t="inlineStr">
        <is>
          <t>BODEN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46242</v>
      </c>
      <c r="F475" t="inlineStr">
        <is>
          <t>NORRBOTTENS LÄN</t>
        </is>
      </c>
      <c r="G475" t="inlineStr">
        <is>
          <t>BODEN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45833</v>
      </c>
      <c r="E476" s="1" t="n">
        <v>46242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45685</v>
      </c>
      <c r="E477" s="1" t="n">
        <v>46242</v>
      </c>
      <c r="F477" t="inlineStr">
        <is>
          <t>NORRBOTTENS LÄN</t>
        </is>
      </c>
      <c r="G477" t="inlineStr">
        <is>
          <t>BODEN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45972</v>
      </c>
      <c r="E478" s="1" t="n">
        <v>46242</v>
      </c>
      <c r="F478" t="inlineStr">
        <is>
          <t>NORRBOTTENS LÄN</t>
        </is>
      </c>
      <c r="G478" t="inlineStr">
        <is>
          <t>BODEN</t>
        </is>
      </c>
      <c r="I478" t="n">
        <v>11.9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18448-2026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46242</v>
      </c>
      <c r="F479" t="inlineStr">
        <is>
          <t>NORRBOTTENS LÄN</t>
        </is>
      </c>
      <c r="G479" t="inlineStr">
        <is>
          <t>BODEN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46242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46242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56560-2025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46242</v>
      </c>
      <c r="F482" t="inlineStr">
        <is>
          <t>NORRBOTTENS LÄN</t>
        </is>
      </c>
      <c r="G482" t="inlineStr">
        <is>
          <t>BODEN</t>
        </is>
      </c>
      <c r="H482" t="inlineStr">
        <is>
          <t>Naturvårdsverket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46242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46242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46242</v>
      </c>
      <c r="F485" t="inlineStr">
        <is>
          <t>NORRBOTTENS LÄN</t>
        </is>
      </c>
      <c r="G485" t="inlineStr">
        <is>
          <t>BODEN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46242</v>
      </c>
      <c r="F486" t="inlineStr">
        <is>
          <t>NORRBOTTENS LÄN</t>
        </is>
      </c>
      <c r="G486" t="inlineStr">
        <is>
          <t>BODEN</t>
        </is>
      </c>
      <c r="I486" t="n">
        <v>11.7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46242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46242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56947-2025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45978</v>
      </c>
      <c r="E489" s="1" t="n">
        <v>46242</v>
      </c>
      <c r="F489" t="inlineStr">
        <is>
          <t>NORRBOTTENS LÄN</t>
        </is>
      </c>
      <c r="G489" t="inlineStr">
        <is>
          <t>BODEN</t>
        </is>
      </c>
      <c r="H489" t="inlineStr">
        <is>
          <t>Naturvårdsverket</t>
        </is>
      </c>
      <c r="I489" t="n">
        <v>10.4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45512</v>
      </c>
      <c r="E490" s="1" t="n">
        <v>46242</v>
      </c>
      <c r="F490" t="inlineStr">
        <is>
          <t>NORRBOTTENS LÄN</t>
        </is>
      </c>
      <c r="G490" t="inlineStr">
        <is>
          <t>BODEN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45835</v>
      </c>
      <c r="E491" s="1" t="n">
        <v>46242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62589-2025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46242</v>
      </c>
      <c r="F492" t="inlineStr">
        <is>
          <t>NORRBOTTENS LÄN</t>
        </is>
      </c>
      <c r="G492" t="inlineStr">
        <is>
          <t>BODEN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57777-2025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45981</v>
      </c>
      <c r="E493" s="1" t="n">
        <v>46242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45981</v>
      </c>
      <c r="E494" s="1" t="n">
        <v>46242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56163-2022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46242</v>
      </c>
      <c r="F495" t="inlineStr">
        <is>
          <t>NORRBOTTENS LÄN</t>
        </is>
      </c>
      <c r="G495" t="inlineStr">
        <is>
          <t>BODEN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45406</v>
      </c>
      <c r="E496" s="1" t="n">
        <v>46242</v>
      </c>
      <c r="F496" t="inlineStr">
        <is>
          <t>NORRBOTTENS LÄN</t>
        </is>
      </c>
      <c r="G496" t="inlineStr">
        <is>
          <t>BODEN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45771</v>
      </c>
      <c r="E497" s="1" t="n">
        <v>46242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58203-2025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45984</v>
      </c>
      <c r="E498" s="1" t="n">
        <v>46242</v>
      </c>
      <c r="F498" t="inlineStr">
        <is>
          <t>NORRBOTTENS LÄN</t>
        </is>
      </c>
      <c r="G498" t="inlineStr">
        <is>
          <t>BODEN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46242</v>
      </c>
      <c r="F499" t="inlineStr">
        <is>
          <t>NORRBOTTENS LÄN</t>
        </is>
      </c>
      <c r="G499" t="inlineStr">
        <is>
          <t>BODEN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54104-2022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44881</v>
      </c>
      <c r="E500" s="1" t="n">
        <v>46242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46242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46242</v>
      </c>
      <c r="F502" t="inlineStr">
        <is>
          <t>NORRBOTTENS LÄN</t>
        </is>
      </c>
      <c r="G502" t="inlineStr">
        <is>
          <t>BODEN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46242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46242</v>
      </c>
      <c r="F504" t="inlineStr">
        <is>
          <t>NORRBOTTENS LÄN</t>
        </is>
      </c>
      <c r="G504" t="inlineStr">
        <is>
          <t>BODEN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46242</v>
      </c>
      <c r="F505" t="inlineStr">
        <is>
          <t>NORRBOTTENS LÄN</t>
        </is>
      </c>
      <c r="G505" t="inlineStr">
        <is>
          <t>BODEN</t>
        </is>
      </c>
      <c r="I505" t="n">
        <v>17.2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62017-2025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46242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45248</v>
      </c>
      <c r="E507" s="1" t="n">
        <v>46242</v>
      </c>
      <c r="F507" t="inlineStr">
        <is>
          <t>NORRBOTTENS LÄN</t>
        </is>
      </c>
      <c r="G507" t="inlineStr">
        <is>
          <t>BODEN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44484</v>
      </c>
      <c r="E508" s="1" t="n">
        <v>46242</v>
      </c>
      <c r="F508" t="inlineStr">
        <is>
          <t>NORRBOTTENS LÄN</t>
        </is>
      </c>
      <c r="G508" t="inlineStr">
        <is>
          <t>BODEN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46029</v>
      </c>
      <c r="E509" s="1" t="n">
        <v>46242</v>
      </c>
      <c r="F509" t="inlineStr">
        <is>
          <t>NORRBOTTENS LÄN</t>
        </is>
      </c>
      <c r="G509" t="inlineStr">
        <is>
          <t>BODEN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58662-2025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45986</v>
      </c>
      <c r="E510" s="1" t="n">
        <v>46242</v>
      </c>
      <c r="F510" t="inlineStr">
        <is>
          <t>NORRBOTTENS LÄN</t>
        </is>
      </c>
      <c r="G510" t="inlineStr">
        <is>
          <t>BODEN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46242</v>
      </c>
      <c r="F511" t="inlineStr">
        <is>
          <t>NORRBOTTENS LÄN</t>
        </is>
      </c>
      <c r="G511" t="inlineStr">
        <is>
          <t>BODEN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59264-2025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45988</v>
      </c>
      <c r="E512" s="1" t="n">
        <v>46242</v>
      </c>
      <c r="F512" t="inlineStr">
        <is>
          <t>NORRBOTTENS LÄN</t>
        </is>
      </c>
      <c r="G512" t="inlineStr">
        <is>
          <t>BODEN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46242</v>
      </c>
      <c r="F513" t="inlineStr">
        <is>
          <t>NORRBOTTENS LÄN</t>
        </is>
      </c>
      <c r="G513" t="inlineStr">
        <is>
          <t>BODEN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46242</v>
      </c>
      <c r="F514" t="inlineStr">
        <is>
          <t>NORRBOTTENS LÄN</t>
        </is>
      </c>
      <c r="G514" t="inlineStr">
        <is>
          <t>BODEN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46242</v>
      </c>
      <c r="F515" t="inlineStr">
        <is>
          <t>NORRBOTTENS LÄN</t>
        </is>
      </c>
      <c r="G515" t="inlineStr">
        <is>
          <t>BODEN</t>
        </is>
      </c>
      <c r="I515" t="n">
        <v>9.6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45691</v>
      </c>
      <c r="E516" s="1" t="n">
        <v>46242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13714-2022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44648</v>
      </c>
      <c r="E517" s="1" t="n">
        <v>46242</v>
      </c>
      <c r="F517" t="inlineStr">
        <is>
          <t>NORRBOTTENS LÄN</t>
        </is>
      </c>
      <c r="G517" t="inlineStr">
        <is>
          <t>BODEN</t>
        </is>
      </c>
      <c r="H517" t="inlineStr">
        <is>
          <t>Sveaskog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61988-2025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46003</v>
      </c>
      <c r="E518" s="1" t="n">
        <v>46242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467-2022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44565</v>
      </c>
      <c r="E519" s="1" t="n">
        <v>46242</v>
      </c>
      <c r="F519" t="inlineStr">
        <is>
          <t>NORRBOTTENS LÄN</t>
        </is>
      </c>
      <c r="G519" t="inlineStr">
        <is>
          <t>BODEN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60429-2025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46242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61743-2024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45649</v>
      </c>
      <c r="E521" s="1" t="n">
        <v>46242</v>
      </c>
      <c r="F521" t="inlineStr">
        <is>
          <t>NORRBOTTENS LÄN</t>
        </is>
      </c>
      <c r="G521" t="inlineStr">
        <is>
          <t>BODEN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60397-2025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45995</v>
      </c>
      <c r="E522" s="1" t="n">
        <v>46242</v>
      </c>
      <c r="F522" t="inlineStr">
        <is>
          <t>NORRBOTTENS LÄN</t>
        </is>
      </c>
      <c r="G522" t="inlineStr">
        <is>
          <t>BODEN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46242</v>
      </c>
      <c r="F523" t="inlineStr">
        <is>
          <t>NORRBOTTENS LÄN</t>
        </is>
      </c>
      <c r="G523" t="inlineStr">
        <is>
          <t>BODEN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46242</v>
      </c>
      <c r="F524" t="inlineStr">
        <is>
          <t>NORRBOTTENS LÄN</t>
        </is>
      </c>
      <c r="G524" t="inlineStr">
        <is>
          <t>BODEN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45408</v>
      </c>
      <c r="E525" s="1" t="n">
        <v>46242</v>
      </c>
      <c r="F525" t="inlineStr">
        <is>
          <t>NORRBOTTENS LÄN</t>
        </is>
      </c>
      <c r="G525" t="inlineStr">
        <is>
          <t>BODEN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46242</v>
      </c>
      <c r="F526" t="inlineStr">
        <is>
          <t>NORRBOTTENS LÄN</t>
        </is>
      </c>
      <c r="G526" t="inlineStr">
        <is>
          <t>BODEN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46242</v>
      </c>
      <c r="F527" t="inlineStr">
        <is>
          <t>NORRBOTTENS LÄN</t>
        </is>
      </c>
      <c r="G527" t="inlineStr">
        <is>
          <t>BODEN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45995</v>
      </c>
      <c r="E528" s="1" t="n">
        <v>46242</v>
      </c>
      <c r="F528" t="inlineStr">
        <is>
          <t>NORRBOTTENS LÄN</t>
        </is>
      </c>
      <c r="G528" t="inlineStr">
        <is>
          <t>BODEN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46242</v>
      </c>
      <c r="F529" t="inlineStr">
        <is>
          <t>NORRBOTTENS LÄN</t>
        </is>
      </c>
      <c r="G529" t="inlineStr">
        <is>
          <t>BODEN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44553-2024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45574</v>
      </c>
      <c r="E530" s="1" t="n">
        <v>46242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60225-2025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45994</v>
      </c>
      <c r="E531" s="1" t="n">
        <v>46242</v>
      </c>
      <c r="F531" t="inlineStr">
        <is>
          <t>NORRBOTTENS LÄN</t>
        </is>
      </c>
      <c r="G531" t="inlineStr">
        <is>
          <t>BODEN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60236-2025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45994</v>
      </c>
      <c r="E532" s="1" t="n">
        <v>46242</v>
      </c>
      <c r="F532" t="inlineStr">
        <is>
          <t>NORRBOTTENS LÄN</t>
        </is>
      </c>
      <c r="G532" t="inlineStr">
        <is>
          <t>BODEN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60613-2025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45996</v>
      </c>
      <c r="E533" s="1" t="n">
        <v>46242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45301</v>
      </c>
      <c r="E534" s="1" t="n">
        <v>46242</v>
      </c>
      <c r="F534" t="inlineStr">
        <is>
          <t>NORRBOTTENS LÄN</t>
        </is>
      </c>
      <c r="G534" t="inlineStr">
        <is>
          <t>BODEN</t>
        </is>
      </c>
      <c r="H534" t="inlineStr">
        <is>
          <t>Övriga statliga verk och myndigheter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50561-2025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46242</v>
      </c>
      <c r="F535" t="inlineStr">
        <is>
          <t>NORRBOTTENS LÄN</t>
        </is>
      </c>
      <c r="G535" t="inlineStr">
        <is>
          <t>BODEN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45761</v>
      </c>
      <c r="E536" s="1" t="n">
        <v>46242</v>
      </c>
      <c r="F536" t="inlineStr">
        <is>
          <t>NORRBOTTENS LÄN</t>
        </is>
      </c>
      <c r="G536" t="inlineStr">
        <is>
          <t>BODEN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16180-2025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45750</v>
      </c>
      <c r="E537" s="1" t="n">
        <v>46242</v>
      </c>
      <c r="F537" t="inlineStr">
        <is>
          <t>NORRBOTTENS LÄN</t>
        </is>
      </c>
      <c r="G537" t="inlineStr">
        <is>
          <t>BODEN</t>
        </is>
      </c>
      <c r="H537" t="inlineStr">
        <is>
          <t>Övriga Aktiebolag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46242</v>
      </c>
      <c r="F538" t="inlineStr">
        <is>
          <t>NORRBOTTENS LÄN</t>
        </is>
      </c>
      <c r="G538" t="inlineStr">
        <is>
          <t>BODEN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45860</v>
      </c>
      <c r="E539" s="1" t="n">
        <v>46242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45906</v>
      </c>
      <c r="E540" s="1" t="n">
        <v>46242</v>
      </c>
      <c r="F540" t="inlineStr">
        <is>
          <t>NORRBOTTENS LÄN</t>
        </is>
      </c>
      <c r="G540" t="inlineStr">
        <is>
          <t>BODEN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61227-2025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46242</v>
      </c>
      <c r="F541" t="inlineStr">
        <is>
          <t>NORRBOTTENS LÄN</t>
        </is>
      </c>
      <c r="G541" t="inlineStr">
        <is>
          <t>BODEN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46001</v>
      </c>
      <c r="E542" s="1" t="n">
        <v>46242</v>
      </c>
      <c r="F542" t="inlineStr">
        <is>
          <t>NORRBOTTENS LÄN</t>
        </is>
      </c>
      <c r="G542" t="inlineStr">
        <is>
          <t>BODEN</t>
        </is>
      </c>
      <c r="I542" t="n">
        <v>17.1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61560-2025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46001</v>
      </c>
      <c r="E543" s="1" t="n">
        <v>46242</v>
      </c>
      <c r="F543" t="inlineStr">
        <is>
          <t>NORRBOTTENS LÄN</t>
        </is>
      </c>
      <c r="G543" t="inlineStr">
        <is>
          <t>BODEN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61959-2025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46242</v>
      </c>
      <c r="F544" t="inlineStr">
        <is>
          <t>NORRBOTTENS LÄN</t>
        </is>
      </c>
      <c r="G544" t="inlineStr">
        <is>
          <t>BODEN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61949-2025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46003</v>
      </c>
      <c r="E545" s="1" t="n">
        <v>46242</v>
      </c>
      <c r="F545" t="inlineStr">
        <is>
          <t>NORRBOTTENS LÄN</t>
        </is>
      </c>
      <c r="G545" t="inlineStr">
        <is>
          <t>BODEN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46001</v>
      </c>
      <c r="E546" s="1" t="n">
        <v>46242</v>
      </c>
      <c r="F546" t="inlineStr">
        <is>
          <t>NORRBOTTENS LÄN</t>
        </is>
      </c>
      <c r="G546" t="inlineStr">
        <is>
          <t>BODEN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46242</v>
      </c>
      <c r="F547" t="inlineStr">
        <is>
          <t>NORRBOTTENS LÄN</t>
        </is>
      </c>
      <c r="G547" t="inlineStr">
        <is>
          <t>BODEN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48459-2025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45935</v>
      </c>
      <c r="E548" s="1" t="n">
        <v>46242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63329-2025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46009</v>
      </c>
      <c r="E549" s="1" t="n">
        <v>46242</v>
      </c>
      <c r="F549" t="inlineStr">
        <is>
          <t>NORRBOTTENS LÄN</t>
        </is>
      </c>
      <c r="G549" t="inlineStr">
        <is>
          <t>BODEN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63333-2025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46009</v>
      </c>
      <c r="E550" s="1" t="n">
        <v>46242</v>
      </c>
      <c r="F550" t="inlineStr">
        <is>
          <t>NORRBOTTENS LÄN</t>
        </is>
      </c>
      <c r="G550" t="inlineStr">
        <is>
          <t>BODEN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62687-2025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46008</v>
      </c>
      <c r="E551" s="1" t="n">
        <v>46242</v>
      </c>
      <c r="F551" t="inlineStr">
        <is>
          <t>NORRBOTTENS LÄN</t>
        </is>
      </c>
      <c r="G551" t="inlineStr">
        <is>
          <t>BODEN</t>
        </is>
      </c>
      <c r="I551" t="n">
        <v>10.1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46242</v>
      </c>
      <c r="F552" t="inlineStr">
        <is>
          <t>NORRBOTTENS LÄN</t>
        </is>
      </c>
      <c r="G552" t="inlineStr">
        <is>
          <t>BODEN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45692</v>
      </c>
      <c r="E553" s="1" t="n">
        <v>46242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46008</v>
      </c>
      <c r="E554" s="1" t="n">
        <v>46242</v>
      </c>
      <c r="F554" t="inlineStr">
        <is>
          <t>NORRBOTTENS LÄN</t>
        </is>
      </c>
      <c r="G554" t="inlineStr">
        <is>
          <t>BODEN</t>
        </is>
      </c>
      <c r="I554" t="n">
        <v>18.6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33130-2025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45840</v>
      </c>
      <c r="E555" s="1" t="n">
        <v>46242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62992-2025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46009</v>
      </c>
      <c r="E556" s="1" t="n">
        <v>46242</v>
      </c>
      <c r="F556" t="inlineStr">
        <is>
          <t>NORRBOTTENS LÄN</t>
        </is>
      </c>
      <c r="G556" t="inlineStr">
        <is>
          <t>BODEN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45902</v>
      </c>
      <c r="E557" s="1" t="n">
        <v>46242</v>
      </c>
      <c r="F557" t="inlineStr">
        <is>
          <t>NORRBOTTENS LÄN</t>
        </is>
      </c>
      <c r="G557" t="inlineStr">
        <is>
          <t>BODEN</t>
        </is>
      </c>
      <c r="H557" t="inlineStr">
        <is>
          <t>Övriga statliga verk och myndigheter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45839</v>
      </c>
      <c r="E558" s="1" t="n">
        <v>46242</v>
      </c>
      <c r="F558" t="inlineStr">
        <is>
          <t>NORRBOTTENS LÄN</t>
        </is>
      </c>
      <c r="G558" t="inlineStr">
        <is>
          <t>BODEN</t>
        </is>
      </c>
      <c r="I558" t="n">
        <v>13.6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59029-2022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46242</v>
      </c>
      <c r="F559" t="inlineStr">
        <is>
          <t>NORRBOTTENS LÄN</t>
        </is>
      </c>
      <c r="G559" t="inlineStr">
        <is>
          <t>BODEN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33276-2025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45840</v>
      </c>
      <c r="E560" s="1" t="n">
        <v>46242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45770</v>
      </c>
      <c r="E561" s="1" t="n">
        <v>46242</v>
      </c>
      <c r="F561" t="inlineStr">
        <is>
          <t>NORRBOTTENS LÄN</t>
        </is>
      </c>
      <c r="G561" t="inlineStr">
        <is>
          <t>BODEN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63399-2025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46012</v>
      </c>
      <c r="E562" s="1" t="n">
        <v>46242</v>
      </c>
      <c r="F562" t="inlineStr">
        <is>
          <t>NORRBOTTENS LÄN</t>
        </is>
      </c>
      <c r="G562" t="inlineStr">
        <is>
          <t>BODEN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63400-2025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46012</v>
      </c>
      <c r="E563" s="1" t="n">
        <v>46242</v>
      </c>
      <c r="F563" t="inlineStr">
        <is>
          <t>NORRBOTTENS LÄN</t>
        </is>
      </c>
      <c r="G563" t="inlineStr">
        <is>
          <t>BODEN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63398-2025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46012</v>
      </c>
      <c r="E564" s="1" t="n">
        <v>46242</v>
      </c>
      <c r="F564" t="inlineStr">
        <is>
          <t>NORRBOTTENS LÄN</t>
        </is>
      </c>
      <c r="G564" t="inlineStr">
        <is>
          <t>BODEN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46242</v>
      </c>
      <c r="F565" t="inlineStr">
        <is>
          <t>NORRBOTTENS LÄN</t>
        </is>
      </c>
      <c r="G565" t="inlineStr">
        <is>
          <t>BODEN</t>
        </is>
      </c>
      <c r="I565" t="n">
        <v>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45747</v>
      </c>
      <c r="E566" s="1" t="n">
        <v>46242</v>
      </c>
      <c r="F566" t="inlineStr">
        <is>
          <t>NORRBOTTENS LÄN</t>
        </is>
      </c>
      <c r="G566" t="inlineStr">
        <is>
          <t>BODEN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46242</v>
      </c>
      <c r="F567" t="inlineStr">
        <is>
          <t>NORRBOTTENS LÄN</t>
        </is>
      </c>
      <c r="G567" t="inlineStr">
        <is>
          <t>BODEN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46242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48471-2024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45591</v>
      </c>
      <c r="E569" s="1" t="n">
        <v>46242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45591</v>
      </c>
      <c r="E570" s="1" t="n">
        <v>46242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33981-2025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45843</v>
      </c>
      <c r="E571" s="1" t="n">
        <v>46242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47024-2024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46242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45425</v>
      </c>
      <c r="E573" s="1" t="n">
        <v>46242</v>
      </c>
      <c r="F573" t="inlineStr">
        <is>
          <t>NORRBOTTENS LÄN</t>
        </is>
      </c>
      <c r="G573" t="inlineStr">
        <is>
          <t>BODEN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63891-2025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46020</v>
      </c>
      <c r="E574" s="1" t="n">
        <v>46242</v>
      </c>
      <c r="F574" t="inlineStr">
        <is>
          <t>NORRBOTTENS LÄN</t>
        </is>
      </c>
      <c r="G574" t="inlineStr">
        <is>
          <t>BODEN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15017-2022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44657</v>
      </c>
      <c r="E575" s="1" t="n">
        <v>46242</v>
      </c>
      <c r="F575" t="inlineStr">
        <is>
          <t>NORRBOTTENS LÄN</t>
        </is>
      </c>
      <c r="G575" t="inlineStr">
        <is>
          <t>BODEN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46066</v>
      </c>
      <c r="E576" s="1" t="n">
        <v>46242</v>
      </c>
      <c r="F576" t="inlineStr">
        <is>
          <t>NORRBOTTENS LÄN</t>
        </is>
      </c>
      <c r="G576" t="inlineStr">
        <is>
          <t>BODEN</t>
        </is>
      </c>
      <c r="I576" t="n">
        <v>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46242</v>
      </c>
      <c r="F577" t="inlineStr">
        <is>
          <t>NORRBOTTENS LÄN</t>
        </is>
      </c>
      <c r="G577" t="inlineStr">
        <is>
          <t>BODEN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46564-2022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46242</v>
      </c>
      <c r="F578" t="inlineStr">
        <is>
          <t>NORRBOTTENS LÄN</t>
        </is>
      </c>
      <c r="G578" t="inlineStr">
        <is>
          <t>BODEN</t>
        </is>
      </c>
      <c r="I578" t="n">
        <v>28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46076</v>
      </c>
      <c r="E579" s="1" t="n">
        <v>46242</v>
      </c>
      <c r="F579" t="inlineStr">
        <is>
          <t>NORRBOTTENS LÄN</t>
        </is>
      </c>
      <c r="G579" t="inlineStr">
        <is>
          <t>BODEN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46242</v>
      </c>
      <c r="F580" t="inlineStr">
        <is>
          <t>NORRBOTTENS LÄN</t>
        </is>
      </c>
      <c r="G580" t="inlineStr">
        <is>
          <t>BODEN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49162-2023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45210</v>
      </c>
      <c r="E581" s="1" t="n">
        <v>46242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45818</v>
      </c>
      <c r="E582" s="1" t="n">
        <v>46242</v>
      </c>
      <c r="F582" t="inlineStr">
        <is>
          <t>NORRBOTTENS LÄN</t>
        </is>
      </c>
      <c r="G582" t="inlineStr">
        <is>
          <t>BODEN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61214-2024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45645</v>
      </c>
      <c r="E583" s="1" t="n">
        <v>46242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44573</v>
      </c>
      <c r="E584" s="1" t="n">
        <v>46242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statliga verk och myndigheter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48950-2022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44859</v>
      </c>
      <c r="E585" s="1" t="n">
        <v>46242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46242</v>
      </c>
      <c r="F586" t="inlineStr">
        <is>
          <t>NORRBOTTENS LÄN</t>
        </is>
      </c>
      <c r="G586" t="inlineStr">
        <is>
          <t>BODEN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45314</v>
      </c>
      <c r="E587" s="1" t="n">
        <v>46242</v>
      </c>
      <c r="F587" t="inlineStr">
        <is>
          <t>NORRBOTTENS LÄN</t>
        </is>
      </c>
      <c r="G587" t="inlineStr">
        <is>
          <t>BODEN</t>
        </is>
      </c>
      <c r="I587" t="n">
        <v>17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46242</v>
      </c>
      <c r="F588" t="inlineStr">
        <is>
          <t>NORRBOTTENS LÄN</t>
        </is>
      </c>
      <c r="G588" t="inlineStr">
        <is>
          <t>BODEN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46242</v>
      </c>
      <c r="F589" t="inlineStr">
        <is>
          <t>NORRBOTTENS LÄN</t>
        </is>
      </c>
      <c r="G589" t="inlineStr">
        <is>
          <t>BODEN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45893</v>
      </c>
      <c r="E590" s="1" t="n">
        <v>46242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statliga verk och myndigheter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33511-2025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46242</v>
      </c>
      <c r="F591" t="inlineStr">
        <is>
          <t>NORRBOTTENS LÄN</t>
        </is>
      </c>
      <c r="G591" t="inlineStr">
        <is>
          <t>BODEN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46242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51280-2024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45603</v>
      </c>
      <c r="E593" s="1" t="n">
        <v>46242</v>
      </c>
      <c r="F593" t="inlineStr">
        <is>
          <t>NORRBOTTENS LÄN</t>
        </is>
      </c>
      <c r="G593" t="inlineStr">
        <is>
          <t>BODEN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46149</v>
      </c>
      <c r="E594" s="1" t="n">
        <v>46242</v>
      </c>
      <c r="F594" t="inlineStr">
        <is>
          <t>NORRBOTTENS LÄN</t>
        </is>
      </c>
      <c r="G594" t="inlineStr">
        <is>
          <t>BODEN</t>
        </is>
      </c>
      <c r="I594" t="n">
        <v>11.6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44963</v>
      </c>
      <c r="E595" s="1" t="n">
        <v>46242</v>
      </c>
      <c r="F595" t="inlineStr">
        <is>
          <t>NORRBOTTENS LÄN</t>
        </is>
      </c>
      <c r="G595" t="inlineStr">
        <is>
          <t>BODEN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46183-2021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44441</v>
      </c>
      <c r="E596" s="1" t="n">
        <v>46242</v>
      </c>
      <c r="F596" t="inlineStr">
        <is>
          <t>NORRBOTTENS LÄN</t>
        </is>
      </c>
      <c r="G596" t="inlineStr">
        <is>
          <t>BODEN</t>
        </is>
      </c>
      <c r="I596" t="n">
        <v>13.6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45505</v>
      </c>
      <c r="E597" s="1" t="n">
        <v>46242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46242</v>
      </c>
      <c r="F598" t="inlineStr">
        <is>
          <t>NORRBOTTENS LÄN</t>
        </is>
      </c>
      <c r="G598" t="inlineStr">
        <is>
          <t>BODEN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46242</v>
      </c>
      <c r="F599" t="inlineStr">
        <is>
          <t>NORRBOTTENS LÄN</t>
        </is>
      </c>
      <c r="G599" t="inlineStr">
        <is>
          <t>BODEN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35561-2025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45856</v>
      </c>
      <c r="E600" s="1" t="n">
        <v>46242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10.8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44979</v>
      </c>
      <c r="E601" s="1" t="n">
        <v>46242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18.8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46150</v>
      </c>
      <c r="E602" s="1" t="n">
        <v>46242</v>
      </c>
      <c r="F602" t="inlineStr">
        <is>
          <t>NORRBOTTENS LÄN</t>
        </is>
      </c>
      <c r="G602" t="inlineStr">
        <is>
          <t>BODEN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24058-2025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46242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2601-2025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45674</v>
      </c>
      <c r="E604" s="1" t="n">
        <v>46242</v>
      </c>
      <c r="F604" t="inlineStr">
        <is>
          <t>NORRBOTTENS LÄN</t>
        </is>
      </c>
      <c r="G604" t="inlineStr">
        <is>
          <t>BODEN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46242</v>
      </c>
      <c r="F605" t="inlineStr">
        <is>
          <t>NORRBOTTENS LÄN</t>
        </is>
      </c>
      <c r="G605" t="inlineStr">
        <is>
          <t>BODEN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45470</v>
      </c>
      <c r="E606" s="1" t="n">
        <v>46242</v>
      </c>
      <c r="F606" t="inlineStr">
        <is>
          <t>NORRBOTTENS LÄN</t>
        </is>
      </c>
      <c r="G606" t="inlineStr">
        <is>
          <t>BODEN</t>
        </is>
      </c>
      <c r="H606" t="inlineStr">
        <is>
          <t>Övriga Aktiebolag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21784-2026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46242</v>
      </c>
      <c r="F607" t="inlineStr">
        <is>
          <t>NORRBOTTENS LÄN</t>
        </is>
      </c>
      <c r="G607" t="inlineStr">
        <is>
          <t>BODEN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49728-2024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45596</v>
      </c>
      <c r="E608" s="1" t="n">
        <v>46242</v>
      </c>
      <c r="F608" t="inlineStr">
        <is>
          <t>NORRBOTTENS LÄN</t>
        </is>
      </c>
      <c r="G608" t="inlineStr">
        <is>
          <t>BODEN</t>
        </is>
      </c>
      <c r="I608" t="n">
        <v>22.7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45408</v>
      </c>
      <c r="E609" s="1" t="n">
        <v>46242</v>
      </c>
      <c r="F609" t="inlineStr">
        <is>
          <t>NORRBOTTENS LÄN</t>
        </is>
      </c>
      <c r="G609" t="inlineStr">
        <is>
          <t>BODEN</t>
        </is>
      </c>
      <c r="I609" t="n">
        <v>14.9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46154</v>
      </c>
      <c r="E610" s="1" t="n">
        <v>46242</v>
      </c>
      <c r="F610" t="inlineStr">
        <is>
          <t>NORRBOTTENS LÄN</t>
        </is>
      </c>
      <c r="G610" t="inlineStr">
        <is>
          <t>BODEN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61587-2024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46242</v>
      </c>
      <c r="F611" t="inlineStr">
        <is>
          <t>NORRBOTTENS LÄN</t>
        </is>
      </c>
      <c r="G611" t="inlineStr">
        <is>
          <t>BODEN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46242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60085-2024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45639</v>
      </c>
      <c r="E613" s="1" t="n">
        <v>46242</v>
      </c>
      <c r="F613" t="inlineStr">
        <is>
          <t>NORRBOTTENS LÄN</t>
        </is>
      </c>
      <c r="G613" t="inlineStr">
        <is>
          <t>BODEN</t>
        </is>
      </c>
      <c r="I613" t="n">
        <v>9.5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46154</v>
      </c>
      <c r="E614" s="1" t="n">
        <v>46242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46242</v>
      </c>
      <c r="F615" t="inlineStr">
        <is>
          <t>NORRBOTTENS LÄN</t>
        </is>
      </c>
      <c r="G615" t="inlineStr">
        <is>
          <t>BODEN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36019-2025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45863</v>
      </c>
      <c r="E616" s="1" t="n">
        <v>46242</v>
      </c>
      <c r="F616" t="inlineStr">
        <is>
          <t>NORRBOTTENS LÄN</t>
        </is>
      </c>
      <c r="G616" t="inlineStr">
        <is>
          <t>BODEN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19068-2024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45427</v>
      </c>
      <c r="E617" s="1" t="n">
        <v>46242</v>
      </c>
      <c r="F617" t="inlineStr">
        <is>
          <t>NORRBOTTENS LÄN</t>
        </is>
      </c>
      <c r="G617" t="inlineStr">
        <is>
          <t>BODEN</t>
        </is>
      </c>
      <c r="I617" t="n">
        <v>22.1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68591-2021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44529</v>
      </c>
      <c r="E618" s="1" t="n">
        <v>46242</v>
      </c>
      <c r="F618" t="inlineStr">
        <is>
          <t>NORRBOTTENS LÄN</t>
        </is>
      </c>
      <c r="G618" t="inlineStr">
        <is>
          <t>BODEN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21329-2024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45440</v>
      </c>
      <c r="E619" s="1" t="n">
        <v>46242</v>
      </c>
      <c r="F619" t="inlineStr">
        <is>
          <t>NORRBOTTENS LÄN</t>
        </is>
      </c>
      <c r="G619" t="inlineStr">
        <is>
          <t>BODEN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44567-2024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45574</v>
      </c>
      <c r="E620" s="1" t="n">
        <v>46242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46242</v>
      </c>
      <c r="F621" t="inlineStr">
        <is>
          <t>NORRBOTTENS LÄN</t>
        </is>
      </c>
      <c r="G621" t="inlineStr">
        <is>
          <t>BODEN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46202</v>
      </c>
      <c r="E622" s="1" t="n">
        <v>46242</v>
      </c>
      <c r="F622" t="inlineStr">
        <is>
          <t>NORRBOTTENS LÄN</t>
        </is>
      </c>
      <c r="G622" t="inlineStr">
        <is>
          <t>BODEN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45818</v>
      </c>
      <c r="E623" s="1" t="n">
        <v>46242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11.3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15157-2025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45744</v>
      </c>
      <c r="E624" s="1" t="n">
        <v>46242</v>
      </c>
      <c r="F624" t="inlineStr">
        <is>
          <t>NORRBOTTENS LÄN</t>
        </is>
      </c>
      <c r="G624" t="inlineStr">
        <is>
          <t>BODEN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19051-2025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45764</v>
      </c>
      <c r="E625" s="1" t="n">
        <v>46242</v>
      </c>
      <c r="F625" t="inlineStr">
        <is>
          <t>NORRBOTTENS LÄN</t>
        </is>
      </c>
      <c r="G625" t="inlineStr">
        <is>
          <t>BODEN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46242</v>
      </c>
      <c r="F626" t="inlineStr">
        <is>
          <t>NORRBOTTENS LÄN</t>
        </is>
      </c>
      <c r="G626" t="inlineStr">
        <is>
          <t>BODEN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46242</v>
      </c>
      <c r="F627" t="inlineStr">
        <is>
          <t>NORRBOTTENS LÄN</t>
        </is>
      </c>
      <c r="G627" t="inlineStr">
        <is>
          <t>BODEN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24193-2024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45456</v>
      </c>
      <c r="E628" s="1" t="n">
        <v>46242</v>
      </c>
      <c r="F628" t="inlineStr">
        <is>
          <t>NORRBOTTENS LÄN</t>
        </is>
      </c>
      <c r="G628" t="inlineStr">
        <is>
          <t>BODEN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29393-2026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46242</v>
      </c>
      <c r="F629" t="inlineStr">
        <is>
          <t>NORRBOTTENS LÄN</t>
        </is>
      </c>
      <c r="G629" t="inlineStr">
        <is>
          <t>BODEN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14757-2023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45014</v>
      </c>
      <c r="E630" s="1" t="n">
        <v>46242</v>
      </c>
      <c r="F630" t="inlineStr">
        <is>
          <t>NORRBOTTENS LÄN</t>
        </is>
      </c>
      <c r="G630" t="inlineStr">
        <is>
          <t>BODEN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37212-2025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45875</v>
      </c>
      <c r="E631" s="1" t="n">
        <v>46242</v>
      </c>
      <c r="F631" t="inlineStr">
        <is>
          <t>NORRBOTTENS LÄN</t>
        </is>
      </c>
      <c r="G631" t="inlineStr">
        <is>
          <t>BODEN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46202</v>
      </c>
      <c r="E632" s="1" t="n">
        <v>46242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46202</v>
      </c>
      <c r="E633" s="1" t="n">
        <v>46242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46242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46242</v>
      </c>
      <c r="F635" t="inlineStr">
        <is>
          <t>NORRBOTTENS LÄN</t>
        </is>
      </c>
      <c r="G635" t="inlineStr">
        <is>
          <t>BODEN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46242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46242</v>
      </c>
      <c r="F637" t="inlineStr">
        <is>
          <t>NORRBOTTENS LÄN</t>
        </is>
      </c>
      <c r="G637" t="inlineStr">
        <is>
          <t>BODEN</t>
        </is>
      </c>
      <c r="I637" t="n">
        <v>38.7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46242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19624-2025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45770</v>
      </c>
      <c r="E639" s="1" t="n">
        <v>46242</v>
      </c>
      <c r="F639" t="inlineStr">
        <is>
          <t>NORRBOTTENS LÄN</t>
        </is>
      </c>
      <c r="G639" t="inlineStr">
        <is>
          <t>BODEN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59893-2023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45254</v>
      </c>
      <c r="E640" s="1" t="n">
        <v>46242</v>
      </c>
      <c r="F640" t="inlineStr">
        <is>
          <t>NORRBOTTENS LÄN</t>
        </is>
      </c>
      <c r="G640" t="inlineStr">
        <is>
          <t>BODEN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10730-2024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45369</v>
      </c>
      <c r="E641" s="1" t="n">
        <v>46242</v>
      </c>
      <c r="F641" t="inlineStr">
        <is>
          <t>NORRBOTTENS LÄN</t>
        </is>
      </c>
      <c r="G641" t="inlineStr">
        <is>
          <t>BODEN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46242</v>
      </c>
      <c r="F642" t="inlineStr">
        <is>
          <t>NORRBOTTENS LÄN</t>
        </is>
      </c>
      <c r="G642" t="inlineStr">
        <is>
          <t>BODEN</t>
        </is>
      </c>
      <c r="I642" t="n">
        <v>12.2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35040-2022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44796</v>
      </c>
      <c r="E643" s="1" t="n">
        <v>46242</v>
      </c>
      <c r="F643" t="inlineStr">
        <is>
          <t>NORRBOTTENS LÄN</t>
        </is>
      </c>
      <c r="G643" t="inlineStr">
        <is>
          <t>BODEN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32582-2025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46242</v>
      </c>
      <c r="F644" t="inlineStr">
        <is>
          <t>NORRBOTTENS LÄN</t>
        </is>
      </c>
      <c r="G644" t="inlineStr">
        <is>
          <t>BODEN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45674</v>
      </c>
      <c r="E645" s="1" t="n">
        <v>46242</v>
      </c>
      <c r="F645" t="inlineStr">
        <is>
          <t>NORRBOTTENS LÄN</t>
        </is>
      </c>
      <c r="G645" t="inlineStr">
        <is>
          <t>BODEN</t>
        </is>
      </c>
      <c r="I645" t="n">
        <v>7.2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30077-2026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46206</v>
      </c>
      <c r="E646" s="1" t="n">
        <v>46242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5792-2025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45694</v>
      </c>
      <c r="E647" s="1" t="n">
        <v>46242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40157-2025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45894</v>
      </c>
      <c r="E648" s="1" t="n">
        <v>46242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statliga verk och myndigheter</t>
        </is>
      </c>
      <c r="I648" t="n">
        <v>17.6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30426-2026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46242</v>
      </c>
      <c r="F649" t="inlineStr">
        <is>
          <t>NORRBOTTENS LÄN</t>
        </is>
      </c>
      <c r="G649" t="inlineStr">
        <is>
          <t>BODEN</t>
        </is>
      </c>
      <c r="H649" t="inlineStr">
        <is>
          <t>Kommuner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33915-2024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45523</v>
      </c>
      <c r="E650" s="1" t="n">
        <v>46242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30432-2026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46242</v>
      </c>
      <c r="F651" t="inlineStr">
        <is>
          <t>NORRBOTTENS LÄN</t>
        </is>
      </c>
      <c r="G651" t="inlineStr">
        <is>
          <t>BODEN</t>
        </is>
      </c>
      <c r="H651" t="inlineStr">
        <is>
          <t>Kommuner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36112-2023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45149</v>
      </c>
      <c r="E652" s="1" t="n">
        <v>46242</v>
      </c>
      <c r="F652" t="inlineStr">
        <is>
          <t>NORRBOTTENS LÄN</t>
        </is>
      </c>
      <c r="G652" t="inlineStr">
        <is>
          <t>BODEN</t>
        </is>
      </c>
      <c r="I652" t="n">
        <v>16.1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46164</v>
      </c>
      <c r="E653" s="1" t="n">
        <v>46242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46164</v>
      </c>
      <c r="E654" s="1" t="n">
        <v>46242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30023-2026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46242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15.2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20505-2023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45054</v>
      </c>
      <c r="E656" s="1" t="n">
        <v>46242</v>
      </c>
      <c r="F656" t="inlineStr">
        <is>
          <t>NORRBOTTENS LÄN</t>
        </is>
      </c>
      <c r="G656" t="inlineStr">
        <is>
          <t>BODEN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21335-2024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45429</v>
      </c>
      <c r="E657" s="1" t="n">
        <v>46242</v>
      </c>
      <c r="F657" t="inlineStr">
        <is>
          <t>NORRBOTTENS LÄN</t>
        </is>
      </c>
      <c r="G657" t="inlineStr">
        <is>
          <t>BODEN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46242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30332-2026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46208</v>
      </c>
      <c r="E659" s="1" t="n">
        <v>46242</v>
      </c>
      <c r="F659" t="inlineStr">
        <is>
          <t>NORRBOTTENS LÄN</t>
        </is>
      </c>
      <c r="G659" t="inlineStr">
        <is>
          <t>BODEN</t>
        </is>
      </c>
      <c r="I659" t="n">
        <v>9.800000000000001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25916-2023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45085</v>
      </c>
      <c r="E660" s="1" t="n">
        <v>46242</v>
      </c>
      <c r="F660" t="inlineStr">
        <is>
          <t>NORRBOTTENS LÄN</t>
        </is>
      </c>
      <c r="G660" t="inlineStr">
        <is>
          <t>BODEN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46242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46164</v>
      </c>
      <c r="E662" s="1" t="n">
        <v>46242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46242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46242</v>
      </c>
      <c r="F664" t="inlineStr">
        <is>
          <t>NORRBOTTENS LÄN</t>
        </is>
      </c>
      <c r="G664" t="inlineStr">
        <is>
          <t>BODEN</t>
        </is>
      </c>
      <c r="I664" t="n">
        <v>9.199999999999999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46242</v>
      </c>
      <c r="F665" t="inlineStr">
        <is>
          <t>NORRBOTTENS LÄN</t>
        </is>
      </c>
      <c r="G665" t="inlineStr">
        <is>
          <t>BODEN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46242</v>
      </c>
      <c r="F666" t="inlineStr">
        <is>
          <t>NORRBOTTENS LÄN</t>
        </is>
      </c>
      <c r="G666" t="inlineStr">
        <is>
          <t>BODEN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36310-2025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45868</v>
      </c>
      <c r="E667" s="1" t="n">
        <v>46242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64649-2023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45281</v>
      </c>
      <c r="E668" s="1" t="n">
        <v>46242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46242</v>
      </c>
      <c r="F669" t="inlineStr">
        <is>
          <t>NORRBOTTENS LÄN</t>
        </is>
      </c>
      <c r="G669" t="inlineStr">
        <is>
          <t>BODEN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46168</v>
      </c>
      <c r="E670" s="1" t="n">
        <v>46242</v>
      </c>
      <c r="F670" t="inlineStr">
        <is>
          <t>NORRBOTTENS LÄN</t>
        </is>
      </c>
      <c r="G670" t="inlineStr">
        <is>
          <t>BODEN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24430-2026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46242</v>
      </c>
      <c r="F671" t="inlineStr">
        <is>
          <t>NORRBOTTENS LÄN</t>
        </is>
      </c>
      <c r="G671" t="inlineStr">
        <is>
          <t>BODEN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46242</v>
      </c>
      <c r="F672" t="inlineStr">
        <is>
          <t>NORRBOTTENS LÄN</t>
        </is>
      </c>
      <c r="G672" t="inlineStr">
        <is>
          <t>BODEN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36926-2025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45874</v>
      </c>
      <c r="E673" s="1" t="n">
        <v>46242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8.4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46242</v>
      </c>
      <c r="F674" t="inlineStr">
        <is>
          <t>NORRBOTTENS LÄN</t>
        </is>
      </c>
      <c r="G674" t="inlineStr">
        <is>
          <t>BODEN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46242</v>
      </c>
      <c r="F675" t="inlineStr">
        <is>
          <t>NORRBOTTENS LÄN</t>
        </is>
      </c>
      <c r="G675" t="inlineStr">
        <is>
          <t>BODEN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30745-2026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46211</v>
      </c>
      <c r="E676" s="1" t="n">
        <v>46242</v>
      </c>
      <c r="F676" t="inlineStr">
        <is>
          <t>NORRBOTTENS LÄN</t>
        </is>
      </c>
      <c r="G676" t="inlineStr">
        <is>
          <t>BODEN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59028-2022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44903</v>
      </c>
      <c r="E677" s="1" t="n">
        <v>46242</v>
      </c>
      <c r="F677" t="inlineStr">
        <is>
          <t>NORRBOTTENS LÄN</t>
        </is>
      </c>
      <c r="G677" t="inlineStr">
        <is>
          <t>BODEN</t>
        </is>
      </c>
      <c r="I677" t="n">
        <v>16.1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46242</v>
      </c>
      <c r="F678" t="inlineStr">
        <is>
          <t>NORRBOTTENS LÄN</t>
        </is>
      </c>
      <c r="G678" t="inlineStr">
        <is>
          <t>BODEN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37404-2025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45877</v>
      </c>
      <c r="E679" s="1" t="n">
        <v>46242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49127-2023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45210</v>
      </c>
      <c r="E680" s="1" t="n">
        <v>46242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37653-2025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45880</v>
      </c>
      <c r="E681" s="1" t="n">
        <v>46242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24805-2026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46172</v>
      </c>
      <c r="E682" s="1" t="n">
        <v>46242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43007-2022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44833</v>
      </c>
      <c r="E683" s="1" t="n">
        <v>46242</v>
      </c>
      <c r="F683" t="inlineStr">
        <is>
          <t>NORRBOTTENS LÄN</t>
        </is>
      </c>
      <c r="G683" t="inlineStr">
        <is>
          <t>BODEN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46171</v>
      </c>
      <c r="E684" s="1" t="n">
        <v>46242</v>
      </c>
      <c r="F684" t="inlineStr">
        <is>
          <t>NORRBOTTENS LÄN</t>
        </is>
      </c>
      <c r="G684" t="inlineStr">
        <is>
          <t>BODEN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67438-2021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44524</v>
      </c>
      <c r="E685" s="1" t="n">
        <v>46242</v>
      </c>
      <c r="F685" t="inlineStr">
        <is>
          <t>NORRBOTTENS LÄN</t>
        </is>
      </c>
      <c r="G685" t="inlineStr">
        <is>
          <t>BODEN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37854-2025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45881</v>
      </c>
      <c r="E686" s="1" t="n">
        <v>46242</v>
      </c>
      <c r="F686" t="inlineStr">
        <is>
          <t>NORRBOTTENS LÄN</t>
        </is>
      </c>
      <c r="G686" t="inlineStr">
        <is>
          <t>BODEN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46512-2021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44445</v>
      </c>
      <c r="E687" s="1" t="n">
        <v>46242</v>
      </c>
      <c r="F687" t="inlineStr">
        <is>
          <t>NORRBOTTENS LÄN</t>
        </is>
      </c>
      <c r="G687" t="inlineStr">
        <is>
          <t>BODEN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46217</v>
      </c>
      <c r="E688" s="1" t="n">
        <v>46242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31217-2026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46217</v>
      </c>
      <c r="E689" s="1" t="n">
        <v>46242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25042-2026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46242</v>
      </c>
      <c r="F690" t="inlineStr">
        <is>
          <t>NORRBOTTENS LÄN</t>
        </is>
      </c>
      <c r="G690" t="inlineStr">
        <is>
          <t>BODEN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46242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38286-2025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45882</v>
      </c>
      <c r="E692" s="1" t="n">
        <v>46242</v>
      </c>
      <c r="F692" t="inlineStr">
        <is>
          <t>NORRBOTTENS LÄN</t>
        </is>
      </c>
      <c r="G692" t="inlineStr">
        <is>
          <t>BODEN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38288-2025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45882</v>
      </c>
      <c r="E693" s="1" t="n">
        <v>46242</v>
      </c>
      <c r="F693" t="inlineStr">
        <is>
          <t>NORRBOTTENS LÄN</t>
        </is>
      </c>
      <c r="G693" t="inlineStr">
        <is>
          <t>BODEN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44706</v>
      </c>
      <c r="E694" s="1" t="n">
        <v>46242</v>
      </c>
      <c r="F694" t="inlineStr">
        <is>
          <t>NORRBOTTENS LÄN</t>
        </is>
      </c>
      <c r="G694" t="inlineStr">
        <is>
          <t>BODEN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44747</v>
      </c>
      <c r="E695" s="1" t="n">
        <v>46242</v>
      </c>
      <c r="F695" t="inlineStr">
        <is>
          <t>NORRBOTTENS LÄN</t>
        </is>
      </c>
      <c r="G695" t="inlineStr">
        <is>
          <t>BODEN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18900-2025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45764</v>
      </c>
      <c r="E696" s="1" t="n">
        <v>46242</v>
      </c>
      <c r="F696" t="inlineStr">
        <is>
          <t>NORRBOTTENS LÄN</t>
        </is>
      </c>
      <c r="G696" t="inlineStr">
        <is>
          <t>BODEN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16741-2022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44673</v>
      </c>
      <c r="E697" s="1" t="n">
        <v>46242</v>
      </c>
      <c r="F697" t="inlineStr">
        <is>
          <t>NORRBOTTENS LÄN</t>
        </is>
      </c>
      <c r="G697" t="inlineStr">
        <is>
          <t>BODEN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45884</v>
      </c>
      <c r="E698" s="1" t="n">
        <v>46242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31211-2026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46217</v>
      </c>
      <c r="E699" s="1" t="n">
        <v>46242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45446</v>
      </c>
      <c r="E700" s="1" t="n">
        <v>46242</v>
      </c>
      <c r="F700" t="inlineStr">
        <is>
          <t>NORRBOTTENS LÄN</t>
        </is>
      </c>
      <c r="G700" t="inlineStr">
        <is>
          <t>BODEN</t>
        </is>
      </c>
      <c r="I700" t="n">
        <v>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38994-2024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45548</v>
      </c>
      <c r="E701" s="1" t="n">
        <v>46242</v>
      </c>
      <c r="F701" t="inlineStr">
        <is>
          <t>NORRBOTTENS LÄN</t>
        </is>
      </c>
      <c r="G701" t="inlineStr">
        <is>
          <t>BODEN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61771-2024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45649</v>
      </c>
      <c r="E702" s="1" t="n">
        <v>46242</v>
      </c>
      <c r="F702" t="inlineStr">
        <is>
          <t>NORRBOTTENS LÄN</t>
        </is>
      </c>
      <c r="G702" t="inlineStr">
        <is>
          <t>BODEN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14995-2022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44657</v>
      </c>
      <c r="E703" s="1" t="n">
        <v>46242</v>
      </c>
      <c r="F703" t="inlineStr">
        <is>
          <t>NORRBOTTENS LÄN</t>
        </is>
      </c>
      <c r="G703" t="inlineStr">
        <is>
          <t>BODEN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15000-2022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46242</v>
      </c>
      <c r="F704" t="inlineStr">
        <is>
          <t>NORRBOTTENS LÄN</t>
        </is>
      </c>
      <c r="G704" t="inlineStr">
        <is>
          <t>BODEN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25240-2026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46242</v>
      </c>
      <c r="F705" t="inlineStr">
        <is>
          <t>NORRBOTTENS LÄN</t>
        </is>
      </c>
      <c r="G705" t="inlineStr">
        <is>
          <t>BODEN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6776-2023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44966</v>
      </c>
      <c r="E706" s="1" t="n">
        <v>46242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46242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8869-2024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45356</v>
      </c>
      <c r="E708" s="1" t="n">
        <v>46242</v>
      </c>
      <c r="F708" t="inlineStr">
        <is>
          <t>NORRBOTTENS LÄN</t>
        </is>
      </c>
      <c r="G708" t="inlineStr">
        <is>
          <t>BODEN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46242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48592-2024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45593</v>
      </c>
      <c r="E710" s="1" t="n">
        <v>46242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25571-2026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46177</v>
      </c>
      <c r="E711" s="1" t="n">
        <v>46242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24498-2026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46242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31652-2026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46225</v>
      </c>
      <c r="E713" s="1" t="n">
        <v>46242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46225</v>
      </c>
      <c r="E714" s="1" t="n">
        <v>46242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11.1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26122-2026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46181</v>
      </c>
      <c r="E715" s="1" t="n">
        <v>46242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46182</v>
      </c>
      <c r="E716" s="1" t="n">
        <v>46242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8.5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45429</v>
      </c>
      <c r="E717" s="1" t="n">
        <v>46242</v>
      </c>
      <c r="F717" t="inlineStr">
        <is>
          <t>NORRBOTTENS LÄN</t>
        </is>
      </c>
      <c r="G717" t="inlineStr">
        <is>
          <t>BODEN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19533-2024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45429</v>
      </c>
      <c r="E718" s="1" t="n">
        <v>46242</v>
      </c>
      <c r="F718" t="inlineStr">
        <is>
          <t>NORRBOTTENS LÄN</t>
        </is>
      </c>
      <c r="G718" t="inlineStr">
        <is>
          <t>BODEN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26056-2026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46181</v>
      </c>
      <c r="E719" s="1" t="n">
        <v>46242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25920-2023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46242</v>
      </c>
      <c r="F720" t="inlineStr">
        <is>
          <t>NORRBOTTENS LÄN</t>
        </is>
      </c>
      <c r="G720" t="inlineStr">
        <is>
          <t>BODEN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26448-2026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46242</v>
      </c>
      <c r="F721" t="inlineStr">
        <is>
          <t>NORRBOTTENS LÄN</t>
        </is>
      </c>
      <c r="G721" t="inlineStr">
        <is>
          <t>BODEN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26714-2026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46184</v>
      </c>
      <c r="E722" s="1" t="n">
        <v>46242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7.2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26776-2026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46184</v>
      </c>
      <c r="E723" s="1" t="n">
        <v>46242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  <c r="Z723">
        <f>HYPERLINK("https://klasma.github.io/Logging_2582/knärot/A 26776-2026 karta knärot.png", "A 26776-2026")</f>
        <v/>
      </c>
      <c r="AA723">
        <f>HYPERLINK("https://klasma.github.io/Logging_2582/klagomål/A 26776-2026 FSC-klagomål.docx", "A 26776-2026")</f>
        <v/>
      </c>
      <c r="AB723">
        <f>HYPERLINK("https://klasma.github.io/Logging_2582/klagomålsmail/A 26776-2026 FSC-klagomål mail.docx", "A 26776-2026")</f>
        <v/>
      </c>
      <c r="AC723">
        <f>HYPERLINK("https://klasma.github.io/Logging_2582/tillsyn/A 26776-2026 tillsynsbegäran.docx", "A 26776-2026")</f>
        <v/>
      </c>
      <c r="AD723">
        <f>HYPERLINK("https://klasma.github.io/Logging_2582/tillsynsmail/A 26776-2026 tillsynsbegäran mail.docx", "A 26776-2026")</f>
        <v/>
      </c>
    </row>
    <row r="724" ht="15" customHeight="1">
      <c r="A724" t="inlineStr">
        <is>
          <t>A 29377-2024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45483</v>
      </c>
      <c r="E724" s="1" t="n">
        <v>46242</v>
      </c>
      <c r="F724" t="inlineStr">
        <is>
          <t>NORRBOTTENS LÄN</t>
        </is>
      </c>
      <c r="G724" t="inlineStr">
        <is>
          <t>BODEN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36915-2023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45153</v>
      </c>
      <c r="E725" s="1" t="n">
        <v>46242</v>
      </c>
      <c r="F725" t="inlineStr">
        <is>
          <t>NORRBOTTENS LÄN</t>
        </is>
      </c>
      <c r="G725" t="inlineStr">
        <is>
          <t>BODEN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26375-2026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46242</v>
      </c>
      <c r="F726" t="inlineStr">
        <is>
          <t>NORRBOTTENS LÄN</t>
        </is>
      </c>
      <c r="G726" t="inlineStr">
        <is>
          <t>BODEN</t>
        </is>
      </c>
      <c r="I726" t="n">
        <v>18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26386-2026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46183</v>
      </c>
      <c r="E727" s="1" t="n">
        <v>46242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31754-2024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45509</v>
      </c>
      <c r="E728" s="1" t="n">
        <v>46242</v>
      </c>
      <c r="F728" t="inlineStr">
        <is>
          <t>NORRBOTTENS LÄN</t>
        </is>
      </c>
      <c r="G728" t="inlineStr">
        <is>
          <t>BODEN</t>
        </is>
      </c>
      <c r="I728" t="n">
        <v>11.1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26662-2026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46242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42.2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59688-2023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45256</v>
      </c>
      <c r="E730" s="1" t="n">
        <v>46242</v>
      </c>
      <c r="F730" t="inlineStr">
        <is>
          <t>NORRBOTTENS LÄN</t>
        </is>
      </c>
      <c r="G730" t="inlineStr">
        <is>
          <t>BODEN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46242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61932-2024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45653</v>
      </c>
      <c r="E732" s="1" t="n">
        <v>46242</v>
      </c>
      <c r="F732" t="inlineStr">
        <is>
          <t>NORRBOTTENS LÄN</t>
        </is>
      </c>
      <c r="G732" t="inlineStr">
        <is>
          <t>BODEN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46242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57968-2023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45247</v>
      </c>
      <c r="E734" s="1" t="n">
        <v>46242</v>
      </c>
      <c r="F734" t="inlineStr">
        <is>
          <t>NORRBOTTENS LÄN</t>
        </is>
      </c>
      <c r="G734" t="inlineStr">
        <is>
          <t>BODEN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26996-2026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46242</v>
      </c>
      <c r="F735" t="inlineStr">
        <is>
          <t>NORRBOTTENS LÄN</t>
        </is>
      </c>
      <c r="G735" t="inlineStr">
        <is>
          <t>BODEN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31007-2024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45499</v>
      </c>
      <c r="E736" s="1" t="n">
        <v>46242</v>
      </c>
      <c r="F736" t="inlineStr">
        <is>
          <t>NORRBOTTENS LÄN</t>
        </is>
      </c>
      <c r="G736" t="inlineStr">
        <is>
          <t>BODEN</t>
        </is>
      </c>
      <c r="I736" t="n">
        <v>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27698-2026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46190</v>
      </c>
      <c r="E737" s="1" t="n">
        <v>46242</v>
      </c>
      <c r="F737" t="inlineStr">
        <is>
          <t>NORRBOTTENS LÄN</t>
        </is>
      </c>
      <c r="G737" t="inlineStr">
        <is>
          <t>BODEN</t>
        </is>
      </c>
      <c r="I737" t="n">
        <v>22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46242</v>
      </c>
      <c r="F738" t="inlineStr">
        <is>
          <t>NORRBOTTENS LÄN</t>
        </is>
      </c>
      <c r="G738" t="inlineStr">
        <is>
          <t>BODEN</t>
        </is>
      </c>
      <c r="I738" t="n">
        <v>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12893-2022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44642</v>
      </c>
      <c r="E739" s="1" t="n">
        <v>46242</v>
      </c>
      <c r="F739" t="inlineStr">
        <is>
          <t>NORRBOTTENS LÄN</t>
        </is>
      </c>
      <c r="G739" t="inlineStr">
        <is>
          <t>BODEN</t>
        </is>
      </c>
      <c r="H739" t="inlineStr">
        <is>
          <t>Övriga statliga verk och myndigheter</t>
        </is>
      </c>
      <c r="I739" t="n">
        <v>15.8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22458-2023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45070</v>
      </c>
      <c r="E740" s="1" t="n">
        <v>46242</v>
      </c>
      <c r="F740" t="inlineStr">
        <is>
          <t>NORRBOTTENS LÄN</t>
        </is>
      </c>
      <c r="G740" t="inlineStr">
        <is>
          <t>BODEN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58373-2022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44901</v>
      </c>
      <c r="E741" s="1" t="n">
        <v>46242</v>
      </c>
      <c r="F741" t="inlineStr">
        <is>
          <t>NORRBOTTENS LÄN</t>
        </is>
      </c>
      <c r="G741" t="inlineStr">
        <is>
          <t>BODEN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45195</v>
      </c>
      <c r="E742" s="1" t="n">
        <v>46242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46029</v>
      </c>
      <c r="E743" s="1" t="n">
        <v>46242</v>
      </c>
      <c r="F743" t="inlineStr">
        <is>
          <t>NORRBOTTENS LÄN</t>
        </is>
      </c>
      <c r="G743" t="inlineStr">
        <is>
          <t>BODEN</t>
        </is>
      </c>
      <c r="H743" t="inlineStr">
        <is>
          <t>Naturvårdsverket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46234</v>
      </c>
      <c r="E744" s="1" t="n">
        <v>46242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46242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46234</v>
      </c>
      <c r="E746" s="1" t="n">
        <v>46242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61750-2024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45649</v>
      </c>
      <c r="E747" s="1" t="n">
        <v>46242</v>
      </c>
      <c r="F747" t="inlineStr">
        <is>
          <t>NORRBOTTENS LÄN</t>
        </is>
      </c>
      <c r="G747" t="inlineStr">
        <is>
          <t>BODEN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46242</v>
      </c>
      <c r="F748" t="inlineStr">
        <is>
          <t>NORRBOTTENS LÄN</t>
        </is>
      </c>
      <c r="G748" t="inlineStr">
        <is>
          <t>BODEN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46238</v>
      </c>
      <c r="E749" s="1" t="n">
        <v>46242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32427-2026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46238</v>
      </c>
      <c r="E750" s="1" t="n">
        <v>46242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28241-2026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46242</v>
      </c>
      <c r="F751" t="inlineStr">
        <is>
          <t>NORRBOTTENS LÄN</t>
        </is>
      </c>
      <c r="G751" t="inlineStr">
        <is>
          <t>BODEN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47922-2024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45589</v>
      </c>
      <c r="E752" s="1" t="n">
        <v>46242</v>
      </c>
      <c r="F752" t="inlineStr">
        <is>
          <t>NORRBOTTENS LÄN</t>
        </is>
      </c>
      <c r="G752" t="inlineStr">
        <is>
          <t>BODEN</t>
        </is>
      </c>
      <c r="H752" t="inlineStr">
        <is>
          <t>Naturvårdsverket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47924-2024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45589</v>
      </c>
      <c r="E753" s="1" t="n">
        <v>46242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32562-2026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46239</v>
      </c>
      <c r="E754" s="1" t="n">
        <v>46242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24744-2024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45460</v>
      </c>
      <c r="E755" s="1" t="n">
        <v>46242</v>
      </c>
      <c r="F755" t="inlineStr">
        <is>
          <t>NORRBOTTENS LÄN</t>
        </is>
      </c>
      <c r="G755" t="inlineStr">
        <is>
          <t>BODEN</t>
        </is>
      </c>
      <c r="H755" t="inlineStr">
        <is>
          <t>Övriga Aktiebolag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60337-2024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45643</v>
      </c>
      <c r="E756" s="1" t="n">
        <v>46242</v>
      </c>
      <c r="F756" t="inlineStr">
        <is>
          <t>NORRBOTTENS LÄN</t>
        </is>
      </c>
      <c r="G756" t="inlineStr">
        <is>
          <t>BODEN</t>
        </is>
      </c>
      <c r="I756" t="n">
        <v>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8028-2024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45350</v>
      </c>
      <c r="E757" s="1" t="n">
        <v>46242</v>
      </c>
      <c r="F757" t="inlineStr">
        <is>
          <t>NORRBOTTENS LÄN</t>
        </is>
      </c>
      <c r="G757" t="inlineStr">
        <is>
          <t>BODEN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28566-2026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46197</v>
      </c>
      <c r="E758" s="1" t="n">
        <v>46242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32590-2026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46240</v>
      </c>
      <c r="E759" s="1" t="n">
        <v>46242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25627-2022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44732</v>
      </c>
      <c r="E760" s="1" t="n">
        <v>46242</v>
      </c>
      <c r="F760" t="inlineStr">
        <is>
          <t>NORRBOTTENS LÄN</t>
        </is>
      </c>
      <c r="G760" t="inlineStr">
        <is>
          <t>BODEN</t>
        </is>
      </c>
      <c r="I760" t="n">
        <v>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46242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61107-2022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44908</v>
      </c>
      <c r="E762" s="1" t="n">
        <v>46242</v>
      </c>
      <c r="F762" t="inlineStr">
        <is>
          <t>NORRBOTTENS LÄN</t>
        </is>
      </c>
      <c r="G762" t="inlineStr">
        <is>
          <t>BODEN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29467-2026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46198</v>
      </c>
      <c r="E763" s="1" t="n">
        <v>46242</v>
      </c>
      <c r="F763" t="inlineStr">
        <is>
          <t>NORRBOTTENS LÄN</t>
        </is>
      </c>
      <c r="G763" t="inlineStr">
        <is>
          <t>BODEN</t>
        </is>
      </c>
      <c r="I763" t="n">
        <v>14.5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46242</v>
      </c>
      <c r="F764" t="inlineStr">
        <is>
          <t>NORRBOTTENS LÄN</t>
        </is>
      </c>
      <c r="G764" t="inlineStr">
        <is>
          <t>BODEN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50327-2023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45216</v>
      </c>
      <c r="E765" s="1" t="n">
        <v>46242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46240</v>
      </c>
      <c r="E766" s="1" t="n">
        <v>46242</v>
      </c>
      <c r="F766" t="inlineStr">
        <is>
          <t>NORRBOTTENS LÄN</t>
        </is>
      </c>
      <c r="G766" t="inlineStr">
        <is>
          <t>BODEN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28490-2026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46197</v>
      </c>
      <c r="E767" s="1" t="n">
        <v>46242</v>
      </c>
      <c r="F767" t="inlineStr">
        <is>
          <t>NORRBOTTENS LÄN</t>
        </is>
      </c>
      <c r="G767" t="inlineStr">
        <is>
          <t>BODEN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24400-2022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44726</v>
      </c>
      <c r="E768" s="1" t="n">
        <v>46242</v>
      </c>
      <c r="F768" t="inlineStr">
        <is>
          <t>NORRBOTTENS LÄN</t>
        </is>
      </c>
      <c r="G768" t="inlineStr">
        <is>
          <t>BODEN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46240</v>
      </c>
      <c r="E769" s="1" t="n">
        <v>46242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706-2022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44566</v>
      </c>
      <c r="E770" s="1" t="n">
        <v>46242</v>
      </c>
      <c r="F770" t="inlineStr">
        <is>
          <t>NORRBOTTENS LÄN</t>
        </is>
      </c>
      <c r="G770" t="inlineStr">
        <is>
          <t>BODEN</t>
        </is>
      </c>
      <c r="I770" t="n">
        <v>12.4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46197</v>
      </c>
      <c r="E771" s="1" t="n">
        <v>46242</v>
      </c>
      <c r="F771" t="inlineStr">
        <is>
          <t>NORRBOTTENS LÄN</t>
        </is>
      </c>
      <c r="G771" t="inlineStr">
        <is>
          <t>BODEN</t>
        </is>
      </c>
      <c r="I771" t="n">
        <v>10.8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28496-2026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46197</v>
      </c>
      <c r="E772" s="1" t="n">
        <v>46242</v>
      </c>
      <c r="F772" t="inlineStr">
        <is>
          <t>NORRBOTTENS LÄN</t>
        </is>
      </c>
      <c r="G772" t="inlineStr">
        <is>
          <t>BODEN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46242</v>
      </c>
      <c r="F773" t="inlineStr">
        <is>
          <t>NORRBOTTENS LÄN</t>
        </is>
      </c>
      <c r="G773" t="inlineStr">
        <is>
          <t>BODEN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45035-2022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44841</v>
      </c>
      <c r="E774" s="1" t="n">
        <v>46242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10727-2025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45722</v>
      </c>
      <c r="E775" s="1" t="n">
        <v>46242</v>
      </c>
      <c r="F775" t="inlineStr">
        <is>
          <t>NORRBOTTENS LÄN</t>
        </is>
      </c>
      <c r="G775" t="inlineStr">
        <is>
          <t>BODEN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8873-2024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45356</v>
      </c>
      <c r="E776" s="1" t="n">
        <v>46242</v>
      </c>
      <c r="F776" t="inlineStr">
        <is>
          <t>NORRBOTTENS LÄN</t>
        </is>
      </c>
      <c r="G776" t="inlineStr">
        <is>
          <t>BODEN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45115-2021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44438</v>
      </c>
      <c r="E777" s="1" t="n">
        <v>46242</v>
      </c>
      <c r="F777" t="inlineStr">
        <is>
          <t>NORRBOTTENS LÄN</t>
        </is>
      </c>
      <c r="G777" t="inlineStr">
        <is>
          <t>BODEN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26022-2022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44734</v>
      </c>
      <c r="E778" s="1" t="n">
        <v>46242</v>
      </c>
      <c r="F778" t="inlineStr">
        <is>
          <t>NORRBOTTENS LÄN</t>
        </is>
      </c>
      <c r="G778" t="inlineStr">
        <is>
          <t>BODEN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61969-2024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45653</v>
      </c>
      <c r="E779" s="1" t="n">
        <v>46242</v>
      </c>
      <c r="F779" t="inlineStr">
        <is>
          <t>NORRBOTTENS LÄN</t>
        </is>
      </c>
      <c r="G779" t="inlineStr">
        <is>
          <t>BODEN</t>
        </is>
      </c>
      <c r="I779" t="n">
        <v>9.699999999999999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19584-2025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45770</v>
      </c>
      <c r="E780" s="1" t="n">
        <v>46242</v>
      </c>
      <c r="F780" t="inlineStr">
        <is>
          <t>NORRBOTTENS LÄN</t>
        </is>
      </c>
      <c r="G780" t="inlineStr">
        <is>
          <t>BODEN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37866-2024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45544</v>
      </c>
      <c r="E781" s="1" t="n">
        <v>46242</v>
      </c>
      <c r="F781" t="inlineStr">
        <is>
          <t>NORRBOTTENS LÄN</t>
        </is>
      </c>
      <c r="G781" t="inlineStr">
        <is>
          <t>BODEN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34760-2022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44795</v>
      </c>
      <c r="E782" s="1" t="n">
        <v>46242</v>
      </c>
      <c r="F782" t="inlineStr">
        <is>
          <t>NORRBOTTENS LÄN</t>
        </is>
      </c>
      <c r="G782" t="inlineStr">
        <is>
          <t>BODEN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38874-2023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45161</v>
      </c>
      <c r="E783" s="1" t="n">
        <v>46242</v>
      </c>
      <c r="F783" t="inlineStr">
        <is>
          <t>NORRBOTTENS LÄN</t>
        </is>
      </c>
      <c r="G783" t="inlineStr">
        <is>
          <t>BODEN</t>
        </is>
      </c>
      <c r="I783" t="n">
        <v>15.5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45448-2023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45194</v>
      </c>
      <c r="E784" s="1" t="n">
        <v>46242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61103-2022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44908</v>
      </c>
      <c r="E785" s="1" t="n">
        <v>46242</v>
      </c>
      <c r="F785" t="inlineStr">
        <is>
          <t>NORRBOTTENS LÄN</t>
        </is>
      </c>
      <c r="G785" t="inlineStr">
        <is>
          <t>BODEN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9319-2024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45358</v>
      </c>
      <c r="E786" s="1" t="n">
        <v>46242</v>
      </c>
      <c r="F786" t="inlineStr">
        <is>
          <t>NORRBOTTENS LÄN</t>
        </is>
      </c>
      <c r="G786" t="inlineStr">
        <is>
          <t>BODEN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45680</v>
      </c>
      <c r="E787" s="1" t="n">
        <v>46242</v>
      </c>
      <c r="F787" t="inlineStr">
        <is>
          <t>NORRBOTTENS LÄN</t>
        </is>
      </c>
      <c r="G787" t="inlineStr">
        <is>
          <t>BODEN</t>
        </is>
      </c>
      <c r="H787" t="inlineStr">
        <is>
          <t>Naturvårdsverket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43648-2023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45187</v>
      </c>
      <c r="E788" s="1" t="n">
        <v>46242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55540-2022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44887</v>
      </c>
      <c r="E789" s="1" t="n">
        <v>46242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39463-2023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45166</v>
      </c>
      <c r="E790" s="1" t="n">
        <v>46242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61921-2024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45653</v>
      </c>
      <c r="E791" s="1" t="n">
        <v>46242</v>
      </c>
      <c r="F791" t="inlineStr">
        <is>
          <t>NORRBOTTENS LÄN</t>
        </is>
      </c>
      <c r="G791" t="inlineStr">
        <is>
          <t>BODEN</t>
        </is>
      </c>
      <c r="I791" t="n">
        <v>47.3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41212-2023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45174</v>
      </c>
      <c r="E792" s="1" t="n">
        <v>46242</v>
      </c>
      <c r="F792" t="inlineStr">
        <is>
          <t>NORRBOTTENS LÄN</t>
        </is>
      </c>
      <c r="G792" t="inlineStr">
        <is>
          <t>BODEN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4055-2024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45323</v>
      </c>
      <c r="E793" s="1" t="n">
        <v>46242</v>
      </c>
      <c r="F793" t="inlineStr">
        <is>
          <t>NORRBOTTENS LÄN</t>
        </is>
      </c>
      <c r="G793" t="inlineStr">
        <is>
          <t>BODEN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877-2023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44931</v>
      </c>
      <c r="E794" s="1" t="n">
        <v>46242</v>
      </c>
      <c r="F794" t="inlineStr">
        <is>
          <t>NORRBOTTENS LÄN</t>
        </is>
      </c>
      <c r="G794" t="inlineStr">
        <is>
          <t>BODEN</t>
        </is>
      </c>
      <c r="I794" t="n">
        <v>8.699999999999999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12801-2023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45001</v>
      </c>
      <c r="E795" s="1" t="n">
        <v>46242</v>
      </c>
      <c r="F795" t="inlineStr">
        <is>
          <t>NORRBOTTENS LÄN</t>
        </is>
      </c>
      <c r="G795" t="inlineStr">
        <is>
          <t>BODEN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20041-2025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45772</v>
      </c>
      <c r="E796" s="1" t="n">
        <v>46242</v>
      </c>
      <c r="F796" t="inlineStr">
        <is>
          <t>NORRBOTTENS LÄN</t>
        </is>
      </c>
      <c r="G796" t="inlineStr">
        <is>
          <t>BODEN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19582-2025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45770</v>
      </c>
      <c r="E797" s="1" t="n">
        <v>46242</v>
      </c>
      <c r="F797" t="inlineStr">
        <is>
          <t>NORRBOTTENS LÄN</t>
        </is>
      </c>
      <c r="G797" t="inlineStr">
        <is>
          <t>BODEN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8170-2025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45708</v>
      </c>
      <c r="E798" s="1" t="n">
        <v>46242</v>
      </c>
      <c r="F798" t="inlineStr">
        <is>
          <t>NORRBOTTENS LÄN</t>
        </is>
      </c>
      <c r="G798" t="inlineStr">
        <is>
          <t>BODEN</t>
        </is>
      </c>
      <c r="H798" t="inlineStr">
        <is>
          <t>Övriga Aktiebolag</t>
        </is>
      </c>
      <c r="I798" t="n">
        <v>15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6242-2023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44964</v>
      </c>
      <c r="E799" s="1" t="n">
        <v>46242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17417-2023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45035</v>
      </c>
      <c r="E800" s="1" t="n">
        <v>46242</v>
      </c>
      <c r="F800" t="inlineStr">
        <is>
          <t>NORRBOTTENS LÄN</t>
        </is>
      </c>
      <c r="G800" t="inlineStr">
        <is>
          <t>BODEN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28074-2024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46242</v>
      </c>
      <c r="F801" t="inlineStr">
        <is>
          <t>NORRBOTTENS LÄN</t>
        </is>
      </c>
      <c r="G801" t="inlineStr">
        <is>
          <t>BODEN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26964-2023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45093</v>
      </c>
      <c r="E802" s="1" t="n">
        <v>46242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54590-2022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44883</v>
      </c>
      <c r="E803" s="1" t="n">
        <v>46242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35115-2024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45529</v>
      </c>
      <c r="E804" s="1" t="n">
        <v>46242</v>
      </c>
      <c r="F804" t="inlineStr">
        <is>
          <t>NORRBOTTENS LÄN</t>
        </is>
      </c>
      <c r="G804" t="inlineStr">
        <is>
          <t>BODEN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30105-2023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45099</v>
      </c>
      <c r="E805" s="1" t="n">
        <v>46242</v>
      </c>
      <c r="F805" t="inlineStr">
        <is>
          <t>NORRBOTTENS LÄN</t>
        </is>
      </c>
      <c r="G805" t="inlineStr">
        <is>
          <t>BODEN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57604-2021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44484</v>
      </c>
      <c r="E806" s="1" t="n">
        <v>46242</v>
      </c>
      <c r="F806" t="inlineStr">
        <is>
          <t>NORRBOTTENS LÄN</t>
        </is>
      </c>
      <c r="G806" t="inlineStr">
        <is>
          <t>BODEN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23706-2024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45454</v>
      </c>
      <c r="E807" s="1" t="n">
        <v>46242</v>
      </c>
      <c r="F807" t="inlineStr">
        <is>
          <t>NORRBOTTENS LÄN</t>
        </is>
      </c>
      <c r="G807" t="inlineStr">
        <is>
          <t>BODEN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8776-2022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44614</v>
      </c>
      <c r="E808" s="1" t="n">
        <v>46242</v>
      </c>
      <c r="F808" t="inlineStr">
        <is>
          <t>NORRBOTTENS LÄN</t>
        </is>
      </c>
      <c r="G808" t="inlineStr">
        <is>
          <t>BODEN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25387-2023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45079</v>
      </c>
      <c r="E809" s="1" t="n">
        <v>46242</v>
      </c>
      <c r="F809" t="inlineStr">
        <is>
          <t>NORRBOTTENS LÄN</t>
        </is>
      </c>
      <c r="G809" t="inlineStr">
        <is>
          <t>BODEN</t>
        </is>
      </c>
      <c r="I809" t="n">
        <v>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45762</v>
      </c>
      <c r="E810" s="1" t="n">
        <v>46242</v>
      </c>
      <c r="F810" t="inlineStr">
        <is>
          <t>NORRBOTTENS LÄN</t>
        </is>
      </c>
      <c r="G810" t="inlineStr">
        <is>
          <t>BODEN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62140-2024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45646</v>
      </c>
      <c r="E811" s="1" t="n">
        <v>46242</v>
      </c>
      <c r="F811" t="inlineStr">
        <is>
          <t>NORRBOTTENS LÄN</t>
        </is>
      </c>
      <c r="G811" t="inlineStr">
        <is>
          <t>BODEN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48129-2023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45205</v>
      </c>
      <c r="E812" s="1" t="n">
        <v>46242</v>
      </c>
      <c r="F812" t="inlineStr">
        <is>
          <t>NORRBOTTENS LÄN</t>
        </is>
      </c>
      <c r="G812" t="inlineStr">
        <is>
          <t>BODEN</t>
        </is>
      </c>
      <c r="I812" t="n">
        <v>7.1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54616-2023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45233</v>
      </c>
      <c r="E813" s="1" t="n">
        <v>46242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12562-2024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45379</v>
      </c>
      <c r="E814" s="1" t="n">
        <v>46242</v>
      </c>
      <c r="F814" t="inlineStr">
        <is>
          <t>NORRBOTTENS LÄN</t>
        </is>
      </c>
      <c r="G814" t="inlineStr">
        <is>
          <t>BODEN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20260-2025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45773</v>
      </c>
      <c r="E815" s="1" t="n">
        <v>46242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11651-2023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44994</v>
      </c>
      <c r="E816" s="1" t="n">
        <v>46242</v>
      </c>
      <c r="F816" t="inlineStr">
        <is>
          <t>NORRBOTTENS LÄN</t>
        </is>
      </c>
      <c r="G816" t="inlineStr">
        <is>
          <t>BODEN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718-2022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44568</v>
      </c>
      <c r="E817" s="1" t="n">
        <v>46242</v>
      </c>
      <c r="F817" t="inlineStr">
        <is>
          <t>NORRBOTTENS LÄN</t>
        </is>
      </c>
      <c r="G817" t="inlineStr">
        <is>
          <t>BODEN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43969-2024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45572</v>
      </c>
      <c r="E818" s="1" t="n">
        <v>46242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45764</v>
      </c>
      <c r="E819" s="1" t="n">
        <v>46242</v>
      </c>
      <c r="F819" t="inlineStr">
        <is>
          <t>NORRBOTTENS LÄN</t>
        </is>
      </c>
      <c r="G819" t="inlineStr">
        <is>
          <t>BODEN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19050-2025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45764</v>
      </c>
      <c r="E820" s="1" t="n">
        <v>46242</v>
      </c>
      <c r="F820" t="inlineStr">
        <is>
          <t>NORRBOTTENS LÄN</t>
        </is>
      </c>
      <c r="G820" t="inlineStr">
        <is>
          <t>BODEN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46242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28357-2023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45099</v>
      </c>
      <c r="E822" s="1" t="n">
        <v>46242</v>
      </c>
      <c r="F822" t="inlineStr">
        <is>
          <t>NORRBOTTENS LÄN</t>
        </is>
      </c>
      <c r="G822" t="inlineStr">
        <is>
          <t>BODEN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38219-2022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44812</v>
      </c>
      <c r="E823" s="1" t="n">
        <v>46242</v>
      </c>
      <c r="F823" t="inlineStr">
        <is>
          <t>NORRBOTTENS LÄN</t>
        </is>
      </c>
      <c r="G823" t="inlineStr">
        <is>
          <t>BODEN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40624-2022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44823</v>
      </c>
      <c r="E824" s="1" t="n">
        <v>46242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56457-2024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45625</v>
      </c>
      <c r="E825" s="1" t="n">
        <v>46242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48107-2022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44856</v>
      </c>
      <c r="E826" s="1" t="n">
        <v>46242</v>
      </c>
      <c r="F826" t="inlineStr">
        <is>
          <t>NORRBOTTENS LÄN</t>
        </is>
      </c>
      <c r="G826" t="inlineStr">
        <is>
          <t>BODEN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14743-2023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45013</v>
      </c>
      <c r="E827" s="1" t="n">
        <v>46242</v>
      </c>
      <c r="F827" t="inlineStr">
        <is>
          <t>NORRBOTTENS LÄN</t>
        </is>
      </c>
      <c r="G827" t="inlineStr">
        <is>
          <t>BODEN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3462-2022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44585</v>
      </c>
      <c r="E828" s="1" t="n">
        <v>46242</v>
      </c>
      <c r="F828" t="inlineStr">
        <is>
          <t>NORRBOTTENS LÄN</t>
        </is>
      </c>
      <c r="G828" t="inlineStr">
        <is>
          <t>BODEN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49113-2023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45204</v>
      </c>
      <c r="E829" s="1" t="n">
        <v>46242</v>
      </c>
      <c r="F829" t="inlineStr">
        <is>
          <t>NORRBOTTENS LÄN</t>
        </is>
      </c>
      <c r="G829" t="inlineStr">
        <is>
          <t>BODEN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45687</v>
      </c>
      <c r="E830" s="1" t="n">
        <v>46242</v>
      </c>
      <c r="F830" t="inlineStr">
        <is>
          <t>NORRBOTTENS LÄN</t>
        </is>
      </c>
      <c r="G830" t="inlineStr">
        <is>
          <t>BODEN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1023-2023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44935</v>
      </c>
      <c r="E831" s="1" t="n">
        <v>46242</v>
      </c>
      <c r="F831" t="inlineStr">
        <is>
          <t>NORRBOTTENS LÄN</t>
        </is>
      </c>
      <c r="G831" t="inlineStr">
        <is>
          <t>BODEN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45453</v>
      </c>
      <c r="E832" s="1" t="n">
        <v>46242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61588-2024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46242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28758-2024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46242</v>
      </c>
      <c r="F834" t="inlineStr">
        <is>
          <t>NORRBOTTENS LÄN</t>
        </is>
      </c>
      <c r="G834" t="inlineStr">
        <is>
          <t>BODEN</t>
        </is>
      </c>
      <c r="I834" t="n">
        <v>7.5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13925-2024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45391</v>
      </c>
      <c r="E835" s="1" t="n">
        <v>46242</v>
      </c>
      <c r="F835" t="inlineStr">
        <is>
          <t>NORRBOTTENS LÄN</t>
        </is>
      </c>
      <c r="G835" t="inlineStr">
        <is>
          <t>BODEN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21128-2025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45778</v>
      </c>
      <c r="E836" s="1" t="n">
        <v>46242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21349-2025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45782</v>
      </c>
      <c r="E837" s="1" t="n">
        <v>46242</v>
      </c>
      <c r="F837" t="inlineStr">
        <is>
          <t>NORRBOTTENS LÄN</t>
        </is>
      </c>
      <c r="G837" t="inlineStr">
        <is>
          <t>BODEN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36115-2023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45149</v>
      </c>
      <c r="E838" s="1" t="n">
        <v>46242</v>
      </c>
      <c r="F838" t="inlineStr">
        <is>
          <t>NORRBOTTENS LÄN</t>
        </is>
      </c>
      <c r="G838" t="inlineStr">
        <is>
          <t>BODEN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22372-2025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45786</v>
      </c>
      <c r="E839" s="1" t="n">
        <v>46242</v>
      </c>
      <c r="F839" t="inlineStr">
        <is>
          <t>NORRBOTTENS LÄN</t>
        </is>
      </c>
      <c r="G839" t="inlineStr">
        <is>
          <t>BODEN</t>
        </is>
      </c>
      <c r="H839" t="inlineStr">
        <is>
          <t>Kommuner</t>
        </is>
      </c>
      <c r="I839" t="n">
        <v>16.3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23321-2025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45791</v>
      </c>
      <c r="E840" s="1" t="n">
        <v>46242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10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12558-2024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45379</v>
      </c>
      <c r="E841" s="1" t="n">
        <v>46242</v>
      </c>
      <c r="F841" t="inlineStr">
        <is>
          <t>NORRBOTTENS LÄN</t>
        </is>
      </c>
      <c r="G841" t="inlineStr">
        <is>
          <t>BODEN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23761-2025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46242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23763-2025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45793</v>
      </c>
      <c r="E843" s="1" t="n">
        <v>46242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23724-2025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45793</v>
      </c>
      <c r="E844" s="1" t="n">
        <v>46242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48420-2024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45590</v>
      </c>
      <c r="E845" s="1" t="n">
        <v>46242</v>
      </c>
      <c r="F845" t="inlineStr">
        <is>
          <t>NORRBOTTENS LÄN</t>
        </is>
      </c>
      <c r="G845" t="inlineStr">
        <is>
          <t>BODEN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48427-2024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45590</v>
      </c>
      <c r="E846" s="1" t="n">
        <v>46242</v>
      </c>
      <c r="F846" t="inlineStr">
        <is>
          <t>NORRBOTTENS LÄN</t>
        </is>
      </c>
      <c r="G846" t="inlineStr">
        <is>
          <t>BODEN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24358-2025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45797</v>
      </c>
      <c r="E847" s="1" t="n">
        <v>46242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24733-2025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46242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24545-2025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46242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46242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46242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46242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46242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46242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46242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46242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46242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46242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46242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46242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46242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46242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46242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46242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46242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46242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46242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46242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46242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46242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46242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2026-08-08T01:57:56Z</dcterms:created>
  <dcterms:modified xmlns:dcterms="http://purl.org/dc/terms/" xmlns:xsi="http://www.w3.org/2001/XMLSchema-instance" xsi:type="dcterms:W3CDTF">2026-08-08T01:58:07Z</dcterms:modified>
</cp:coreProperties>
</file>