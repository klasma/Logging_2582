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46220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s="2" t="inlineStr">
        <is>
          <t>Garnlav
Gräddporing
Knärot
Blanksvart spiklav
Blågrå svartspik
Dropptaggsvamp
Dvärgbägarlav
Kortskaftad ärgspik
Nordtagging
Ullticka
Vedflamlav
Järpe
Fläcknycklar</t>
        </is>
      </c>
      <c r="V7">
        <f>HYPERLINK("https://klasma.github.io/Logging_2582/artfynd/A 36610-2023 artfynd.xlsx", "A 36610-2023")</f>
        <v/>
      </c>
      <c r="W7">
        <f>HYPERLINK("https://klasma.github.io/Logging_2582/kartor/A 36610-2023 karta.png", "A 36610-2023")</f>
        <v/>
      </c>
      <c r="X7">
        <f>HYPERLINK("https://klasma.github.io/Logging_2582/knärot/A 36610-2023 karta knärot.png", "A 36610-2023")</f>
        <v/>
      </c>
      <c r="Y7">
        <f>HYPERLINK("https://klasma.github.io/Logging_2582/klagomål/A 36610-2023 FSC-klagomål.docx", "A 36610-2023")</f>
        <v/>
      </c>
      <c r="Z7">
        <f>HYPERLINK("https://klasma.github.io/Logging_2582/klagomålsmail/A 36610-2023 FSC-klagomål mail.docx", "A 36610-2023")</f>
        <v/>
      </c>
      <c r="AA7">
        <f>HYPERLINK("https://klasma.github.io/Logging_2582/tillsyn/A 36610-2023 tillsynsbegäran.docx", "A 36610-2023")</f>
        <v/>
      </c>
      <c r="AB7">
        <f>HYPERLINK("https://klasma.github.io/Logging_2582/tillsynsmail/A 36610-2023 tillsynsbegäran mail.docx", "A 36610-2023")</f>
        <v/>
      </c>
      <c r="AC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46220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s="2" t="inlineStr">
        <is>
          <t>Garnlav
Blå taggsvamp
Gammelgransskål
Kolflarnlav
Lunglav
Talltita
Tretåig hackspett
Vedskivlav
Bårdlav
Luddlav
Stuplav
Spillkråka
Revlummer</t>
        </is>
      </c>
      <c r="V8">
        <f>HYPERLINK("https://klasma.github.io/Logging_2582/artfynd/A 47547-2022 artfynd.xlsx", "A 47547-2022")</f>
        <v/>
      </c>
      <c r="W8">
        <f>HYPERLINK("https://klasma.github.io/Logging_2582/kartor/A 47547-2022 karta.png", "A 47547-2022")</f>
        <v/>
      </c>
      <c r="Y8">
        <f>HYPERLINK("https://klasma.github.io/Logging_2582/klagomål/A 47547-2022 FSC-klagomål.docx", "A 47547-2022")</f>
        <v/>
      </c>
      <c r="Z8">
        <f>HYPERLINK("https://klasma.github.io/Logging_2582/klagomålsmail/A 47547-2022 FSC-klagomål mail.docx", "A 47547-2022")</f>
        <v/>
      </c>
      <c r="AA8">
        <f>HYPERLINK("https://klasma.github.io/Logging_2582/tillsyn/A 47547-2022 tillsynsbegäran.docx", "A 47547-2022")</f>
        <v/>
      </c>
      <c r="AB8">
        <f>HYPERLINK("https://klasma.github.io/Logging_2582/tillsynsmail/A 47547-2022 tillsynsbegäran mail.docx", "A 47547-2022")</f>
        <v/>
      </c>
      <c r="AC8">
        <f>HYPERLINK("https://klasma.github.io/Logging_2582/fåglar/A 47547-2022 prioriterade fågelarter.docx", "A 47547-2022")</f>
        <v/>
      </c>
    </row>
    <row r="9" ht="15" customHeight="1">
      <c r="A9" t="inlineStr">
        <is>
          <t>A 6243-2023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44964</v>
      </c>
      <c r="E9" s="1" t="n">
        <v>46220</v>
      </c>
      <c r="F9" t="inlineStr">
        <is>
          <t>NORRBOTTENS LÄN</t>
        </is>
      </c>
      <c r="G9" t="inlineStr">
        <is>
          <t>BODEN</t>
        </is>
      </c>
      <c r="H9" t="inlineStr">
        <is>
          <t>SCA</t>
        </is>
      </c>
      <c r="I9" t="n">
        <v>3.2</v>
      </c>
      <c r="J9" t="n">
        <v>4</v>
      </c>
      <c r="K9" t="n">
        <v>6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11</v>
      </c>
      <c r="T9" t="n">
        <v>44</v>
      </c>
      <c r="U9" s="2" t="inlineStr">
        <is>
          <t>Garnlav
Lunglav
Bårdlav
Källpraktmossa
Luddlav
Skinnlav
Spindelblomster
Stuplav
Tjäder
Fläcknycklar
Revlummer</t>
        </is>
      </c>
      <c r="V9">
        <f>HYPERLINK("https://klasma.github.io/Logging_2582/artfynd/A 6243-2023 artfynd.xlsx", "A 6243-2023")</f>
        <v/>
      </c>
      <c r="W9">
        <f>HYPERLINK("https://klasma.github.io/Logging_2582/kartor/A 6243-2023 karta.png", "A 6243-2023")</f>
        <v/>
      </c>
      <c r="Y9">
        <f>HYPERLINK("https://klasma.github.io/Logging_2582/klagomål/A 6243-2023 FSC-klagomål.docx", "A 6243-2023")</f>
        <v/>
      </c>
      <c r="Z9">
        <f>HYPERLINK("https://klasma.github.io/Logging_2582/klagomålsmail/A 6243-2023 FSC-klagomål mail.docx", "A 6243-2023")</f>
        <v/>
      </c>
      <c r="AA9">
        <f>HYPERLINK("https://klasma.github.io/Logging_2582/tillsyn/A 6243-2023 tillsynsbegäran.docx", "A 6243-2023")</f>
        <v/>
      </c>
      <c r="AB9">
        <f>HYPERLINK("https://klasma.github.io/Logging_2582/tillsynsmail/A 6243-2023 tillsynsbegäran mail.docx", "A 6243-2023")</f>
        <v/>
      </c>
      <c r="AC9">
        <f>HYPERLINK("https://klasma.github.io/Logging_2582/fåglar/A 6243-2023 prioriterade fågelarter.docx", "A 6243-2023")</f>
        <v/>
      </c>
    </row>
    <row r="10" ht="15" customHeight="1">
      <c r="A10" t="inlineStr">
        <is>
          <t>A 49809-2023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45212</v>
      </c>
      <c r="E10" s="1" t="n">
        <v>46220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5.7</v>
      </c>
      <c r="J10" t="n">
        <v>3</v>
      </c>
      <c r="K10" t="n">
        <v>1</v>
      </c>
      <c r="L10" t="n">
        <v>6</v>
      </c>
      <c r="M10" t="n">
        <v>3</v>
      </c>
      <c r="N10" t="n">
        <v>0</v>
      </c>
      <c r="O10" t="n">
        <v>0</v>
      </c>
      <c r="P10" t="n">
        <v>0</v>
      </c>
      <c r="Q10" t="n">
        <v>9</v>
      </c>
      <c r="R10" t="n">
        <v>3</v>
      </c>
      <c r="S10" t="n">
        <v>10</v>
      </c>
      <c r="T10" t="n">
        <v>16</v>
      </c>
      <c r="U10" s="2" t="inlineStr">
        <is>
          <t>Doftticka
Goliatmusseron
Knärot
Blå taggsvamp
Lunglav
Orange taggsvamp
Skarp dropptaggsvamp
Svartvit taggsvamp
Talltaggsvamp
Spindelblomster</t>
        </is>
      </c>
      <c r="V10">
        <f>HYPERLINK("https://klasma.github.io/Logging_2582/artfynd/A 49809-2023 artfynd.xlsx", "A 49809-2023")</f>
        <v/>
      </c>
      <c r="W10">
        <f>HYPERLINK("https://klasma.github.io/Logging_2582/kartor/A 49809-2023 karta.png", "A 49809-2023")</f>
        <v/>
      </c>
      <c r="X10">
        <f>HYPERLINK("https://klasma.github.io/Logging_2582/knärot/A 49809-2023 karta knärot.png", "A 49809-2023")</f>
        <v/>
      </c>
      <c r="Y10">
        <f>HYPERLINK("https://klasma.github.io/Logging_2582/klagomål/A 49809-2023 FSC-klagomål.docx", "A 49809-2023")</f>
        <v/>
      </c>
      <c r="Z10">
        <f>HYPERLINK("https://klasma.github.io/Logging_2582/klagomålsmail/A 49809-2023 FSC-klagomål mail.docx", "A 49809-2023")</f>
        <v/>
      </c>
      <c r="AA10">
        <f>HYPERLINK("https://klasma.github.io/Logging_2582/tillsyn/A 49809-2023 tillsynsbegäran.docx", "A 49809-2023")</f>
        <v/>
      </c>
      <c r="AB10">
        <f>HYPERLINK("https://klasma.github.io/Logging_2582/tillsynsmail/A 49809-2023 tillsynsbegäran mail.docx", "A 49809-2023")</f>
        <v/>
      </c>
    </row>
    <row r="11" ht="15" customHeight="1">
      <c r="A11" t="inlineStr">
        <is>
          <t>A 55316-2023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46220</v>
      </c>
      <c r="F11" t="inlineStr">
        <is>
          <t>NORRBOTTENS LÄN</t>
        </is>
      </c>
      <c r="G11" t="inlineStr">
        <is>
          <t>BODEN</t>
        </is>
      </c>
      <c r="I11" t="n">
        <v>17.6</v>
      </c>
      <c r="J11" t="n">
        <v>6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10</v>
      </c>
      <c r="T11" t="n">
        <v>10</v>
      </c>
      <c r="U11" s="2" t="inlineStr">
        <is>
          <t>Gammelgransskål
Lunglav
Ullticka
Bollvitmossa
Gråspett
Videsparv
Buskskvätta
Kungsfågel
Svartvit flugsnappare
Revlummer</t>
        </is>
      </c>
      <c r="V11">
        <f>HYPERLINK("https://klasma.github.io/Logging_2582/artfynd/A 55316-2023 artfynd.xlsx", "A 55316-2023")</f>
        <v/>
      </c>
      <c r="W11">
        <f>HYPERLINK("https://klasma.github.io/Logging_2582/kartor/A 55316-2023 karta.png", "A 55316-2023")</f>
        <v/>
      </c>
      <c r="Y11">
        <f>HYPERLINK("https://klasma.github.io/Logging_2582/klagomål/A 55316-2023 FSC-klagomål.docx", "A 55316-2023")</f>
        <v/>
      </c>
      <c r="Z11">
        <f>HYPERLINK("https://klasma.github.io/Logging_2582/klagomålsmail/A 55316-2023 FSC-klagomål mail.docx", "A 55316-2023")</f>
        <v/>
      </c>
      <c r="AA11">
        <f>HYPERLINK("https://klasma.github.io/Logging_2582/tillsyn/A 55316-2023 tillsynsbegäran.docx", "A 55316-2023")</f>
        <v/>
      </c>
      <c r="AB11">
        <f>HYPERLINK("https://klasma.github.io/Logging_2582/tillsynsmail/A 55316-2023 tillsynsbegäran mail.docx", "A 55316-2023")</f>
        <v/>
      </c>
      <c r="AC11">
        <f>HYPERLINK("https://klasma.github.io/Logging_2582/fåglar/A 55316-2023 prioriterade fågelarter.docx", "A 55316-2023")</f>
        <v/>
      </c>
    </row>
    <row r="12" ht="15" customHeight="1">
      <c r="A12" t="inlineStr">
        <is>
          <t>A 23044-2025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45790</v>
      </c>
      <c r="E12" s="1" t="n">
        <v>46220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6.1</v>
      </c>
      <c r="J12" t="n">
        <v>3</v>
      </c>
      <c r="K12" t="n">
        <v>2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21</v>
      </c>
      <c r="U12" s="2" t="inlineStr">
        <is>
          <t>Blå taggsvamp
Dropptaggsvamp
Talltagel
Talltita
Vedflamlav
Vedskivlav
Violmussling
Bollvitmossa
Plattlummer
Tjäder</t>
        </is>
      </c>
      <c r="V12">
        <f>HYPERLINK("https://klasma.github.io/Logging_2582/artfynd/A 23044-2025 artfynd.xlsx", "A 23044-2025")</f>
        <v/>
      </c>
      <c r="W12">
        <f>HYPERLINK("https://klasma.github.io/Logging_2582/kartor/A 23044-2025 karta.png", "A 23044-2025")</f>
        <v/>
      </c>
      <c r="Y12">
        <f>HYPERLINK("https://klasma.github.io/Logging_2582/klagomål/A 23044-2025 FSC-klagomål.docx", "A 23044-2025")</f>
        <v/>
      </c>
      <c r="Z12">
        <f>HYPERLINK("https://klasma.github.io/Logging_2582/klagomålsmail/A 23044-2025 FSC-klagomål mail.docx", "A 23044-2025")</f>
        <v/>
      </c>
      <c r="AA12">
        <f>HYPERLINK("https://klasma.github.io/Logging_2582/tillsyn/A 23044-2025 tillsynsbegäran.docx", "A 23044-2025")</f>
        <v/>
      </c>
      <c r="AB12">
        <f>HYPERLINK("https://klasma.github.io/Logging_2582/tillsynsmail/A 23044-2025 tillsynsbegäran mail.docx", "A 23044-2025")</f>
        <v/>
      </c>
      <c r="AC12">
        <f>HYPERLINK("https://klasma.github.io/Logging_2582/fåglar/A 23044-2025 prioriterade fågelarter.docx", "A 23044-2025")</f>
        <v/>
      </c>
    </row>
    <row r="13" ht="15" customHeight="1">
      <c r="A13" t="inlineStr">
        <is>
          <t>S 1319-2026</t>
        </is>
      </c>
      <c r="B13" t="inlineStr">
        <is>
          <t>samrådsanmälan</t>
        </is>
      </c>
      <c r="C13" t="inlineStr">
        <is>
          <t>Skogsgödsling</t>
        </is>
      </c>
      <c r="D13" s="1" t="n">
        <v>46149</v>
      </c>
      <c r="E13" s="1" t="n">
        <v>46220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642.7</v>
      </c>
      <c r="J13" t="n">
        <v>7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10</v>
      </c>
      <c r="T13" t="n">
        <v>11</v>
      </c>
      <c r="U13" s="2" t="inlineStr">
        <is>
          <t>Garnlav
Lunglav
Rödvingetrast
Talltita
Hässlebrodd
Tjäder
Buskskvätta
Grönsiska
Kungsfågel
Fläcknycklar</t>
        </is>
      </c>
      <c r="V13">
        <f>HYPERLINK("https://klasma.github.io/Logging_2582/artfynd/S 1319-2026 artfynd.xlsx", "S 1319-2026")</f>
        <v/>
      </c>
      <c r="W13">
        <f>HYPERLINK("https://klasma.github.io/Logging_2582/kartor/S 1319-2026 karta.png", "S 1319-2026")</f>
        <v/>
      </c>
      <c r="Y13">
        <f>HYPERLINK("https://klasma.github.io/Logging_2582/klagomål/S 1319-2026 FSC-klagomål.docx", "S 1319-2026")</f>
        <v/>
      </c>
      <c r="Z13">
        <f>HYPERLINK("https://klasma.github.io/Logging_2582/klagomålsmail/S 1319-2026 FSC-klagomål mail.docx", "S 1319-2026")</f>
        <v/>
      </c>
      <c r="AA13">
        <f>HYPERLINK("https://klasma.github.io/Logging_2582/tillsyn/S 1319-2026 tillsynsbegäran.docx", "S 1319-2026")</f>
        <v/>
      </c>
      <c r="AB13">
        <f>HYPERLINK("https://klasma.github.io/Logging_2582/tillsynsmail/S 1319-2026 tillsynsbegäran mail.docx", "S 1319-2026")</f>
        <v/>
      </c>
      <c r="AC13">
        <f>HYPERLINK("https://klasma.github.io/Logging_2582/fåglar/S 1319-2026 prioriterade fågelarter.docx", "S 1319-2026")</f>
        <v/>
      </c>
    </row>
    <row r="14" ht="15" customHeight="1">
      <c r="A14" t="inlineStr">
        <is>
          <t>A 56172-2022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46220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4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9</v>
      </c>
      <c r="T14" t="n">
        <v>25</v>
      </c>
      <c r="U14" s="2" t="inlineStr">
        <is>
          <t>Garnlav
Lunglav
Stiftgelélav
Violettgrå tagellav
Bårdlav
Luddlav
Rävticka
Skinnlav
Stuplav</t>
        </is>
      </c>
      <c r="V14">
        <f>HYPERLINK("https://klasma.github.io/Logging_2582/artfynd/A 56172-2022 artfynd.xlsx", "A 56172-2022")</f>
        <v/>
      </c>
      <c r="W14">
        <f>HYPERLINK("https://klasma.github.io/Logging_2582/kartor/A 56172-2022 karta.png", "A 56172-2022")</f>
        <v/>
      </c>
      <c r="Y14">
        <f>HYPERLINK("https://klasma.github.io/Logging_2582/klagomål/A 56172-2022 FSC-klagomål.docx", "A 56172-2022")</f>
        <v/>
      </c>
      <c r="Z14">
        <f>HYPERLINK("https://klasma.github.io/Logging_2582/klagomålsmail/A 56172-2022 FSC-klagomål mail.docx", "A 56172-2022")</f>
        <v/>
      </c>
      <c r="AA14">
        <f>HYPERLINK("https://klasma.github.io/Logging_2582/tillsyn/A 56172-2022 tillsynsbegäran.docx", "A 56172-2022")</f>
        <v/>
      </c>
      <c r="AB14">
        <f>HYPERLINK("https://klasma.github.io/Logging_2582/tillsynsmail/A 56172-2022 tillsynsbegäran mail.docx", "A 56172-2022")</f>
        <v/>
      </c>
    </row>
    <row r="15" ht="15" customHeight="1">
      <c r="A15" t="inlineStr">
        <is>
          <t>A 19812-2025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46220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18.4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55</v>
      </c>
      <c r="U15" s="2" t="inlineStr">
        <is>
          <t>Knärot
Dropptaggsvamp
Höstlåsbräken
Orange taggsvamp
Tallticka
Grönpyrola
Skinnlav
Vedticka</t>
        </is>
      </c>
      <c r="V15">
        <f>HYPERLINK("https://klasma.github.io/Logging_2582/artfynd/A 19812-2025 artfynd.xlsx", "A 19812-2025")</f>
        <v/>
      </c>
      <c r="W15">
        <f>HYPERLINK("https://klasma.github.io/Logging_2582/kartor/A 19812-2025 karta.png", "A 19812-2025")</f>
        <v/>
      </c>
      <c r="X15">
        <f>HYPERLINK("https://klasma.github.io/Logging_2582/knärot/A 19812-2025 karta knärot.png", "A 19812-2025")</f>
        <v/>
      </c>
      <c r="Y15">
        <f>HYPERLINK("https://klasma.github.io/Logging_2582/klagomål/A 19812-2025 FSC-klagomål.docx", "A 19812-2025")</f>
        <v/>
      </c>
      <c r="Z15">
        <f>HYPERLINK("https://klasma.github.io/Logging_2582/klagomålsmail/A 19812-2025 FSC-klagomål mail.docx", "A 19812-2025")</f>
        <v/>
      </c>
      <c r="AA15">
        <f>HYPERLINK("https://klasma.github.io/Logging_2582/tillsyn/A 19812-2025 tillsynsbegäran.docx", "A 19812-2025")</f>
        <v/>
      </c>
      <c r="AB15">
        <f>HYPERLINK("https://klasma.github.io/Logging_2582/tillsynsmail/A 19812-2025 tillsynsbegäran mail.docx", "A 19812-2025")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46220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Y16">
        <f>HYPERLINK("https://klasma.github.io/Logging_2582/klagomål/A 3922-2025 FSC-klagomål.docx", "A 3922-2025")</f>
        <v/>
      </c>
      <c r="Z16">
        <f>HYPERLINK("https://klasma.github.io/Logging_2582/klagomålsmail/A 3922-2025 FSC-klagomål mail.docx", "A 3922-2025")</f>
        <v/>
      </c>
      <c r="AA16">
        <f>HYPERLINK("https://klasma.github.io/Logging_2582/tillsyn/A 3922-2025 tillsynsbegäran.docx", "A 3922-2025")</f>
        <v/>
      </c>
      <c r="AB16">
        <f>HYPERLINK("https://klasma.github.io/Logging_2582/tillsynsmail/A 3922-2025 tillsynsbegäran mail.docx", "A 3922-2025")</f>
        <v/>
      </c>
      <c r="AC16">
        <f>HYPERLINK("https://klasma.github.io/Logging_2582/fåglar/A 3922-2025 prioriterade fågelarter.docx", "A 3922-2025")</f>
        <v/>
      </c>
    </row>
    <row r="17" ht="15" customHeight="1">
      <c r="A17" t="inlineStr">
        <is>
          <t>A 49753-2022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44859</v>
      </c>
      <c r="E17" s="1" t="n">
        <v>46220</v>
      </c>
      <c r="F17" t="inlineStr">
        <is>
          <t>NORRBOTTENS LÄN</t>
        </is>
      </c>
      <c r="G17" t="inlineStr">
        <is>
          <t>BODEN</t>
        </is>
      </c>
      <c r="H17" t="inlineStr">
        <is>
          <t>Övriga statliga verk och myndigheter</t>
        </is>
      </c>
      <c r="I17" t="n">
        <v>21.2</v>
      </c>
      <c r="J17" t="n">
        <v>4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9</v>
      </c>
      <c r="U17" s="2" t="inlineStr">
        <is>
          <t>Garnlav
Motaggsvamp
Talltita
Norrlandslav
Plattlummer
Järpe
Revlummer</t>
        </is>
      </c>
      <c r="V17">
        <f>HYPERLINK("https://klasma.github.io/Logging_2582/artfynd/A 49753-2022 artfynd.xlsx", "A 49753-2022")</f>
        <v/>
      </c>
      <c r="W17">
        <f>HYPERLINK("https://klasma.github.io/Logging_2582/kartor/A 49753-2022 karta.png", "A 49753-2022")</f>
        <v/>
      </c>
      <c r="Y17">
        <f>HYPERLINK("https://klasma.github.io/Logging_2582/klagomål/A 49753-2022 FSC-klagomål.docx", "A 49753-2022")</f>
        <v/>
      </c>
      <c r="Z17">
        <f>HYPERLINK("https://klasma.github.io/Logging_2582/klagomålsmail/A 49753-2022 FSC-klagomål mail.docx", "A 49753-2022")</f>
        <v/>
      </c>
      <c r="AA17">
        <f>HYPERLINK("https://klasma.github.io/Logging_2582/tillsyn/A 49753-2022 tillsynsbegäran.docx", "A 49753-2022")</f>
        <v/>
      </c>
      <c r="AB17">
        <f>HYPERLINK("https://klasma.github.io/Logging_2582/tillsynsmail/A 49753-2022 tillsynsbegäran mail.docx", "A 49753-2022")</f>
        <v/>
      </c>
      <c r="AC17">
        <f>HYPERLINK("https://klasma.github.io/Logging_2582/fåglar/A 49753-2022 prioriterade fågelarter.docx", "A 49753-2022")</f>
        <v/>
      </c>
    </row>
    <row r="18" ht="15" customHeight="1">
      <c r="A18" t="inlineStr">
        <is>
          <t>A 47498-2022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44853</v>
      </c>
      <c r="E18" s="1" t="n">
        <v>46220</v>
      </c>
      <c r="F18" t="inlineStr">
        <is>
          <t>NORRBOTTENS LÄN</t>
        </is>
      </c>
      <c r="G18" t="inlineStr">
        <is>
          <t>BODEN</t>
        </is>
      </c>
      <c r="H18" t="inlineStr">
        <is>
          <t>Kommuner</t>
        </is>
      </c>
      <c r="I18" t="n">
        <v>2.6</v>
      </c>
      <c r="J18" t="n">
        <v>6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7</v>
      </c>
      <c r="U18" s="2" t="inlineStr">
        <is>
          <t>Tornseglare
Järnsparv
Tretåig hackspett
Strutbräken
Spillkråka
Orre
Ärtsångare</t>
        </is>
      </c>
      <c r="V18">
        <f>HYPERLINK("https://klasma.github.io/Logging_2582/artfynd/A 47498-2022 artfynd.xlsx", "A 47498-2022")</f>
        <v/>
      </c>
      <c r="W18">
        <f>HYPERLINK("https://klasma.github.io/Logging_2582/kartor/A 47498-2022 karta.png", "A 47498-2022")</f>
        <v/>
      </c>
      <c r="Y18">
        <f>HYPERLINK("https://klasma.github.io/Logging_2582/klagomål/A 47498-2022 FSC-klagomål.docx", "A 47498-2022")</f>
        <v/>
      </c>
      <c r="Z18">
        <f>HYPERLINK("https://klasma.github.io/Logging_2582/klagomålsmail/A 47498-2022 FSC-klagomål mail.docx", "A 47498-2022")</f>
        <v/>
      </c>
      <c r="AA18">
        <f>HYPERLINK("https://klasma.github.io/Logging_2582/tillsyn/A 47498-2022 tillsynsbegäran.docx", "A 47498-2022")</f>
        <v/>
      </c>
      <c r="AB18">
        <f>HYPERLINK("https://klasma.github.io/Logging_2582/tillsynsmail/A 47498-2022 tillsynsbegäran mail.docx", "A 47498-2022")</f>
        <v/>
      </c>
      <c r="AC18">
        <f>HYPERLINK("https://klasma.github.io/Logging_2582/fåglar/A 47498-2022 prioriterade fågelarter.docx", "A 47498-2022")</f>
        <v/>
      </c>
    </row>
    <row r="19" ht="15" customHeight="1">
      <c r="A19" t="inlineStr">
        <is>
          <t>A 319-2024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46220</v>
      </c>
      <c r="F19" t="inlineStr">
        <is>
          <t>NORRBOTTENS LÄN</t>
        </is>
      </c>
      <c r="G19" t="inlineStr">
        <is>
          <t>BODEN</t>
        </is>
      </c>
      <c r="I19" t="n">
        <v>4.3</v>
      </c>
      <c r="J19" t="n">
        <v>2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12</v>
      </c>
      <c r="U19" s="2" t="inlineStr">
        <is>
          <t>Gammelgransskål
Ullticka
Violettgrå tagellav
Blodticka
Vedticka
Spillkråka
Revlummer</t>
        </is>
      </c>
      <c r="V19">
        <f>HYPERLINK("https://klasma.github.io/Logging_2582/artfynd/A 319-2024 artfynd.xlsx", "A 319-2024")</f>
        <v/>
      </c>
      <c r="W19">
        <f>HYPERLINK("https://klasma.github.io/Logging_2582/kartor/A 319-2024 karta.png", "A 319-2024")</f>
        <v/>
      </c>
      <c r="Y19">
        <f>HYPERLINK("https://klasma.github.io/Logging_2582/klagomål/A 319-2024 FSC-klagomål.docx", "A 319-2024")</f>
        <v/>
      </c>
      <c r="Z19">
        <f>HYPERLINK("https://klasma.github.io/Logging_2582/klagomålsmail/A 319-2024 FSC-klagomål mail.docx", "A 319-2024")</f>
        <v/>
      </c>
      <c r="AA19">
        <f>HYPERLINK("https://klasma.github.io/Logging_2582/tillsyn/A 319-2024 tillsynsbegäran.docx", "A 319-2024")</f>
        <v/>
      </c>
      <c r="AB19">
        <f>HYPERLINK("https://klasma.github.io/Logging_2582/tillsynsmail/A 319-2024 tillsynsbegäran mail.docx", "A 319-2024")</f>
        <v/>
      </c>
      <c r="AC19">
        <f>HYPERLINK("https://klasma.github.io/Logging_2582/fåglar/A 319-2024 prioriterade fågelarter.docx", "A 319-2024")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46220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s="2" t="inlineStr">
        <is>
          <t>Garnlav
Grenlav
Liten hornflikmossa
Vedflikmossa
Bollvitmossa
Källpraktmossa
Lappranunkel</t>
        </is>
      </c>
      <c r="V20">
        <f>HYPERLINK("https://klasma.github.io/Logging_2582/artfynd/A 19598-2023 artfynd.xlsx", "A 19598-2023")</f>
        <v/>
      </c>
      <c r="W20">
        <f>HYPERLINK("https://klasma.github.io/Logging_2582/kartor/A 19598-2023 karta.png", "A 19598-2023")</f>
        <v/>
      </c>
      <c r="Y20">
        <f>HYPERLINK("https://klasma.github.io/Logging_2582/klagomål/A 19598-2023 FSC-klagomål.docx", "A 19598-2023")</f>
        <v/>
      </c>
      <c r="Z20">
        <f>HYPERLINK("https://klasma.github.io/Logging_2582/klagomålsmail/A 19598-2023 FSC-klagomål mail.docx", "A 19598-2023")</f>
        <v/>
      </c>
      <c r="AA20">
        <f>HYPERLINK("https://klasma.github.io/Logging_2582/tillsyn/A 19598-2023 tillsynsbegäran.docx", "A 19598-2023")</f>
        <v/>
      </c>
      <c r="AB20">
        <f>HYPERLINK("https://klasma.github.io/Logging_2582/tillsynsmail/A 19598-2023 tillsynsbegäran mail.docx", "A 19598-2023")</f>
        <v/>
      </c>
    </row>
    <row r="21" ht="15" customHeight="1">
      <c r="A21" t="inlineStr">
        <is>
          <t>A 51389-2022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46220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15.6</v>
      </c>
      <c r="J21" t="n">
        <v>6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s="2" t="inlineStr">
        <is>
          <t>Pärluggla
Grönsångare
Talltita
Järpe
Tallbit
Orre</t>
        </is>
      </c>
      <c r="V21">
        <f>HYPERLINK("https://klasma.github.io/Logging_2582/artfynd/A 51389-2022 artfynd.xlsx", "A 51389-2022")</f>
        <v/>
      </c>
      <c r="W21">
        <f>HYPERLINK("https://klasma.github.io/Logging_2582/kartor/A 51389-2022 karta.png", "A 51389-2022")</f>
        <v/>
      </c>
      <c r="Y21">
        <f>HYPERLINK("https://klasma.github.io/Logging_2582/klagomål/A 51389-2022 FSC-klagomål.docx", "A 51389-2022")</f>
        <v/>
      </c>
      <c r="Z21">
        <f>HYPERLINK("https://klasma.github.io/Logging_2582/klagomålsmail/A 51389-2022 FSC-klagomål mail.docx", "A 51389-2022")</f>
        <v/>
      </c>
      <c r="AA21">
        <f>HYPERLINK("https://klasma.github.io/Logging_2582/tillsyn/A 51389-2022 tillsynsbegäran.docx", "A 51389-2022")</f>
        <v/>
      </c>
      <c r="AB21">
        <f>HYPERLINK("https://klasma.github.io/Logging_2582/tillsynsmail/A 51389-2022 tillsynsbegäran mail.docx", "A 51389-2022")</f>
        <v/>
      </c>
      <c r="AC21">
        <f>HYPERLINK("https://klasma.github.io/Logging_2582/fåglar/A 51389-2022 prioriterade fågelarter.docx", "A 51389-2022")</f>
        <v/>
      </c>
    </row>
    <row r="22" ht="15" customHeight="1">
      <c r="A22" t="inlineStr">
        <is>
          <t>S 1449-2024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45418</v>
      </c>
      <c r="E22" s="1" t="n">
        <v>46220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2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s="2" t="inlineStr">
        <is>
          <t>Skrovlig taggsvamp
Nordtagging
Skarp dropptaggsvamp
Vaddporing
Rävticka
Skinnlav</t>
        </is>
      </c>
      <c r="V22">
        <f>HYPERLINK("https://klasma.github.io/Logging_2582/artfynd/S 1449-2024 artfynd.xlsx", "S 1449-2024")</f>
        <v/>
      </c>
      <c r="W22">
        <f>HYPERLINK("https://klasma.github.io/Logging_2582/kartor/S 1449-2024 karta.png", "S 1449-2024")</f>
        <v/>
      </c>
      <c r="Y22">
        <f>HYPERLINK("https://klasma.github.io/Logging_2582/klagomål/S 1449-2024 FSC-klagomål.docx", "S 1449-2024")</f>
        <v/>
      </c>
      <c r="Z22">
        <f>HYPERLINK("https://klasma.github.io/Logging_2582/klagomålsmail/S 1449-2024 FSC-klagomål mail.docx", "S 1449-2024")</f>
        <v/>
      </c>
      <c r="AA22">
        <f>HYPERLINK("https://klasma.github.io/Logging_2582/tillsyn/S 1449-2024 tillsynsbegäran.docx", "S 1449-2024")</f>
        <v/>
      </c>
      <c r="AB22">
        <f>HYPERLINK("https://klasma.github.io/Logging_2582/tillsynsmail/S 1449-2024 tillsynsbegäran mail.docx", "S 1449-2024")</f>
        <v/>
      </c>
    </row>
    <row r="23" ht="15" customHeight="1">
      <c r="A23" t="inlineStr">
        <is>
          <t>S 2311-2024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45463</v>
      </c>
      <c r="E23" s="1" t="n">
        <v>46220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2.3</v>
      </c>
      <c r="J23" t="n">
        <v>3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s="2" t="inlineStr">
        <is>
          <t>Knärot
Orange taggsvamp
Grönpyrola
Spindelblomster
Ögonpyrola
Nattviol</t>
        </is>
      </c>
      <c r="V23">
        <f>HYPERLINK("https://klasma.github.io/Logging_2582/artfynd/S 2311-2024 artfynd.xlsx", "S 2311-2024")</f>
        <v/>
      </c>
      <c r="W23">
        <f>HYPERLINK("https://klasma.github.io/Logging_2582/kartor/S 2311-2024 karta.png", "S 2311-2024")</f>
        <v/>
      </c>
      <c r="X23">
        <f>HYPERLINK("https://klasma.github.io/Logging_2582/knärot/S 2311-2024 karta knärot.png", "S 2311-2024")</f>
        <v/>
      </c>
      <c r="Y23">
        <f>HYPERLINK("https://klasma.github.io/Logging_2582/klagomål/S 2311-2024 FSC-klagomål.docx", "S 2311-2024")</f>
        <v/>
      </c>
      <c r="Z23">
        <f>HYPERLINK("https://klasma.github.io/Logging_2582/klagomålsmail/S 2311-2024 FSC-klagomål mail.docx", "S 2311-2024")</f>
        <v/>
      </c>
      <c r="AA23">
        <f>HYPERLINK("https://klasma.github.io/Logging_2582/tillsyn/S 2311-2024 tillsynsbegäran.docx", "S 2311-2024")</f>
        <v/>
      </c>
      <c r="AB23">
        <f>HYPERLINK("https://klasma.github.io/Logging_2582/tillsynsmail/S 2311-2024 tillsynsbegäran mail.docx", "S 2311-2024")</f>
        <v/>
      </c>
    </row>
    <row r="24" ht="15" customHeight="1">
      <c r="A24" t="inlineStr">
        <is>
          <t>A 43653-2021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44433</v>
      </c>
      <c r="E24" s="1" t="n">
        <v>46220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5.2</v>
      </c>
      <c r="J24" t="n">
        <v>2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6</v>
      </c>
      <c r="U24" s="2" t="inlineStr">
        <is>
          <t>Knärot
Gammelgransskål
Lunglav
Spindelblomster
Ögonpyrola</t>
        </is>
      </c>
      <c r="V24">
        <f>HYPERLINK("https://klasma.github.io/Logging_2582/artfynd/A 43653-2021 artfynd.xlsx", "A 43653-2021")</f>
        <v/>
      </c>
      <c r="W24">
        <f>HYPERLINK("https://klasma.github.io/Logging_2582/kartor/A 43653-2021 karta.png", "A 43653-2021")</f>
        <v/>
      </c>
      <c r="X24">
        <f>HYPERLINK("https://klasma.github.io/Logging_2582/knärot/A 43653-2021 karta knärot.png", "A 43653-2021")</f>
        <v/>
      </c>
      <c r="Y24">
        <f>HYPERLINK("https://klasma.github.io/Logging_2582/klagomål/A 43653-2021 FSC-klagomål.docx", "A 43653-2021")</f>
        <v/>
      </c>
      <c r="Z24">
        <f>HYPERLINK("https://klasma.github.io/Logging_2582/klagomålsmail/A 43653-2021 FSC-klagomål mail.docx", "A 43653-2021")</f>
        <v/>
      </c>
      <c r="AA24">
        <f>HYPERLINK("https://klasma.github.io/Logging_2582/tillsyn/A 43653-2021 tillsynsbegäran.docx", "A 43653-2021")</f>
        <v/>
      </c>
      <c r="AB24">
        <f>HYPERLINK("https://klasma.github.io/Logging_2582/tillsynsmail/A 43653-2021 tillsynsbegäran mail.docx", "A 43653-2021")</f>
        <v/>
      </c>
    </row>
    <row r="25" ht="15" customHeight="1">
      <c r="A25" t="inlineStr">
        <is>
          <t>A 58902-2021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46220</v>
      </c>
      <c r="F25" t="inlineStr">
        <is>
          <t>NORRBOTTENS LÄN</t>
        </is>
      </c>
      <c r="G25" t="inlineStr">
        <is>
          <t>BODEN</t>
        </is>
      </c>
      <c r="I25" t="n">
        <v>4.5</v>
      </c>
      <c r="J25" t="n">
        <v>1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8</v>
      </c>
      <c r="U25" s="2" t="inlineStr">
        <is>
          <t>Brunpudrad nållav
Enkelbeckasin
Gammelgransskål
Lunglav
Vedticka</t>
        </is>
      </c>
      <c r="V25">
        <f>HYPERLINK("https://klasma.github.io/Logging_2582/artfynd/A 58902-2021 artfynd.xlsx", "A 58902-2021")</f>
        <v/>
      </c>
      <c r="W25">
        <f>HYPERLINK("https://klasma.github.io/Logging_2582/kartor/A 58902-2021 karta.png", "A 58902-2021")</f>
        <v/>
      </c>
      <c r="Y25">
        <f>HYPERLINK("https://klasma.github.io/Logging_2582/klagomål/A 58902-2021 FSC-klagomål.docx", "A 58902-2021")</f>
        <v/>
      </c>
      <c r="Z25">
        <f>HYPERLINK("https://klasma.github.io/Logging_2582/klagomålsmail/A 58902-2021 FSC-klagomål mail.docx", "A 58902-2021")</f>
        <v/>
      </c>
      <c r="AA25">
        <f>HYPERLINK("https://klasma.github.io/Logging_2582/tillsyn/A 58902-2021 tillsynsbegäran.docx", "A 58902-2021")</f>
        <v/>
      </c>
      <c r="AB25">
        <f>HYPERLINK("https://klasma.github.io/Logging_2582/tillsynsmail/A 58902-2021 tillsynsbegäran mail.docx", "A 58902-2021")</f>
        <v/>
      </c>
      <c r="AC25">
        <f>HYPERLINK("https://klasma.github.io/Logging_2582/fåglar/A 58902-2021 prioriterade fågelarter.docx", "A 58902-2021")</f>
        <v/>
      </c>
    </row>
    <row r="26" ht="15" customHeight="1">
      <c r="A26" t="inlineStr">
        <is>
          <t>A 34792-2022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46220</v>
      </c>
      <c r="F26" t="inlineStr">
        <is>
          <t>NORRBOTTENS LÄN</t>
        </is>
      </c>
      <c r="G26" t="inlineStr">
        <is>
          <t>BODEN</t>
        </is>
      </c>
      <c r="H26" t="inlineStr">
        <is>
          <t>SCA</t>
        </is>
      </c>
      <c r="I26" t="n">
        <v>6.7</v>
      </c>
      <c r="J26" t="n">
        <v>1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5</v>
      </c>
      <c r="U26" s="2" t="inlineStr">
        <is>
          <t>Knärot
Gammelgransskål
Lunglav
Ullticka
Grönpyrola</t>
        </is>
      </c>
      <c r="V26">
        <f>HYPERLINK("https://klasma.github.io/Logging_2582/artfynd/A 34792-2022 artfynd.xlsx", "A 34792-2022")</f>
        <v/>
      </c>
      <c r="W26">
        <f>HYPERLINK("https://klasma.github.io/Logging_2582/kartor/A 34792-2022 karta.png", "A 34792-2022")</f>
        <v/>
      </c>
      <c r="X26">
        <f>HYPERLINK("https://klasma.github.io/Logging_2582/knärot/A 34792-2022 karta knärot.png", "A 34792-2022")</f>
        <v/>
      </c>
      <c r="Y26">
        <f>HYPERLINK("https://klasma.github.io/Logging_2582/klagomål/A 34792-2022 FSC-klagomål.docx", "A 34792-2022")</f>
        <v/>
      </c>
      <c r="Z26">
        <f>HYPERLINK("https://klasma.github.io/Logging_2582/klagomålsmail/A 34792-2022 FSC-klagomål mail.docx", "A 34792-2022")</f>
        <v/>
      </c>
      <c r="AA26">
        <f>HYPERLINK("https://klasma.github.io/Logging_2582/tillsyn/A 34792-2022 tillsynsbegäran.docx", "A 34792-2022")</f>
        <v/>
      </c>
      <c r="AB26">
        <f>HYPERLINK("https://klasma.github.io/Logging_2582/tillsynsmail/A 34792-2022 tillsynsbegäran mail.docx", "A 34792-2022")</f>
        <v/>
      </c>
    </row>
    <row r="27" ht="15" customHeight="1">
      <c r="A27" t="inlineStr">
        <is>
          <t>A 19324-2024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46220</v>
      </c>
      <c r="F27" t="inlineStr">
        <is>
          <t>NORRBOTTENS LÄN</t>
        </is>
      </c>
      <c r="G27" t="inlineStr">
        <is>
          <t>BODEN</t>
        </is>
      </c>
      <c r="I27" t="n">
        <v>3.8</v>
      </c>
      <c r="J27" t="n">
        <v>3</v>
      </c>
      <c r="K27" t="n">
        <v>1</v>
      </c>
      <c r="L27" t="n">
        <v>0</v>
      </c>
      <c r="M27" t="n">
        <v>2</v>
      </c>
      <c r="N27" t="n">
        <v>1</v>
      </c>
      <c r="O27" t="n">
        <v>0</v>
      </c>
      <c r="P27" t="n">
        <v>0</v>
      </c>
      <c r="Q27" t="n">
        <v>3</v>
      </c>
      <c r="R27" t="n">
        <v>3</v>
      </c>
      <c r="S27" t="n">
        <v>5</v>
      </c>
      <c r="T27" t="n">
        <v>6</v>
      </c>
      <c r="U27" s="2" t="inlineStr">
        <is>
          <t>Bitter taggsvamp
Knärot
Norna
Ögonpyrola
Nattviol</t>
        </is>
      </c>
      <c r="V27">
        <f>HYPERLINK("https://klasma.github.io/Logging_2582/artfynd/A 19324-2024 artfynd.xlsx", "A 19324-2024")</f>
        <v/>
      </c>
      <c r="W27">
        <f>HYPERLINK("https://klasma.github.io/Logging_2582/kartor/A 19324-2024 karta.png", "A 19324-2024")</f>
        <v/>
      </c>
      <c r="X27">
        <f>HYPERLINK("https://klasma.github.io/Logging_2582/knärot/A 19324-2024 karta knärot.png", "A 19324-2024")</f>
        <v/>
      </c>
      <c r="Y27">
        <f>HYPERLINK("https://klasma.github.io/Logging_2582/klagomål/A 19324-2024 FSC-klagomål.docx", "A 19324-2024")</f>
        <v/>
      </c>
      <c r="Z27">
        <f>HYPERLINK("https://klasma.github.io/Logging_2582/klagomålsmail/A 19324-2024 FSC-klagomål mail.docx", "A 19324-2024")</f>
        <v/>
      </c>
      <c r="AA27">
        <f>HYPERLINK("https://klasma.github.io/Logging_2582/tillsyn/A 19324-2024 tillsynsbegäran.docx", "A 19324-2024")</f>
        <v/>
      </c>
      <c r="AB27">
        <f>HYPERLINK("https://klasma.github.io/Logging_2582/tillsynsmail/A 19324-2024 tillsynsbegäran mail.docx", "A 19324-2024")</f>
        <v/>
      </c>
    </row>
    <row r="28" ht="15" customHeight="1">
      <c r="A28" t="inlineStr">
        <is>
          <t>A 31030-2025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46220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11.1</v>
      </c>
      <c r="J28" t="n">
        <v>3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9</v>
      </c>
      <c r="U28" s="2" t="inlineStr">
        <is>
          <t>Knärot
Lunglav
Spindelblomster
Stuplav
Fläcknycklar</t>
        </is>
      </c>
      <c r="V28">
        <f>HYPERLINK("https://klasma.github.io/Logging_2582/artfynd/A 31030-2025 artfynd.xlsx", "A 31030-2025")</f>
        <v/>
      </c>
      <c r="W28">
        <f>HYPERLINK("https://klasma.github.io/Logging_2582/kartor/A 31030-2025 karta.png", "A 31030-2025")</f>
        <v/>
      </c>
      <c r="X28">
        <f>HYPERLINK("https://klasma.github.io/Logging_2582/knärot/A 31030-2025 karta knärot.png", "A 31030-2025")</f>
        <v/>
      </c>
      <c r="Y28">
        <f>HYPERLINK("https://klasma.github.io/Logging_2582/klagomål/A 31030-2025 FSC-klagomål.docx", "A 31030-2025")</f>
        <v/>
      </c>
      <c r="Z28">
        <f>HYPERLINK("https://klasma.github.io/Logging_2582/klagomålsmail/A 31030-2025 FSC-klagomål mail.docx", "A 31030-2025")</f>
        <v/>
      </c>
      <c r="AA28">
        <f>HYPERLINK("https://klasma.github.io/Logging_2582/tillsyn/A 31030-2025 tillsynsbegäran.docx", "A 31030-2025")</f>
        <v/>
      </c>
      <c r="AB28">
        <f>HYPERLINK("https://klasma.github.io/Logging_2582/tillsynsmail/A 31030-2025 tillsynsbegäran mail.docx", "A 31030-2025")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46220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s="2" t="inlineStr">
        <is>
          <t>Vitryggig hackspett
Talltita
Tretåig hackspett
Björksplintborre
Spillkråka</t>
        </is>
      </c>
      <c r="V29">
        <f>HYPERLINK("https://klasma.github.io/Logging_2582/artfynd/A 43709-2025 artfynd.xlsx", "A 43709-2025")</f>
        <v/>
      </c>
      <c r="W29">
        <f>HYPERLINK("https://klasma.github.io/Logging_2582/kartor/A 43709-2025 karta.png", "A 43709-2025")</f>
        <v/>
      </c>
      <c r="Y29">
        <f>HYPERLINK("https://klasma.github.io/Logging_2582/klagomål/A 43709-2025 FSC-klagomål.docx", "A 43709-2025")</f>
        <v/>
      </c>
      <c r="Z29">
        <f>HYPERLINK("https://klasma.github.io/Logging_2582/klagomålsmail/A 43709-2025 FSC-klagomål mail.docx", "A 43709-2025")</f>
        <v/>
      </c>
      <c r="AA29">
        <f>HYPERLINK("https://klasma.github.io/Logging_2582/tillsyn/A 43709-2025 tillsynsbegäran.docx", "A 43709-2025")</f>
        <v/>
      </c>
      <c r="AB29">
        <f>HYPERLINK("https://klasma.github.io/Logging_2582/tillsynsmail/A 43709-2025 tillsynsbegäran mail.docx", "A 43709-2025")</f>
        <v/>
      </c>
      <c r="AC29">
        <f>HYPERLINK("https://klasma.github.io/Logging_2582/fåglar/A 43709-2025 prioriterade fågelarter.docx", "A 43709-2025")</f>
        <v/>
      </c>
    </row>
    <row r="30" ht="15" customHeight="1">
      <c r="A30" t="inlineStr">
        <is>
          <t>A 32309-2025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46220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13.6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6</v>
      </c>
      <c r="U30" s="2" t="inlineStr">
        <is>
          <t>Doftticka
Garnlav
Lunglav
Bårdlav
Stuplav</t>
        </is>
      </c>
      <c r="V30">
        <f>HYPERLINK("https://klasma.github.io/Logging_2582/artfynd/A 32309-2025 artfynd.xlsx", "A 32309-2025")</f>
        <v/>
      </c>
      <c r="W30">
        <f>HYPERLINK("https://klasma.github.io/Logging_2582/kartor/A 32309-2025 karta.png", "A 32309-2025")</f>
        <v/>
      </c>
      <c r="Y30">
        <f>HYPERLINK("https://klasma.github.io/Logging_2582/klagomål/A 32309-2025 FSC-klagomål.docx", "A 32309-2025")</f>
        <v/>
      </c>
      <c r="Z30">
        <f>HYPERLINK("https://klasma.github.io/Logging_2582/klagomålsmail/A 32309-2025 FSC-klagomål mail.docx", "A 32309-2025")</f>
        <v/>
      </c>
      <c r="AA30">
        <f>HYPERLINK("https://klasma.github.io/Logging_2582/tillsyn/A 32309-2025 tillsynsbegäran.docx", "A 32309-2025")</f>
        <v/>
      </c>
      <c r="AB30">
        <f>HYPERLINK("https://klasma.github.io/Logging_2582/tillsynsmail/A 32309-2025 tillsynsbegäran mail.docx", "A 32309-2025")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46220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Nötkråka
Talltita
Gråspett
Järpe
Spillkråka</t>
        </is>
      </c>
      <c r="V31">
        <f>HYPERLINK("https://klasma.github.io/Logging_2582/artfynd/A 39868-2025 artfynd.xlsx", "A 39868-2025")</f>
        <v/>
      </c>
      <c r="W31">
        <f>HYPERLINK("https://klasma.github.io/Logging_2582/kartor/A 39868-2025 karta.png", "A 39868-2025")</f>
        <v/>
      </c>
      <c r="Y31">
        <f>HYPERLINK("https://klasma.github.io/Logging_2582/klagomål/A 39868-2025 FSC-klagomål.docx", "A 39868-2025")</f>
        <v/>
      </c>
      <c r="Z31">
        <f>HYPERLINK("https://klasma.github.io/Logging_2582/klagomålsmail/A 39868-2025 FSC-klagomål mail.docx", "A 39868-2025")</f>
        <v/>
      </c>
      <c r="AA31">
        <f>HYPERLINK("https://klasma.github.io/Logging_2582/tillsyn/A 39868-2025 tillsynsbegäran.docx", "A 39868-2025")</f>
        <v/>
      </c>
      <c r="AB31">
        <f>HYPERLINK("https://klasma.github.io/Logging_2582/tillsynsmail/A 39868-2025 tillsynsbegäran mail.docx", "A 39868-2025")</f>
        <v/>
      </c>
      <c r="AC31">
        <f>HYPERLINK("https://klasma.github.io/Logging_2582/fåglar/A 39868-2025 prioriterade fågelarter.docx", "A 39868-2025")</f>
        <v/>
      </c>
    </row>
    <row r="32" ht="15" customHeight="1">
      <c r="A32" t="inlineStr">
        <is>
          <t>A 32325-2024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45512</v>
      </c>
      <c r="E32" s="1" t="n">
        <v>46220</v>
      </c>
      <c r="F32" t="inlineStr">
        <is>
          <t>NORRBOTTENS LÄN</t>
        </is>
      </c>
      <c r="G32" t="inlineStr">
        <is>
          <t>BODEN</t>
        </is>
      </c>
      <c r="H32" t="inlineStr">
        <is>
          <t>Övriga Aktiebolag</t>
        </is>
      </c>
      <c r="I32" t="n">
        <v>36.5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7</v>
      </c>
      <c r="U32" s="2" t="inlineStr">
        <is>
          <t>Garnlav
Knärot
Gammelgransskål
Luddlav
Skinnlav</t>
        </is>
      </c>
      <c r="V32">
        <f>HYPERLINK("https://klasma.github.io/Logging_2582/artfynd/A 32325-2024 artfynd.xlsx", "A 32325-2024")</f>
        <v/>
      </c>
      <c r="W32">
        <f>HYPERLINK("https://klasma.github.io/Logging_2582/kartor/A 32325-2024 karta.png", "A 32325-2024")</f>
        <v/>
      </c>
      <c r="X32">
        <f>HYPERLINK("https://klasma.github.io/Logging_2582/knärot/A 32325-2024 karta knärot.png", "A 32325-2024")</f>
        <v/>
      </c>
      <c r="Y32">
        <f>HYPERLINK("https://klasma.github.io/Logging_2582/klagomål/A 32325-2024 FSC-klagomål.docx", "A 32325-2024")</f>
        <v/>
      </c>
      <c r="Z32">
        <f>HYPERLINK("https://klasma.github.io/Logging_2582/klagomålsmail/A 32325-2024 FSC-klagomål mail.docx", "A 32325-2024")</f>
        <v/>
      </c>
      <c r="AA32">
        <f>HYPERLINK("https://klasma.github.io/Logging_2582/tillsyn/A 32325-2024 tillsynsbegäran.docx", "A 32325-2024")</f>
        <v/>
      </c>
      <c r="AB32">
        <f>HYPERLINK("https://klasma.github.io/Logging_2582/tillsynsmail/A 32325-2024 tillsynsbegäran mail.docx", "A 32325-2024")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46220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s="2" t="inlineStr">
        <is>
          <t>Stare
Rosenfink
Rävticka
Sångsvan
Trana</t>
        </is>
      </c>
      <c r="V33">
        <f>HYPERLINK("https://klasma.github.io/Logging_2582/artfynd/A 59358-2022 artfynd.xlsx", "A 59358-2022")</f>
        <v/>
      </c>
      <c r="W33">
        <f>HYPERLINK("https://klasma.github.io/Logging_2582/kartor/A 59358-2022 karta.png", "A 59358-2022")</f>
        <v/>
      </c>
      <c r="Y33">
        <f>HYPERLINK("https://klasma.github.io/Logging_2582/klagomål/A 59358-2022 FSC-klagomål.docx", "A 59358-2022")</f>
        <v/>
      </c>
      <c r="Z33">
        <f>HYPERLINK("https://klasma.github.io/Logging_2582/klagomålsmail/A 59358-2022 FSC-klagomål mail.docx", "A 59358-2022")</f>
        <v/>
      </c>
      <c r="AA33">
        <f>HYPERLINK("https://klasma.github.io/Logging_2582/tillsyn/A 59358-2022 tillsynsbegäran.docx", "A 59358-2022")</f>
        <v/>
      </c>
      <c r="AB33">
        <f>HYPERLINK("https://klasma.github.io/Logging_2582/tillsynsmail/A 59358-2022 tillsynsbegäran mail.docx", "A 59358-2022")</f>
        <v/>
      </c>
      <c r="AC33">
        <f>HYPERLINK("https://klasma.github.io/Logging_2582/fåglar/A 59358-2022 prioriterade fågelarter.docx", "A 59358-2022")</f>
        <v/>
      </c>
    </row>
    <row r="34" ht="15" customHeight="1">
      <c r="A34" t="inlineStr">
        <is>
          <t>A 31197-2026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46209</v>
      </c>
      <c r="E34" s="1" t="n">
        <v>46220</v>
      </c>
      <c r="F34" t="inlineStr">
        <is>
          <t>NORRBOTTENS LÄN</t>
        </is>
      </c>
      <c r="G34" t="inlineStr">
        <is>
          <t>BODEN</t>
        </is>
      </c>
      <c r="H34" t="inlineStr">
        <is>
          <t>Kommuner</t>
        </is>
      </c>
      <c r="I34" t="n">
        <v>2.7</v>
      </c>
      <c r="J34" t="n">
        <v>4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6</v>
      </c>
      <c r="U34" s="2" t="inlineStr">
        <is>
          <t>Tornseglare
Älvstarr
Grönsiska
Svartvit flugsnappare
Vanlig groda</t>
        </is>
      </c>
      <c r="V34">
        <f>HYPERLINK("https://klasma.github.io/Logging_2582/artfynd/A 31197-2026 artfynd.xlsx", "A 31197-2026")</f>
        <v/>
      </c>
      <c r="W34">
        <f>HYPERLINK("https://klasma.github.io/Logging_2582/kartor/A 31197-2026 karta.png", "A 31197-2026")</f>
        <v/>
      </c>
      <c r="Y34">
        <f>HYPERLINK("https://klasma.github.io/Logging_2582/klagomål/A 31197-2026 FSC-klagomål.docx", "A 31197-2026")</f>
        <v/>
      </c>
      <c r="Z34">
        <f>HYPERLINK("https://klasma.github.io/Logging_2582/klagomålsmail/A 31197-2026 FSC-klagomål mail.docx", "A 31197-2026")</f>
        <v/>
      </c>
      <c r="AA34">
        <f>HYPERLINK("https://klasma.github.io/Logging_2582/tillsyn/A 31197-2026 tillsynsbegäran.docx", "A 31197-2026")</f>
        <v/>
      </c>
      <c r="AB34">
        <f>HYPERLINK("https://klasma.github.io/Logging_2582/tillsynsmail/A 31197-2026 tillsynsbegäran mail.docx", "A 31197-2026")</f>
        <v/>
      </c>
      <c r="AC34">
        <f>HYPERLINK("https://klasma.github.io/Logging_2582/fåglar/A 31197-2026 prioriterade fågelarter.docx", "A 31197-2026")</f>
        <v/>
      </c>
    </row>
    <row r="35" ht="15" customHeight="1">
      <c r="A35" t="inlineStr">
        <is>
          <t>A 30513-2026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46210</v>
      </c>
      <c r="E35" s="1" t="n">
        <v>46220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10.2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14</v>
      </c>
      <c r="U35" s="2" t="inlineStr">
        <is>
          <t>Gräddporing
Knärot
Nordtagging
Tallticka
Grönpyrola</t>
        </is>
      </c>
      <c r="V35">
        <f>HYPERLINK("https://klasma.github.io/Logging_2582/artfynd/A 30513-2026 artfynd.xlsx", "A 30513-2026")</f>
        <v/>
      </c>
      <c r="W35">
        <f>HYPERLINK("https://klasma.github.io/Logging_2582/kartor/A 30513-2026 karta.png", "A 30513-2026")</f>
        <v/>
      </c>
      <c r="X35">
        <f>HYPERLINK("https://klasma.github.io/Logging_2582/knärot/A 30513-2026 karta knärot.png", "A 30513-2026")</f>
        <v/>
      </c>
      <c r="Y35">
        <f>HYPERLINK("https://klasma.github.io/Logging_2582/klagomål/A 30513-2026 FSC-klagomål.docx", "A 30513-2026")</f>
        <v/>
      </c>
      <c r="Z35">
        <f>HYPERLINK("https://klasma.github.io/Logging_2582/klagomålsmail/A 30513-2026 FSC-klagomål mail.docx", "A 30513-2026")</f>
        <v/>
      </c>
      <c r="AA35">
        <f>HYPERLINK("https://klasma.github.io/Logging_2582/tillsyn/A 30513-2026 tillsynsbegäran.docx", "A 30513-2026")</f>
        <v/>
      </c>
      <c r="AB35">
        <f>HYPERLINK("https://klasma.github.io/Logging_2582/tillsynsmail/A 30513-2026 tillsynsbegäran mail.docx", "A 30513-2026")</f>
        <v/>
      </c>
    </row>
    <row r="36" ht="15" customHeight="1">
      <c r="A36" t="inlineStr">
        <is>
          <t>A 28197-2025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45818</v>
      </c>
      <c r="E36" s="1" t="n">
        <v>46220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7.2</v>
      </c>
      <c r="J36" t="n">
        <v>2</v>
      </c>
      <c r="K36" t="n">
        <v>1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4</v>
      </c>
      <c r="T36" t="n">
        <v>7</v>
      </c>
      <c r="U36" s="2" t="inlineStr">
        <is>
          <t>Knärot
Norna
Lunglav
Stuplav</t>
        </is>
      </c>
      <c r="V36">
        <f>HYPERLINK("https://klasma.github.io/Logging_2582/artfynd/A 28197-2025 artfynd.xlsx", "A 28197-2025")</f>
        <v/>
      </c>
      <c r="W36">
        <f>HYPERLINK("https://klasma.github.io/Logging_2582/kartor/A 28197-2025 karta.png", "A 28197-2025")</f>
        <v/>
      </c>
      <c r="X36">
        <f>HYPERLINK("https://klasma.github.io/Logging_2582/knärot/A 28197-2025 karta knärot.png", "A 28197-2025")</f>
        <v/>
      </c>
      <c r="Y36">
        <f>HYPERLINK("https://klasma.github.io/Logging_2582/klagomål/A 28197-2025 FSC-klagomål.docx", "A 28197-2025")</f>
        <v/>
      </c>
      <c r="Z36">
        <f>HYPERLINK("https://klasma.github.io/Logging_2582/klagomålsmail/A 28197-2025 FSC-klagomål mail.docx", "A 28197-2025")</f>
        <v/>
      </c>
      <c r="AA36">
        <f>HYPERLINK("https://klasma.github.io/Logging_2582/tillsyn/A 28197-2025 tillsynsbegäran.docx", "A 28197-2025")</f>
        <v/>
      </c>
      <c r="AB36">
        <f>HYPERLINK("https://klasma.github.io/Logging_2582/tillsynsmail/A 28197-2025 tillsynsbegäran mail.docx", "A 28197-2025")</f>
        <v/>
      </c>
    </row>
    <row r="37" ht="15" customHeight="1">
      <c r="A37" t="inlineStr">
        <is>
          <t>A 59028-2025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46220</v>
      </c>
      <c r="F37" t="inlineStr">
        <is>
          <t>NORRBOTTENS LÄN</t>
        </is>
      </c>
      <c r="G37" t="inlineStr">
        <is>
          <t>BODEN</t>
        </is>
      </c>
      <c r="I37" t="n">
        <v>4.3</v>
      </c>
      <c r="J37" t="n">
        <v>0</v>
      </c>
      <c r="K37" t="n">
        <v>0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4</v>
      </c>
      <c r="T37" t="n">
        <v>4</v>
      </c>
      <c r="U37" s="2" t="inlineStr">
        <is>
          <t>Goliatmusseron
Skrovlig taggsvamp
Dvärgbägarlav
Skarp dropptaggsvamp</t>
        </is>
      </c>
      <c r="V37">
        <f>HYPERLINK("https://klasma.github.io/Logging_2582/artfynd/A 59028-2025 artfynd.xlsx", "A 59028-2025")</f>
        <v/>
      </c>
      <c r="W37">
        <f>HYPERLINK("https://klasma.github.io/Logging_2582/kartor/A 59028-2025 karta.png", "A 59028-2025")</f>
        <v/>
      </c>
      <c r="Y37">
        <f>HYPERLINK("https://klasma.github.io/Logging_2582/klagomål/A 59028-2025 FSC-klagomål.docx", "A 59028-2025")</f>
        <v/>
      </c>
      <c r="Z37">
        <f>HYPERLINK("https://klasma.github.io/Logging_2582/klagomålsmail/A 59028-2025 FSC-klagomål mail.docx", "A 59028-2025")</f>
        <v/>
      </c>
      <c r="AA37">
        <f>HYPERLINK("https://klasma.github.io/Logging_2582/tillsyn/A 59028-2025 tillsynsbegäran.docx", "A 59028-2025")</f>
        <v/>
      </c>
      <c r="AB37">
        <f>HYPERLINK("https://klasma.github.io/Logging_2582/tillsynsmail/A 59028-2025 tillsynsbegäran mail.docx", "A 59028-2025")</f>
        <v/>
      </c>
    </row>
    <row r="38" ht="15" customHeight="1">
      <c r="A38" t="inlineStr">
        <is>
          <t>A 1879-2024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45307</v>
      </c>
      <c r="E38" s="1" t="n">
        <v>46220</v>
      </c>
      <c r="F38" t="inlineStr">
        <is>
          <t>NORRBOTTENS LÄN</t>
        </is>
      </c>
      <c r="G38" t="inlineStr">
        <is>
          <t>BODEN</t>
        </is>
      </c>
      <c r="H38" t="inlineStr">
        <is>
          <t>SCA</t>
        </is>
      </c>
      <c r="I38" t="n">
        <v>4.5</v>
      </c>
      <c r="J38" t="n">
        <v>0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16</v>
      </c>
      <c r="U38" s="2" t="inlineStr">
        <is>
          <t>Garnlav
Ringlav
Skogshare
Bårdlav</t>
        </is>
      </c>
      <c r="V38">
        <f>HYPERLINK("https://klasma.github.io/Logging_2582/artfynd/A 1879-2024 artfynd.xlsx", "A 1879-2024")</f>
        <v/>
      </c>
      <c r="W38">
        <f>HYPERLINK("https://klasma.github.io/Logging_2582/kartor/A 1879-2024 karta.png", "A 1879-2024")</f>
        <v/>
      </c>
      <c r="Y38">
        <f>HYPERLINK("https://klasma.github.io/Logging_2582/klagomål/A 1879-2024 FSC-klagomål.docx", "A 1879-2024")</f>
        <v/>
      </c>
      <c r="Z38">
        <f>HYPERLINK("https://klasma.github.io/Logging_2582/klagomålsmail/A 1879-2024 FSC-klagomål mail.docx", "A 1879-2024")</f>
        <v/>
      </c>
      <c r="AA38">
        <f>HYPERLINK("https://klasma.github.io/Logging_2582/tillsyn/A 1879-2024 tillsynsbegäran.docx", "A 1879-2024")</f>
        <v/>
      </c>
      <c r="AB38">
        <f>HYPERLINK("https://klasma.github.io/Logging_2582/tillsynsmail/A 1879-2024 tillsynsbegäran mail.docx", "A 1879-2024")</f>
        <v/>
      </c>
    </row>
    <row r="39" ht="15" customHeight="1">
      <c r="A39" t="inlineStr">
        <is>
          <t>A 61211-2024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46220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13</v>
      </c>
      <c r="U39" s="2" t="inlineStr">
        <is>
          <t>Skrovlig taggsvamp
Blå taggsvamp
Dropptaggsvamp
Orange taggsvamp</t>
        </is>
      </c>
      <c r="V39">
        <f>HYPERLINK("https://klasma.github.io/Logging_2582/artfynd/A 61211-2024 artfynd.xlsx", "A 61211-2024")</f>
        <v/>
      </c>
      <c r="W39">
        <f>HYPERLINK("https://klasma.github.io/Logging_2582/kartor/A 61211-2024 karta.png", "A 61211-2024")</f>
        <v/>
      </c>
      <c r="Y39">
        <f>HYPERLINK("https://klasma.github.io/Logging_2582/klagomål/A 61211-2024 FSC-klagomål.docx", "A 61211-2024")</f>
        <v/>
      </c>
      <c r="Z39">
        <f>HYPERLINK("https://klasma.github.io/Logging_2582/klagomålsmail/A 61211-2024 FSC-klagomål mail.docx", "A 61211-2024")</f>
        <v/>
      </c>
      <c r="AA39">
        <f>HYPERLINK("https://klasma.github.io/Logging_2582/tillsyn/A 61211-2024 tillsynsbegäran.docx", "A 61211-2024")</f>
        <v/>
      </c>
      <c r="AB39">
        <f>HYPERLINK("https://klasma.github.io/Logging_2582/tillsynsmail/A 61211-2024 tillsynsbegäran mail.docx", "A 61211-2024")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46220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s="2" t="inlineStr">
        <is>
          <t>Knärot
Lunglav
Ullticka
Stuplav</t>
        </is>
      </c>
      <c r="V40">
        <f>HYPERLINK("https://klasma.github.io/Logging_2582/artfynd/A 57526-2025 artfynd.xlsx", "A 57526-2025")</f>
        <v/>
      </c>
      <c r="W40">
        <f>HYPERLINK("https://klasma.github.io/Logging_2582/kartor/A 57526-2025 karta.png", "A 57526-2025")</f>
        <v/>
      </c>
      <c r="X40">
        <f>HYPERLINK("https://klasma.github.io/Logging_2582/knärot/A 57526-2025 karta knärot.png", "A 57526-2025")</f>
        <v/>
      </c>
      <c r="Y40">
        <f>HYPERLINK("https://klasma.github.io/Logging_2582/klagomål/A 57526-2025 FSC-klagomål.docx", "A 57526-2025")</f>
        <v/>
      </c>
      <c r="Z40">
        <f>HYPERLINK("https://klasma.github.io/Logging_2582/klagomålsmail/A 57526-2025 FSC-klagomål mail.docx", "A 57526-2025")</f>
        <v/>
      </c>
      <c r="AA40">
        <f>HYPERLINK("https://klasma.github.io/Logging_2582/tillsyn/A 57526-2025 tillsynsbegäran.docx", "A 57526-2025")</f>
        <v/>
      </c>
      <c r="AB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46220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Harticka
Tretåig hackspett
Smal svampklubba
Järpe</t>
        </is>
      </c>
      <c r="V41">
        <f>HYPERLINK("https://klasma.github.io/Logging_2582/artfynd/A 21475-2026 artfynd.xlsx", "A 21475-2026")</f>
        <v/>
      </c>
      <c r="W41">
        <f>HYPERLINK("https://klasma.github.io/Logging_2582/kartor/A 21475-2026 karta.png", "A 21475-2026")</f>
        <v/>
      </c>
      <c r="Y41">
        <f>HYPERLINK("https://klasma.github.io/Logging_2582/klagomål/A 21475-2026 FSC-klagomål.docx", "A 21475-2026")</f>
        <v/>
      </c>
      <c r="Z41">
        <f>HYPERLINK("https://klasma.github.io/Logging_2582/klagomålsmail/A 21475-2026 FSC-klagomål mail.docx", "A 21475-2026")</f>
        <v/>
      </c>
      <c r="AA41">
        <f>HYPERLINK("https://klasma.github.io/Logging_2582/tillsyn/A 21475-2026 tillsynsbegäran.docx", "A 21475-2026")</f>
        <v/>
      </c>
      <c r="AB41">
        <f>HYPERLINK("https://klasma.github.io/Logging_2582/tillsynsmail/A 21475-2026 tillsynsbegäran mail.docx", "A 21475-2026")</f>
        <v/>
      </c>
      <c r="AC41">
        <f>HYPERLINK("https://klasma.github.io/Logging_2582/fåglar/A 21475-2026 prioriterade fågelarter.docx", "A 21475-2026")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s="2" t="inlineStr">
        <is>
          <t>Doftticka
Knärot
Lunglav
Spindelblomster</t>
        </is>
      </c>
      <c r="V42">
        <f>HYPERLINK("https://klasma.github.io/Logging_2582/artfynd/A 28358-2026 artfynd.xlsx", "A 28358-2026")</f>
        <v/>
      </c>
      <c r="W42">
        <f>HYPERLINK("https://klasma.github.io/Logging_2582/kartor/A 28358-2026 karta.png", "A 28358-2026")</f>
        <v/>
      </c>
      <c r="X42">
        <f>HYPERLINK("https://klasma.github.io/Logging_2582/knärot/A 28358-2026 karta knärot.png", "A 28358-2026")</f>
        <v/>
      </c>
      <c r="Y42">
        <f>HYPERLINK("https://klasma.github.io/Logging_2582/klagomål/A 28358-2026 FSC-klagomål.docx", "A 28358-2026")</f>
        <v/>
      </c>
      <c r="Z42">
        <f>HYPERLINK("https://klasma.github.io/Logging_2582/klagomålsmail/A 28358-2026 FSC-klagomål mail.docx", "A 28358-2026")</f>
        <v/>
      </c>
      <c r="AA42">
        <f>HYPERLINK("https://klasma.github.io/Logging_2582/tillsyn/A 28358-2026 tillsynsbegäran.docx", "A 28358-2026")</f>
        <v/>
      </c>
      <c r="AB42">
        <f>HYPERLINK("https://klasma.github.io/Logging_2582/tillsynsmail/A 28358-2026 tillsynsbegäran mail.docx", "A 28358-2026")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46220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s="2" t="inlineStr">
        <is>
          <t>Knärot
Lunglav
Grönpyrola
Fläcknycklar</t>
        </is>
      </c>
      <c r="V43">
        <f>HYPERLINK("https://klasma.github.io/Logging_2582/artfynd/A 28183-2026 artfynd.xlsx", "A 28183-2026")</f>
        <v/>
      </c>
      <c r="W43">
        <f>HYPERLINK("https://klasma.github.io/Logging_2582/kartor/A 28183-2026 karta.png", "A 28183-2026")</f>
        <v/>
      </c>
      <c r="X43">
        <f>HYPERLINK("https://klasma.github.io/Logging_2582/knärot/A 28183-2026 karta knärot.png", "A 28183-2026")</f>
        <v/>
      </c>
      <c r="Y43">
        <f>HYPERLINK("https://klasma.github.io/Logging_2582/klagomål/A 28183-2026 FSC-klagomål.docx", "A 28183-2026")</f>
        <v/>
      </c>
      <c r="Z43">
        <f>HYPERLINK("https://klasma.github.io/Logging_2582/klagomålsmail/A 28183-2026 FSC-klagomål mail.docx", "A 28183-2026")</f>
        <v/>
      </c>
      <c r="AA43">
        <f>HYPERLINK("https://klasma.github.io/Logging_2582/tillsyn/A 28183-2026 tillsynsbegäran.docx", "A 28183-2026")</f>
        <v/>
      </c>
      <c r="AB43">
        <f>HYPERLINK("https://klasma.github.io/Logging_2582/tillsynsmail/A 28183-2026 tillsynsbegäran mail.docx", "A 28183-2026")</f>
        <v/>
      </c>
    </row>
    <row r="44" ht="15" customHeight="1">
      <c r="A44" t="inlineStr">
        <is>
          <t>S 3220-2025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45980</v>
      </c>
      <c r="E44" s="1" t="n">
        <v>46220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s="2" t="inlineStr">
        <is>
          <t>Knärot
Lunglav
Ullticka
Stuplav</t>
        </is>
      </c>
      <c r="V44">
        <f>HYPERLINK("https://klasma.github.io/Logging_2582/artfynd/S 3220-2025 artfynd.xlsx", "S 3220-2025")</f>
        <v/>
      </c>
      <c r="W44">
        <f>HYPERLINK("https://klasma.github.io/Logging_2582/kartor/S 3220-2025 karta.png", "S 3220-2025")</f>
        <v/>
      </c>
      <c r="X44">
        <f>HYPERLINK("https://klasma.github.io/Logging_2582/knärot/S 3220-2025 karta knärot.png", "S 3220-2025")</f>
        <v/>
      </c>
      <c r="Y44">
        <f>HYPERLINK("https://klasma.github.io/Logging_2582/klagomål/S 3220-2025 FSC-klagomål.docx", "S 3220-2025")</f>
        <v/>
      </c>
      <c r="Z44">
        <f>HYPERLINK("https://klasma.github.io/Logging_2582/klagomålsmail/S 3220-2025 FSC-klagomål mail.docx", "S 3220-2025")</f>
        <v/>
      </c>
      <c r="AA44">
        <f>HYPERLINK("https://klasma.github.io/Logging_2582/tillsyn/S 3220-2025 tillsynsbegäran.docx", "S 3220-2025")</f>
        <v/>
      </c>
      <c r="AB44">
        <f>HYPERLINK("https://klasma.github.io/Logging_2582/tillsynsmail/S 3220-2025 tillsynsbegäran mail.docx", "S 3220-2025")</f>
        <v/>
      </c>
    </row>
    <row r="45" ht="15" customHeight="1">
      <c r="A45" t="inlineStr">
        <is>
          <t>A 28267-2025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46220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2.6</v>
      </c>
      <c r="J45" t="n">
        <v>2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3</v>
      </c>
      <c r="U45" s="2" t="inlineStr">
        <is>
          <t>Doftticka
Knärot
Lunglav</t>
        </is>
      </c>
      <c r="V45">
        <f>HYPERLINK("https://klasma.github.io/Logging_2582/artfynd/A 28267-2025 artfynd.xlsx", "A 28267-2025")</f>
        <v/>
      </c>
      <c r="W45">
        <f>HYPERLINK("https://klasma.github.io/Logging_2582/kartor/A 28267-2025 karta.png", "A 28267-2025")</f>
        <v/>
      </c>
      <c r="X45">
        <f>HYPERLINK("https://klasma.github.io/Logging_2582/knärot/A 28267-2025 karta knärot.png", "A 28267-2025")</f>
        <v/>
      </c>
      <c r="Y45">
        <f>HYPERLINK("https://klasma.github.io/Logging_2582/klagomål/A 28267-2025 FSC-klagomål.docx", "A 28267-2025")</f>
        <v/>
      </c>
      <c r="Z45">
        <f>HYPERLINK("https://klasma.github.io/Logging_2582/klagomålsmail/A 28267-2025 FSC-klagomål mail.docx", "A 28267-2025")</f>
        <v/>
      </c>
      <c r="AA45">
        <f>HYPERLINK("https://klasma.github.io/Logging_2582/tillsyn/A 28267-2025 tillsynsbegäran.docx", "A 28267-2025")</f>
        <v/>
      </c>
      <c r="AB45">
        <f>HYPERLINK("https://klasma.github.io/Logging_2582/tillsynsmail/A 28267-2025 tillsynsbegäran mail.docx", "A 28267-2025")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46220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Liten hornflikmossa
Vedtrappmossa
Stuplav</t>
        </is>
      </c>
      <c r="V46">
        <f>HYPERLINK("https://klasma.github.io/Logging_2582/artfynd/A 43719-2025 artfynd.xlsx", "A 43719-2025")</f>
        <v/>
      </c>
      <c r="W46">
        <f>HYPERLINK("https://klasma.github.io/Logging_2582/kartor/A 43719-2025 karta.png", "A 43719-2025")</f>
        <v/>
      </c>
      <c r="Y46">
        <f>HYPERLINK("https://klasma.github.io/Logging_2582/klagomål/A 43719-2025 FSC-klagomål.docx", "A 43719-2025")</f>
        <v/>
      </c>
      <c r="Z46">
        <f>HYPERLINK("https://klasma.github.io/Logging_2582/klagomålsmail/A 43719-2025 FSC-klagomål mail.docx", "A 43719-2025")</f>
        <v/>
      </c>
      <c r="AA46">
        <f>HYPERLINK("https://klasma.github.io/Logging_2582/tillsyn/A 43719-2025 tillsynsbegäran.docx", "A 43719-2025")</f>
        <v/>
      </c>
      <c r="AB46">
        <f>HYPERLINK("https://klasma.github.io/Logging_2582/tillsynsmail/A 43719-2025 tillsynsbegäran mail.docx", "A 43719-2025")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46220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s="2" t="inlineStr">
        <is>
          <t>Garnlav
Gammelgransskål
Spillkråka</t>
        </is>
      </c>
      <c r="V47">
        <f>HYPERLINK("https://klasma.github.io/Logging_2582/artfynd/A 48220-2025 artfynd.xlsx", "A 48220-2025")</f>
        <v/>
      </c>
      <c r="W47">
        <f>HYPERLINK("https://klasma.github.io/Logging_2582/kartor/A 48220-2025 karta.png", "A 48220-2025")</f>
        <v/>
      </c>
      <c r="Y47">
        <f>HYPERLINK("https://klasma.github.io/Logging_2582/klagomål/A 48220-2025 FSC-klagomål.docx", "A 48220-2025")</f>
        <v/>
      </c>
      <c r="Z47">
        <f>HYPERLINK("https://klasma.github.io/Logging_2582/klagomålsmail/A 48220-2025 FSC-klagomål mail.docx", "A 48220-2025")</f>
        <v/>
      </c>
      <c r="AA47">
        <f>HYPERLINK("https://klasma.github.io/Logging_2582/tillsyn/A 48220-2025 tillsynsbegäran.docx", "A 48220-2025")</f>
        <v/>
      </c>
      <c r="AB47">
        <f>HYPERLINK("https://klasma.github.io/Logging_2582/tillsynsmail/A 48220-2025 tillsynsbegäran mail.docx", "A 48220-2025")</f>
        <v/>
      </c>
      <c r="AC47">
        <f>HYPERLINK("https://klasma.github.io/Logging_2582/fåglar/A 48220-2025 prioriterade fågelarter.docx", "A 48220-2025")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46220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s="2" t="inlineStr">
        <is>
          <t>Garnlav
Tretåig hackspett
Spillkråka</t>
        </is>
      </c>
      <c r="V48">
        <f>HYPERLINK("https://klasma.github.io/Logging_2582/artfynd/A 6118-2025 artfynd.xlsx", "A 6118-2025")</f>
        <v/>
      </c>
      <c r="W48">
        <f>HYPERLINK("https://klasma.github.io/Logging_2582/kartor/A 6118-2025 karta.png", "A 6118-2025")</f>
        <v/>
      </c>
      <c r="Y48">
        <f>HYPERLINK("https://klasma.github.io/Logging_2582/klagomål/A 6118-2025 FSC-klagomål.docx", "A 6118-2025")</f>
        <v/>
      </c>
      <c r="Z48">
        <f>HYPERLINK("https://klasma.github.io/Logging_2582/klagomålsmail/A 6118-2025 FSC-klagomål mail.docx", "A 6118-2025")</f>
        <v/>
      </c>
      <c r="AA48">
        <f>HYPERLINK("https://klasma.github.io/Logging_2582/tillsyn/A 6118-2025 tillsynsbegäran.docx", "A 6118-2025")</f>
        <v/>
      </c>
      <c r="AB48">
        <f>HYPERLINK("https://klasma.github.io/Logging_2582/tillsynsmail/A 6118-2025 tillsynsbegäran mail.docx", "A 6118-2025")</f>
        <v/>
      </c>
      <c r="AC48">
        <f>HYPERLINK("https://klasma.github.io/Logging_2582/fåglar/A 6118-2025 prioriterade fågelarter.docx", "A 6118-2025")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46220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Dropptaggsvamp
Dvärgbägarlav
Lunglav</t>
        </is>
      </c>
      <c r="V49">
        <f>HYPERLINK("https://klasma.github.io/Logging_2582/artfynd/A 57806-2025 artfynd.xlsx", "A 57806-2025")</f>
        <v/>
      </c>
      <c r="W49">
        <f>HYPERLINK("https://klasma.github.io/Logging_2582/kartor/A 57806-2025 karta.png", "A 57806-2025")</f>
        <v/>
      </c>
      <c r="Y49">
        <f>HYPERLINK("https://klasma.github.io/Logging_2582/klagomål/A 57806-2025 FSC-klagomål.docx", "A 57806-2025")</f>
        <v/>
      </c>
      <c r="Z49">
        <f>HYPERLINK("https://klasma.github.io/Logging_2582/klagomålsmail/A 57806-2025 FSC-klagomål mail.docx", "A 57806-2025")</f>
        <v/>
      </c>
      <c r="AA49">
        <f>HYPERLINK("https://klasma.github.io/Logging_2582/tillsyn/A 57806-2025 tillsynsbegäran.docx", "A 57806-2025")</f>
        <v/>
      </c>
      <c r="AB49">
        <f>HYPERLINK("https://klasma.github.io/Logging_2582/tillsynsmail/A 57806-2025 tillsynsbegäran mail.docx", "A 57806-2025")</f>
        <v/>
      </c>
    </row>
    <row r="50" ht="15" customHeight="1">
      <c r="A50" t="inlineStr">
        <is>
          <t>A 10087-2026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46220</v>
      </c>
      <c r="F50" t="inlineStr">
        <is>
          <t>NORRBOTTENS LÄN</t>
        </is>
      </c>
      <c r="G50" t="inlineStr">
        <is>
          <t>BODEN</t>
        </is>
      </c>
      <c r="I50" t="n">
        <v>5.9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s="2" t="inlineStr">
        <is>
          <t>Korthornad vedstekel
Skogsödla
Vanlig padda</t>
        </is>
      </c>
      <c r="V50">
        <f>HYPERLINK("https://klasma.github.io/Logging_2582/artfynd/A 10087-2026 artfynd.xlsx", "A 10087-2026")</f>
        <v/>
      </c>
      <c r="W50">
        <f>HYPERLINK("https://klasma.github.io/Logging_2582/kartor/A 10087-2026 karta.png", "A 10087-2026")</f>
        <v/>
      </c>
      <c r="Y50">
        <f>HYPERLINK("https://klasma.github.io/Logging_2582/klagomål/A 10087-2026 FSC-klagomål.docx", "A 10087-2026")</f>
        <v/>
      </c>
      <c r="Z50">
        <f>HYPERLINK("https://klasma.github.io/Logging_2582/klagomålsmail/A 10087-2026 FSC-klagomål mail.docx", "A 10087-2026")</f>
        <v/>
      </c>
      <c r="AA50">
        <f>HYPERLINK("https://klasma.github.io/Logging_2582/tillsyn/A 10087-2026 tillsynsbegäran.docx", "A 10087-2026")</f>
        <v/>
      </c>
      <c r="AB50">
        <f>HYPERLINK("https://klasma.github.io/Logging_2582/tillsynsmail/A 10087-2026 tillsynsbegäran mail.docx", "A 10087-2026")</f>
        <v/>
      </c>
    </row>
    <row r="51" ht="15" customHeight="1">
      <c r="A51" t="inlineStr">
        <is>
          <t>A 23575-2023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46220</v>
      </c>
      <c r="F51" t="inlineStr">
        <is>
          <t>NORRBOTTENS LÄN</t>
        </is>
      </c>
      <c r="G51" t="inlineStr">
        <is>
          <t>BODEN</t>
        </is>
      </c>
      <c r="I51" t="n">
        <v>7.9</v>
      </c>
      <c r="J51" t="n">
        <v>1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s="2" t="inlineStr">
        <is>
          <t>Gammelgransskål
Nordfladdermus
Bollvitmossa</t>
        </is>
      </c>
      <c r="V51">
        <f>HYPERLINK("https://klasma.github.io/Logging_2582/artfynd/A 23575-2023 artfynd.xlsx", "A 23575-2023")</f>
        <v/>
      </c>
      <c r="W51">
        <f>HYPERLINK("https://klasma.github.io/Logging_2582/kartor/A 23575-2023 karta.png", "A 23575-2023")</f>
        <v/>
      </c>
      <c r="Y51">
        <f>HYPERLINK("https://klasma.github.io/Logging_2582/klagomål/A 23575-2023 FSC-klagomål.docx", "A 23575-2023")</f>
        <v/>
      </c>
      <c r="Z51">
        <f>HYPERLINK("https://klasma.github.io/Logging_2582/klagomålsmail/A 23575-2023 FSC-klagomål mail.docx", "A 23575-2023")</f>
        <v/>
      </c>
      <c r="AA51">
        <f>HYPERLINK("https://klasma.github.io/Logging_2582/tillsyn/A 23575-2023 tillsynsbegäran.docx", "A 23575-2023")</f>
        <v/>
      </c>
      <c r="AB51">
        <f>HYPERLINK("https://klasma.github.io/Logging_2582/tillsynsmail/A 23575-2023 tillsynsbegäran mail.docx", "A 23575-2023")</f>
        <v/>
      </c>
    </row>
    <row r="52" ht="15" customHeight="1">
      <c r="A52" t="inlineStr">
        <is>
          <t>A 26040-2026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32.6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s="2" t="inlineStr">
        <is>
          <t>Doftticka
Lunglav
Bårdlav</t>
        </is>
      </c>
      <c r="V52">
        <f>HYPERLINK("https://klasma.github.io/Logging_2582/artfynd/A 26040-2026 artfynd.xlsx", "A 26040-2026")</f>
        <v/>
      </c>
      <c r="W52">
        <f>HYPERLINK("https://klasma.github.io/Logging_2582/kartor/A 26040-2026 karta.png", "A 26040-2026")</f>
        <v/>
      </c>
      <c r="Y52">
        <f>HYPERLINK("https://klasma.github.io/Logging_2582/klagomål/A 26040-2026 FSC-klagomål.docx", "A 26040-2026")</f>
        <v/>
      </c>
      <c r="Z52">
        <f>HYPERLINK("https://klasma.github.io/Logging_2582/klagomålsmail/A 26040-2026 FSC-klagomål mail.docx", "A 26040-2026")</f>
        <v/>
      </c>
      <c r="AA52">
        <f>HYPERLINK("https://klasma.github.io/Logging_2582/tillsyn/A 26040-2026 tillsynsbegäran.docx", "A 26040-2026")</f>
        <v/>
      </c>
      <c r="AB52">
        <f>HYPERLINK("https://klasma.github.io/Logging_2582/tillsynsmail/A 26040-2026 tillsynsbegäran mail.docx", "A 26040-2026")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46220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s="2" t="inlineStr">
        <is>
          <t>Garnlav
Talltita
Stuplav</t>
        </is>
      </c>
      <c r="V53">
        <f>HYPERLINK("https://klasma.github.io/Logging_2582/artfynd/A 37014-2023 artfynd.xlsx", "A 37014-2023")</f>
        <v/>
      </c>
      <c r="W53">
        <f>HYPERLINK("https://klasma.github.io/Logging_2582/kartor/A 37014-2023 karta.png", "A 37014-2023")</f>
        <v/>
      </c>
      <c r="Y53">
        <f>HYPERLINK("https://klasma.github.io/Logging_2582/klagomål/A 37014-2023 FSC-klagomål.docx", "A 37014-2023")</f>
        <v/>
      </c>
      <c r="Z53">
        <f>HYPERLINK("https://klasma.github.io/Logging_2582/klagomålsmail/A 37014-2023 FSC-klagomål mail.docx", "A 37014-2023")</f>
        <v/>
      </c>
      <c r="AA53">
        <f>HYPERLINK("https://klasma.github.io/Logging_2582/tillsyn/A 37014-2023 tillsynsbegäran.docx", "A 37014-2023")</f>
        <v/>
      </c>
      <c r="AB53">
        <f>HYPERLINK("https://klasma.github.io/Logging_2582/tillsynsmail/A 37014-2023 tillsynsbegäran mail.docx", "A 37014-2023")</f>
        <v/>
      </c>
      <c r="AC53">
        <f>HYPERLINK("https://klasma.github.io/Logging_2582/fåglar/A 37014-2023 prioriterade fågelarter.docx", "A 37014-2023")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s="2" t="inlineStr">
        <is>
          <t>Grönpyrola
Fläcknycklar
Nattviol</t>
        </is>
      </c>
      <c r="V54">
        <f>HYPERLINK("https://klasma.github.io/Logging_2582/artfynd/A 23323-2025 artfynd.xlsx", "A 23323-2025")</f>
        <v/>
      </c>
      <c r="W54">
        <f>HYPERLINK("https://klasma.github.io/Logging_2582/kartor/A 23323-2025 karta.png", "A 23323-2025")</f>
        <v/>
      </c>
      <c r="Y54">
        <f>HYPERLINK("https://klasma.github.io/Logging_2582/klagomål/A 23323-2025 FSC-klagomål.docx", "A 23323-2025")</f>
        <v/>
      </c>
      <c r="Z54">
        <f>HYPERLINK("https://klasma.github.io/Logging_2582/klagomålsmail/A 23323-2025 FSC-klagomål mail.docx", "A 23323-2025")</f>
        <v/>
      </c>
      <c r="AA54">
        <f>HYPERLINK("https://klasma.github.io/Logging_2582/tillsyn/A 23323-2025 tillsynsbegäran.docx", "A 23323-2025")</f>
        <v/>
      </c>
      <c r="AB54">
        <f>HYPERLINK("https://klasma.github.io/Logging_2582/tillsynsmail/A 23323-2025 tillsynsbegäran mail.docx", "A 23323-2025")</f>
        <v/>
      </c>
    </row>
    <row r="55" ht="15" customHeight="1">
      <c r="A55" t="inlineStr">
        <is>
          <t>A 26728-2026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46220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14.4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Lunglav
Plattlummer
Fläcknycklar</t>
        </is>
      </c>
      <c r="V55">
        <f>HYPERLINK("https://klasma.github.io/Logging_2582/artfynd/A 26728-2026 artfynd.xlsx", "A 26728-2026")</f>
        <v/>
      </c>
      <c r="W55">
        <f>HYPERLINK("https://klasma.github.io/Logging_2582/kartor/A 26728-2026 karta.png", "A 26728-2026")</f>
        <v/>
      </c>
      <c r="Y55">
        <f>HYPERLINK("https://klasma.github.io/Logging_2582/klagomål/A 26728-2026 FSC-klagomål.docx", "A 26728-2026")</f>
        <v/>
      </c>
      <c r="Z55">
        <f>HYPERLINK("https://klasma.github.io/Logging_2582/klagomålsmail/A 26728-2026 FSC-klagomål mail.docx", "A 26728-2026")</f>
        <v/>
      </c>
      <c r="AA55">
        <f>HYPERLINK("https://klasma.github.io/Logging_2582/tillsyn/A 26728-2026 tillsynsbegäran.docx", "A 26728-2026")</f>
        <v/>
      </c>
      <c r="AB55">
        <f>HYPERLINK("https://klasma.github.io/Logging_2582/tillsynsmail/A 26728-2026 tillsynsbegäran mail.docx", "A 26728-2026")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46220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s="2" t="inlineStr">
        <is>
          <t>Vanlig groda
Vanlig padda
Revlummer</t>
        </is>
      </c>
      <c r="V56">
        <f>HYPERLINK("https://klasma.github.io/Logging_2582/artfynd/A 29797-2022 artfynd.xlsx", "A 29797-2022")</f>
        <v/>
      </c>
      <c r="W56">
        <f>HYPERLINK("https://klasma.github.io/Logging_2582/kartor/A 29797-2022 karta.png", "A 29797-2022")</f>
        <v/>
      </c>
      <c r="Y56">
        <f>HYPERLINK("https://klasma.github.io/Logging_2582/klagomål/A 29797-2022 FSC-klagomål.docx", "A 29797-2022")</f>
        <v/>
      </c>
      <c r="Z56">
        <f>HYPERLINK("https://klasma.github.io/Logging_2582/klagomålsmail/A 29797-2022 FSC-klagomål mail.docx", "A 29797-2022")</f>
        <v/>
      </c>
      <c r="AA56">
        <f>HYPERLINK("https://klasma.github.io/Logging_2582/tillsyn/A 29797-2022 tillsynsbegäran.docx", "A 29797-2022")</f>
        <v/>
      </c>
      <c r="AB56">
        <f>HYPERLINK("https://klasma.github.io/Logging_2582/tillsynsmail/A 29797-2022 tillsynsbegäran mail.docx", "A 29797-2022")</f>
        <v/>
      </c>
    </row>
    <row r="57" ht="15" customHeight="1">
      <c r="A57" t="inlineStr">
        <is>
          <t>A 29868-2026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5.3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6</v>
      </c>
      <c r="U57" s="2" t="inlineStr">
        <is>
          <t>Garnlav
Lunglav
Spindelblomster</t>
        </is>
      </c>
      <c r="V57">
        <f>HYPERLINK("https://klasma.github.io/Logging_2582/artfynd/A 29868-2026 artfynd.xlsx", "A 29868-2026")</f>
        <v/>
      </c>
      <c r="W57">
        <f>HYPERLINK("https://klasma.github.io/Logging_2582/kartor/A 29868-2026 karta.png", "A 29868-2026")</f>
        <v/>
      </c>
      <c r="Y57">
        <f>HYPERLINK("https://klasma.github.io/Logging_2582/klagomål/A 29868-2026 FSC-klagomål.docx", "A 29868-2026")</f>
        <v/>
      </c>
      <c r="Z57">
        <f>HYPERLINK("https://klasma.github.io/Logging_2582/klagomålsmail/A 29868-2026 FSC-klagomål mail.docx", "A 29868-2026")</f>
        <v/>
      </c>
      <c r="AA57">
        <f>HYPERLINK("https://klasma.github.io/Logging_2582/tillsyn/A 29868-2026 tillsynsbegäran.docx", "A 29868-2026")</f>
        <v/>
      </c>
      <c r="AB57">
        <f>HYPERLINK("https://klasma.github.io/Logging_2582/tillsynsmail/A 29868-2026 tillsynsbegäran mail.docx", "A 29868-2026")</f>
        <v/>
      </c>
    </row>
    <row r="58" ht="15" customHeight="1">
      <c r="A58" t="inlineStr">
        <is>
          <t>A 29150-2023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45105</v>
      </c>
      <c r="E58" s="1" t="n">
        <v>46220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Urskogsänger
Björkplattnos
Månlåsbräken</t>
        </is>
      </c>
      <c r="V58">
        <f>HYPERLINK("https://klasma.github.io/Logging_2582/artfynd/A 29150-2023 artfynd.xlsx", "A 29150-2023")</f>
        <v/>
      </c>
      <c r="W58">
        <f>HYPERLINK("https://klasma.github.io/Logging_2582/kartor/A 29150-2023 karta.png", "A 29150-2023")</f>
        <v/>
      </c>
      <c r="Y58">
        <f>HYPERLINK("https://klasma.github.io/Logging_2582/klagomål/A 29150-2023 FSC-klagomål.docx", "A 29150-2023")</f>
        <v/>
      </c>
      <c r="Z58">
        <f>HYPERLINK("https://klasma.github.io/Logging_2582/klagomålsmail/A 29150-2023 FSC-klagomål mail.docx", "A 29150-2023")</f>
        <v/>
      </c>
      <c r="AA58">
        <f>HYPERLINK("https://klasma.github.io/Logging_2582/tillsyn/A 29150-2023 tillsynsbegäran.docx", "A 29150-2023")</f>
        <v/>
      </c>
      <c r="AB58">
        <f>HYPERLINK("https://klasma.github.io/Logging_2582/tillsynsmail/A 29150-2023 tillsynsbegäran mail.docx", "A 29150-2023")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46220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s="2" t="inlineStr">
        <is>
          <t>Lunglav
Fläcknycklar
Fläcknycklar × sumpnycklar</t>
        </is>
      </c>
      <c r="V59">
        <f>HYPERLINK("https://klasma.github.io/Logging_2582/artfynd/A 31230-2026 artfynd.xlsx", "A 31230-2026")</f>
        <v/>
      </c>
      <c r="W59">
        <f>HYPERLINK("https://klasma.github.io/Logging_2582/kartor/A 31230-2026 karta.png", "A 31230-2026")</f>
        <v/>
      </c>
      <c r="Y59">
        <f>HYPERLINK("https://klasma.github.io/Logging_2582/klagomål/A 31230-2026 FSC-klagomål.docx", "A 31230-2026")</f>
        <v/>
      </c>
      <c r="Z59">
        <f>HYPERLINK("https://klasma.github.io/Logging_2582/klagomålsmail/A 31230-2026 FSC-klagomål mail.docx", "A 31230-2026")</f>
        <v/>
      </c>
      <c r="AA59">
        <f>HYPERLINK("https://klasma.github.io/Logging_2582/tillsyn/A 31230-2026 tillsynsbegäran.docx", "A 31230-2026")</f>
        <v/>
      </c>
      <c r="AB59">
        <f>HYPERLINK("https://klasma.github.io/Logging_2582/tillsynsmail/A 31230-2026 tillsynsbegäran mail.docx", "A 31230-2026")</f>
        <v/>
      </c>
    </row>
    <row r="60" ht="15" customHeight="1">
      <c r="A60" t="inlineStr">
        <is>
          <t>A 58196-2021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46220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Gammelgransskål
Lunglav</t>
        </is>
      </c>
      <c r="V60">
        <f>HYPERLINK("https://klasma.github.io/Logging_2582/artfynd/A 58196-2021 artfynd.xlsx", "A 58196-2021")</f>
        <v/>
      </c>
      <c r="W60">
        <f>HYPERLINK("https://klasma.github.io/Logging_2582/kartor/A 58196-2021 karta.png", "A 58196-2021")</f>
        <v/>
      </c>
      <c r="Y60">
        <f>HYPERLINK("https://klasma.github.io/Logging_2582/klagomål/A 58196-2021 FSC-klagomål.docx", "A 58196-2021")</f>
        <v/>
      </c>
      <c r="Z60">
        <f>HYPERLINK("https://klasma.github.io/Logging_2582/klagomålsmail/A 58196-2021 FSC-klagomål mail.docx", "A 58196-2021")</f>
        <v/>
      </c>
      <c r="AA60">
        <f>HYPERLINK("https://klasma.github.io/Logging_2582/tillsyn/A 58196-2021 tillsynsbegäran.docx", "A 58196-2021")</f>
        <v/>
      </c>
      <c r="AB60">
        <f>HYPERLINK("https://klasma.github.io/Logging_2582/tillsynsmail/A 58196-2021 tillsynsbegäran mail.docx", "A 58196-2021")</f>
        <v/>
      </c>
    </row>
    <row r="61" ht="15" customHeight="1">
      <c r="A61" t="inlineStr">
        <is>
          <t>A 13659-2022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44648</v>
      </c>
      <c r="E61" s="1" t="n">
        <v>46220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7.3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Bollvitmossa
Ögonpyrola</t>
        </is>
      </c>
      <c r="V61">
        <f>HYPERLINK("https://klasma.github.io/Logging_2582/artfynd/A 13659-2022 artfynd.xlsx", "A 13659-2022")</f>
        <v/>
      </c>
      <c r="W61">
        <f>HYPERLINK("https://klasma.github.io/Logging_2582/kartor/A 13659-2022 karta.png", "A 13659-2022")</f>
        <v/>
      </c>
      <c r="Y61">
        <f>HYPERLINK("https://klasma.github.io/Logging_2582/klagomål/A 13659-2022 FSC-klagomål.docx", "A 13659-2022")</f>
        <v/>
      </c>
      <c r="Z61">
        <f>HYPERLINK("https://klasma.github.io/Logging_2582/klagomålsmail/A 13659-2022 FSC-klagomål mail.docx", "A 13659-2022")</f>
        <v/>
      </c>
      <c r="AA61">
        <f>HYPERLINK("https://klasma.github.io/Logging_2582/tillsyn/A 13659-2022 tillsynsbegäran.docx", "A 13659-2022")</f>
        <v/>
      </c>
      <c r="AB61">
        <f>HYPERLINK("https://klasma.github.io/Logging_2582/tillsynsmail/A 13659-2022 tillsynsbegäran mail.docx", "A 13659-2022")</f>
        <v/>
      </c>
    </row>
    <row r="62" ht="15" customHeight="1">
      <c r="A62" t="inlineStr">
        <is>
          <t>A 36629-2022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46220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10</v>
      </c>
      <c r="U62" s="2" t="inlineStr">
        <is>
          <t>Dropptaggsvamp
Skarp dropptaggsvamp</t>
        </is>
      </c>
      <c r="V62">
        <f>HYPERLINK("https://klasma.github.io/Logging_2582/artfynd/A 36629-2022 artfynd.xlsx", "A 36629-2022")</f>
        <v/>
      </c>
      <c r="W62">
        <f>HYPERLINK("https://klasma.github.io/Logging_2582/kartor/A 36629-2022 karta.png", "A 36629-2022")</f>
        <v/>
      </c>
      <c r="Y62">
        <f>HYPERLINK("https://klasma.github.io/Logging_2582/klagomål/A 36629-2022 FSC-klagomål.docx", "A 36629-2022")</f>
        <v/>
      </c>
      <c r="Z62">
        <f>HYPERLINK("https://klasma.github.io/Logging_2582/klagomålsmail/A 36629-2022 FSC-klagomål mail.docx", "A 36629-2022")</f>
        <v/>
      </c>
      <c r="AA62">
        <f>HYPERLINK("https://klasma.github.io/Logging_2582/tillsyn/A 36629-2022 tillsynsbegäran.docx", "A 36629-2022")</f>
        <v/>
      </c>
      <c r="AB62">
        <f>HYPERLINK("https://klasma.github.io/Logging_2582/tillsynsmail/A 36629-2022 tillsynsbegäran mail.docx", "A 36629-2022")</f>
        <v/>
      </c>
    </row>
    <row r="63" ht="15" customHeight="1">
      <c r="A63" t="inlineStr">
        <is>
          <t>A 35037-2022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46220</v>
      </c>
      <c r="F63" t="inlineStr">
        <is>
          <t>NORRBOTTENS LÄN</t>
        </is>
      </c>
      <c r="G63" t="inlineStr">
        <is>
          <t>BODEN</t>
        </is>
      </c>
      <c r="I63" t="n">
        <v>0.6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Rödvingetrast
Revlummer</t>
        </is>
      </c>
      <c r="V63">
        <f>HYPERLINK("https://klasma.github.io/Logging_2582/artfynd/A 35037-2022 artfynd.xlsx", "A 35037-2022")</f>
        <v/>
      </c>
      <c r="W63">
        <f>HYPERLINK("https://klasma.github.io/Logging_2582/kartor/A 35037-2022 karta.png", "A 35037-2022")</f>
        <v/>
      </c>
      <c r="Y63">
        <f>HYPERLINK("https://klasma.github.io/Logging_2582/klagomål/A 35037-2022 FSC-klagomål.docx", "A 35037-2022")</f>
        <v/>
      </c>
      <c r="Z63">
        <f>HYPERLINK("https://klasma.github.io/Logging_2582/klagomålsmail/A 35037-2022 FSC-klagomål mail.docx", "A 35037-2022")</f>
        <v/>
      </c>
      <c r="AA63">
        <f>HYPERLINK("https://klasma.github.io/Logging_2582/tillsyn/A 35037-2022 tillsynsbegäran.docx", "A 35037-2022")</f>
        <v/>
      </c>
      <c r="AB63">
        <f>HYPERLINK("https://klasma.github.io/Logging_2582/tillsynsmail/A 35037-2022 tillsynsbegäran mail.docx", "A 35037-2022")</f>
        <v/>
      </c>
      <c r="AC63">
        <f>HYPERLINK("https://klasma.github.io/Logging_2582/fåglar/A 35037-2022 prioriterade fågelarter.docx", "A 35037-2022")</f>
        <v/>
      </c>
    </row>
    <row r="64" ht="15" customHeight="1">
      <c r="A64" t="inlineStr">
        <is>
          <t>A 26346-2022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46220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s="2" t="inlineStr">
        <is>
          <t>Blå taggsvamp
Ullticka</t>
        </is>
      </c>
      <c r="V64">
        <f>HYPERLINK("https://klasma.github.io/Logging_2582/artfynd/A 26346-2022 artfynd.xlsx", "A 26346-2022")</f>
        <v/>
      </c>
      <c r="W64">
        <f>HYPERLINK("https://klasma.github.io/Logging_2582/kartor/A 26346-2022 karta.png", "A 26346-2022")</f>
        <v/>
      </c>
      <c r="Y64">
        <f>HYPERLINK("https://klasma.github.io/Logging_2582/klagomål/A 26346-2022 FSC-klagomål.docx", "A 26346-2022")</f>
        <v/>
      </c>
      <c r="Z64">
        <f>HYPERLINK("https://klasma.github.io/Logging_2582/klagomålsmail/A 26346-2022 FSC-klagomål mail.docx", "A 26346-2022")</f>
        <v/>
      </c>
      <c r="AA64">
        <f>HYPERLINK("https://klasma.github.io/Logging_2582/tillsyn/A 26346-2022 tillsynsbegäran.docx", "A 26346-2022")</f>
        <v/>
      </c>
      <c r="AB64">
        <f>HYPERLINK("https://klasma.github.io/Logging_2582/tillsynsmail/A 26346-2022 tillsynsbegäran mail.docx", "A 26346-2022")</f>
        <v/>
      </c>
    </row>
    <row r="65" ht="15" customHeight="1">
      <c r="A65" t="inlineStr">
        <is>
          <t>A 6639-2024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45341</v>
      </c>
      <c r="E65" s="1" t="n">
        <v>46220</v>
      </c>
      <c r="F65" t="inlineStr">
        <is>
          <t>NORRBOTTENS LÄN</t>
        </is>
      </c>
      <c r="G65" t="inlineStr">
        <is>
          <t>BODEN</t>
        </is>
      </c>
      <c r="H65" t="inlineStr">
        <is>
          <t>Övriga statliga verk och myndigheter</t>
        </is>
      </c>
      <c r="I65" t="n">
        <v>23.8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Lunglav
Kungsfågel</t>
        </is>
      </c>
      <c r="V65">
        <f>HYPERLINK("https://klasma.github.io/Logging_2582/artfynd/A 6639-2024 artfynd.xlsx", "A 6639-2024")</f>
        <v/>
      </c>
      <c r="W65">
        <f>HYPERLINK("https://klasma.github.io/Logging_2582/kartor/A 6639-2024 karta.png", "A 6639-2024")</f>
        <v/>
      </c>
      <c r="Y65">
        <f>HYPERLINK("https://klasma.github.io/Logging_2582/klagomål/A 6639-2024 FSC-klagomål.docx", "A 6639-2024")</f>
        <v/>
      </c>
      <c r="Z65">
        <f>HYPERLINK("https://klasma.github.io/Logging_2582/klagomålsmail/A 6639-2024 FSC-klagomål mail.docx", "A 6639-2024")</f>
        <v/>
      </c>
      <c r="AA65">
        <f>HYPERLINK("https://klasma.github.io/Logging_2582/tillsyn/A 6639-2024 tillsynsbegäran.docx", "A 6639-2024")</f>
        <v/>
      </c>
      <c r="AB65">
        <f>HYPERLINK("https://klasma.github.io/Logging_2582/tillsynsmail/A 6639-2024 tillsynsbegäran mail.docx", "A 6639-2024")</f>
        <v/>
      </c>
    </row>
    <row r="66" ht="15" customHeight="1">
      <c r="A66" t="inlineStr">
        <is>
          <t>A 32971-2024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46220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s="2" t="inlineStr">
        <is>
          <t>Lunglav
Fläcknycklar</t>
        </is>
      </c>
      <c r="V66">
        <f>HYPERLINK("https://klasma.github.io/Logging_2582/artfynd/A 32971-2024 artfynd.xlsx", "A 32971-2024")</f>
        <v/>
      </c>
      <c r="W66">
        <f>HYPERLINK("https://klasma.github.io/Logging_2582/kartor/A 32971-2024 karta.png", "A 32971-2024")</f>
        <v/>
      </c>
      <c r="Y66">
        <f>HYPERLINK("https://klasma.github.io/Logging_2582/klagomål/A 32971-2024 FSC-klagomål.docx", "A 32971-2024")</f>
        <v/>
      </c>
      <c r="Z66">
        <f>HYPERLINK("https://klasma.github.io/Logging_2582/klagomålsmail/A 32971-2024 FSC-klagomål mail.docx", "A 32971-2024")</f>
        <v/>
      </c>
      <c r="AA66">
        <f>HYPERLINK("https://klasma.github.io/Logging_2582/tillsyn/A 32971-2024 tillsynsbegäran.docx", "A 32971-2024")</f>
        <v/>
      </c>
      <c r="AB66">
        <f>HYPERLINK("https://klasma.github.io/Logging_2582/tillsynsmail/A 32971-2024 tillsynsbegäran mail.docx", "A 32971-2024")</f>
        <v/>
      </c>
    </row>
    <row r="67" ht="15" customHeight="1">
      <c r="A67" t="inlineStr">
        <is>
          <t>A 59435-2024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46220</v>
      </c>
      <c r="F67" t="inlineStr">
        <is>
          <t>NORRBOTTENS LÄN</t>
        </is>
      </c>
      <c r="G67" t="inlineStr">
        <is>
          <t>BODEN</t>
        </is>
      </c>
      <c r="I67" t="n">
        <v>2.1</v>
      </c>
      <c r="J67" t="n">
        <v>1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s="2" t="inlineStr">
        <is>
          <t>Lappranunkel
Ögonpyrola</t>
        </is>
      </c>
      <c r="V67">
        <f>HYPERLINK("https://klasma.github.io/Logging_2582/artfynd/A 59435-2024 artfynd.xlsx", "A 59435-2024")</f>
        <v/>
      </c>
      <c r="W67">
        <f>HYPERLINK("https://klasma.github.io/Logging_2582/kartor/A 59435-2024 karta.png", "A 59435-2024")</f>
        <v/>
      </c>
      <c r="Y67">
        <f>HYPERLINK("https://klasma.github.io/Logging_2582/klagomål/A 59435-2024 FSC-klagomål.docx", "A 59435-2024")</f>
        <v/>
      </c>
      <c r="Z67">
        <f>HYPERLINK("https://klasma.github.io/Logging_2582/klagomålsmail/A 59435-2024 FSC-klagomål mail.docx", "A 59435-2024")</f>
        <v/>
      </c>
      <c r="AA67">
        <f>HYPERLINK("https://klasma.github.io/Logging_2582/tillsyn/A 59435-2024 tillsynsbegäran.docx", "A 59435-2024")</f>
        <v/>
      </c>
      <c r="AB67">
        <f>HYPERLINK("https://klasma.github.io/Logging_2582/tillsynsmail/A 59435-2024 tillsynsbegäran mail.docx", "A 59435-2024")</f>
        <v/>
      </c>
    </row>
    <row r="68" ht="15" customHeight="1">
      <c r="A68" t="inlineStr">
        <is>
          <t>A 8703-2026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46066</v>
      </c>
      <c r="E68" s="1" t="n">
        <v>46220</v>
      </c>
      <c r="F68" t="inlineStr">
        <is>
          <t>NORRBOTTENS LÄN</t>
        </is>
      </c>
      <c r="G68" t="inlineStr">
        <is>
          <t>BODEN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Ullticka
Skinnlav</t>
        </is>
      </c>
      <c r="V68">
        <f>HYPERLINK("https://klasma.github.io/Logging_2582/artfynd/A 8703-2026 artfynd.xlsx", "A 8703-2026")</f>
        <v/>
      </c>
      <c r="W68">
        <f>HYPERLINK("https://klasma.github.io/Logging_2582/kartor/A 8703-2026 karta.png", "A 8703-2026")</f>
        <v/>
      </c>
      <c r="Y68">
        <f>HYPERLINK("https://klasma.github.io/Logging_2582/klagomål/A 8703-2026 FSC-klagomål.docx", "A 8703-2026")</f>
        <v/>
      </c>
      <c r="Z68">
        <f>HYPERLINK("https://klasma.github.io/Logging_2582/klagomålsmail/A 8703-2026 FSC-klagomål mail.docx", "A 8703-2026")</f>
        <v/>
      </c>
      <c r="AA68">
        <f>HYPERLINK("https://klasma.github.io/Logging_2582/tillsyn/A 8703-2026 tillsynsbegäran.docx", "A 8703-2026")</f>
        <v/>
      </c>
      <c r="AB68">
        <f>HYPERLINK("https://klasma.github.io/Logging_2582/tillsynsmail/A 8703-2026 tillsynsbegäran mail.docx", "A 8703-2026")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46220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Talltita
Gråspett</t>
        </is>
      </c>
      <c r="V69">
        <f>HYPERLINK("https://klasma.github.io/Logging_2582/artfynd/A 1507-2022 artfynd.xlsx", "A 1507-2022")</f>
        <v/>
      </c>
      <c r="W69">
        <f>HYPERLINK("https://klasma.github.io/Logging_2582/kartor/A 1507-2022 karta.png", "A 1507-2022")</f>
        <v/>
      </c>
      <c r="Y69">
        <f>HYPERLINK("https://klasma.github.io/Logging_2582/klagomål/A 1507-2022 FSC-klagomål.docx", "A 1507-2022")</f>
        <v/>
      </c>
      <c r="Z69">
        <f>HYPERLINK("https://klasma.github.io/Logging_2582/klagomålsmail/A 1507-2022 FSC-klagomål mail.docx", "A 1507-2022")</f>
        <v/>
      </c>
      <c r="AA69">
        <f>HYPERLINK("https://klasma.github.io/Logging_2582/tillsyn/A 1507-2022 tillsynsbegäran.docx", "A 1507-2022")</f>
        <v/>
      </c>
      <c r="AB69">
        <f>HYPERLINK("https://klasma.github.io/Logging_2582/tillsynsmail/A 1507-2022 tillsynsbegäran mail.docx", "A 1507-2022")</f>
        <v/>
      </c>
      <c r="AC69">
        <f>HYPERLINK("https://klasma.github.io/Logging_2582/fåglar/A 1507-2022 prioriterade fågelarter.docx", "A 1507-2022")</f>
        <v/>
      </c>
    </row>
    <row r="70" ht="15" customHeight="1">
      <c r="A70" t="inlineStr">
        <is>
          <t>A 8754-2026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46066</v>
      </c>
      <c r="E70" s="1" t="n">
        <v>46220</v>
      </c>
      <c r="F70" t="inlineStr">
        <is>
          <t>NORRBOTTENS LÄN</t>
        </is>
      </c>
      <c r="G70" t="inlineStr">
        <is>
          <t>BODEN</t>
        </is>
      </c>
      <c r="I70" t="n">
        <v>2.1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Garnlav
Ullticka</t>
        </is>
      </c>
      <c r="V70">
        <f>HYPERLINK("https://klasma.github.io/Logging_2582/artfynd/A 8754-2026 artfynd.xlsx", "A 8754-2026")</f>
        <v/>
      </c>
      <c r="W70">
        <f>HYPERLINK("https://klasma.github.io/Logging_2582/kartor/A 8754-2026 karta.png", "A 8754-2026")</f>
        <v/>
      </c>
      <c r="Y70">
        <f>HYPERLINK("https://klasma.github.io/Logging_2582/klagomål/A 8754-2026 FSC-klagomål.docx", "A 8754-2026")</f>
        <v/>
      </c>
      <c r="Z70">
        <f>HYPERLINK("https://klasma.github.io/Logging_2582/klagomålsmail/A 8754-2026 FSC-klagomål mail.docx", "A 8754-2026")</f>
        <v/>
      </c>
      <c r="AA70">
        <f>HYPERLINK("https://klasma.github.io/Logging_2582/tillsyn/A 8754-2026 tillsynsbegäran.docx", "A 8754-2026")</f>
        <v/>
      </c>
      <c r="AB70">
        <f>HYPERLINK("https://klasma.github.io/Logging_2582/tillsynsmail/A 8754-2026 tillsynsbegäran mail.docx", "A 8754-2026")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46220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Lunglav
Öring</t>
        </is>
      </c>
      <c r="V71">
        <f>HYPERLINK("https://klasma.github.io/Logging_2582/artfynd/A 25701-2025 artfynd.xlsx", "A 25701-2025")</f>
        <v/>
      </c>
      <c r="W71">
        <f>HYPERLINK("https://klasma.github.io/Logging_2582/kartor/A 25701-2025 karta.png", "A 25701-2025")</f>
        <v/>
      </c>
      <c r="Y71">
        <f>HYPERLINK("https://klasma.github.io/Logging_2582/klagomål/A 25701-2025 FSC-klagomål.docx", "A 25701-2025")</f>
        <v/>
      </c>
      <c r="Z71">
        <f>HYPERLINK("https://klasma.github.io/Logging_2582/klagomålsmail/A 25701-2025 FSC-klagomål mail.docx", "A 25701-2025")</f>
        <v/>
      </c>
      <c r="AA71">
        <f>HYPERLINK("https://klasma.github.io/Logging_2582/tillsyn/A 25701-2025 tillsynsbegäran.docx", "A 25701-2025")</f>
        <v/>
      </c>
      <c r="AB71">
        <f>HYPERLINK("https://klasma.github.io/Logging_2582/tillsynsmail/A 25701-2025 tillsynsbegäran mail.docx", "A 25701-2025")</f>
        <v/>
      </c>
    </row>
    <row r="72" ht="15" customHeight="1">
      <c r="A72" t="inlineStr">
        <is>
          <t>A 28867-2025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46220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8.199999999999999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12</v>
      </c>
      <c r="U72" s="2" t="inlineStr">
        <is>
          <t>Knärot
Fläcknycklar</t>
        </is>
      </c>
      <c r="V72">
        <f>HYPERLINK("https://klasma.github.io/Logging_2582/artfynd/A 28867-2025 artfynd.xlsx", "A 28867-2025")</f>
        <v/>
      </c>
      <c r="W72">
        <f>HYPERLINK("https://klasma.github.io/Logging_2582/kartor/A 28867-2025 karta.png", "A 28867-2025")</f>
        <v/>
      </c>
      <c r="X72">
        <f>HYPERLINK("https://klasma.github.io/Logging_2582/knärot/A 28867-2025 karta knärot.png", "A 28867-2025")</f>
        <v/>
      </c>
      <c r="Y72">
        <f>HYPERLINK("https://klasma.github.io/Logging_2582/klagomål/A 28867-2025 FSC-klagomål.docx", "A 28867-2025")</f>
        <v/>
      </c>
      <c r="Z72">
        <f>HYPERLINK("https://klasma.github.io/Logging_2582/klagomålsmail/A 28867-2025 FSC-klagomål mail.docx", "A 28867-2025")</f>
        <v/>
      </c>
      <c r="AA72">
        <f>HYPERLINK("https://klasma.github.io/Logging_2582/tillsyn/A 28867-2025 tillsynsbegäran.docx", "A 28867-2025")</f>
        <v/>
      </c>
      <c r="AB72">
        <f>HYPERLINK("https://klasma.github.io/Logging_2582/tillsynsmail/A 28867-2025 tillsynsbegäran mail.docx", "A 28867-2025")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46220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Lunglav
Stuplav</t>
        </is>
      </c>
      <c r="V73">
        <f>HYPERLINK("https://klasma.github.io/Logging_2582/artfynd/A 43315-2025 artfynd.xlsx", "A 43315-2025")</f>
        <v/>
      </c>
      <c r="W73">
        <f>HYPERLINK("https://klasma.github.io/Logging_2582/kartor/A 43315-2025 karta.png", "A 43315-2025")</f>
        <v/>
      </c>
      <c r="Y73">
        <f>HYPERLINK("https://klasma.github.io/Logging_2582/klagomål/A 43315-2025 FSC-klagomål.docx", "A 43315-2025")</f>
        <v/>
      </c>
      <c r="Z73">
        <f>HYPERLINK("https://klasma.github.io/Logging_2582/klagomålsmail/A 43315-2025 FSC-klagomål mail.docx", "A 43315-2025")</f>
        <v/>
      </c>
      <c r="AA73">
        <f>HYPERLINK("https://klasma.github.io/Logging_2582/tillsyn/A 43315-2025 tillsynsbegäran.docx", "A 43315-2025")</f>
        <v/>
      </c>
      <c r="AB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46220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Lunglav
Stuplav</t>
        </is>
      </c>
      <c r="V74">
        <f>HYPERLINK("https://klasma.github.io/Logging_2582/artfynd/A 43310-2025 artfynd.xlsx", "A 43310-2025")</f>
        <v/>
      </c>
      <c r="W74">
        <f>HYPERLINK("https://klasma.github.io/Logging_2582/kartor/A 43310-2025 karta.png", "A 43310-2025")</f>
        <v/>
      </c>
      <c r="Y74">
        <f>HYPERLINK("https://klasma.github.io/Logging_2582/klagomål/A 43310-2025 FSC-klagomål.docx", "A 43310-2025")</f>
        <v/>
      </c>
      <c r="Z74">
        <f>HYPERLINK("https://klasma.github.io/Logging_2582/klagomålsmail/A 43310-2025 FSC-klagomål mail.docx", "A 43310-2025")</f>
        <v/>
      </c>
      <c r="AA74">
        <f>HYPERLINK("https://klasma.github.io/Logging_2582/tillsyn/A 43310-2025 tillsynsbegäran.docx", "A 43310-2025")</f>
        <v/>
      </c>
      <c r="AB74">
        <f>HYPERLINK("https://klasma.github.io/Logging_2582/tillsynsmail/A 43310-2025 tillsynsbegäran mail.docx", "A 43310-2025")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46220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Kolflarnlav
Plattlummer</t>
        </is>
      </c>
      <c r="V75">
        <f>HYPERLINK("https://klasma.github.io/Logging_2582/artfynd/A 6895-2025 artfynd.xlsx", "A 6895-2025")</f>
        <v/>
      </c>
      <c r="W75">
        <f>HYPERLINK("https://klasma.github.io/Logging_2582/kartor/A 6895-2025 karta.png", "A 6895-2025")</f>
        <v/>
      </c>
      <c r="Y75">
        <f>HYPERLINK("https://klasma.github.io/Logging_2582/klagomål/A 6895-2025 FSC-klagomål.docx", "A 6895-2025")</f>
        <v/>
      </c>
      <c r="Z75">
        <f>HYPERLINK("https://klasma.github.io/Logging_2582/klagomålsmail/A 6895-2025 FSC-klagomål mail.docx", "A 6895-2025")</f>
        <v/>
      </c>
      <c r="AA75">
        <f>HYPERLINK("https://klasma.github.io/Logging_2582/tillsyn/A 6895-2025 tillsynsbegäran.docx", "A 6895-2025")</f>
        <v/>
      </c>
      <c r="AB75">
        <f>HYPERLINK("https://klasma.github.io/Logging_2582/tillsynsmail/A 6895-2025 tillsynsbegäran mail.docx", "A 6895-2025")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46220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s="2" t="inlineStr">
        <is>
          <t>Doftticka
Lunglav</t>
        </is>
      </c>
      <c r="V76">
        <f>HYPERLINK("https://klasma.github.io/Logging_2582/artfynd/A 45477-2025 artfynd.xlsx", "A 45477-2025")</f>
        <v/>
      </c>
      <c r="W76">
        <f>HYPERLINK("https://klasma.github.io/Logging_2582/kartor/A 45477-2025 karta.png", "A 45477-2025")</f>
        <v/>
      </c>
      <c r="Y76">
        <f>HYPERLINK("https://klasma.github.io/Logging_2582/klagomål/A 45477-2025 FSC-klagomål.docx", "A 45477-2025")</f>
        <v/>
      </c>
      <c r="Z76">
        <f>HYPERLINK("https://klasma.github.io/Logging_2582/klagomålsmail/A 45477-2025 FSC-klagomål mail.docx", "A 45477-2025")</f>
        <v/>
      </c>
      <c r="AA76">
        <f>HYPERLINK("https://klasma.github.io/Logging_2582/tillsyn/A 45477-2025 tillsynsbegäran.docx", "A 45477-2025")</f>
        <v/>
      </c>
      <c r="AB76">
        <f>HYPERLINK("https://klasma.github.io/Logging_2582/tillsynsmail/A 45477-2025 tillsynsbegäran mail.docx", "A 45477-2025")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46220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Lunglav
Stuplav</t>
        </is>
      </c>
      <c r="V77">
        <f>HYPERLINK("https://klasma.github.io/Logging_2582/artfynd/A 37086-2025 artfynd.xlsx", "A 37086-2025")</f>
        <v/>
      </c>
      <c r="W77">
        <f>HYPERLINK("https://klasma.github.io/Logging_2582/kartor/A 37086-2025 karta.png", "A 37086-2025")</f>
        <v/>
      </c>
      <c r="Y77">
        <f>HYPERLINK("https://klasma.github.io/Logging_2582/klagomål/A 37086-2025 FSC-klagomål.docx", "A 37086-2025")</f>
        <v/>
      </c>
      <c r="Z77">
        <f>HYPERLINK("https://klasma.github.io/Logging_2582/klagomålsmail/A 37086-2025 FSC-klagomål mail.docx", "A 37086-2025")</f>
        <v/>
      </c>
      <c r="AA77">
        <f>HYPERLINK("https://klasma.github.io/Logging_2582/tillsyn/A 37086-2025 tillsynsbegäran.docx", "A 37086-2025")</f>
        <v/>
      </c>
      <c r="AB77">
        <f>HYPERLINK("https://klasma.github.io/Logging_2582/tillsynsmail/A 37086-2025 tillsynsbegäran mail.docx", "A 37086-2025")</f>
        <v/>
      </c>
    </row>
    <row r="78" ht="15" customHeight="1">
      <c r="A78" t="inlineStr">
        <is>
          <t>A 50100-2025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46220</v>
      </c>
      <c r="F78" t="inlineStr">
        <is>
          <t>NORRBOTTENS LÄN</t>
        </is>
      </c>
      <c r="G78" t="inlineStr">
        <is>
          <t>BODEN</t>
        </is>
      </c>
      <c r="I78" t="n">
        <v>6.5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s="2" t="inlineStr">
        <is>
          <t>Mörk kolflarnlav
Fläcknycklar</t>
        </is>
      </c>
      <c r="V78">
        <f>HYPERLINK("https://klasma.github.io/Logging_2582/artfynd/A 50100-2025 artfynd.xlsx", "A 50100-2025")</f>
        <v/>
      </c>
      <c r="W78">
        <f>HYPERLINK("https://klasma.github.io/Logging_2582/kartor/A 50100-2025 karta.png", "A 50100-2025")</f>
        <v/>
      </c>
      <c r="Y78">
        <f>HYPERLINK("https://klasma.github.io/Logging_2582/klagomål/A 50100-2025 FSC-klagomål.docx", "A 50100-2025")</f>
        <v/>
      </c>
      <c r="Z78">
        <f>HYPERLINK("https://klasma.github.io/Logging_2582/klagomålsmail/A 50100-2025 FSC-klagomål mail.docx", "A 50100-2025")</f>
        <v/>
      </c>
      <c r="AA78">
        <f>HYPERLINK("https://klasma.github.io/Logging_2582/tillsyn/A 50100-2025 tillsynsbegäran.docx", "A 50100-2025")</f>
        <v/>
      </c>
      <c r="AB78">
        <f>HYPERLINK("https://klasma.github.io/Logging_2582/tillsynsmail/A 50100-2025 tillsynsbegäran mail.docx", "A 50100-2025")</f>
        <v/>
      </c>
    </row>
    <row r="79" ht="15" customHeight="1">
      <c r="A79" t="inlineStr">
        <is>
          <t>A 51957-2025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46220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6</v>
      </c>
      <c r="U79" s="2" t="inlineStr">
        <is>
          <t>Garnlav
Harticka</t>
        </is>
      </c>
      <c r="V79">
        <f>HYPERLINK("https://klasma.github.io/Logging_2582/artfynd/A 51957-2025 artfynd.xlsx", "A 51957-2025")</f>
        <v/>
      </c>
      <c r="W79">
        <f>HYPERLINK("https://klasma.github.io/Logging_2582/kartor/A 51957-2025 karta.png", "A 51957-2025")</f>
        <v/>
      </c>
      <c r="Y79">
        <f>HYPERLINK("https://klasma.github.io/Logging_2582/klagomål/A 51957-2025 FSC-klagomål.docx", "A 51957-2025")</f>
        <v/>
      </c>
      <c r="Z79">
        <f>HYPERLINK("https://klasma.github.io/Logging_2582/klagomålsmail/A 51957-2025 FSC-klagomål mail.docx", "A 51957-2025")</f>
        <v/>
      </c>
      <c r="AA79">
        <f>HYPERLINK("https://klasma.github.io/Logging_2582/tillsyn/A 51957-2025 tillsynsbegäran.docx", "A 51957-2025")</f>
        <v/>
      </c>
      <c r="AB79">
        <f>HYPERLINK("https://klasma.github.io/Logging_2582/tillsynsmail/A 51957-2025 tillsynsbegäran mail.docx", "A 51957-2025")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46220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Lunglav
Rynkskinn</t>
        </is>
      </c>
      <c r="V80">
        <f>HYPERLINK("https://klasma.github.io/Logging_2582/artfynd/A 9306-2025 artfynd.xlsx", "A 9306-2025")</f>
        <v/>
      </c>
      <c r="W80">
        <f>HYPERLINK("https://klasma.github.io/Logging_2582/kartor/A 9306-2025 karta.png", "A 9306-2025")</f>
        <v/>
      </c>
      <c r="Y80">
        <f>HYPERLINK("https://klasma.github.io/Logging_2582/klagomål/A 9306-2025 FSC-klagomål.docx", "A 9306-2025")</f>
        <v/>
      </c>
      <c r="Z80">
        <f>HYPERLINK("https://klasma.github.io/Logging_2582/klagomålsmail/A 9306-2025 FSC-klagomål mail.docx", "A 9306-2025")</f>
        <v/>
      </c>
      <c r="AA80">
        <f>HYPERLINK("https://klasma.github.io/Logging_2582/tillsyn/A 9306-2025 tillsynsbegäran.docx", "A 9306-2025")</f>
        <v/>
      </c>
      <c r="AB80">
        <f>HYPERLINK("https://klasma.github.io/Logging_2582/tillsynsmail/A 9306-2025 tillsynsbegäran mail.docx", "A 9306-2025")</f>
        <v/>
      </c>
    </row>
    <row r="81" ht="15" customHeight="1">
      <c r="A81" t="inlineStr">
        <is>
          <t>A 48899-2024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46220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Hässlebrodd
Fläcknycklar</t>
        </is>
      </c>
      <c r="V81">
        <f>HYPERLINK("https://klasma.github.io/Logging_2582/artfynd/A 48899-2024 artfynd.xlsx", "A 48899-2024")</f>
        <v/>
      </c>
      <c r="W81">
        <f>HYPERLINK("https://klasma.github.io/Logging_2582/kartor/A 48899-2024 karta.png", "A 48899-2024")</f>
        <v/>
      </c>
      <c r="Y81">
        <f>HYPERLINK("https://klasma.github.io/Logging_2582/klagomål/A 48899-2024 FSC-klagomål.docx", "A 48899-2024")</f>
        <v/>
      </c>
      <c r="Z81">
        <f>HYPERLINK("https://klasma.github.io/Logging_2582/klagomålsmail/A 48899-2024 FSC-klagomål mail.docx", "A 48899-2024")</f>
        <v/>
      </c>
      <c r="AA81">
        <f>HYPERLINK("https://klasma.github.io/Logging_2582/tillsyn/A 48899-2024 tillsynsbegäran.docx", "A 48899-2024")</f>
        <v/>
      </c>
      <c r="AB81">
        <f>HYPERLINK("https://klasma.github.io/Logging_2582/tillsynsmail/A 48899-2024 tillsynsbegäran mail.docx", "A 48899-2024")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46220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s="2" t="inlineStr">
        <is>
          <t>Skrovlig taggsvamp
Blå taggsvamp</t>
        </is>
      </c>
      <c r="V82">
        <f>HYPERLINK("https://klasma.github.io/Logging_2582/artfynd/A 61210-2024 artfynd.xlsx", "A 61210-2024")</f>
        <v/>
      </c>
      <c r="W82">
        <f>HYPERLINK("https://klasma.github.io/Logging_2582/kartor/A 61210-2024 karta.png", "A 61210-2024")</f>
        <v/>
      </c>
      <c r="Y82">
        <f>HYPERLINK("https://klasma.github.io/Logging_2582/klagomål/A 61210-2024 FSC-klagomål.docx", "A 61210-2024")</f>
        <v/>
      </c>
      <c r="Z82">
        <f>HYPERLINK("https://klasma.github.io/Logging_2582/klagomålsmail/A 61210-2024 FSC-klagomål mail.docx", "A 61210-2024")</f>
        <v/>
      </c>
      <c r="AA82">
        <f>HYPERLINK("https://klasma.github.io/Logging_2582/tillsyn/A 61210-2024 tillsynsbegäran.docx", "A 61210-2024")</f>
        <v/>
      </c>
      <c r="AB82">
        <f>HYPERLINK("https://klasma.github.io/Logging_2582/tillsynsmail/A 61210-2024 tillsynsbegäran mail.docx", "A 61210-2024")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46220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s="2" t="inlineStr">
        <is>
          <t>Lunglav
Fläcknycklar</t>
        </is>
      </c>
      <c r="V83">
        <f>HYPERLINK("https://klasma.github.io/Logging_2582/artfynd/A 34737-2024 artfynd.xlsx", "A 34737-2024")</f>
        <v/>
      </c>
      <c r="W83">
        <f>HYPERLINK("https://klasma.github.io/Logging_2582/kartor/A 34737-2024 karta.png", "A 34737-2024")</f>
        <v/>
      </c>
      <c r="Y83">
        <f>HYPERLINK("https://klasma.github.io/Logging_2582/klagomål/A 34737-2024 FSC-klagomål.docx", "A 34737-2024")</f>
        <v/>
      </c>
      <c r="Z83">
        <f>HYPERLINK("https://klasma.github.io/Logging_2582/klagomålsmail/A 34737-2024 FSC-klagomål mail.docx", "A 34737-2024")</f>
        <v/>
      </c>
      <c r="AA83">
        <f>HYPERLINK("https://klasma.github.io/Logging_2582/tillsyn/A 34737-2024 tillsynsbegäran.docx", "A 34737-2024")</f>
        <v/>
      </c>
      <c r="AB83">
        <f>HYPERLINK("https://klasma.github.io/Logging_2582/tillsynsmail/A 34737-2024 tillsynsbegäran mail.docx", "A 34737-2024")</f>
        <v/>
      </c>
    </row>
    <row r="84" ht="15" customHeight="1">
      <c r="A84" t="inlineStr">
        <is>
          <t>A 60774-2025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46220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Ullticka
Skinnlav</t>
        </is>
      </c>
      <c r="V84">
        <f>HYPERLINK("https://klasma.github.io/Logging_2582/artfynd/A 60774-2025 artfynd.xlsx", "A 60774-2025")</f>
        <v/>
      </c>
      <c r="W84">
        <f>HYPERLINK("https://klasma.github.io/Logging_2582/kartor/A 60774-2025 karta.png", "A 60774-2025")</f>
        <v/>
      </c>
      <c r="Y84">
        <f>HYPERLINK("https://klasma.github.io/Logging_2582/klagomål/A 60774-2025 FSC-klagomål.docx", "A 60774-2025")</f>
        <v/>
      </c>
      <c r="Z84">
        <f>HYPERLINK("https://klasma.github.io/Logging_2582/klagomålsmail/A 60774-2025 FSC-klagomål mail.docx", "A 60774-2025")</f>
        <v/>
      </c>
      <c r="AA84">
        <f>HYPERLINK("https://klasma.github.io/Logging_2582/tillsyn/A 60774-2025 tillsynsbegäran.docx", "A 60774-2025")</f>
        <v/>
      </c>
      <c r="AB84">
        <f>HYPERLINK("https://klasma.github.io/Logging_2582/tillsynsmail/A 60774-2025 tillsynsbegäran mail.docx", "A 60774-2025")</f>
        <v/>
      </c>
    </row>
    <row r="85" ht="15" customHeight="1">
      <c r="A85" t="inlineStr">
        <is>
          <t>A 54167-2025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46220</v>
      </c>
      <c r="F85" t="inlineStr">
        <is>
          <t>NORRBOTTENS LÄN</t>
        </is>
      </c>
      <c r="G85" t="inlineStr">
        <is>
          <t>BODEN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Lunglav
Stiftgelélav</t>
        </is>
      </c>
      <c r="V85">
        <f>HYPERLINK("https://klasma.github.io/Logging_2582/artfynd/A 54167-2025 artfynd.xlsx", "A 54167-2025")</f>
        <v/>
      </c>
      <c r="W85">
        <f>HYPERLINK("https://klasma.github.io/Logging_2582/kartor/A 54167-2025 karta.png", "A 54167-2025")</f>
        <v/>
      </c>
      <c r="Y85">
        <f>HYPERLINK("https://klasma.github.io/Logging_2582/klagomål/A 54167-2025 FSC-klagomål.docx", "A 54167-2025")</f>
        <v/>
      </c>
      <c r="Z85">
        <f>HYPERLINK("https://klasma.github.io/Logging_2582/klagomålsmail/A 54167-2025 FSC-klagomål mail.docx", "A 54167-2025")</f>
        <v/>
      </c>
      <c r="AA85">
        <f>HYPERLINK("https://klasma.github.io/Logging_2582/tillsyn/A 54167-2025 tillsynsbegäran.docx", "A 54167-2025")</f>
        <v/>
      </c>
      <c r="AB85">
        <f>HYPERLINK("https://klasma.github.io/Logging_2582/tillsynsmail/A 54167-2025 tillsynsbegäran mail.docx", "A 54167-2025")</f>
        <v/>
      </c>
    </row>
    <row r="86" ht="15" customHeight="1">
      <c r="A86" t="inlineStr">
        <is>
          <t>A 34164-2023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45137</v>
      </c>
      <c r="E86" s="1" t="n">
        <v>46220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2.2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s="2" t="inlineStr">
        <is>
          <t>Garnlav
Tretåig hackspett</t>
        </is>
      </c>
      <c r="V86">
        <f>HYPERLINK("https://klasma.github.io/Logging_2582/artfynd/A 34164-2023 artfynd.xlsx", "A 34164-2023")</f>
        <v/>
      </c>
      <c r="W86">
        <f>HYPERLINK("https://klasma.github.io/Logging_2582/kartor/A 34164-2023 karta.png", "A 34164-2023")</f>
        <v/>
      </c>
      <c r="Y86">
        <f>HYPERLINK("https://klasma.github.io/Logging_2582/klagomål/A 34164-2023 FSC-klagomål.docx", "A 34164-2023")</f>
        <v/>
      </c>
      <c r="Z86">
        <f>HYPERLINK("https://klasma.github.io/Logging_2582/klagomålsmail/A 34164-2023 FSC-klagomål mail.docx", "A 34164-2023")</f>
        <v/>
      </c>
      <c r="AA86">
        <f>HYPERLINK("https://klasma.github.io/Logging_2582/tillsyn/A 34164-2023 tillsynsbegäran.docx", "A 34164-2023")</f>
        <v/>
      </c>
      <c r="AB86">
        <f>HYPERLINK("https://klasma.github.io/Logging_2582/tillsynsmail/A 34164-2023 tillsynsbegäran mail.docx", "A 34164-2023")</f>
        <v/>
      </c>
      <c r="AC86">
        <f>HYPERLINK("https://klasma.github.io/Logging_2582/fåglar/A 34164-2023 prioriterade fågelarter.docx", "A 34164-2023")</f>
        <v/>
      </c>
    </row>
    <row r="87" ht="15" customHeight="1">
      <c r="A87" t="inlineStr">
        <is>
          <t>A 31758-2025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46220</v>
      </c>
      <c r="F87" t="inlineStr">
        <is>
          <t>NORRBOTTENS LÄN</t>
        </is>
      </c>
      <c r="G87" t="inlineStr">
        <is>
          <t>BODEN</t>
        </is>
      </c>
      <c r="I87" t="n">
        <v>19.9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s="2" t="inlineStr">
        <is>
          <t>Garnlav
Tretåig hackspett</t>
        </is>
      </c>
      <c r="V87">
        <f>HYPERLINK("https://klasma.github.io/Logging_2582/artfynd/A 31758-2025 artfynd.xlsx", "A 31758-2025")</f>
        <v/>
      </c>
      <c r="W87">
        <f>HYPERLINK("https://klasma.github.io/Logging_2582/kartor/A 31758-2025 karta.png", "A 31758-2025")</f>
        <v/>
      </c>
      <c r="Y87">
        <f>HYPERLINK("https://klasma.github.io/Logging_2582/klagomål/A 31758-2025 FSC-klagomål.docx", "A 31758-2025")</f>
        <v/>
      </c>
      <c r="Z87">
        <f>HYPERLINK("https://klasma.github.io/Logging_2582/klagomålsmail/A 31758-2025 FSC-klagomål mail.docx", "A 31758-2025")</f>
        <v/>
      </c>
      <c r="AA87">
        <f>HYPERLINK("https://klasma.github.io/Logging_2582/tillsyn/A 31758-2025 tillsynsbegäran.docx", "A 31758-2025")</f>
        <v/>
      </c>
      <c r="AB87">
        <f>HYPERLINK("https://klasma.github.io/Logging_2582/tillsynsmail/A 31758-2025 tillsynsbegäran mail.docx", "A 31758-2025")</f>
        <v/>
      </c>
      <c r="AC87">
        <f>HYPERLINK("https://klasma.github.io/Logging_2582/fåglar/A 31758-2025 prioriterade fågelarter.docx", "A 31758-2025")</f>
        <v/>
      </c>
    </row>
    <row r="88" ht="15" customHeight="1">
      <c r="A88" t="inlineStr">
        <is>
          <t>A 26773-2026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46220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s="2" t="inlineStr">
        <is>
          <t>Knärot
Lunglav</t>
        </is>
      </c>
      <c r="V88">
        <f>HYPERLINK("https://klasma.github.io/Logging_2582/artfynd/A 26773-2026 artfynd.xlsx", "A 26773-2026")</f>
        <v/>
      </c>
      <c r="W88">
        <f>HYPERLINK("https://klasma.github.io/Logging_2582/kartor/A 26773-2026 karta.png", "A 26773-2026")</f>
        <v/>
      </c>
      <c r="X88">
        <f>HYPERLINK("https://klasma.github.io/Logging_2582/knärot/A 26773-2026 karta knärot.png", "A 26773-2026")</f>
        <v/>
      </c>
      <c r="Y88">
        <f>HYPERLINK("https://klasma.github.io/Logging_2582/klagomål/A 26773-2026 FSC-klagomål.docx", "A 26773-2026")</f>
        <v/>
      </c>
      <c r="Z88">
        <f>HYPERLINK("https://klasma.github.io/Logging_2582/klagomålsmail/A 26773-2026 FSC-klagomål mail.docx", "A 26773-2026")</f>
        <v/>
      </c>
      <c r="AA88">
        <f>HYPERLINK("https://klasma.github.io/Logging_2582/tillsyn/A 26773-2026 tillsynsbegäran.docx", "A 26773-2026")</f>
        <v/>
      </c>
      <c r="AB88">
        <f>HYPERLINK("https://klasma.github.io/Logging_2582/tillsynsmail/A 26773-2026 tillsynsbegäran mail.docx", "A 26773-2026")</f>
        <v/>
      </c>
    </row>
    <row r="89" ht="15" customHeight="1">
      <c r="A89" t="inlineStr">
        <is>
          <t>A 26721-2026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46220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7.8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Plattlummer
Tibast</t>
        </is>
      </c>
      <c r="V89">
        <f>HYPERLINK("https://klasma.github.io/Logging_2582/artfynd/A 26721-2026 artfynd.xlsx", "A 26721-2026")</f>
        <v/>
      </c>
      <c r="W89">
        <f>HYPERLINK("https://klasma.github.io/Logging_2582/kartor/A 26721-2026 karta.png", "A 26721-2026")</f>
        <v/>
      </c>
      <c r="Y89">
        <f>HYPERLINK("https://klasma.github.io/Logging_2582/klagomål/A 26721-2026 FSC-klagomål.docx", "A 26721-2026")</f>
        <v/>
      </c>
      <c r="Z89">
        <f>HYPERLINK("https://klasma.github.io/Logging_2582/klagomålsmail/A 26721-2026 FSC-klagomål mail.docx", "A 26721-2026")</f>
        <v/>
      </c>
      <c r="AA89">
        <f>HYPERLINK("https://klasma.github.io/Logging_2582/tillsyn/A 26721-2026 tillsynsbegäran.docx", "A 26721-2026")</f>
        <v/>
      </c>
      <c r="AB89">
        <f>HYPERLINK("https://klasma.github.io/Logging_2582/tillsynsmail/A 26721-2026 tillsynsbegäran mail.docx", "A 26721-2026")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46220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Orre
Utter</t>
        </is>
      </c>
      <c r="V90">
        <f>HYPERLINK("https://klasma.github.io/Logging_2582/artfynd/A 21657-2026 artfynd.xlsx", "A 21657-2026")</f>
        <v/>
      </c>
      <c r="W90">
        <f>HYPERLINK("https://klasma.github.io/Logging_2582/kartor/A 21657-2026 karta.png", "A 21657-2026")</f>
        <v/>
      </c>
      <c r="Y90">
        <f>HYPERLINK("https://klasma.github.io/Logging_2582/klagomål/A 21657-2026 FSC-klagomål.docx", "A 21657-2026")</f>
        <v/>
      </c>
      <c r="Z90">
        <f>HYPERLINK("https://klasma.github.io/Logging_2582/klagomålsmail/A 21657-2026 FSC-klagomål mail.docx", "A 21657-2026")</f>
        <v/>
      </c>
      <c r="AA90">
        <f>HYPERLINK("https://klasma.github.io/Logging_2582/tillsyn/A 21657-2026 tillsynsbegäran.docx", "A 21657-2026")</f>
        <v/>
      </c>
      <c r="AB90">
        <f>HYPERLINK("https://klasma.github.io/Logging_2582/tillsynsmail/A 21657-2026 tillsynsbegäran mail.docx", "A 21657-2026")</f>
        <v/>
      </c>
      <c r="AC90">
        <f>HYPERLINK("https://klasma.github.io/Logging_2582/fåglar/A 21657-2026 prioriterade fågelarter.docx", "A 21657-2026")</f>
        <v/>
      </c>
    </row>
    <row r="91" ht="15" customHeight="1">
      <c r="A91" t="inlineStr">
        <is>
          <t>A 42233-2022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44830</v>
      </c>
      <c r="E91" s="1" t="n">
        <v>46220</v>
      </c>
      <c r="F91" t="inlineStr">
        <is>
          <t>NORRBOTTENS LÄN</t>
        </is>
      </c>
      <c r="G91" t="inlineStr">
        <is>
          <t>BODEN</t>
        </is>
      </c>
      <c r="I91" t="n">
        <v>3.6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Enkelbeckasin
Svartvit flugsnappare</t>
        </is>
      </c>
      <c r="V91">
        <f>HYPERLINK("https://klasma.github.io/Logging_2582/artfynd/A 42233-2022 artfynd.xlsx", "A 42233-2022")</f>
        <v/>
      </c>
      <c r="W91">
        <f>HYPERLINK("https://klasma.github.io/Logging_2582/kartor/A 42233-2022 karta.png", "A 42233-2022")</f>
        <v/>
      </c>
      <c r="Y91">
        <f>HYPERLINK("https://klasma.github.io/Logging_2582/klagomål/A 42233-2022 FSC-klagomål.docx", "A 42233-2022")</f>
        <v/>
      </c>
      <c r="Z91">
        <f>HYPERLINK("https://klasma.github.io/Logging_2582/klagomålsmail/A 42233-2022 FSC-klagomål mail.docx", "A 42233-2022")</f>
        <v/>
      </c>
      <c r="AA91">
        <f>HYPERLINK("https://klasma.github.io/Logging_2582/tillsyn/A 42233-2022 tillsynsbegäran.docx", "A 42233-2022")</f>
        <v/>
      </c>
      <c r="AB91">
        <f>HYPERLINK("https://klasma.github.io/Logging_2582/tillsynsmail/A 42233-2022 tillsynsbegäran mail.docx", "A 42233-2022")</f>
        <v/>
      </c>
      <c r="AC91">
        <f>HYPERLINK("https://klasma.github.io/Logging_2582/fåglar/A 42233-2022 prioriterade fågelarter.docx", "A 42233-2022")</f>
        <v/>
      </c>
    </row>
    <row r="92" ht="15" customHeight="1">
      <c r="A92" t="inlineStr">
        <is>
          <t>A 29807-2026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46220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Lunglav
Mörk kolflarnlav</t>
        </is>
      </c>
      <c r="V92">
        <f>HYPERLINK("https://klasma.github.io/Logging_2582/artfynd/A 29807-2026 artfynd.xlsx", "A 29807-2026")</f>
        <v/>
      </c>
      <c r="W92">
        <f>HYPERLINK("https://klasma.github.io/Logging_2582/kartor/A 29807-2026 karta.png", "A 29807-2026")</f>
        <v/>
      </c>
      <c r="Y92">
        <f>HYPERLINK("https://klasma.github.io/Logging_2582/klagomål/A 29807-2026 FSC-klagomål.docx", "A 29807-2026")</f>
        <v/>
      </c>
      <c r="Z92">
        <f>HYPERLINK("https://klasma.github.io/Logging_2582/klagomålsmail/A 29807-2026 FSC-klagomål mail.docx", "A 29807-2026")</f>
        <v/>
      </c>
      <c r="AA92">
        <f>HYPERLINK("https://klasma.github.io/Logging_2582/tillsyn/A 29807-2026 tillsynsbegäran.docx", "A 29807-2026")</f>
        <v/>
      </c>
      <c r="AB92">
        <f>HYPERLINK("https://klasma.github.io/Logging_2582/tillsynsmail/A 29807-2026 tillsynsbegäran mail.docx", "A 29807-2026")</f>
        <v/>
      </c>
    </row>
    <row r="93" ht="15" customHeight="1">
      <c r="A93" t="inlineStr">
        <is>
          <t>A 29860-2026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46220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Knottrig blåslav
Lunglav</t>
        </is>
      </c>
      <c r="V93">
        <f>HYPERLINK("https://klasma.github.io/Logging_2582/artfynd/A 29860-2026 artfynd.xlsx", "A 29860-2026")</f>
        <v/>
      </c>
      <c r="W93">
        <f>HYPERLINK("https://klasma.github.io/Logging_2582/kartor/A 29860-2026 karta.png", "A 29860-2026")</f>
        <v/>
      </c>
      <c r="Y93">
        <f>HYPERLINK("https://klasma.github.io/Logging_2582/klagomål/A 29860-2026 FSC-klagomål.docx", "A 29860-2026")</f>
        <v/>
      </c>
      <c r="Z93">
        <f>HYPERLINK("https://klasma.github.io/Logging_2582/klagomålsmail/A 29860-2026 FSC-klagomål mail.docx", "A 29860-2026")</f>
        <v/>
      </c>
      <c r="AA93">
        <f>HYPERLINK("https://klasma.github.io/Logging_2582/tillsyn/A 29860-2026 tillsynsbegäran.docx", "A 29860-2026")</f>
        <v/>
      </c>
      <c r="AB93">
        <f>HYPERLINK("https://klasma.github.io/Logging_2582/tillsynsmail/A 29860-2026 tillsynsbegäran mail.docx", "A 29860-2026")</f>
        <v/>
      </c>
    </row>
    <row r="94" ht="15" customHeight="1">
      <c r="A94" t="inlineStr">
        <is>
          <t>A 29881-2026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Lunglav
Fläcknycklar</t>
        </is>
      </c>
      <c r="V94">
        <f>HYPERLINK("https://klasma.github.io/Logging_2582/artfynd/A 29881-2026 artfynd.xlsx", "A 29881-2026")</f>
        <v/>
      </c>
      <c r="W94">
        <f>HYPERLINK("https://klasma.github.io/Logging_2582/kartor/A 29881-2026 karta.png", "A 29881-2026")</f>
        <v/>
      </c>
      <c r="Y94">
        <f>HYPERLINK("https://klasma.github.io/Logging_2582/klagomål/A 29881-2026 FSC-klagomål.docx", "A 29881-2026")</f>
        <v/>
      </c>
      <c r="Z94">
        <f>HYPERLINK("https://klasma.github.io/Logging_2582/klagomålsmail/A 29881-2026 FSC-klagomål mail.docx", "A 29881-2026")</f>
        <v/>
      </c>
      <c r="AA94">
        <f>HYPERLINK("https://klasma.github.io/Logging_2582/tillsyn/A 29881-2026 tillsynsbegäran.docx", "A 29881-2026")</f>
        <v/>
      </c>
      <c r="AB94">
        <f>HYPERLINK("https://klasma.github.io/Logging_2582/tillsynsmail/A 29881-2026 tillsynsbegäran mail.docx", "A 29881-2026")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46220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Plattlummer
Spindelblomster</t>
        </is>
      </c>
      <c r="V95">
        <f>HYPERLINK("https://klasma.github.io/Logging_2582/artfynd/A 23794-2026 artfynd.xlsx", "A 23794-2026")</f>
        <v/>
      </c>
      <c r="W95">
        <f>HYPERLINK("https://klasma.github.io/Logging_2582/kartor/A 23794-2026 karta.png", "A 23794-2026")</f>
        <v/>
      </c>
      <c r="Y95">
        <f>HYPERLINK("https://klasma.github.io/Logging_2582/klagomål/A 23794-2026 FSC-klagomål.docx", "A 23794-2026")</f>
        <v/>
      </c>
      <c r="Z95">
        <f>HYPERLINK("https://klasma.github.io/Logging_2582/klagomålsmail/A 23794-2026 FSC-klagomål mail.docx", "A 23794-2026")</f>
        <v/>
      </c>
      <c r="AA95">
        <f>HYPERLINK("https://klasma.github.io/Logging_2582/tillsyn/A 23794-2026 tillsynsbegäran.docx", "A 23794-2026")</f>
        <v/>
      </c>
      <c r="AB95">
        <f>HYPERLINK("https://klasma.github.io/Logging_2582/tillsynsmail/A 23794-2026 tillsynsbegäran mail.docx", "A 23794-2026")</f>
        <v/>
      </c>
    </row>
    <row r="96" ht="15" customHeight="1">
      <c r="A96" t="inlineStr">
        <is>
          <t>A 24233-2026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46168</v>
      </c>
      <c r="E96" s="1" t="n">
        <v>46220</v>
      </c>
      <c r="F96" t="inlineStr">
        <is>
          <t>NORRBOTTENS LÄN</t>
        </is>
      </c>
      <c r="G96" t="inlineStr">
        <is>
          <t>BODEN</t>
        </is>
      </c>
      <c r="I96" t="n">
        <v>2.7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Tretåig hackspett
Skinnlav</t>
        </is>
      </c>
      <c r="V96">
        <f>HYPERLINK("https://klasma.github.io/Logging_2582/artfynd/A 24233-2026 artfynd.xlsx", "A 24233-2026")</f>
        <v/>
      </c>
      <c r="W96">
        <f>HYPERLINK("https://klasma.github.io/Logging_2582/kartor/A 24233-2026 karta.png", "A 24233-2026")</f>
        <v/>
      </c>
      <c r="Y96">
        <f>HYPERLINK("https://klasma.github.io/Logging_2582/klagomål/A 24233-2026 FSC-klagomål.docx", "A 24233-2026")</f>
        <v/>
      </c>
      <c r="Z96">
        <f>HYPERLINK("https://klasma.github.io/Logging_2582/klagomålsmail/A 24233-2026 FSC-klagomål mail.docx", "A 24233-2026")</f>
        <v/>
      </c>
      <c r="AA96">
        <f>HYPERLINK("https://klasma.github.io/Logging_2582/tillsyn/A 24233-2026 tillsynsbegäran.docx", "A 24233-2026")</f>
        <v/>
      </c>
      <c r="AB96">
        <f>HYPERLINK("https://klasma.github.io/Logging_2582/tillsynsmail/A 24233-2026 tillsynsbegäran mail.docx", "A 24233-2026")</f>
        <v/>
      </c>
      <c r="AC96">
        <f>HYPERLINK("https://klasma.github.io/Logging_2582/fåglar/A 24233-2026 prioriterade fågelarter.docx", "A 24233-2026")</f>
        <v/>
      </c>
    </row>
    <row r="97" ht="15" customHeight="1">
      <c r="A97" t="inlineStr">
        <is>
          <t>A 1507-2022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46220</v>
      </c>
      <c r="F97" t="inlineStr">
        <is>
          <t>NORRBOTTENS LÄN</t>
        </is>
      </c>
      <c r="G97" t="inlineStr">
        <is>
          <t>BODEN</t>
        </is>
      </c>
      <c r="H97" t="inlineStr">
        <is>
          <t>Övriga statliga verk och myndigheter</t>
        </is>
      </c>
      <c r="I97" t="n">
        <v>15.4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Talltita
Gråspett</t>
        </is>
      </c>
      <c r="V97">
        <f>HYPERLINK("https://klasma.github.io/Logging_2582/artfynd/A 1507-2022 artfynd.xlsx", "A 1507-2022")</f>
        <v/>
      </c>
      <c r="W97">
        <f>HYPERLINK("https://klasma.github.io/Logging_2582/kartor/A 1507-2022 karta.png", "A 1507-2022")</f>
        <v/>
      </c>
      <c r="Y97">
        <f>HYPERLINK("https://klasma.github.io/Logging_2582/klagomål/A 1507-2022 FSC-klagomål.docx", "A 1507-2022")</f>
        <v/>
      </c>
      <c r="Z97">
        <f>HYPERLINK("https://klasma.github.io/Logging_2582/klagomålsmail/A 1507-2022 FSC-klagomål mail.docx", "A 1507-2022")</f>
        <v/>
      </c>
      <c r="AA97">
        <f>HYPERLINK("https://klasma.github.io/Logging_2582/tillsyn/A 1507-2022 tillsynsbegäran.docx", "A 1507-2022")</f>
        <v/>
      </c>
      <c r="AB97">
        <f>HYPERLINK("https://klasma.github.io/Logging_2582/tillsynsmail/A 1507-2022 tillsynsbegäran mail.docx", "A 1507-2022")</f>
        <v/>
      </c>
      <c r="AC97">
        <f>HYPERLINK("https://klasma.github.io/Logging_2582/fåglar/A 1507-2022 prioriterade fågelarter.docx", "A 1507-2022")</f>
        <v/>
      </c>
    </row>
    <row r="98" ht="15" customHeight="1">
      <c r="A98" t="inlineStr">
        <is>
          <t>A 900-2024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45301</v>
      </c>
      <c r="E98" s="1" t="n">
        <v>46220</v>
      </c>
      <c r="F98" t="inlineStr">
        <is>
          <t>NORRBOTTENS LÄN</t>
        </is>
      </c>
      <c r="G98" t="inlineStr">
        <is>
          <t>BODEN</t>
        </is>
      </c>
      <c r="I98" t="n">
        <v>5.2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s="2" t="inlineStr">
        <is>
          <t>Knärot
Revlummer</t>
        </is>
      </c>
      <c r="V98">
        <f>HYPERLINK("https://klasma.github.io/Logging_2582/artfynd/A 900-2024 artfynd.xlsx", "A 900-2024")</f>
        <v/>
      </c>
      <c r="W98">
        <f>HYPERLINK("https://klasma.github.io/Logging_2582/kartor/A 900-2024 karta.png", "A 900-2024")</f>
        <v/>
      </c>
      <c r="X98">
        <f>HYPERLINK("https://klasma.github.io/Logging_2582/knärot/A 900-2024 karta knärot.png", "A 900-2024")</f>
        <v/>
      </c>
      <c r="Y98">
        <f>HYPERLINK("https://klasma.github.io/Logging_2582/klagomål/A 900-2024 FSC-klagomål.docx", "A 900-2024")</f>
        <v/>
      </c>
      <c r="Z98">
        <f>HYPERLINK("https://klasma.github.io/Logging_2582/klagomålsmail/A 900-2024 FSC-klagomål mail.docx", "A 900-2024")</f>
        <v/>
      </c>
      <c r="AA98">
        <f>HYPERLINK("https://klasma.github.io/Logging_2582/tillsyn/A 900-2024 tillsynsbegäran.docx", "A 900-2024")</f>
        <v/>
      </c>
      <c r="AB98">
        <f>HYPERLINK("https://klasma.github.io/Logging_2582/tillsynsmail/A 900-2024 tillsynsbegäran mail.docx", "A 900-2024")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Utter</t>
        </is>
      </c>
      <c r="V99">
        <f>HYPERLINK("https://klasma.github.io/Logging_2582/artfynd/A 22906-2023 artfynd.xlsx", "A 22906-2023")</f>
        <v/>
      </c>
      <c r="W99">
        <f>HYPERLINK("https://klasma.github.io/Logging_2582/kartor/A 22906-2023 karta.png", "A 22906-2023")</f>
        <v/>
      </c>
      <c r="Y99">
        <f>HYPERLINK("https://klasma.github.io/Logging_2582/klagomål/A 22906-2023 FSC-klagomål.docx", "A 22906-2023")</f>
        <v/>
      </c>
      <c r="Z99">
        <f>HYPERLINK("https://klasma.github.io/Logging_2582/klagomålsmail/A 22906-2023 FSC-klagomål mail.docx", "A 22906-2023")</f>
        <v/>
      </c>
      <c r="AA99">
        <f>HYPERLINK("https://klasma.github.io/Logging_2582/tillsyn/A 22906-2023 tillsynsbegäran.docx", "A 22906-2023")</f>
        <v/>
      </c>
      <c r="AB99">
        <f>HYPERLINK("https://klasma.github.io/Logging_2582/tillsynsmail/A 22906-2023 tillsynsbegäran mail.docx", "A 22906-2023")</f>
        <v/>
      </c>
      <c r="AC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46220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s="2" t="inlineStr">
        <is>
          <t>Garnlav
Revlummer</t>
        </is>
      </c>
      <c r="V100">
        <f>HYPERLINK("https://klasma.github.io/Logging_2582/artfynd/A 17292-2022 artfynd.xlsx", "A 17292-2022")</f>
        <v/>
      </c>
      <c r="W100">
        <f>HYPERLINK("https://klasma.github.io/Logging_2582/kartor/A 17292-2022 karta.png", "A 17292-2022")</f>
        <v/>
      </c>
      <c r="Y100">
        <f>HYPERLINK("https://klasma.github.io/Logging_2582/klagomål/A 17292-2022 FSC-klagomål.docx", "A 17292-2022")</f>
        <v/>
      </c>
      <c r="Z100">
        <f>HYPERLINK("https://klasma.github.io/Logging_2582/klagomålsmail/A 17292-2022 FSC-klagomål mail.docx", "A 17292-2022")</f>
        <v/>
      </c>
      <c r="AA100">
        <f>HYPERLINK("https://klasma.github.io/Logging_2582/tillsyn/A 17292-2022 tillsynsbegäran.docx", "A 17292-2022")</f>
        <v/>
      </c>
      <c r="AB100">
        <f>HYPERLINK("https://klasma.github.io/Logging_2582/tillsynsmail/A 17292-2022 tillsynsbegäran mail.docx", "A 17292-2022")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HYPERLINK("https://klasma.github.io/Logging_2582/knärot/S 884-2024 karta knärot.png", "S 884-2024")</f>
        <v/>
      </c>
      <c r="Y101">
        <f>HYPERLINK("https://klasma.github.io/Logging_2582/klagomål/S 884-2024 FSC-klagomål.docx", "S 884-2024")</f>
        <v/>
      </c>
      <c r="Z101">
        <f>HYPERLINK("https://klasma.github.io/Logging_2582/klagomålsmail/S 884-2024 FSC-klagomål mail.docx", "S 884-2024")</f>
        <v/>
      </c>
      <c r="AA101">
        <f>HYPERLINK("https://klasma.github.io/Logging_2582/tillsyn/S 884-2024 tillsynsbegäran.docx", "S 884-2024")</f>
        <v/>
      </c>
      <c r="AB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Y102">
        <f>HYPERLINK("https://klasma.github.io/Logging_2582/klagomål/A 13647-2022 FSC-klagomål.docx", "A 13647-2022")</f>
        <v/>
      </c>
      <c r="Z102">
        <f>HYPERLINK("https://klasma.github.io/Logging_2582/klagomålsmail/A 13647-2022 FSC-klagomål mail.docx", "A 13647-2022")</f>
        <v/>
      </c>
      <c r="AA102">
        <f>HYPERLINK("https://klasma.github.io/Logging_2582/tillsyn/A 13647-2022 tillsynsbegäran.docx", "A 13647-2022")</f>
        <v/>
      </c>
      <c r="AB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46220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Y103">
        <f>HYPERLINK("https://klasma.github.io/Logging_2582/klagomål/A 47030-2021 FSC-klagomål.docx", "A 47030-2021")</f>
        <v/>
      </c>
      <c r="Z103">
        <f>HYPERLINK("https://klasma.github.io/Logging_2582/klagomålsmail/A 47030-2021 FSC-klagomål mail.docx", "A 47030-2021")</f>
        <v/>
      </c>
      <c r="AA103">
        <f>HYPERLINK("https://klasma.github.io/Logging_2582/tillsyn/A 47030-2021 tillsynsbegäran.docx", "A 47030-2021")</f>
        <v/>
      </c>
      <c r="AB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46220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Y104">
        <f>HYPERLINK("https://klasma.github.io/Logging_2582/klagomål/A 39884-2021 FSC-klagomål.docx", "A 39884-2021")</f>
        <v/>
      </c>
      <c r="Z104">
        <f>HYPERLINK("https://klasma.github.io/Logging_2582/klagomålsmail/A 39884-2021 FSC-klagomål mail.docx", "A 39884-2021")</f>
        <v/>
      </c>
      <c r="AA104">
        <f>HYPERLINK("https://klasma.github.io/Logging_2582/tillsyn/A 39884-2021 tillsynsbegäran.docx", "A 39884-2021")</f>
        <v/>
      </c>
      <c r="AB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46220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Y105">
        <f>HYPERLINK("https://klasma.github.io/Logging_2582/klagomål/A 44768-2022 FSC-klagomål.docx", "A 44768-2022")</f>
        <v/>
      </c>
      <c r="Z105">
        <f>HYPERLINK("https://klasma.github.io/Logging_2582/klagomålsmail/A 44768-2022 FSC-klagomål mail.docx", "A 44768-2022")</f>
        <v/>
      </c>
      <c r="AA105">
        <f>HYPERLINK("https://klasma.github.io/Logging_2582/tillsyn/A 44768-2022 tillsynsbegäran.docx", "A 44768-2022")</f>
        <v/>
      </c>
      <c r="AB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46220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Y106">
        <f>HYPERLINK("https://klasma.github.io/Logging_2582/klagomål/A 40779-2021 FSC-klagomål.docx", "A 40779-2021")</f>
        <v/>
      </c>
      <c r="Z106">
        <f>HYPERLINK("https://klasma.github.io/Logging_2582/klagomålsmail/A 40779-2021 FSC-klagomål mail.docx", "A 40779-2021")</f>
        <v/>
      </c>
      <c r="AA106">
        <f>HYPERLINK("https://klasma.github.io/Logging_2582/tillsyn/A 40779-2021 tillsynsbegäran.docx", "A 40779-2021")</f>
        <v/>
      </c>
      <c r="AB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2568-2024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46220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Blå taggsvamp</t>
        </is>
      </c>
      <c r="V107">
        <f>HYPERLINK("https://klasma.github.io/Logging_2582/artfynd/A 2568-2024 artfynd.xlsx", "A 2568-2024")</f>
        <v/>
      </c>
      <c r="W107">
        <f>HYPERLINK("https://klasma.github.io/Logging_2582/kartor/A 2568-2024 karta.png", "A 2568-2024")</f>
        <v/>
      </c>
      <c r="Y107">
        <f>HYPERLINK("https://klasma.github.io/Logging_2582/klagomål/A 2568-2024 FSC-klagomål.docx", "A 2568-2024")</f>
        <v/>
      </c>
      <c r="Z107">
        <f>HYPERLINK("https://klasma.github.io/Logging_2582/klagomålsmail/A 2568-2024 FSC-klagomål mail.docx", "A 2568-2024")</f>
        <v/>
      </c>
      <c r="AA107">
        <f>HYPERLINK("https://klasma.github.io/Logging_2582/tillsyn/A 2568-2024 tillsynsbegäran.docx", "A 2568-2024")</f>
        <v/>
      </c>
      <c r="AB107">
        <f>HYPERLINK("https://klasma.github.io/Logging_2582/tillsynsmail/A 2568-2024 tillsynsbegäran mail.docx", "A 2568-2024")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46220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s="2" t="inlineStr">
        <is>
          <t>Garnlav</t>
        </is>
      </c>
      <c r="V108">
        <f>HYPERLINK("https://klasma.github.io/Logging_2582/artfynd/A 18678-2025 artfynd.xlsx", "A 18678-2025")</f>
        <v/>
      </c>
      <c r="W108">
        <f>HYPERLINK("https://klasma.github.io/Logging_2582/kartor/A 18678-2025 karta.png", "A 18678-2025")</f>
        <v/>
      </c>
      <c r="Y108">
        <f>HYPERLINK("https://klasma.github.io/Logging_2582/klagomål/A 18678-2025 FSC-klagomål.docx", "A 18678-2025")</f>
        <v/>
      </c>
      <c r="Z108">
        <f>HYPERLINK("https://klasma.github.io/Logging_2582/klagomålsmail/A 18678-2025 FSC-klagomål mail.docx", "A 18678-2025")</f>
        <v/>
      </c>
      <c r="AA108">
        <f>HYPERLINK("https://klasma.github.io/Logging_2582/tillsyn/A 18678-2025 tillsynsbegäran.docx", "A 18678-2025")</f>
        <v/>
      </c>
      <c r="AB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68560-2021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46220</v>
      </c>
      <c r="F109" t="inlineStr">
        <is>
          <t>NORRBOTTENS LÄN</t>
        </is>
      </c>
      <c r="G109" t="inlineStr">
        <is>
          <t>BODEN</t>
        </is>
      </c>
      <c r="I109" t="n">
        <v>3.5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4</v>
      </c>
      <c r="U109" s="2" t="inlineStr">
        <is>
          <t>Småflikig brosklav</t>
        </is>
      </c>
      <c r="V109">
        <f>HYPERLINK("https://klasma.github.io/Logging_2582/artfynd/A 68560-2021 artfynd.xlsx", "A 68560-2021")</f>
        <v/>
      </c>
      <c r="W109">
        <f>HYPERLINK("https://klasma.github.io/Logging_2582/kartor/A 68560-2021 karta.png", "A 68560-2021")</f>
        <v/>
      </c>
      <c r="Y109">
        <f>HYPERLINK("https://klasma.github.io/Logging_2582/klagomål/A 68560-2021 FSC-klagomål.docx", "A 68560-2021")</f>
        <v/>
      </c>
      <c r="Z109">
        <f>HYPERLINK("https://klasma.github.io/Logging_2582/klagomålsmail/A 68560-2021 FSC-klagomål mail.docx", "A 68560-2021")</f>
        <v/>
      </c>
      <c r="AA109">
        <f>HYPERLINK("https://klasma.github.io/Logging_2582/tillsyn/A 68560-2021 tillsynsbegäran.docx", "A 68560-2021")</f>
        <v/>
      </c>
      <c r="AB109">
        <f>HYPERLINK("https://klasma.github.io/Logging_2582/tillsynsmail/A 68560-2021 tillsynsbegäran mail.docx", "A 68560-2021")</f>
        <v/>
      </c>
    </row>
    <row r="110" ht="15" customHeight="1">
      <c r="A110" t="inlineStr">
        <is>
          <t>A 16217-2024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46220</v>
      </c>
      <c r="F110" t="inlineStr">
        <is>
          <t>NORRBOTTENS LÄN</t>
        </is>
      </c>
      <c r="G110" t="inlineStr">
        <is>
          <t>BODEN</t>
        </is>
      </c>
      <c r="I110" t="n">
        <v>7.2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Videsparv</t>
        </is>
      </c>
      <c r="V110">
        <f>HYPERLINK("https://klasma.github.io/Logging_2582/artfynd/A 16217-2024 artfynd.xlsx", "A 16217-2024")</f>
        <v/>
      </c>
      <c r="W110">
        <f>HYPERLINK("https://klasma.github.io/Logging_2582/kartor/A 16217-2024 karta.png", "A 16217-2024")</f>
        <v/>
      </c>
      <c r="Y110">
        <f>HYPERLINK("https://klasma.github.io/Logging_2582/klagomål/A 16217-2024 FSC-klagomål.docx", "A 16217-2024")</f>
        <v/>
      </c>
      <c r="Z110">
        <f>HYPERLINK("https://klasma.github.io/Logging_2582/klagomålsmail/A 16217-2024 FSC-klagomål mail.docx", "A 16217-2024")</f>
        <v/>
      </c>
      <c r="AA110">
        <f>HYPERLINK("https://klasma.github.io/Logging_2582/tillsyn/A 16217-2024 tillsynsbegäran.docx", "A 16217-2024")</f>
        <v/>
      </c>
      <c r="AB110">
        <f>HYPERLINK("https://klasma.github.io/Logging_2582/tillsynsmail/A 16217-2024 tillsynsbegäran mail.docx", "A 16217-2024")</f>
        <v/>
      </c>
      <c r="AC110">
        <f>HYPERLINK("https://klasma.github.io/Logging_2582/fåglar/A 16217-2024 prioriterade fågelarter.docx", "A 16217-2024")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46220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s="2" t="inlineStr">
        <is>
          <t>Knärot</t>
        </is>
      </c>
      <c r="V111">
        <f>HYPERLINK("https://klasma.github.io/Logging_2582/artfynd/A 52078-2021 artfynd.xlsx", "A 52078-2021")</f>
        <v/>
      </c>
      <c r="W111">
        <f>HYPERLINK("https://klasma.github.io/Logging_2582/kartor/A 52078-2021 karta.png", "A 52078-2021")</f>
        <v/>
      </c>
      <c r="X111">
        <f>HYPERLINK("https://klasma.github.io/Logging_2582/knärot/A 52078-2021 karta knärot.png", "A 52078-2021")</f>
        <v/>
      </c>
      <c r="Y111">
        <f>HYPERLINK("https://klasma.github.io/Logging_2582/klagomål/A 52078-2021 FSC-klagomål.docx", "A 52078-2021")</f>
        <v/>
      </c>
      <c r="Z111">
        <f>HYPERLINK("https://klasma.github.io/Logging_2582/klagomålsmail/A 52078-2021 FSC-klagomål mail.docx", "A 52078-2021")</f>
        <v/>
      </c>
      <c r="AA111">
        <f>HYPERLINK("https://klasma.github.io/Logging_2582/tillsyn/A 52078-2021 tillsynsbegäran.docx", "A 52078-2021")</f>
        <v/>
      </c>
      <c r="AB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41443-2025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46220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Kolflarnlav</t>
        </is>
      </c>
      <c r="V112">
        <f>HYPERLINK("https://klasma.github.io/Logging_2582/artfynd/A 41443-2025 artfynd.xlsx", "A 41443-2025")</f>
        <v/>
      </c>
      <c r="W112">
        <f>HYPERLINK("https://klasma.github.io/Logging_2582/kartor/A 41443-2025 karta.png", "A 41443-2025")</f>
        <v/>
      </c>
      <c r="Y112">
        <f>HYPERLINK("https://klasma.github.io/Logging_2582/klagomål/A 41443-2025 FSC-klagomål.docx", "A 41443-2025")</f>
        <v/>
      </c>
      <c r="Z112">
        <f>HYPERLINK("https://klasma.github.io/Logging_2582/klagomålsmail/A 41443-2025 FSC-klagomål mail.docx", "A 41443-2025")</f>
        <v/>
      </c>
      <c r="AA112">
        <f>HYPERLINK("https://klasma.github.io/Logging_2582/tillsyn/A 41443-2025 tillsynsbegäran.docx", "A 41443-2025")</f>
        <v/>
      </c>
      <c r="AB112">
        <f>HYPERLINK("https://klasma.github.io/Logging_2582/tillsynsmail/A 41443-2025 tillsynsbegäran mail.docx", "A 41443-2025")</f>
        <v/>
      </c>
    </row>
    <row r="113" ht="15" customHeight="1">
      <c r="A113" t="inlineStr">
        <is>
          <t>A 68514-2021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46220</v>
      </c>
      <c r="F113" t="inlineStr">
        <is>
          <t>NORRBOTTENS LÄN</t>
        </is>
      </c>
      <c r="G113" t="inlineStr">
        <is>
          <t>BODEN</t>
        </is>
      </c>
      <c r="I113" t="n">
        <v>6.2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Spillkråka</t>
        </is>
      </c>
      <c r="V113">
        <f>HYPERLINK("https://klasma.github.io/Logging_2582/artfynd/A 68514-2021 artfynd.xlsx", "A 68514-2021")</f>
        <v/>
      </c>
      <c r="W113">
        <f>HYPERLINK("https://klasma.github.io/Logging_2582/kartor/A 68514-2021 karta.png", "A 68514-2021")</f>
        <v/>
      </c>
      <c r="X113">
        <f>HYPERLINK("https://klasma.github.io/Logging_2582/knärot/A 68514-2021 karta knärot.png", "A 68514-2021")</f>
        <v/>
      </c>
      <c r="Y113">
        <f>HYPERLINK("https://klasma.github.io/Logging_2582/klagomål/A 68514-2021 FSC-klagomål.docx", "A 68514-2021")</f>
        <v/>
      </c>
      <c r="Z113">
        <f>HYPERLINK("https://klasma.github.io/Logging_2582/klagomålsmail/A 68514-2021 FSC-klagomål mail.docx", "A 68514-2021")</f>
        <v/>
      </c>
      <c r="AA113">
        <f>HYPERLINK("https://klasma.github.io/Logging_2582/tillsyn/A 68514-2021 tillsynsbegäran.docx", "A 68514-2021")</f>
        <v/>
      </c>
      <c r="AB113">
        <f>HYPERLINK("https://klasma.github.io/Logging_2582/tillsynsmail/A 68514-2021 tillsynsbegäran mail.docx", "A 68514-2021")</f>
        <v/>
      </c>
      <c r="AC113">
        <f>HYPERLINK("https://klasma.github.io/Logging_2582/fåglar/A 68514-2021 prioriterade fågelarter.docx", "A 68514-2021")</f>
        <v/>
      </c>
    </row>
    <row r="114" ht="15" customHeight="1">
      <c r="A114" t="inlineStr">
        <is>
          <t>A 41436-2025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46220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21.5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s="2" t="inlineStr">
        <is>
          <t>Fläcknycklar</t>
        </is>
      </c>
      <c r="V114">
        <f>HYPERLINK("https://klasma.github.io/Logging_2582/artfynd/A 41436-2025 artfynd.xlsx", "A 41436-2025")</f>
        <v/>
      </c>
      <c r="W114">
        <f>HYPERLINK("https://klasma.github.io/Logging_2582/kartor/A 41436-2025 karta.png", "A 41436-2025")</f>
        <v/>
      </c>
      <c r="Y114">
        <f>HYPERLINK("https://klasma.github.io/Logging_2582/klagomål/A 41436-2025 FSC-klagomål.docx", "A 41436-2025")</f>
        <v/>
      </c>
      <c r="Z114">
        <f>HYPERLINK("https://klasma.github.io/Logging_2582/klagomålsmail/A 41436-2025 FSC-klagomål mail.docx", "A 41436-2025")</f>
        <v/>
      </c>
      <c r="AA114">
        <f>HYPERLINK("https://klasma.github.io/Logging_2582/tillsyn/A 41436-2025 tillsynsbegäran.docx", "A 41436-2025")</f>
        <v/>
      </c>
      <c r="AB114">
        <f>HYPERLINK("https://klasma.github.io/Logging_2582/tillsynsmail/A 41436-2025 tillsynsbegäran mail.docx", "A 41436-2025")</f>
        <v/>
      </c>
    </row>
    <row r="115" ht="15" customHeight="1">
      <c r="A115" t="inlineStr">
        <is>
          <t>A 26359-2022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11.4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Tallticka</t>
        </is>
      </c>
      <c r="V115">
        <f>HYPERLINK("https://klasma.github.io/Logging_2582/artfynd/A 26359-2022 artfynd.xlsx", "A 26359-2022")</f>
        <v/>
      </c>
      <c r="W115">
        <f>HYPERLINK("https://klasma.github.io/Logging_2582/kartor/A 26359-2022 karta.png", "A 26359-2022")</f>
        <v/>
      </c>
      <c r="Y115">
        <f>HYPERLINK("https://klasma.github.io/Logging_2582/klagomål/A 26359-2022 FSC-klagomål.docx", "A 26359-2022")</f>
        <v/>
      </c>
      <c r="Z115">
        <f>HYPERLINK("https://klasma.github.io/Logging_2582/klagomålsmail/A 26359-2022 FSC-klagomål mail.docx", "A 26359-2022")</f>
        <v/>
      </c>
      <c r="AA115">
        <f>HYPERLINK("https://klasma.github.io/Logging_2582/tillsyn/A 26359-2022 tillsynsbegäran.docx", "A 26359-2022")</f>
        <v/>
      </c>
      <c r="AB115">
        <f>HYPERLINK("https://klasma.github.io/Logging_2582/tillsynsmail/A 26359-2022 tillsynsbegäran mail.docx", "A 26359-2022")</f>
        <v/>
      </c>
    </row>
    <row r="116" ht="15" customHeight="1">
      <c r="A116" t="inlineStr">
        <is>
          <t>A 22892-2024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46220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0.8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Bollvitmossa</t>
        </is>
      </c>
      <c r="V116">
        <f>HYPERLINK("https://klasma.github.io/Logging_2582/artfynd/A 22892-2024 artfynd.xlsx", "A 22892-2024")</f>
        <v/>
      </c>
      <c r="W116">
        <f>HYPERLINK("https://klasma.github.io/Logging_2582/kartor/A 22892-2024 karta.png", "A 22892-2024")</f>
        <v/>
      </c>
      <c r="Y116">
        <f>HYPERLINK("https://klasma.github.io/Logging_2582/klagomål/A 22892-2024 FSC-klagomål.docx", "A 22892-2024")</f>
        <v/>
      </c>
      <c r="Z116">
        <f>HYPERLINK("https://klasma.github.io/Logging_2582/klagomålsmail/A 22892-2024 FSC-klagomål mail.docx", "A 22892-2024")</f>
        <v/>
      </c>
      <c r="AA116">
        <f>HYPERLINK("https://klasma.github.io/Logging_2582/tillsyn/A 22892-2024 tillsynsbegäran.docx", "A 22892-2024")</f>
        <v/>
      </c>
      <c r="AB116">
        <f>HYPERLINK("https://klasma.github.io/Logging_2582/tillsynsmail/A 22892-2024 tillsynsbegäran mail.docx", "A 22892-2024")</f>
        <v/>
      </c>
    </row>
    <row r="117" ht="15" customHeight="1">
      <c r="A117" t="inlineStr">
        <is>
          <t>A 13568-2022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46220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Lavskrika</t>
        </is>
      </c>
      <c r="V117">
        <f>HYPERLINK("https://klasma.github.io/Logging_2582/artfynd/A 13568-2022 artfynd.xlsx", "A 13568-2022")</f>
        <v/>
      </c>
      <c r="W117">
        <f>HYPERLINK("https://klasma.github.io/Logging_2582/kartor/A 13568-2022 karta.png", "A 13568-2022")</f>
        <v/>
      </c>
      <c r="Y117">
        <f>HYPERLINK("https://klasma.github.io/Logging_2582/klagomål/A 13568-2022 FSC-klagomål.docx", "A 13568-2022")</f>
        <v/>
      </c>
      <c r="Z117">
        <f>HYPERLINK("https://klasma.github.io/Logging_2582/klagomålsmail/A 13568-2022 FSC-klagomål mail.docx", "A 13568-2022")</f>
        <v/>
      </c>
      <c r="AA117">
        <f>HYPERLINK("https://klasma.github.io/Logging_2582/tillsyn/A 13568-2022 tillsynsbegäran.docx", "A 13568-2022")</f>
        <v/>
      </c>
      <c r="AB117">
        <f>HYPERLINK("https://klasma.github.io/Logging_2582/tillsynsmail/A 13568-2022 tillsynsbegäran mail.docx", "A 13568-2022")</f>
        <v/>
      </c>
      <c r="AC117">
        <f>HYPERLINK("https://klasma.github.io/Logging_2582/fåglar/A 13568-2022 prioriterade fågelarter.docx", "A 13568-2022")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46220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HYPERLINK("https://klasma.github.io/Logging_2582/artfynd/A 50394-2025 artfynd.xlsx", "A 50394-2025")</f>
        <v/>
      </c>
      <c r="W118">
        <f>HYPERLINK("https://klasma.github.io/Logging_2582/kartor/A 50394-2025 karta.png", "A 50394-2025")</f>
        <v/>
      </c>
      <c r="Y118">
        <f>HYPERLINK("https://klasma.github.io/Logging_2582/klagomål/A 50394-2025 FSC-klagomål.docx", "A 50394-2025")</f>
        <v/>
      </c>
      <c r="Z118">
        <f>HYPERLINK("https://klasma.github.io/Logging_2582/klagomålsmail/A 50394-2025 FSC-klagomål mail.docx", "A 50394-2025")</f>
        <v/>
      </c>
      <c r="AA118">
        <f>HYPERLINK("https://klasma.github.io/Logging_2582/tillsyn/A 50394-2025 tillsynsbegäran.docx", "A 50394-2025")</f>
        <v/>
      </c>
      <c r="AB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46220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HYPERLINK("https://klasma.github.io/Logging_2582/artfynd/A 51184-2025 artfynd.xlsx", "A 51184-2025")</f>
        <v/>
      </c>
      <c r="W119">
        <f>HYPERLINK("https://klasma.github.io/Logging_2582/kartor/A 51184-2025 karta.png", "A 51184-2025")</f>
        <v/>
      </c>
      <c r="Y119">
        <f>HYPERLINK("https://klasma.github.io/Logging_2582/klagomål/A 51184-2025 FSC-klagomål.docx", "A 51184-2025")</f>
        <v/>
      </c>
      <c r="Z119">
        <f>HYPERLINK("https://klasma.github.io/Logging_2582/klagomålsmail/A 51184-2025 FSC-klagomål mail.docx", "A 51184-2025")</f>
        <v/>
      </c>
      <c r="AA119">
        <f>HYPERLINK("https://klasma.github.io/Logging_2582/tillsyn/A 51184-2025 tillsynsbegäran.docx", "A 51184-2025")</f>
        <v/>
      </c>
      <c r="AB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51304-2025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46220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Bollvitmossa</t>
        </is>
      </c>
      <c r="V120">
        <f>HYPERLINK("https://klasma.github.io/Logging_2582/artfynd/A 51304-2025 artfynd.xlsx", "A 51304-2025")</f>
        <v/>
      </c>
      <c r="W120">
        <f>HYPERLINK("https://klasma.github.io/Logging_2582/kartor/A 51304-2025 karta.png", "A 51304-2025")</f>
        <v/>
      </c>
      <c r="Y120">
        <f>HYPERLINK("https://klasma.github.io/Logging_2582/klagomål/A 51304-2025 FSC-klagomål.docx", "A 51304-2025")</f>
        <v/>
      </c>
      <c r="Z120">
        <f>HYPERLINK("https://klasma.github.io/Logging_2582/klagomålsmail/A 51304-2025 FSC-klagomål mail.docx", "A 51304-2025")</f>
        <v/>
      </c>
      <c r="AA120">
        <f>HYPERLINK("https://klasma.github.io/Logging_2582/tillsyn/A 51304-2025 tillsynsbegäran.docx", "A 51304-2025")</f>
        <v/>
      </c>
      <c r="AB120">
        <f>HYPERLINK("https://klasma.github.io/Logging_2582/tillsynsmail/A 51304-2025 tillsynsbegäran mail.docx", "A 51304-2025")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46220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Sångsvan</t>
        </is>
      </c>
      <c r="V121">
        <f>HYPERLINK("https://klasma.github.io/Logging_2582/artfynd/A 51258-2025 artfynd.xlsx", "A 51258-2025")</f>
        <v/>
      </c>
      <c r="W121">
        <f>HYPERLINK("https://klasma.github.io/Logging_2582/kartor/A 51258-2025 karta.png", "A 51258-2025")</f>
        <v/>
      </c>
      <c r="Y121">
        <f>HYPERLINK("https://klasma.github.io/Logging_2582/klagomål/A 51258-2025 FSC-klagomål.docx", "A 51258-2025")</f>
        <v/>
      </c>
      <c r="Z121">
        <f>HYPERLINK("https://klasma.github.io/Logging_2582/klagomålsmail/A 51258-2025 FSC-klagomål mail.docx", "A 51258-2025")</f>
        <v/>
      </c>
      <c r="AA121">
        <f>HYPERLINK("https://klasma.github.io/Logging_2582/tillsyn/A 51258-2025 tillsynsbegäran.docx", "A 51258-2025")</f>
        <v/>
      </c>
      <c r="AB121">
        <f>HYPERLINK("https://klasma.github.io/Logging_2582/tillsynsmail/A 51258-2025 tillsynsbegäran mail.docx", "A 51258-2025")</f>
        <v/>
      </c>
      <c r="AC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46220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HYPERLINK("https://klasma.github.io/Logging_2582/artfynd/A 51874-2025 artfynd.xlsx", "A 51874-2025")</f>
        <v/>
      </c>
      <c r="W122">
        <f>HYPERLINK("https://klasma.github.io/Logging_2582/kartor/A 51874-2025 karta.png", "A 51874-2025")</f>
        <v/>
      </c>
      <c r="Y122">
        <f>HYPERLINK("https://klasma.github.io/Logging_2582/klagomål/A 51874-2025 FSC-klagomål.docx", "A 51874-2025")</f>
        <v/>
      </c>
      <c r="Z122">
        <f>HYPERLINK("https://klasma.github.io/Logging_2582/klagomålsmail/A 51874-2025 FSC-klagomål mail.docx", "A 51874-2025")</f>
        <v/>
      </c>
      <c r="AA122">
        <f>HYPERLINK("https://klasma.github.io/Logging_2582/tillsyn/A 51874-2025 tillsynsbegäran.docx", "A 51874-2025")</f>
        <v/>
      </c>
      <c r="AB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4878-2026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46220</v>
      </c>
      <c r="F123" t="inlineStr">
        <is>
          <t>NORRBOTTENS LÄN</t>
        </is>
      </c>
      <c r="G123" t="inlineStr">
        <is>
          <t>BODEN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padda</t>
        </is>
      </c>
      <c r="V123">
        <f>HYPERLINK("https://klasma.github.io/Logging_2582/artfynd/A 4878-2026 artfynd.xlsx", "A 4878-2026")</f>
        <v/>
      </c>
      <c r="W123">
        <f>HYPERLINK("https://klasma.github.io/Logging_2582/kartor/A 4878-2026 karta.png", "A 4878-2026")</f>
        <v/>
      </c>
      <c r="Y123">
        <f>HYPERLINK("https://klasma.github.io/Logging_2582/klagomål/A 4878-2026 FSC-klagomål.docx", "A 4878-2026")</f>
        <v/>
      </c>
      <c r="Z123">
        <f>HYPERLINK("https://klasma.github.io/Logging_2582/klagomålsmail/A 4878-2026 FSC-klagomål mail.docx", "A 4878-2026")</f>
        <v/>
      </c>
      <c r="AA123">
        <f>HYPERLINK("https://klasma.github.io/Logging_2582/tillsyn/A 4878-2026 tillsynsbegäran.docx", "A 4878-2026")</f>
        <v/>
      </c>
      <c r="AB123">
        <f>HYPERLINK("https://klasma.github.io/Logging_2582/tillsynsmail/A 4878-2026 tillsynsbegäran mail.docx", "A 4878-2026")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46220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Lunglav</t>
        </is>
      </c>
      <c r="V124">
        <f>HYPERLINK("https://klasma.github.io/Logging_2582/artfynd/A 49410-2023 artfynd.xlsx", "A 49410-2023")</f>
        <v/>
      </c>
      <c r="W124">
        <f>HYPERLINK("https://klasma.github.io/Logging_2582/kartor/A 49410-2023 karta.png", "A 49410-2023")</f>
        <v/>
      </c>
      <c r="Y124">
        <f>HYPERLINK("https://klasma.github.io/Logging_2582/klagomål/A 49410-2023 FSC-klagomål.docx", "A 49410-2023")</f>
        <v/>
      </c>
      <c r="Z124">
        <f>HYPERLINK("https://klasma.github.io/Logging_2582/klagomålsmail/A 49410-2023 FSC-klagomål mail.docx", "A 49410-2023")</f>
        <v/>
      </c>
      <c r="AA124">
        <f>HYPERLINK("https://klasma.github.io/Logging_2582/tillsyn/A 49410-2023 tillsynsbegäran.docx", "A 49410-2023")</f>
        <v/>
      </c>
      <c r="AB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s="2" t="inlineStr">
        <is>
          <t>Lunglav</t>
        </is>
      </c>
      <c r="V125">
        <f>HYPERLINK("https://klasma.github.io/Logging_2582/artfynd/A 53180-2025 artfynd.xlsx", "A 53180-2025")</f>
        <v/>
      </c>
      <c r="W125">
        <f>HYPERLINK("https://klasma.github.io/Logging_2582/kartor/A 53180-2025 karta.png", "A 53180-2025")</f>
        <v/>
      </c>
      <c r="Y125">
        <f>HYPERLINK("https://klasma.github.io/Logging_2582/klagomål/A 53180-2025 FSC-klagomål.docx", "A 53180-2025")</f>
        <v/>
      </c>
      <c r="Z125">
        <f>HYPERLINK("https://klasma.github.io/Logging_2582/klagomålsmail/A 53180-2025 FSC-klagomål mail.docx", "A 53180-2025")</f>
        <v/>
      </c>
      <c r="AA125">
        <f>HYPERLINK("https://klasma.github.io/Logging_2582/tillsyn/A 53180-2025 tillsynsbegäran.docx", "A 53180-2025")</f>
        <v/>
      </c>
      <c r="AB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2565-2026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46220</v>
      </c>
      <c r="F126" t="inlineStr">
        <is>
          <t>NORRBOTTENS LÄN</t>
        </is>
      </c>
      <c r="G126" t="inlineStr">
        <is>
          <t>BODEN</t>
        </is>
      </c>
      <c r="H126" t="inlineStr">
        <is>
          <t>Naturvårdsverket</t>
        </is>
      </c>
      <c r="I126" t="n">
        <v>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s="2" t="inlineStr">
        <is>
          <t>Garnlav</t>
        </is>
      </c>
      <c r="V126">
        <f>HYPERLINK("https://klasma.github.io/Logging_2582/artfynd/A 2565-2026 artfynd.xlsx", "A 2565-2026")</f>
        <v/>
      </c>
      <c r="W126">
        <f>HYPERLINK("https://klasma.github.io/Logging_2582/kartor/A 2565-2026 karta.png", "A 2565-2026")</f>
        <v/>
      </c>
      <c r="Y126">
        <f>HYPERLINK("https://klasma.github.io/Logging_2582/klagomål/A 2565-2026 FSC-klagomål.docx", "A 2565-2026")</f>
        <v/>
      </c>
      <c r="Z126">
        <f>HYPERLINK("https://klasma.github.io/Logging_2582/klagomålsmail/A 2565-2026 FSC-klagomål mail.docx", "A 2565-2026")</f>
        <v/>
      </c>
      <c r="AA126">
        <f>HYPERLINK("https://klasma.github.io/Logging_2582/tillsyn/A 2565-2026 tillsynsbegäran.docx", "A 2565-2026")</f>
        <v/>
      </c>
      <c r="AB126">
        <f>HYPERLINK("https://klasma.github.io/Logging_2582/tillsynsmail/A 2565-2026 tillsynsbegäran mail.docx", "A 2565-2026")</f>
        <v/>
      </c>
    </row>
    <row r="127" ht="15" customHeight="1">
      <c r="A127" t="inlineStr">
        <is>
          <t>A 53590-2025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46220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Gulskölding</t>
        </is>
      </c>
      <c r="V127">
        <f>HYPERLINK("https://klasma.github.io/Logging_2582/artfynd/A 53590-2025 artfynd.xlsx", "A 53590-2025")</f>
        <v/>
      </c>
      <c r="W127">
        <f>HYPERLINK("https://klasma.github.io/Logging_2582/kartor/A 53590-2025 karta.png", "A 53590-2025")</f>
        <v/>
      </c>
      <c r="Y127">
        <f>HYPERLINK("https://klasma.github.io/Logging_2582/klagomål/A 53590-2025 FSC-klagomål.docx", "A 53590-2025")</f>
        <v/>
      </c>
      <c r="Z127">
        <f>HYPERLINK("https://klasma.github.io/Logging_2582/klagomålsmail/A 53590-2025 FSC-klagomål mail.docx", "A 53590-2025")</f>
        <v/>
      </c>
      <c r="AA127">
        <f>HYPERLINK("https://klasma.github.io/Logging_2582/tillsyn/A 53590-2025 tillsynsbegäran.docx", "A 53590-2025")</f>
        <v/>
      </c>
      <c r="AB127">
        <f>HYPERLINK("https://klasma.github.io/Logging_2582/tillsynsmail/A 53590-2025 tillsynsbegäran mail.docx", "A 53590-2025")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46220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Tallticka</t>
        </is>
      </c>
      <c r="V128">
        <f>HYPERLINK("https://klasma.github.io/Logging_2582/artfynd/A 54563-2025 artfynd.xlsx", "A 54563-2025")</f>
        <v/>
      </c>
      <c r="W128">
        <f>HYPERLINK("https://klasma.github.io/Logging_2582/kartor/A 54563-2025 karta.png", "A 54563-2025")</f>
        <v/>
      </c>
      <c r="Y128">
        <f>HYPERLINK("https://klasma.github.io/Logging_2582/klagomål/A 54563-2025 FSC-klagomål.docx", "A 54563-2025")</f>
        <v/>
      </c>
      <c r="Z128">
        <f>HYPERLINK("https://klasma.github.io/Logging_2582/klagomålsmail/A 54563-2025 FSC-klagomål mail.docx", "A 54563-2025")</f>
        <v/>
      </c>
      <c r="AA128">
        <f>HYPERLINK("https://klasma.github.io/Logging_2582/tillsyn/A 54563-2025 tillsynsbegäran.docx", "A 54563-2025")</f>
        <v/>
      </c>
      <c r="AB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56598-2025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46220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Revlummer</t>
        </is>
      </c>
      <c r="V129">
        <f>HYPERLINK("https://klasma.github.io/Logging_2582/artfynd/A 56598-2025 artfynd.xlsx", "A 56598-2025")</f>
        <v/>
      </c>
      <c r="W129">
        <f>HYPERLINK("https://klasma.github.io/Logging_2582/kartor/A 56598-2025 karta.png", "A 56598-2025")</f>
        <v/>
      </c>
      <c r="Y129">
        <f>HYPERLINK("https://klasma.github.io/Logging_2582/klagomål/A 56598-2025 FSC-klagomål.docx", "A 56598-2025")</f>
        <v/>
      </c>
      <c r="Z129">
        <f>HYPERLINK("https://klasma.github.io/Logging_2582/klagomålsmail/A 56598-2025 FSC-klagomål mail.docx", "A 56598-2025")</f>
        <v/>
      </c>
      <c r="AA129">
        <f>HYPERLINK("https://klasma.github.io/Logging_2582/tillsyn/A 56598-2025 tillsynsbegäran.docx", "A 56598-2025")</f>
        <v/>
      </c>
      <c r="AB129">
        <f>HYPERLINK("https://klasma.github.io/Logging_2582/tillsynsmail/A 56598-2025 tillsynsbegäran mail.docx", "A 56598-2025")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46220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Igelkott</t>
        </is>
      </c>
      <c r="V130">
        <f>HYPERLINK("https://klasma.github.io/Logging_2582/artfynd/A 60196-2025 artfynd.xlsx", "A 60196-2025")</f>
        <v/>
      </c>
      <c r="W130">
        <f>HYPERLINK("https://klasma.github.io/Logging_2582/kartor/A 60196-2025 karta.png", "A 60196-2025")</f>
        <v/>
      </c>
      <c r="Y130">
        <f>HYPERLINK("https://klasma.github.io/Logging_2582/klagomål/A 60196-2025 FSC-klagomål.docx", "A 60196-2025")</f>
        <v/>
      </c>
      <c r="Z130">
        <f>HYPERLINK("https://klasma.github.io/Logging_2582/klagomålsmail/A 60196-2025 FSC-klagomål mail.docx", "A 60196-2025")</f>
        <v/>
      </c>
      <c r="AA130">
        <f>HYPERLINK("https://klasma.github.io/Logging_2582/tillsyn/A 60196-2025 tillsynsbegäran.docx", "A 60196-2025")</f>
        <v/>
      </c>
      <c r="AB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46220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Rosenticka</t>
        </is>
      </c>
      <c r="V131">
        <f>HYPERLINK("https://klasma.github.io/Logging_2582/artfynd/A 60781-2025 artfynd.xlsx", "A 60781-2025")</f>
        <v/>
      </c>
      <c r="W131">
        <f>HYPERLINK("https://klasma.github.io/Logging_2582/kartor/A 60781-2025 karta.png", "A 60781-2025")</f>
        <v/>
      </c>
      <c r="Y131">
        <f>HYPERLINK("https://klasma.github.io/Logging_2582/klagomål/A 60781-2025 FSC-klagomål.docx", "A 60781-2025")</f>
        <v/>
      </c>
      <c r="Z131">
        <f>HYPERLINK("https://klasma.github.io/Logging_2582/klagomålsmail/A 60781-2025 FSC-klagomål mail.docx", "A 60781-2025")</f>
        <v/>
      </c>
      <c r="AA131">
        <f>HYPERLINK("https://klasma.github.io/Logging_2582/tillsyn/A 60781-2025 tillsynsbegäran.docx", "A 60781-2025")</f>
        <v/>
      </c>
      <c r="AB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46220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Vitgrynig nållav</t>
        </is>
      </c>
      <c r="V132">
        <f>HYPERLINK("https://klasma.github.io/Logging_2582/artfynd/A 62002-2025 artfynd.xlsx", "A 62002-2025")</f>
        <v/>
      </c>
      <c r="W132">
        <f>HYPERLINK("https://klasma.github.io/Logging_2582/kartor/A 62002-2025 karta.png", "A 62002-2025")</f>
        <v/>
      </c>
      <c r="Y132">
        <f>HYPERLINK("https://klasma.github.io/Logging_2582/klagomål/A 62002-2025 FSC-klagomål.docx", "A 62002-2025")</f>
        <v/>
      </c>
      <c r="Z132">
        <f>HYPERLINK("https://klasma.github.io/Logging_2582/klagomålsmail/A 62002-2025 FSC-klagomål mail.docx", "A 62002-2025")</f>
        <v/>
      </c>
      <c r="AA132">
        <f>HYPERLINK("https://klasma.github.io/Logging_2582/tillsyn/A 62002-2025 tillsynsbegäran.docx", "A 62002-2025")</f>
        <v/>
      </c>
      <c r="AB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36743-2024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46220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Lunglav</t>
        </is>
      </c>
      <c r="V133">
        <f>HYPERLINK("https://klasma.github.io/Logging_2582/artfynd/A 36743-2024 artfynd.xlsx", "A 36743-2024")</f>
        <v/>
      </c>
      <c r="W133">
        <f>HYPERLINK("https://klasma.github.io/Logging_2582/kartor/A 36743-2024 karta.png", "A 36743-2024")</f>
        <v/>
      </c>
      <c r="Y133">
        <f>HYPERLINK("https://klasma.github.io/Logging_2582/klagomål/A 36743-2024 FSC-klagomål.docx", "A 36743-2024")</f>
        <v/>
      </c>
      <c r="Z133">
        <f>HYPERLINK("https://klasma.github.io/Logging_2582/klagomålsmail/A 36743-2024 FSC-klagomål mail.docx", "A 36743-2024")</f>
        <v/>
      </c>
      <c r="AA133">
        <f>HYPERLINK("https://klasma.github.io/Logging_2582/tillsyn/A 36743-2024 tillsynsbegäran.docx", "A 36743-2024")</f>
        <v/>
      </c>
      <c r="AB133">
        <f>HYPERLINK("https://klasma.github.io/Logging_2582/tillsynsmail/A 36743-2024 tillsynsbegäran mail.docx", "A 36743-2024")</f>
        <v/>
      </c>
    </row>
    <row r="134" ht="15" customHeight="1">
      <c r="A134" t="inlineStr">
        <is>
          <t>A 32600-2024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46220</v>
      </c>
      <c r="F134" t="inlineStr">
        <is>
          <t>NORRBOTTENS LÄN</t>
        </is>
      </c>
      <c r="G134" t="inlineStr">
        <is>
          <t>BODEN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Lunglav</t>
        </is>
      </c>
      <c r="V134">
        <f>HYPERLINK("https://klasma.github.io/Logging_2582/artfynd/A 32600-2024 artfynd.xlsx", "A 32600-2024")</f>
        <v/>
      </c>
      <c r="W134">
        <f>HYPERLINK("https://klasma.github.io/Logging_2582/kartor/A 32600-2024 karta.png", "A 32600-2024")</f>
        <v/>
      </c>
      <c r="Y134">
        <f>HYPERLINK("https://klasma.github.io/Logging_2582/klagomål/A 32600-2024 FSC-klagomål.docx", "A 32600-2024")</f>
        <v/>
      </c>
      <c r="Z134">
        <f>HYPERLINK("https://klasma.github.io/Logging_2582/klagomålsmail/A 32600-2024 FSC-klagomål mail.docx", "A 32600-2024")</f>
        <v/>
      </c>
      <c r="AA134">
        <f>HYPERLINK("https://klasma.github.io/Logging_2582/tillsyn/A 32600-2024 tillsynsbegäran.docx", "A 32600-2024")</f>
        <v/>
      </c>
      <c r="AB134">
        <f>HYPERLINK("https://klasma.github.io/Logging_2582/tillsynsmail/A 32600-2024 tillsynsbegäran mail.docx", "A 32600-2024")</f>
        <v/>
      </c>
    </row>
    <row r="135" ht="15" customHeight="1">
      <c r="A135" t="inlineStr">
        <is>
          <t>A 14329-2026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46220</v>
      </c>
      <c r="F135" t="inlineStr">
        <is>
          <t>NORRBOTTENS LÄN</t>
        </is>
      </c>
      <c r="G135" t="inlineStr">
        <is>
          <t>BODEN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Tjäder</t>
        </is>
      </c>
      <c r="V135">
        <f>HYPERLINK("https://klasma.github.io/Logging_2582/artfynd/A 14329-2026 artfynd.xlsx", "A 14329-2026")</f>
        <v/>
      </c>
      <c r="W135">
        <f>HYPERLINK("https://klasma.github.io/Logging_2582/kartor/A 14329-2026 karta.png", "A 14329-2026")</f>
        <v/>
      </c>
      <c r="Y135">
        <f>HYPERLINK("https://klasma.github.io/Logging_2582/klagomål/A 14329-2026 FSC-klagomål.docx", "A 14329-2026")</f>
        <v/>
      </c>
      <c r="Z135">
        <f>HYPERLINK("https://klasma.github.io/Logging_2582/klagomålsmail/A 14329-2026 FSC-klagomål mail.docx", "A 14329-2026")</f>
        <v/>
      </c>
      <c r="AA135">
        <f>HYPERLINK("https://klasma.github.io/Logging_2582/tillsyn/A 14329-2026 tillsynsbegäran.docx", "A 14329-2026")</f>
        <v/>
      </c>
      <c r="AB135">
        <f>HYPERLINK("https://klasma.github.io/Logging_2582/tillsynsmail/A 14329-2026 tillsynsbegäran mail.docx", "A 14329-2026")</f>
        <v/>
      </c>
      <c r="AC135">
        <f>HYPERLINK("https://klasma.github.io/Logging_2582/fåglar/A 14329-2026 prioriterade fågelarter.docx", "A 14329-2026")</f>
        <v/>
      </c>
    </row>
    <row r="136" ht="15" customHeight="1">
      <c r="A136" t="inlineStr">
        <is>
          <t>A 665-2023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46220</v>
      </c>
      <c r="F136" t="inlineStr">
        <is>
          <t>NORRBOTTENS LÄN</t>
        </is>
      </c>
      <c r="G136" t="inlineStr">
        <is>
          <t>BODEN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Duvhök</t>
        </is>
      </c>
      <c r="V136">
        <f>HYPERLINK("https://klasma.github.io/Logging_2582/artfynd/A 665-2023 artfynd.xlsx", "A 665-2023")</f>
        <v/>
      </c>
      <c r="W136">
        <f>HYPERLINK("https://klasma.github.io/Logging_2582/kartor/A 665-2023 karta.png", "A 665-2023")</f>
        <v/>
      </c>
      <c r="Y136">
        <f>HYPERLINK("https://klasma.github.io/Logging_2582/klagomål/A 665-2023 FSC-klagomål.docx", "A 665-2023")</f>
        <v/>
      </c>
      <c r="Z136">
        <f>HYPERLINK("https://klasma.github.io/Logging_2582/klagomålsmail/A 665-2023 FSC-klagomål mail.docx", "A 665-2023")</f>
        <v/>
      </c>
      <c r="AA136">
        <f>HYPERLINK("https://klasma.github.io/Logging_2582/tillsyn/A 665-2023 tillsynsbegäran.docx", "A 665-2023")</f>
        <v/>
      </c>
      <c r="AB136">
        <f>HYPERLINK("https://klasma.github.io/Logging_2582/tillsynsmail/A 665-2023 tillsynsbegäran mail.docx", "A 665-2023")</f>
        <v/>
      </c>
      <c r="AC136">
        <f>HYPERLINK("https://klasma.github.io/Logging_2582/fåglar/A 665-2023 prioriterade fågelarter.docx", "A 665-2023")</f>
        <v/>
      </c>
    </row>
    <row r="137" ht="15" customHeight="1">
      <c r="A137" t="inlineStr">
        <is>
          <t>A 16368-2026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46220</v>
      </c>
      <c r="F137" t="inlineStr">
        <is>
          <t>NORRBOTTENS LÄN</t>
        </is>
      </c>
      <c r="G137" t="inlineStr">
        <is>
          <t>BODEN</t>
        </is>
      </c>
      <c r="I137" t="n">
        <v>12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Tallticka</t>
        </is>
      </c>
      <c r="V137">
        <f>HYPERLINK("https://klasma.github.io/Logging_2582/artfynd/A 16368-2026 artfynd.xlsx", "A 16368-2026")</f>
        <v/>
      </c>
      <c r="W137">
        <f>HYPERLINK("https://klasma.github.io/Logging_2582/kartor/A 16368-2026 karta.png", "A 16368-2026")</f>
        <v/>
      </c>
      <c r="Y137">
        <f>HYPERLINK("https://klasma.github.io/Logging_2582/klagomål/A 16368-2026 FSC-klagomål.docx", "A 16368-2026")</f>
        <v/>
      </c>
      <c r="Z137">
        <f>HYPERLINK("https://klasma.github.io/Logging_2582/klagomålsmail/A 16368-2026 FSC-klagomål mail.docx", "A 16368-2026")</f>
        <v/>
      </c>
      <c r="AA137">
        <f>HYPERLINK("https://klasma.github.io/Logging_2582/tillsyn/A 16368-2026 tillsynsbegäran.docx", "A 16368-2026")</f>
        <v/>
      </c>
      <c r="AB137">
        <f>HYPERLINK("https://klasma.github.io/Logging_2582/tillsynsmail/A 16368-2026 tillsynsbegäran mail.docx", "A 16368-2026")</f>
        <v/>
      </c>
    </row>
    <row r="138" ht="15" customHeight="1">
      <c r="A138" t="inlineStr">
        <is>
          <t>A 19580-2026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46220</v>
      </c>
      <c r="F138" t="inlineStr">
        <is>
          <t>NORRBOTTENS LÄN</t>
        </is>
      </c>
      <c r="G138" t="inlineStr">
        <is>
          <t>BODEN</t>
        </is>
      </c>
      <c r="I138" t="n">
        <v>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s="2" t="inlineStr">
        <is>
          <t>Dropptaggsvamp</t>
        </is>
      </c>
      <c r="V138">
        <f>HYPERLINK("https://klasma.github.io/Logging_2582/artfynd/A 19580-2026 artfynd.xlsx", "A 19580-2026")</f>
        <v/>
      </c>
      <c r="W138">
        <f>HYPERLINK("https://klasma.github.io/Logging_2582/kartor/A 19580-2026 karta.png", "A 19580-2026")</f>
        <v/>
      </c>
      <c r="Y138">
        <f>HYPERLINK("https://klasma.github.io/Logging_2582/klagomål/A 19580-2026 FSC-klagomål.docx", "A 19580-2026")</f>
        <v/>
      </c>
      <c r="Z138">
        <f>HYPERLINK("https://klasma.github.io/Logging_2582/klagomålsmail/A 19580-2026 FSC-klagomål mail.docx", "A 19580-2026")</f>
        <v/>
      </c>
      <c r="AA138">
        <f>HYPERLINK("https://klasma.github.io/Logging_2582/tillsyn/A 19580-2026 tillsynsbegäran.docx", "A 19580-2026")</f>
        <v/>
      </c>
      <c r="AB138">
        <f>HYPERLINK("https://klasma.github.io/Logging_2582/tillsynsmail/A 19580-2026 tillsynsbegäran mail.docx", "A 19580-2026")</f>
        <v/>
      </c>
    </row>
    <row r="139" ht="15" customHeight="1">
      <c r="A139" t="inlineStr">
        <is>
          <t>A 12832-2022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46220</v>
      </c>
      <c r="F139" t="inlineStr">
        <is>
          <t>NORRBOTTENS LÄN</t>
        </is>
      </c>
      <c r="G139" t="inlineStr">
        <is>
          <t>BODEN</t>
        </is>
      </c>
      <c r="I139" t="n">
        <v>6.6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s="2" t="inlineStr">
        <is>
          <t>Doftticka</t>
        </is>
      </c>
      <c r="V139">
        <f>HYPERLINK("https://klasma.github.io/Logging_2582/artfynd/A 12832-2022 artfynd.xlsx", "A 12832-2022")</f>
        <v/>
      </c>
      <c r="W139">
        <f>HYPERLINK("https://klasma.github.io/Logging_2582/kartor/A 12832-2022 karta.png", "A 12832-2022")</f>
        <v/>
      </c>
      <c r="Y139">
        <f>HYPERLINK("https://klasma.github.io/Logging_2582/klagomål/A 12832-2022 FSC-klagomål.docx", "A 12832-2022")</f>
        <v/>
      </c>
      <c r="Z139">
        <f>HYPERLINK("https://klasma.github.io/Logging_2582/klagomålsmail/A 12832-2022 FSC-klagomål mail.docx", "A 12832-2022")</f>
        <v/>
      </c>
      <c r="AA139">
        <f>HYPERLINK("https://klasma.github.io/Logging_2582/tillsyn/A 12832-2022 tillsynsbegäran.docx", "A 12832-2022")</f>
        <v/>
      </c>
      <c r="AB139">
        <f>HYPERLINK("https://klasma.github.io/Logging_2582/tillsynsmail/A 12832-2022 tillsynsbegäran mail.docx", "A 12832-2022")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46220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Spindelblomster</t>
        </is>
      </c>
      <c r="V140">
        <f>HYPERLINK("https://klasma.github.io/Logging_2582/artfynd/A 25803-2026 artfynd.xlsx", "A 25803-2026")</f>
        <v/>
      </c>
      <c r="W140">
        <f>HYPERLINK("https://klasma.github.io/Logging_2582/kartor/A 25803-2026 karta.png", "A 25803-2026")</f>
        <v/>
      </c>
      <c r="Y140">
        <f>HYPERLINK("https://klasma.github.io/Logging_2582/klagomål/A 25803-2026 FSC-klagomål.docx", "A 25803-2026")</f>
        <v/>
      </c>
      <c r="Z140">
        <f>HYPERLINK("https://klasma.github.io/Logging_2582/klagomålsmail/A 25803-2026 FSC-klagomål mail.docx", "A 25803-2026")</f>
        <v/>
      </c>
      <c r="AA140">
        <f>HYPERLINK("https://klasma.github.io/Logging_2582/tillsyn/A 25803-2026 tillsynsbegäran.docx", "A 25803-2026")</f>
        <v/>
      </c>
      <c r="AB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25801-2026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46220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s="2" t="inlineStr">
        <is>
          <t>Knärot</t>
        </is>
      </c>
      <c r="V141">
        <f>HYPERLINK("https://klasma.github.io/Logging_2582/artfynd/A 25801-2026 artfynd.xlsx", "A 25801-2026")</f>
        <v/>
      </c>
      <c r="W141">
        <f>HYPERLINK("https://klasma.github.io/Logging_2582/kartor/A 25801-2026 karta.png", "A 25801-2026")</f>
        <v/>
      </c>
      <c r="X141">
        <f>HYPERLINK("https://klasma.github.io/Logging_2582/knärot/A 25801-2026 karta knärot.png", "A 25801-2026")</f>
        <v/>
      </c>
      <c r="Y141">
        <f>HYPERLINK("https://klasma.github.io/Logging_2582/klagomål/A 25801-2026 FSC-klagomål.docx", "A 25801-2026")</f>
        <v/>
      </c>
      <c r="Z141">
        <f>HYPERLINK("https://klasma.github.io/Logging_2582/klagomålsmail/A 25801-2026 FSC-klagomål mail.docx", "A 25801-2026")</f>
        <v/>
      </c>
      <c r="AA141">
        <f>HYPERLINK("https://klasma.github.io/Logging_2582/tillsyn/A 25801-2026 tillsynsbegäran.docx", "A 25801-2026")</f>
        <v/>
      </c>
      <c r="AB141">
        <f>HYPERLINK("https://klasma.github.io/Logging_2582/tillsynsmail/A 25801-2026 tillsynsbegäran mail.docx", "A 25801-2026")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46220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Plattlummer</t>
        </is>
      </c>
      <c r="V142">
        <f>HYPERLINK("https://klasma.github.io/Logging_2582/artfynd/A 25805-2026 artfynd.xlsx", "A 25805-2026")</f>
        <v/>
      </c>
      <c r="W142">
        <f>HYPERLINK("https://klasma.github.io/Logging_2582/kartor/A 25805-2026 karta.png", "A 25805-2026")</f>
        <v/>
      </c>
      <c r="Y142">
        <f>HYPERLINK("https://klasma.github.io/Logging_2582/klagomål/A 25805-2026 FSC-klagomål.docx", "A 25805-2026")</f>
        <v/>
      </c>
      <c r="Z142">
        <f>HYPERLINK("https://klasma.github.io/Logging_2582/klagomålsmail/A 25805-2026 FSC-klagomål mail.docx", "A 25805-2026")</f>
        <v/>
      </c>
      <c r="AA142">
        <f>HYPERLINK("https://klasma.github.io/Logging_2582/tillsyn/A 25805-2026 tillsynsbegäran.docx", "A 25805-2026")</f>
        <v/>
      </c>
      <c r="AB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41087-2024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45559</v>
      </c>
      <c r="E143" s="1" t="n">
        <v>46220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s="2" t="inlineStr">
        <is>
          <t>Garnlav</t>
        </is>
      </c>
      <c r="V143">
        <f>HYPERLINK("https://klasma.github.io/Logging_2582/artfynd/A 41087-2024 artfynd.xlsx", "A 41087-2024")</f>
        <v/>
      </c>
      <c r="W143">
        <f>HYPERLINK("https://klasma.github.io/Logging_2582/kartor/A 41087-2024 karta.png", "A 41087-2024")</f>
        <v/>
      </c>
      <c r="Y143">
        <f>HYPERLINK("https://klasma.github.io/Logging_2582/klagomål/A 41087-2024 FSC-klagomål.docx", "A 41087-2024")</f>
        <v/>
      </c>
      <c r="Z143">
        <f>HYPERLINK("https://klasma.github.io/Logging_2582/klagomålsmail/A 41087-2024 FSC-klagomål mail.docx", "A 41087-2024")</f>
        <v/>
      </c>
      <c r="AA143">
        <f>HYPERLINK("https://klasma.github.io/Logging_2582/tillsyn/A 41087-2024 tillsynsbegäran.docx", "A 41087-2024")</f>
        <v/>
      </c>
      <c r="AB143">
        <f>HYPERLINK("https://klasma.github.io/Logging_2582/tillsynsmail/A 41087-2024 tillsynsbegäran mail.docx", "A 41087-2024")</f>
        <v/>
      </c>
    </row>
    <row r="144" ht="15" customHeight="1">
      <c r="A144" t="inlineStr">
        <is>
          <t>A 26438-2026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46220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15.9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s="2" t="inlineStr">
        <is>
          <t>Kolflarnlav</t>
        </is>
      </c>
      <c r="V144">
        <f>HYPERLINK("https://klasma.github.io/Logging_2582/artfynd/A 26438-2026 artfynd.xlsx", "A 26438-2026")</f>
        <v/>
      </c>
      <c r="W144">
        <f>HYPERLINK("https://klasma.github.io/Logging_2582/kartor/A 26438-2026 karta.png", "A 26438-2026")</f>
        <v/>
      </c>
      <c r="Y144">
        <f>HYPERLINK("https://klasma.github.io/Logging_2582/klagomål/A 26438-2026 FSC-klagomål.docx", "A 26438-2026")</f>
        <v/>
      </c>
      <c r="Z144">
        <f>HYPERLINK("https://klasma.github.io/Logging_2582/klagomålsmail/A 26438-2026 FSC-klagomål mail.docx", "A 26438-2026")</f>
        <v/>
      </c>
      <c r="AA144">
        <f>HYPERLINK("https://klasma.github.io/Logging_2582/tillsyn/A 26438-2026 tillsynsbegäran.docx", "A 26438-2026")</f>
        <v/>
      </c>
      <c r="AB144">
        <f>HYPERLINK("https://klasma.github.io/Logging_2582/tillsynsmail/A 26438-2026 tillsynsbegäran mail.docx", "A 26438-2026")</f>
        <v/>
      </c>
    </row>
    <row r="145" ht="15" customHeight="1">
      <c r="A145" t="inlineStr">
        <is>
          <t>A 26690-2026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46220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Knärot</t>
        </is>
      </c>
      <c r="V145">
        <f>HYPERLINK("https://klasma.github.io/Logging_2582/artfynd/A 26690-2026 artfynd.xlsx", "A 26690-2026")</f>
        <v/>
      </c>
      <c r="W145">
        <f>HYPERLINK("https://klasma.github.io/Logging_2582/kartor/A 26690-2026 karta.png", "A 26690-2026")</f>
        <v/>
      </c>
      <c r="X145">
        <f>HYPERLINK("https://klasma.github.io/Logging_2582/knärot/A 26690-2026 karta knärot.png", "A 26690-2026")</f>
        <v/>
      </c>
      <c r="Y145">
        <f>HYPERLINK("https://klasma.github.io/Logging_2582/klagomål/A 26690-2026 FSC-klagomål.docx", "A 26690-2026")</f>
        <v/>
      </c>
      <c r="Z145">
        <f>HYPERLINK("https://klasma.github.io/Logging_2582/klagomålsmail/A 26690-2026 FSC-klagomål mail.docx", "A 26690-2026")</f>
        <v/>
      </c>
      <c r="AA145">
        <f>HYPERLINK("https://klasma.github.io/Logging_2582/tillsyn/A 26690-2026 tillsynsbegäran.docx", "A 26690-2026")</f>
        <v/>
      </c>
      <c r="AB145">
        <f>HYPERLINK("https://klasma.github.io/Logging_2582/tillsynsmail/A 26690-2026 tillsynsbegäran mail.docx", "A 26690-2026")</f>
        <v/>
      </c>
    </row>
    <row r="146" ht="15" customHeight="1">
      <c r="A146" t="inlineStr">
        <is>
          <t>A 21310-2026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46220</v>
      </c>
      <c r="F146" t="inlineStr">
        <is>
          <t>NORRBOTTENS LÄN</t>
        </is>
      </c>
      <c r="G146" t="inlineStr">
        <is>
          <t>BODEN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Revlummer</t>
        </is>
      </c>
      <c r="V146">
        <f>HYPERLINK("https://klasma.github.io/Logging_2582/artfynd/A 21310-2026 artfynd.xlsx", "A 21310-2026")</f>
        <v/>
      </c>
      <c r="W146">
        <f>HYPERLINK("https://klasma.github.io/Logging_2582/kartor/A 21310-2026 karta.png", "A 21310-2026")</f>
        <v/>
      </c>
      <c r="Y146">
        <f>HYPERLINK("https://klasma.github.io/Logging_2582/klagomål/A 21310-2026 FSC-klagomål.docx", "A 21310-2026")</f>
        <v/>
      </c>
      <c r="Z146">
        <f>HYPERLINK("https://klasma.github.io/Logging_2582/klagomålsmail/A 21310-2026 FSC-klagomål mail.docx", "A 21310-2026")</f>
        <v/>
      </c>
      <c r="AA146">
        <f>HYPERLINK("https://klasma.github.io/Logging_2582/tillsyn/A 21310-2026 tillsynsbegäran.docx", "A 21310-2026")</f>
        <v/>
      </c>
      <c r="AB146">
        <f>HYPERLINK("https://klasma.github.io/Logging_2582/tillsynsmail/A 21310-2026 tillsynsbegäran mail.docx", "A 21310-2026")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46220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Tallticka</t>
        </is>
      </c>
      <c r="V147">
        <f>HYPERLINK("https://klasma.github.io/Logging_2582/artfynd/A 19396-2022 artfynd.xlsx", "A 19396-2022")</f>
        <v/>
      </c>
      <c r="W147">
        <f>HYPERLINK("https://klasma.github.io/Logging_2582/kartor/A 19396-2022 karta.png", "A 19396-2022")</f>
        <v/>
      </c>
      <c r="Y147">
        <f>HYPERLINK("https://klasma.github.io/Logging_2582/klagomål/A 19396-2022 FSC-klagomål.docx", "A 19396-2022")</f>
        <v/>
      </c>
      <c r="Z147">
        <f>HYPERLINK("https://klasma.github.io/Logging_2582/klagomålsmail/A 19396-2022 FSC-klagomål mail.docx", "A 19396-2022")</f>
        <v/>
      </c>
      <c r="AA147">
        <f>HYPERLINK("https://klasma.github.io/Logging_2582/tillsyn/A 19396-2022 tillsynsbegäran.docx", "A 19396-2022")</f>
        <v/>
      </c>
      <c r="AB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29875-2026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46220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Tallticka</t>
        </is>
      </c>
      <c r="V148">
        <f>HYPERLINK("https://klasma.github.io/Logging_2582/artfynd/A 29875-2026 artfynd.xlsx", "A 29875-2026")</f>
        <v/>
      </c>
      <c r="W148">
        <f>HYPERLINK("https://klasma.github.io/Logging_2582/kartor/A 29875-2026 karta.png", "A 29875-2026")</f>
        <v/>
      </c>
      <c r="Y148">
        <f>HYPERLINK("https://klasma.github.io/Logging_2582/klagomål/A 29875-2026 FSC-klagomål.docx", "A 29875-2026")</f>
        <v/>
      </c>
      <c r="Z148">
        <f>HYPERLINK("https://klasma.github.io/Logging_2582/klagomålsmail/A 29875-2026 FSC-klagomål mail.docx", "A 29875-2026")</f>
        <v/>
      </c>
      <c r="AA148">
        <f>HYPERLINK("https://klasma.github.io/Logging_2582/tillsyn/A 29875-2026 tillsynsbegäran.docx", "A 29875-2026")</f>
        <v/>
      </c>
      <c r="AB148">
        <f>HYPERLINK("https://klasma.github.io/Logging_2582/tillsynsmail/A 29875-2026 tillsynsbegäran mail.docx", "A 29875-2026")</f>
        <v/>
      </c>
    </row>
    <row r="149" ht="15" customHeight="1">
      <c r="A149" t="inlineStr">
        <is>
          <t>A 24429-2026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46220</v>
      </c>
      <c r="F149" t="inlineStr">
        <is>
          <t>NORRBOTTENS LÄN</t>
        </is>
      </c>
      <c r="G149" t="inlineStr">
        <is>
          <t>BODEN</t>
        </is>
      </c>
      <c r="I149" t="n">
        <v>0.5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Fläcknycklar</t>
        </is>
      </c>
      <c r="V149">
        <f>HYPERLINK("https://klasma.github.io/Logging_2582/artfynd/A 24429-2026 artfynd.xlsx", "A 24429-2026")</f>
        <v/>
      </c>
      <c r="W149">
        <f>HYPERLINK("https://klasma.github.io/Logging_2582/kartor/A 24429-2026 karta.png", "A 24429-2026")</f>
        <v/>
      </c>
      <c r="Y149">
        <f>HYPERLINK("https://klasma.github.io/Logging_2582/klagomål/A 24429-2026 FSC-klagomål.docx", "A 24429-2026")</f>
        <v/>
      </c>
      <c r="Z149">
        <f>HYPERLINK("https://klasma.github.io/Logging_2582/klagomålsmail/A 24429-2026 FSC-klagomål mail.docx", "A 24429-2026")</f>
        <v/>
      </c>
      <c r="AA149">
        <f>HYPERLINK("https://klasma.github.io/Logging_2582/tillsyn/A 24429-2026 tillsynsbegäran.docx", "A 24429-2026")</f>
        <v/>
      </c>
      <c r="AB149">
        <f>HYPERLINK("https://klasma.github.io/Logging_2582/tillsynsmail/A 24429-2026 tillsynsbegäran mail.docx", "A 24429-2026")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46220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Duvhök</t>
        </is>
      </c>
      <c r="V150">
        <f>HYPERLINK("https://klasma.github.io/Logging_2582/artfynd/S 187-2023 artfynd.xlsx", "S 187-2023")</f>
        <v/>
      </c>
      <c r="W150">
        <f>HYPERLINK("https://klasma.github.io/Logging_2582/kartor/S 187-2023 karta.png", "S 187-2023")</f>
        <v/>
      </c>
      <c r="Y150">
        <f>HYPERLINK("https://klasma.github.io/Logging_2582/klagomål/S 187-2023 FSC-klagomål.docx", "S 187-2023")</f>
        <v/>
      </c>
      <c r="Z150">
        <f>HYPERLINK("https://klasma.github.io/Logging_2582/klagomålsmail/S 187-2023 FSC-klagomål mail.docx", "S 187-2023")</f>
        <v/>
      </c>
      <c r="AA150">
        <f>HYPERLINK("https://klasma.github.io/Logging_2582/tillsyn/S 187-2023 tillsynsbegäran.docx", "S 187-2023")</f>
        <v/>
      </c>
      <c r="AB150">
        <f>HYPERLINK("https://klasma.github.io/Logging_2582/tillsynsmail/S 187-2023 tillsynsbegäran mail.docx", "S 187-2023")</f>
        <v/>
      </c>
      <c r="AC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46220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Tallticka</t>
        </is>
      </c>
      <c r="V151">
        <f>HYPERLINK("https://klasma.github.io/Logging_2582/artfynd/S 1448-2024 artfynd.xlsx", "S 1448-2024")</f>
        <v/>
      </c>
      <c r="W151">
        <f>HYPERLINK("https://klasma.github.io/Logging_2582/kartor/S 1448-2024 karta.png", "S 1448-2024")</f>
        <v/>
      </c>
      <c r="Y151">
        <f>HYPERLINK("https://klasma.github.io/Logging_2582/klagomål/S 1448-2024 FSC-klagomål.docx", "S 1448-2024")</f>
        <v/>
      </c>
      <c r="Z151">
        <f>HYPERLINK("https://klasma.github.io/Logging_2582/klagomålsmail/S 1448-2024 FSC-klagomål mail.docx", "S 1448-2024")</f>
        <v/>
      </c>
      <c r="AA151">
        <f>HYPERLINK("https://klasma.github.io/Logging_2582/tillsyn/S 1448-2024 tillsynsbegäran.docx", "S 1448-2024")</f>
        <v/>
      </c>
      <c r="AB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46220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HYPERLINK("https://klasma.github.io/Logging_2582/artfynd/S 1234-2023 artfynd.xlsx", "S 1234-2023")</f>
        <v/>
      </c>
      <c r="W152">
        <f>HYPERLINK("https://klasma.github.io/Logging_2582/kartor/S 1234-2023 karta.png", "S 1234-2023")</f>
        <v/>
      </c>
      <c r="Y152">
        <f>HYPERLINK("https://klasma.github.io/Logging_2582/klagomål/S 1234-2023 FSC-klagomål.docx", "S 1234-2023")</f>
        <v/>
      </c>
      <c r="Z152">
        <f>HYPERLINK("https://klasma.github.io/Logging_2582/klagomålsmail/S 1234-2023 FSC-klagomål mail.docx", "S 1234-2023")</f>
        <v/>
      </c>
      <c r="AA152">
        <f>HYPERLINK("https://klasma.github.io/Logging_2582/tillsyn/S 1234-2023 tillsynsbegäran.docx", "S 1234-2023")</f>
        <v/>
      </c>
      <c r="AB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46220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HYPERLINK("https://klasma.github.io/Logging_2582/artfynd/S 5116-2024 artfynd.xlsx", "S 5116-2024")</f>
        <v/>
      </c>
      <c r="W153">
        <f>HYPERLINK("https://klasma.github.io/Logging_2582/kartor/S 5116-2024 karta.png", "S 5116-2024")</f>
        <v/>
      </c>
      <c r="Y153">
        <f>HYPERLINK("https://klasma.github.io/Logging_2582/klagomål/S 5116-2024 FSC-klagomål.docx", "S 5116-2024")</f>
        <v/>
      </c>
      <c r="Z153">
        <f>HYPERLINK("https://klasma.github.io/Logging_2582/klagomålsmail/S 5116-2024 FSC-klagomål mail.docx", "S 5116-2024")</f>
        <v/>
      </c>
      <c r="AA153">
        <f>HYPERLINK("https://klasma.github.io/Logging_2582/tillsyn/S 5116-2024 tillsynsbegäran.docx", "S 5116-2024")</f>
        <v/>
      </c>
      <c r="AB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46220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s="2" t="inlineStr">
        <is>
          <t>Knärot</t>
        </is>
      </c>
      <c r="V154">
        <f>HYPERLINK("https://klasma.github.io/Logging_2582/artfynd/S 1634-2025 artfynd.xlsx", "S 1634-2025")</f>
        <v/>
      </c>
      <c r="W154">
        <f>HYPERLINK("https://klasma.github.io/Logging_2582/kartor/S 1634-2025 karta.png", "S 1634-2025")</f>
        <v/>
      </c>
      <c r="X154">
        <f>HYPERLINK("https://klasma.github.io/Logging_2582/knärot/S 1634-2025 karta knärot.png", "S 1634-2025")</f>
        <v/>
      </c>
      <c r="Y154">
        <f>HYPERLINK("https://klasma.github.io/Logging_2582/klagomål/S 1634-2025 FSC-klagomål.docx", "S 1634-2025")</f>
        <v/>
      </c>
      <c r="Z154">
        <f>HYPERLINK("https://klasma.github.io/Logging_2582/klagomålsmail/S 1634-2025 FSC-klagomål mail.docx", "S 1634-2025")</f>
        <v/>
      </c>
      <c r="AA154">
        <f>HYPERLINK("https://klasma.github.io/Logging_2582/tillsyn/S 1634-2025 tillsynsbegäran.docx", "S 1634-2025")</f>
        <v/>
      </c>
      <c r="AB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46220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Kolflarnlav</t>
        </is>
      </c>
      <c r="V155">
        <f>HYPERLINK("https://klasma.github.io/Logging_2582/artfynd/S 2450-2025 artfynd.xlsx", "S 2450-2025")</f>
        <v/>
      </c>
      <c r="W155">
        <f>HYPERLINK("https://klasma.github.io/Logging_2582/kartor/S 2450-2025 karta.png", "S 2450-2025")</f>
        <v/>
      </c>
      <c r="Y155">
        <f>HYPERLINK("https://klasma.github.io/Logging_2582/klagomål/S 2450-2025 FSC-klagomål.docx", "S 2450-2025")</f>
        <v/>
      </c>
      <c r="Z155">
        <f>HYPERLINK("https://klasma.github.io/Logging_2582/klagomålsmail/S 2450-2025 FSC-klagomål mail.docx", "S 2450-2025")</f>
        <v/>
      </c>
      <c r="AA155">
        <f>HYPERLINK("https://klasma.github.io/Logging_2582/tillsyn/S 2450-2025 tillsynsbegäran.docx", "S 2450-2025")</f>
        <v/>
      </c>
      <c r="AB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46220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Skinnlav</t>
        </is>
      </c>
      <c r="V156">
        <f>HYPERLINK("https://klasma.github.io/Logging_2582/artfynd/S 2940-2025 artfynd.xlsx", "S 2940-2025")</f>
        <v/>
      </c>
      <c r="W156">
        <f>HYPERLINK("https://klasma.github.io/Logging_2582/kartor/S 2940-2025 karta.png", "S 2940-2025")</f>
        <v/>
      </c>
      <c r="Y156">
        <f>HYPERLINK("https://klasma.github.io/Logging_2582/klagomål/S 2940-2025 FSC-klagomål.docx", "S 2940-2025")</f>
        <v/>
      </c>
      <c r="Z156">
        <f>HYPERLINK("https://klasma.github.io/Logging_2582/klagomålsmail/S 2940-2025 FSC-klagomål mail.docx", "S 2940-2025")</f>
        <v/>
      </c>
      <c r="AA156">
        <f>HYPERLINK("https://klasma.github.io/Logging_2582/tillsyn/S 2940-2025 tillsynsbegäran.docx", "S 2940-2025")</f>
        <v/>
      </c>
      <c r="AB156">
        <f>HYPERLINK("https://klasma.github.io/Logging_2582/tillsynsmail/S 2940-2025 tillsynsbegäran mail.docx", "S 2940-2025")</f>
        <v/>
      </c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46220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63790-2021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44509</v>
      </c>
      <c r="E158" s="1" t="n">
        <v>46220</v>
      </c>
      <c r="F158" t="inlineStr">
        <is>
          <t>NORRBOTTENS LÄN</t>
        </is>
      </c>
      <c r="G158" t="inlineStr">
        <is>
          <t>BODEN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46220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46220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46220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46220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46220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46220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46220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46220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46220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46220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46220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46220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39689-2021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44414</v>
      </c>
      <c r="E171" s="1" t="n">
        <v>46220</v>
      </c>
      <c r="F171" t="inlineStr">
        <is>
          <t>NORRBOTTENS LÄN</t>
        </is>
      </c>
      <c r="G171" t="inlineStr">
        <is>
          <t>BODEN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46220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46220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46220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46220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46220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46220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46220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46220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46220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46220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46220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46220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46220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46220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46220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46220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46220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46220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46220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46220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46220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46220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46220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46220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46220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46220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46220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44414</v>
      </c>
      <c r="E199" s="1" t="n">
        <v>46220</v>
      </c>
      <c r="F199" t="inlineStr">
        <is>
          <t>NORRBOTTENS LÄN</t>
        </is>
      </c>
      <c r="G199" t="inlineStr">
        <is>
          <t>BODEN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46220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46220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46220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46220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46220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46220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46220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46220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46220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46220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46220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46220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46220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46220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46220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45189-2021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44439</v>
      </c>
      <c r="E215" s="1" t="n">
        <v>46220</v>
      </c>
      <c r="F215" t="inlineStr">
        <is>
          <t>NORRBOTTENS LÄN</t>
        </is>
      </c>
      <c r="G215" t="inlineStr">
        <is>
          <t>BODEN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46220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46220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46220</v>
      </c>
      <c r="F218" t="inlineStr">
        <is>
          <t>NORRBOTTENS LÄN</t>
        </is>
      </c>
      <c r="G218" t="inlineStr">
        <is>
          <t>BODEN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46220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46220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46220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46220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46220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52075-2021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46220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2426-2024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45310</v>
      </c>
      <c r="E225" s="1" t="n">
        <v>46220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46220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46220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46220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46220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8120-2022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44609</v>
      </c>
      <c r="E230" s="1" t="n">
        <v>46220</v>
      </c>
      <c r="F230" t="inlineStr">
        <is>
          <t>NORRBOTTENS LÄN</t>
        </is>
      </c>
      <c r="G230" t="inlineStr">
        <is>
          <t>BODEN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46220</v>
      </c>
      <c r="F231" t="inlineStr">
        <is>
          <t>NORRBOTTENS LÄN</t>
        </is>
      </c>
      <c r="G231" t="inlineStr">
        <is>
          <t>BODEN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73910-2021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46220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46220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46220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46220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33034-2023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45125</v>
      </c>
      <c r="E236" s="1" t="n">
        <v>46220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49124-2023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46220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46220</v>
      </c>
      <c r="F238" t="inlineStr">
        <is>
          <t>NORRBOTTENS LÄN</t>
        </is>
      </c>
      <c r="G238" t="inlineStr">
        <is>
          <t>BODEN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46220</v>
      </c>
      <c r="F239" t="inlineStr">
        <is>
          <t>NORRBOTTENS LÄN</t>
        </is>
      </c>
      <c r="G239" t="inlineStr">
        <is>
          <t>BODEN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58877-2021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44489</v>
      </c>
      <c r="E240" s="1" t="n">
        <v>46220</v>
      </c>
      <c r="F240" t="inlineStr">
        <is>
          <t>NORRBOTTENS LÄN</t>
        </is>
      </c>
      <c r="G240" t="inlineStr">
        <is>
          <t>BODEN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50103-2024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46220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46220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46220</v>
      </c>
      <c r="F243" t="inlineStr">
        <is>
          <t>NORRBOTTENS LÄN</t>
        </is>
      </c>
      <c r="G243" t="inlineStr">
        <is>
          <t>BODEN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38370-2023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46220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46220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46220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54236-2022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44881</v>
      </c>
      <c r="E247" s="1" t="n">
        <v>46220</v>
      </c>
      <c r="F247" t="inlineStr">
        <is>
          <t>NORRBOTTENS LÄN</t>
        </is>
      </c>
      <c r="G247" t="inlineStr">
        <is>
          <t>BODEN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55317-2023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46220</v>
      </c>
      <c r="F248" t="inlineStr">
        <is>
          <t>NORRBOTTENS LÄN</t>
        </is>
      </c>
      <c r="G248" t="inlineStr">
        <is>
          <t>BODEN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7442-2024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45345</v>
      </c>
      <c r="E249" s="1" t="n">
        <v>46220</v>
      </c>
      <c r="F249" t="inlineStr">
        <is>
          <t>NORRBOTTENS LÄN</t>
        </is>
      </c>
      <c r="G249" t="inlineStr">
        <is>
          <t>BODEN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32347-2024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45512</v>
      </c>
      <c r="E250" s="1" t="n">
        <v>46220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74264-2021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44558</v>
      </c>
      <c r="E251" s="1" t="n">
        <v>46220</v>
      </c>
      <c r="F251" t="inlineStr">
        <is>
          <t>NORRBOTTENS LÄN</t>
        </is>
      </c>
      <c r="G251" t="inlineStr">
        <is>
          <t>BODEN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19082-2025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45766</v>
      </c>
      <c r="E252" s="1" t="n">
        <v>46220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37114-2024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46220</v>
      </c>
      <c r="F253" t="inlineStr">
        <is>
          <t>NORRBOTTENS LÄN</t>
        </is>
      </c>
      <c r="G253" t="inlineStr">
        <is>
          <t>BODEN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68565-2021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46220</v>
      </c>
      <c r="F254" t="inlineStr">
        <is>
          <t>NORRBOTTENS LÄN</t>
        </is>
      </c>
      <c r="G254" t="inlineStr">
        <is>
          <t>BODEN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53840-2022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44880</v>
      </c>
      <c r="E255" s="1" t="n">
        <v>46220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46220</v>
      </c>
      <c r="F256" t="inlineStr">
        <is>
          <t>NORRBOTTENS LÄN</t>
        </is>
      </c>
      <c r="G256" t="inlineStr">
        <is>
          <t>BODEN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48427-2024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46220</v>
      </c>
      <c r="F257" t="inlineStr">
        <is>
          <t>NORRBOTTENS LÄN</t>
        </is>
      </c>
      <c r="G257" t="inlineStr">
        <is>
          <t>BODEN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7159-2023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46220</v>
      </c>
      <c r="F258" t="inlineStr">
        <is>
          <t>NORRBOTTENS LÄN</t>
        </is>
      </c>
      <c r="G258" t="inlineStr">
        <is>
          <t>BODEN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46220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24733-2025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46220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63891-2025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46020</v>
      </c>
      <c r="E261" s="1" t="n">
        <v>46220</v>
      </c>
      <c r="F261" t="inlineStr">
        <is>
          <t>NORRBOTTENS LÄN</t>
        </is>
      </c>
      <c r="G261" t="inlineStr">
        <is>
          <t>BODEN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46220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60466-2024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45643</v>
      </c>
      <c r="E263" s="1" t="n">
        <v>46220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24545-2025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46220</v>
      </c>
      <c r="F264" t="inlineStr">
        <is>
          <t>NORRBOTTENS LÄN</t>
        </is>
      </c>
      <c r="G264" t="inlineStr">
        <is>
          <t>BODEN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8701-2026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46220</v>
      </c>
      <c r="F265" t="inlineStr">
        <is>
          <t>NORRBOTTENS LÄN</t>
        </is>
      </c>
      <c r="G265" t="inlineStr">
        <is>
          <t>BODEN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38583-2025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46220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46220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51614-2024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46220</v>
      </c>
      <c r="F268" t="inlineStr">
        <is>
          <t>NORRBOTTENS LÄN</t>
        </is>
      </c>
      <c r="G268" t="inlineStr">
        <is>
          <t>BODEN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8752-2026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46220</v>
      </c>
      <c r="F269" t="inlineStr">
        <is>
          <t>NORRBOTTENS LÄN</t>
        </is>
      </c>
      <c r="G269" t="inlineStr">
        <is>
          <t>BODEN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45677-2021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44441</v>
      </c>
      <c r="E270" s="1" t="n">
        <v>46220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14801-2024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45397</v>
      </c>
      <c r="E271" s="1" t="n">
        <v>46220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14802-2024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45397</v>
      </c>
      <c r="E272" s="1" t="n">
        <v>46220</v>
      </c>
      <c r="F272" t="inlineStr">
        <is>
          <t>NORRBOTTENS LÄN</t>
        </is>
      </c>
      <c r="G272" t="inlineStr">
        <is>
          <t>BODEN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49806-2022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44862</v>
      </c>
      <c r="E273" s="1" t="n">
        <v>46220</v>
      </c>
      <c r="F273" t="inlineStr">
        <is>
          <t>NORRBOTTENS LÄN</t>
        </is>
      </c>
      <c r="G273" t="inlineStr">
        <is>
          <t>BODEN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24699-2025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46220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46220</v>
      </c>
      <c r="F275" t="inlineStr">
        <is>
          <t>NORRBOTTENS LÄN</t>
        </is>
      </c>
      <c r="G275" t="inlineStr">
        <is>
          <t>BODEN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18866-2025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46220</v>
      </c>
      <c r="F276" t="inlineStr">
        <is>
          <t>NORRBOTTENS LÄN</t>
        </is>
      </c>
      <c r="G276" t="inlineStr">
        <is>
          <t>BODEN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46220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46220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25983-2025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46220</v>
      </c>
      <c r="F279" t="inlineStr">
        <is>
          <t>NORRBOTTENS LÄN</t>
        </is>
      </c>
      <c r="G279" t="inlineStr">
        <is>
          <t>BODEN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46220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9596-2023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44983</v>
      </c>
      <c r="E281" s="1" t="n">
        <v>46220</v>
      </c>
      <c r="F281" t="inlineStr">
        <is>
          <t>NORRBOTTENS LÄN</t>
        </is>
      </c>
      <c r="G281" t="inlineStr">
        <is>
          <t>BODEN</t>
        </is>
      </c>
      <c r="I281" t="n">
        <v>37.1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52247-2024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46220</v>
      </c>
      <c r="F282" t="inlineStr">
        <is>
          <t>NORRBOTTENS LÄN</t>
        </is>
      </c>
      <c r="G282" t="inlineStr">
        <is>
          <t>BODEN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52248-2024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46220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48431-2024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46220</v>
      </c>
      <c r="F284" t="inlineStr">
        <is>
          <t>NORRBOTTENS LÄN</t>
        </is>
      </c>
      <c r="G284" t="inlineStr">
        <is>
          <t>BODEN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46220</v>
      </c>
      <c r="F285" t="inlineStr">
        <is>
          <t>NORRBOTTENS LÄN</t>
        </is>
      </c>
      <c r="G285" t="inlineStr">
        <is>
          <t>BODEN</t>
        </is>
      </c>
      <c r="I285" t="n">
        <v>10.9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18915-2025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45764</v>
      </c>
      <c r="E286" s="1" t="n">
        <v>46220</v>
      </c>
      <c r="F286" t="inlineStr">
        <is>
          <t>NORRBOTTENS LÄN</t>
        </is>
      </c>
      <c r="G286" t="inlineStr">
        <is>
          <t>BODEN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55080-2021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44474</v>
      </c>
      <c r="E287" s="1" t="n">
        <v>46220</v>
      </c>
      <c r="F287" t="inlineStr">
        <is>
          <t>NORRBOTTENS LÄN</t>
        </is>
      </c>
      <c r="G287" t="inlineStr">
        <is>
          <t>BODEN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17839-2025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46220</v>
      </c>
      <c r="F288" t="inlineStr">
        <is>
          <t>NORRBOTTENS LÄN</t>
        </is>
      </c>
      <c r="G288" t="inlineStr">
        <is>
          <t>BODEN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45649</v>
      </c>
      <c r="E289" s="1" t="n">
        <v>46220</v>
      </c>
      <c r="F289" t="inlineStr">
        <is>
          <t>NORRBOTTENS LÄN</t>
        </is>
      </c>
      <c r="G289" t="inlineStr">
        <is>
          <t>BODEN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19564-2024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46220</v>
      </c>
      <c r="F290" t="inlineStr">
        <is>
          <t>NORRBOTTENS LÄN</t>
        </is>
      </c>
      <c r="G290" t="inlineStr">
        <is>
          <t>BODEN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25735-2024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45464</v>
      </c>
      <c r="E291" s="1" t="n">
        <v>46220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46220</v>
      </c>
      <c r="F292" t="inlineStr">
        <is>
          <t>NORRBOTTENS LÄN</t>
        </is>
      </c>
      <c r="G292" t="inlineStr">
        <is>
          <t>BODEN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39717-2025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45891</v>
      </c>
      <c r="E293" s="1" t="n">
        <v>46220</v>
      </c>
      <c r="F293" t="inlineStr">
        <is>
          <t>NORRBOTTENS LÄN</t>
        </is>
      </c>
      <c r="G293" t="inlineStr">
        <is>
          <t>BODEN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18671-2025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46220</v>
      </c>
      <c r="F294" t="inlineStr">
        <is>
          <t>NORRBOTTENS LÄN</t>
        </is>
      </c>
      <c r="G294" t="inlineStr">
        <is>
          <t>BODEN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40183-2025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46220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38652-2024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46220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18910-2025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45764</v>
      </c>
      <c r="E297" s="1" t="n">
        <v>46220</v>
      </c>
      <c r="F297" t="inlineStr">
        <is>
          <t>NORRBOTTENS LÄN</t>
        </is>
      </c>
      <c r="G297" t="inlineStr">
        <is>
          <t>BODEN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56474-2023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46220</v>
      </c>
      <c r="F298" t="inlineStr">
        <is>
          <t>NORRBOTTENS LÄN</t>
        </is>
      </c>
      <c r="G298" t="inlineStr">
        <is>
          <t>BODEN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46220</v>
      </c>
      <c r="F299" t="inlineStr">
        <is>
          <t>NORRBOTTENS LÄN</t>
        </is>
      </c>
      <c r="G299" t="inlineStr">
        <is>
          <t>BODEN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27604-2025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46220</v>
      </c>
      <c r="F300" t="inlineStr">
        <is>
          <t>NORRBOTTENS LÄN</t>
        </is>
      </c>
      <c r="G300" t="inlineStr">
        <is>
          <t>BODEN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40816-2025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46220</v>
      </c>
      <c r="F301" t="inlineStr">
        <is>
          <t>NORRBOTTENS LÄN</t>
        </is>
      </c>
      <c r="G301" t="inlineStr">
        <is>
          <t>BODEN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46220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61241-2023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46220</v>
      </c>
      <c r="F303" t="inlineStr">
        <is>
          <t>NORRBOTTENS LÄN</t>
        </is>
      </c>
      <c r="G303" t="inlineStr">
        <is>
          <t>BODEN</t>
        </is>
      </c>
      <c r="I303" t="n">
        <v>33.9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34969-2024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45527</v>
      </c>
      <c r="E304" s="1" t="n">
        <v>46220</v>
      </c>
      <c r="F304" t="inlineStr">
        <is>
          <t>NORRBOTTENS LÄN</t>
        </is>
      </c>
      <c r="G304" t="inlineStr">
        <is>
          <t>BODEN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57873-2021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44484</v>
      </c>
      <c r="E305" s="1" t="n">
        <v>46220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27543-2025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46220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27508-2025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46220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13.9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61487-2023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46220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61488-2023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46220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45316</v>
      </c>
      <c r="E310" s="1" t="n">
        <v>46220</v>
      </c>
      <c r="F310" t="inlineStr">
        <is>
          <t>NORRBOTTENS LÄN</t>
        </is>
      </c>
      <c r="G310" t="inlineStr">
        <is>
          <t>BODEN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29109-2024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45481</v>
      </c>
      <c r="E311" s="1" t="n">
        <v>46220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45766</v>
      </c>
      <c r="E312" s="1" t="n">
        <v>46220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41601-2025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46220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28297-2025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46220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19060-2024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46220</v>
      </c>
      <c r="F315" t="inlineStr">
        <is>
          <t>NORRBOTTENS LÄN</t>
        </is>
      </c>
      <c r="G315" t="inlineStr">
        <is>
          <t>BODEN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41691-2025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45902</v>
      </c>
      <c r="E316" s="1" t="n">
        <v>46220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46220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32906-2024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45516</v>
      </c>
      <c r="E318" s="1" t="n">
        <v>46220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32913-2024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45516</v>
      </c>
      <c r="E319" s="1" t="n">
        <v>46220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44625-2024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46220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28270-2025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45818</v>
      </c>
      <c r="E321" s="1" t="n">
        <v>46220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46220</v>
      </c>
      <c r="F322" t="inlineStr">
        <is>
          <t>NORRBOTTENS LÄN</t>
        </is>
      </c>
      <c r="G322" t="inlineStr">
        <is>
          <t>BODEN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2771-2026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46036</v>
      </c>
      <c r="E323" s="1" t="n">
        <v>46220</v>
      </c>
      <c r="F323" t="inlineStr">
        <is>
          <t>NORRBOTTENS LÄN</t>
        </is>
      </c>
      <c r="G323" t="inlineStr">
        <is>
          <t>BODEN</t>
        </is>
      </c>
      <c r="H323" t="inlineStr">
        <is>
          <t>Kommuner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42436-2025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46220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47920-2024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46220</v>
      </c>
      <c r="F325" t="inlineStr">
        <is>
          <t>NORRBOTTENS LÄN</t>
        </is>
      </c>
      <c r="G325" t="inlineStr">
        <is>
          <t>BODEN</t>
        </is>
      </c>
      <c r="H325" t="inlineStr">
        <is>
          <t>Naturvårdsverket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37791-2024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45543</v>
      </c>
      <c r="E326" s="1" t="n">
        <v>46220</v>
      </c>
      <c r="F326" t="inlineStr">
        <is>
          <t>NORRBOTTENS LÄN</t>
        </is>
      </c>
      <c r="G326" t="inlineStr">
        <is>
          <t>BODEN</t>
        </is>
      </c>
      <c r="I326" t="n">
        <v>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42656-2025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45907</v>
      </c>
      <c r="E327" s="1" t="n">
        <v>46220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9.6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8571-2025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46220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14.3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43402-2025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46220</v>
      </c>
      <c r="F329" t="inlineStr">
        <is>
          <t>NORRBOTTENS LÄN</t>
        </is>
      </c>
      <c r="G329" t="inlineStr">
        <is>
          <t>BODEN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43299-2025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46220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30089-2025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46220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41487-2024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45560</v>
      </c>
      <c r="E332" s="1" t="n">
        <v>46220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43205-2025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46220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57563-2023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46220</v>
      </c>
      <c r="F334" t="inlineStr">
        <is>
          <t>NORRBOTTENS LÄN</t>
        </is>
      </c>
      <c r="G334" t="inlineStr">
        <is>
          <t>BODEN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43838-2025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46220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31363-2025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46220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46220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46220</v>
      </c>
      <c r="F338" t="inlineStr">
        <is>
          <t>NORRBOTTENS LÄN</t>
        </is>
      </c>
      <c r="G338" t="inlineStr">
        <is>
          <t>BODEN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31203-2025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45832</v>
      </c>
      <c r="E339" s="1" t="n">
        <v>46220</v>
      </c>
      <c r="F339" t="inlineStr">
        <is>
          <t>NORRBOTTENS LÄN</t>
        </is>
      </c>
      <c r="G339" t="inlineStr">
        <is>
          <t>BODEN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45446-2023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46220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31200-2025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46220</v>
      </c>
      <c r="F341" t="inlineStr">
        <is>
          <t>NORRBOTTENS LÄN</t>
        </is>
      </c>
      <c r="G341" t="inlineStr">
        <is>
          <t>BODEN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43711-2025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46220</v>
      </c>
      <c r="F342" t="inlineStr">
        <is>
          <t>NORRBOTTENS LÄN</t>
        </is>
      </c>
      <c r="G342" t="inlineStr">
        <is>
          <t>BODEN</t>
        </is>
      </c>
      <c r="I342" t="n">
        <v>10.1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43710-2025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46220</v>
      </c>
      <c r="F343" t="inlineStr">
        <is>
          <t>NORRBOTTENS LÄN</t>
        </is>
      </c>
      <c r="G343" t="inlineStr">
        <is>
          <t>BODEN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46220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31487-2025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46220</v>
      </c>
      <c r="F345" t="inlineStr">
        <is>
          <t>NORRBOTTENS LÄN</t>
        </is>
      </c>
      <c r="G345" t="inlineStr">
        <is>
          <t>BODEN</t>
        </is>
      </c>
      <c r="H345" t="inlineStr">
        <is>
          <t>Övriga Aktiebolag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31531-2025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46220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Aktiebolag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56837-2023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45244</v>
      </c>
      <c r="E347" s="1" t="n">
        <v>46220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statliga verk och myndigheter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32052-2025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46220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16020-2025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45748</v>
      </c>
      <c r="E349" s="1" t="n">
        <v>46220</v>
      </c>
      <c r="F349" t="inlineStr">
        <is>
          <t>NORRBOTTENS LÄN</t>
        </is>
      </c>
      <c r="G349" t="inlineStr">
        <is>
          <t>BODEN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25926-2025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46220</v>
      </c>
      <c r="F350" t="inlineStr">
        <is>
          <t>NORRBOTTENS LÄN</t>
        </is>
      </c>
      <c r="G350" t="inlineStr">
        <is>
          <t>BODEN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46220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46220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33130-2025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45840</v>
      </c>
      <c r="E353" s="1" t="n">
        <v>46220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30299-2023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46220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33276-2025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46220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45544-2025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46220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45478-2025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45922</v>
      </c>
      <c r="E357" s="1" t="n">
        <v>46220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15486-2025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45747</v>
      </c>
      <c r="E358" s="1" t="n">
        <v>46220</v>
      </c>
      <c r="F358" t="inlineStr">
        <is>
          <t>NORRBOTTENS LÄN</t>
        </is>
      </c>
      <c r="G358" t="inlineStr">
        <is>
          <t>BODEN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46220</v>
      </c>
      <c r="F359" t="inlineStr">
        <is>
          <t>NORRBOTTENS LÄN</t>
        </is>
      </c>
      <c r="G359" t="inlineStr">
        <is>
          <t>BODEN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45617-2025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46220</v>
      </c>
      <c r="F360" t="inlineStr">
        <is>
          <t>NORRBOTTENS LÄN</t>
        </is>
      </c>
      <c r="G360" t="inlineStr">
        <is>
          <t>BODEN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33981-2025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45843</v>
      </c>
      <c r="E361" s="1" t="n">
        <v>46220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46454-2025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46220</v>
      </c>
      <c r="F362" t="inlineStr">
        <is>
          <t>NORRBOTTENS LÄN</t>
        </is>
      </c>
      <c r="G362" t="inlineStr">
        <is>
          <t>BODEN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46220</v>
      </c>
      <c r="F363" t="inlineStr">
        <is>
          <t>NORRBOTTENS LÄN</t>
        </is>
      </c>
      <c r="G363" t="inlineStr">
        <is>
          <t>BODEN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28745-2023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46220</v>
      </c>
      <c r="F364" t="inlineStr">
        <is>
          <t>NORRBOTTENS LÄN</t>
        </is>
      </c>
      <c r="G364" t="inlineStr">
        <is>
          <t>BODEN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46053-2025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46220</v>
      </c>
      <c r="F365" t="inlineStr">
        <is>
          <t>NORRBOTTENS LÄN</t>
        </is>
      </c>
      <c r="G365" t="inlineStr">
        <is>
          <t>BODEN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46052-2025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46220</v>
      </c>
      <c r="F366" t="inlineStr">
        <is>
          <t>NORRBOTTENS LÄN</t>
        </is>
      </c>
      <c r="G366" t="inlineStr">
        <is>
          <t>BODEN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22460-2023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46220</v>
      </c>
      <c r="F367" t="inlineStr">
        <is>
          <t>NORRBOTTENS LÄN</t>
        </is>
      </c>
      <c r="G367" t="inlineStr">
        <is>
          <t>BODEN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45969-2025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45924</v>
      </c>
      <c r="E368" s="1" t="n">
        <v>46220</v>
      </c>
      <c r="F368" t="inlineStr">
        <is>
          <t>NORRBOTTENS LÄN</t>
        </is>
      </c>
      <c r="G368" t="inlineStr">
        <is>
          <t>BODEN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46700-2025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46220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46770-2025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46220</v>
      </c>
      <c r="F370" t="inlineStr">
        <is>
          <t>NORRBOTTENS LÄN</t>
        </is>
      </c>
      <c r="G370" t="inlineStr">
        <is>
          <t>BODEN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46585-2025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46220</v>
      </c>
      <c r="F371" t="inlineStr">
        <is>
          <t>NORRBOTTENS LÄN</t>
        </is>
      </c>
      <c r="G371" t="inlineStr">
        <is>
          <t>BODEN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51280-2024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46220</v>
      </c>
      <c r="F372" t="inlineStr">
        <is>
          <t>NORRBOTTENS LÄN</t>
        </is>
      </c>
      <c r="G372" t="inlineStr">
        <is>
          <t>BODEN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45672</v>
      </c>
      <c r="E373" s="1" t="n">
        <v>46220</v>
      </c>
      <c r="F373" t="inlineStr">
        <is>
          <t>NORRBOTTENS LÄN</t>
        </is>
      </c>
      <c r="G373" t="inlineStr">
        <is>
          <t>BODEN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46220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18871-2025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46220</v>
      </c>
      <c r="F375" t="inlineStr">
        <is>
          <t>NORRBOTTENS LÄN</t>
        </is>
      </c>
      <c r="G375" t="inlineStr">
        <is>
          <t>BODEN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47595-2025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46220</v>
      </c>
      <c r="F376" t="inlineStr">
        <is>
          <t>NORRBOTTENS LÄN</t>
        </is>
      </c>
      <c r="G376" t="inlineStr">
        <is>
          <t>BODEN</t>
        </is>
      </c>
      <c r="H376" t="inlineStr">
        <is>
          <t>Övriga Aktiebolag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24058-2025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46220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2601-2025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45674</v>
      </c>
      <c r="E378" s="1" t="n">
        <v>46220</v>
      </c>
      <c r="F378" t="inlineStr">
        <is>
          <t>NORRBOTTENS LÄN</t>
        </is>
      </c>
      <c r="G378" t="inlineStr">
        <is>
          <t>BODEN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47204-2025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46220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59890-2023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45254</v>
      </c>
      <c r="E380" s="1" t="n">
        <v>46220</v>
      </c>
      <c r="F380" t="inlineStr">
        <is>
          <t>NORRBOTTENS LÄN</t>
        </is>
      </c>
      <c r="G380" t="inlineStr">
        <is>
          <t>BODEN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47483-2025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46220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49728-2024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46220</v>
      </c>
      <c r="F382" t="inlineStr">
        <is>
          <t>NORRBOTTENS LÄN</t>
        </is>
      </c>
      <c r="G382" t="inlineStr">
        <is>
          <t>BODEN</t>
        </is>
      </c>
      <c r="I382" t="n">
        <v>22.7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36006-2025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45863</v>
      </c>
      <c r="E383" s="1" t="n">
        <v>46220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36019-2025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45863</v>
      </c>
      <c r="E384" s="1" t="n">
        <v>46220</v>
      </c>
      <c r="F384" t="inlineStr">
        <is>
          <t>NORRBOTTENS LÄN</t>
        </is>
      </c>
      <c r="G384" t="inlineStr">
        <is>
          <t>BODEN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48091-2025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45933</v>
      </c>
      <c r="E385" s="1" t="n">
        <v>46220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42653-2025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45906</v>
      </c>
      <c r="E386" s="1" t="n">
        <v>46220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47935-2025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45932</v>
      </c>
      <c r="E387" s="1" t="n">
        <v>46220</v>
      </c>
      <c r="F387" t="inlineStr">
        <is>
          <t>NORRBOTTENS LÄN</t>
        </is>
      </c>
      <c r="G387" t="inlineStr">
        <is>
          <t>BODEN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46220</v>
      </c>
      <c r="F388" t="inlineStr">
        <is>
          <t>NORRBOTTENS LÄN</t>
        </is>
      </c>
      <c r="G388" t="inlineStr">
        <is>
          <t>BODEN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48172-2025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46220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48173-2025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45933</v>
      </c>
      <c r="E390" s="1" t="n">
        <v>46220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48549-2025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46220</v>
      </c>
      <c r="F391" t="inlineStr">
        <is>
          <t>NORRBOTTENS LÄN</t>
        </is>
      </c>
      <c r="G391" t="inlineStr">
        <is>
          <t>BODEN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24193-2024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45456</v>
      </c>
      <c r="E392" s="1" t="n">
        <v>46220</v>
      </c>
      <c r="F392" t="inlineStr">
        <is>
          <t>NORRBOTTENS LÄN</t>
        </is>
      </c>
      <c r="G392" t="inlineStr">
        <is>
          <t>BODEN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10730-2024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46220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49357-2025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46220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48805-2025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45937</v>
      </c>
      <c r="E395" s="1" t="n">
        <v>46220</v>
      </c>
      <c r="F395" t="inlineStr">
        <is>
          <t>NORRBOTTENS LÄN</t>
        </is>
      </c>
      <c r="G395" t="inlineStr">
        <is>
          <t>BODEN</t>
        </is>
      </c>
      <c r="I395" t="n">
        <v>10.2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46220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32582-2025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45838</v>
      </c>
      <c r="E397" s="1" t="n">
        <v>46220</v>
      </c>
      <c r="F397" t="inlineStr">
        <is>
          <t>NORRBOTTENS LÄN</t>
        </is>
      </c>
      <c r="G397" t="inlineStr">
        <is>
          <t>BODEN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46220</v>
      </c>
      <c r="F398" t="inlineStr">
        <is>
          <t>NORRBOTTENS LÄN</t>
        </is>
      </c>
      <c r="G398" t="inlineStr">
        <is>
          <t>BODEN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3493-2026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46220</v>
      </c>
      <c r="F399" t="inlineStr">
        <is>
          <t>NORRBOTTENS LÄN</t>
        </is>
      </c>
      <c r="G399" t="inlineStr">
        <is>
          <t>BODEN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49379-2025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46220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49588-2025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46220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36310-2025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45868</v>
      </c>
      <c r="E402" s="1" t="n">
        <v>46220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46220</v>
      </c>
      <c r="F403" t="inlineStr">
        <is>
          <t>NORRBOTTENS LÄN</t>
        </is>
      </c>
      <c r="G403" t="inlineStr">
        <is>
          <t>BODEN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36926-2025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46220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8.4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46220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37404-2025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45877</v>
      </c>
      <c r="E406" s="1" t="n">
        <v>46220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11092-2022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44628</v>
      </c>
      <c r="E407" s="1" t="n">
        <v>46220</v>
      </c>
      <c r="F407" t="inlineStr">
        <is>
          <t>NORRBOTTENS LÄN</t>
        </is>
      </c>
      <c r="G407" t="inlineStr">
        <is>
          <t>BODEN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37653-2025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46220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50449-2025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45945</v>
      </c>
      <c r="E409" s="1" t="n">
        <v>46220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50479-2025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46220</v>
      </c>
      <c r="F410" t="inlineStr">
        <is>
          <t>NORRBOTTENS LÄN</t>
        </is>
      </c>
      <c r="G410" t="inlineStr">
        <is>
          <t>BODEN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50387-2025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46220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50419-2025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46220</v>
      </c>
      <c r="F412" t="inlineStr">
        <is>
          <t>NORRBOTTENS LÄN</t>
        </is>
      </c>
      <c r="G412" t="inlineStr">
        <is>
          <t>BODEN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38371-2023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46220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38372-2023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46220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50390-2025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46220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46220</v>
      </c>
      <c r="F416" t="inlineStr">
        <is>
          <t>NORRBOTTENS LÄN</t>
        </is>
      </c>
      <c r="G416" t="inlineStr">
        <is>
          <t>BODEN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37854-2025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45881</v>
      </c>
      <c r="E417" s="1" t="n">
        <v>46220</v>
      </c>
      <c r="F417" t="inlineStr">
        <is>
          <t>NORRBOTTENS LÄN</t>
        </is>
      </c>
      <c r="G417" t="inlineStr">
        <is>
          <t>BODEN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9940-2025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45718</v>
      </c>
      <c r="E418" s="1" t="n">
        <v>46220</v>
      </c>
      <c r="F418" t="inlineStr">
        <is>
          <t>NORRBOTTENS LÄN</t>
        </is>
      </c>
      <c r="G418" t="inlineStr">
        <is>
          <t>BODEN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50471-2025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46220</v>
      </c>
      <c r="F419" t="inlineStr">
        <is>
          <t>NORRBOTTENS LÄN</t>
        </is>
      </c>
      <c r="G419" t="inlineStr">
        <is>
          <t>BODEN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57579-2023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45246</v>
      </c>
      <c r="E420" s="1" t="n">
        <v>46220</v>
      </c>
      <c r="F420" t="inlineStr">
        <is>
          <t>NORRBOTTENS LÄN</t>
        </is>
      </c>
      <c r="G420" t="inlineStr">
        <is>
          <t>BODEN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38286-2025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45882</v>
      </c>
      <c r="E421" s="1" t="n">
        <v>46220</v>
      </c>
      <c r="F421" t="inlineStr">
        <is>
          <t>NORRBOTTENS LÄN</t>
        </is>
      </c>
      <c r="G421" t="inlineStr">
        <is>
          <t>BODEN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45882</v>
      </c>
      <c r="E422" s="1" t="n">
        <v>46220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50361-2025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46220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40781-2021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44421</v>
      </c>
      <c r="E424" s="1" t="n">
        <v>46220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8782-2024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46220</v>
      </c>
      <c r="F425" t="inlineStr">
        <is>
          <t>NORRBOTTENS LÄN</t>
        </is>
      </c>
      <c r="G425" t="inlineStr">
        <is>
          <t>BODEN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9322-2024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46220</v>
      </c>
      <c r="F426" t="inlineStr">
        <is>
          <t>NORRBOTTENS LÄN</t>
        </is>
      </c>
      <c r="G426" t="inlineStr">
        <is>
          <t>BODEN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18900-2025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45764</v>
      </c>
      <c r="E427" s="1" t="n">
        <v>46220</v>
      </c>
      <c r="F427" t="inlineStr">
        <is>
          <t>NORRBOTTENS LÄN</t>
        </is>
      </c>
      <c r="G427" t="inlineStr">
        <is>
          <t>BODEN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28444-2023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45102</v>
      </c>
      <c r="E428" s="1" t="n">
        <v>46220</v>
      </c>
      <c r="F428" t="inlineStr">
        <is>
          <t>NORRBOTTENS LÄN</t>
        </is>
      </c>
      <c r="G428" t="inlineStr">
        <is>
          <t>BODEN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45947</v>
      </c>
      <c r="E429" s="1" t="n">
        <v>46220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38584-2025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45884</v>
      </c>
      <c r="E430" s="1" t="n">
        <v>46220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46220</v>
      </c>
      <c r="F431" t="inlineStr">
        <is>
          <t>NORRBOTTENS LÄN</t>
        </is>
      </c>
      <c r="G431" t="inlineStr">
        <is>
          <t>BODEN</t>
        </is>
      </c>
      <c r="I431" t="n">
        <v>8.800000000000001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50434-2025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45944</v>
      </c>
      <c r="E432" s="1" t="n">
        <v>46220</v>
      </c>
      <c r="F432" t="inlineStr">
        <is>
          <t>NORRBOTTENS LÄN</t>
        </is>
      </c>
      <c r="G432" t="inlineStr">
        <is>
          <t>BODEN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19590-2025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45770</v>
      </c>
      <c r="E433" s="1" t="n">
        <v>46220</v>
      </c>
      <c r="F433" t="inlineStr">
        <is>
          <t>NORRBOTTENS LÄN</t>
        </is>
      </c>
      <c r="G433" t="inlineStr">
        <is>
          <t>BODEN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51460-2025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45950</v>
      </c>
      <c r="E434" s="1" t="n">
        <v>46220</v>
      </c>
      <c r="F434" t="inlineStr">
        <is>
          <t>NORRBOTTENS LÄN</t>
        </is>
      </c>
      <c r="G434" t="inlineStr">
        <is>
          <t>BODEN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68611-2021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44529</v>
      </c>
      <c r="E435" s="1" t="n">
        <v>46220</v>
      </c>
      <c r="F435" t="inlineStr">
        <is>
          <t>NORRBOTTENS LÄN</t>
        </is>
      </c>
      <c r="G435" t="inlineStr">
        <is>
          <t>BODEN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13556-2022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44648</v>
      </c>
      <c r="E436" s="1" t="n">
        <v>46220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59331-2021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44490</v>
      </c>
      <c r="E437" s="1" t="n">
        <v>46220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52169-2025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46220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22447-2024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45446</v>
      </c>
      <c r="E439" s="1" t="n">
        <v>46220</v>
      </c>
      <c r="F439" t="inlineStr">
        <is>
          <t>NORRBOTTENS LÄN</t>
        </is>
      </c>
      <c r="G439" t="inlineStr">
        <is>
          <t>BODEN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52284-2025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46220</v>
      </c>
      <c r="F440" t="inlineStr">
        <is>
          <t>NORRBOTTENS LÄN</t>
        </is>
      </c>
      <c r="G440" t="inlineStr">
        <is>
          <t>BODEN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51193-2023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45212</v>
      </c>
      <c r="E441" s="1" t="n">
        <v>46220</v>
      </c>
      <c r="F441" t="inlineStr">
        <is>
          <t>NORRBOTTENS LÄN</t>
        </is>
      </c>
      <c r="G441" t="inlineStr">
        <is>
          <t>BODEN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52166-2025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45953</v>
      </c>
      <c r="E442" s="1" t="n">
        <v>46220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61771-2024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45649</v>
      </c>
      <c r="E443" s="1" t="n">
        <v>46220</v>
      </c>
      <c r="F443" t="inlineStr">
        <is>
          <t>NORRBOTTENS LÄN</t>
        </is>
      </c>
      <c r="G443" t="inlineStr">
        <is>
          <t>BODEN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52763-2025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45957</v>
      </c>
      <c r="E444" s="1" t="n">
        <v>46220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28079-2024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45476</v>
      </c>
      <c r="E445" s="1" t="n">
        <v>46220</v>
      </c>
      <c r="F445" t="inlineStr">
        <is>
          <t>NORRBOTTENS LÄN</t>
        </is>
      </c>
      <c r="G445" t="inlineStr">
        <is>
          <t>BODEN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51525-2025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45950</v>
      </c>
      <c r="E446" s="1" t="n">
        <v>46220</v>
      </c>
      <c r="F446" t="inlineStr">
        <is>
          <t>NORRBOTTENS LÄN</t>
        </is>
      </c>
      <c r="G446" t="inlineStr">
        <is>
          <t>BODEN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46220</v>
      </c>
      <c r="F447" t="inlineStr">
        <is>
          <t>NORRBOTTENS LÄN</t>
        </is>
      </c>
      <c r="G447" t="inlineStr">
        <is>
          <t>BODEN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54935-2021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44474</v>
      </c>
      <c r="E448" s="1" t="n">
        <v>46220</v>
      </c>
      <c r="F448" t="inlineStr">
        <is>
          <t>NORRBOTTENS LÄN</t>
        </is>
      </c>
      <c r="G448" t="inlineStr">
        <is>
          <t>BODEN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52645-2025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45955</v>
      </c>
      <c r="E449" s="1" t="n">
        <v>46220</v>
      </c>
      <c r="F449" t="inlineStr">
        <is>
          <t>NORRBOTTENS LÄN</t>
        </is>
      </c>
      <c r="G449" t="inlineStr">
        <is>
          <t>BODEN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52646-2025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45955</v>
      </c>
      <c r="E450" s="1" t="n">
        <v>46220</v>
      </c>
      <c r="F450" t="inlineStr">
        <is>
          <t>NORRBOTTENS LÄN</t>
        </is>
      </c>
      <c r="G450" t="inlineStr">
        <is>
          <t>BODEN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708-2022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44566</v>
      </c>
      <c r="E451" s="1" t="n">
        <v>46220</v>
      </c>
      <c r="F451" t="inlineStr">
        <is>
          <t>NORRBOTTENS LÄN</t>
        </is>
      </c>
      <c r="G451" t="inlineStr">
        <is>
          <t>BODEN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39272-2024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45551</v>
      </c>
      <c r="E452" s="1" t="n">
        <v>46220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8008-2025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45707</v>
      </c>
      <c r="E453" s="1" t="n">
        <v>46220</v>
      </c>
      <c r="F453" t="inlineStr">
        <is>
          <t>NORRBOTTENS LÄN</t>
        </is>
      </c>
      <c r="G453" t="inlineStr">
        <is>
          <t>BODEN</t>
        </is>
      </c>
      <c r="I453" t="n">
        <v>11.3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46220</v>
      </c>
      <c r="F454" t="inlineStr">
        <is>
          <t>NORRBOTTENS LÄN</t>
        </is>
      </c>
      <c r="G454" t="inlineStr">
        <is>
          <t>BODEN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53623-2025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45960</v>
      </c>
      <c r="E455" s="1" t="n">
        <v>46220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53893-2025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46220</v>
      </c>
      <c r="F456" t="inlineStr">
        <is>
          <t>NORRBOTTENS LÄN</t>
        </is>
      </c>
      <c r="G456" t="inlineStr">
        <is>
          <t>BODEN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54416-2025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46220</v>
      </c>
      <c r="F457" t="inlineStr">
        <is>
          <t>NORRBOTTENS LÄN</t>
        </is>
      </c>
      <c r="G457" t="inlineStr">
        <is>
          <t>BODEN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54417-2025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46220</v>
      </c>
      <c r="F458" t="inlineStr">
        <is>
          <t>NORRBOTTENS LÄN</t>
        </is>
      </c>
      <c r="G458" t="inlineStr">
        <is>
          <t>BODEN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54578-2025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46220</v>
      </c>
      <c r="F459" t="inlineStr">
        <is>
          <t>NORRBOTTENS LÄN</t>
        </is>
      </c>
      <c r="G459" t="inlineStr">
        <is>
          <t>BODEN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6085-2026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46220</v>
      </c>
      <c r="F460" t="inlineStr">
        <is>
          <t>NORRBOTTENS LÄN</t>
        </is>
      </c>
      <c r="G460" t="inlineStr">
        <is>
          <t>BODEN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54523-2025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46220</v>
      </c>
      <c r="F461" t="inlineStr">
        <is>
          <t>NORRBOTTENS LÄN</t>
        </is>
      </c>
      <c r="G461" t="inlineStr">
        <is>
          <t>BODEN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54172-2025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45964</v>
      </c>
      <c r="E462" s="1" t="n">
        <v>46220</v>
      </c>
      <c r="F462" t="inlineStr">
        <is>
          <t>NORRBOTTENS LÄN</t>
        </is>
      </c>
      <c r="G462" t="inlineStr">
        <is>
          <t>BODEN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54834-2025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46220</v>
      </c>
      <c r="F463" t="inlineStr">
        <is>
          <t>NORRBOTTENS LÄN</t>
        </is>
      </c>
      <c r="G463" t="inlineStr">
        <is>
          <t>BODEN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54845-2025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45966</v>
      </c>
      <c r="E464" s="1" t="n">
        <v>46220</v>
      </c>
      <c r="F464" t="inlineStr">
        <is>
          <t>NORRBOTTENS LÄN</t>
        </is>
      </c>
      <c r="G464" t="inlineStr">
        <is>
          <t>BODEN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56111-2021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44477</v>
      </c>
      <c r="E465" s="1" t="n">
        <v>46220</v>
      </c>
      <c r="F465" t="inlineStr">
        <is>
          <t>NORRBOTTENS LÄN</t>
        </is>
      </c>
      <c r="G465" t="inlineStr">
        <is>
          <t>BODEN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54833-2025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46220</v>
      </c>
      <c r="F466" t="inlineStr">
        <is>
          <t>NORRBOTTENS LÄN</t>
        </is>
      </c>
      <c r="G466" t="inlineStr">
        <is>
          <t>BODEN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46220</v>
      </c>
      <c r="F467" t="inlineStr">
        <is>
          <t>NORRBOTTENS LÄN</t>
        </is>
      </c>
      <c r="G467" t="inlineStr">
        <is>
          <t>BODEN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33697-2023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45132</v>
      </c>
      <c r="E468" s="1" t="n">
        <v>46220</v>
      </c>
      <c r="F468" t="inlineStr">
        <is>
          <t>NORRBOTTENS LÄN</t>
        </is>
      </c>
      <c r="G468" t="inlineStr">
        <is>
          <t>BODEN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6708-2026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46220</v>
      </c>
      <c r="F469" t="inlineStr">
        <is>
          <t>NORRBOTTENS LÄN</t>
        </is>
      </c>
      <c r="G469" t="inlineStr">
        <is>
          <t>BODEN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61748-2024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45649</v>
      </c>
      <c r="E470" s="1" t="n">
        <v>46220</v>
      </c>
      <c r="F470" t="inlineStr">
        <is>
          <t>NORRBOTTENS LÄN</t>
        </is>
      </c>
      <c r="G470" t="inlineStr">
        <is>
          <t>BODEN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61757-2024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46220</v>
      </c>
      <c r="F471" t="inlineStr">
        <is>
          <t>NORRBOTTENS LÄN</t>
        </is>
      </c>
      <c r="G471" t="inlineStr">
        <is>
          <t>BODEN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55562-2025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46220</v>
      </c>
      <c r="F472" t="inlineStr">
        <is>
          <t>NORRBOTTENS LÄN</t>
        </is>
      </c>
      <c r="G472" t="inlineStr">
        <is>
          <t>BODEN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45972</v>
      </c>
      <c r="E473" s="1" t="n">
        <v>46220</v>
      </c>
      <c r="F473" t="inlineStr">
        <is>
          <t>NORRBOTTENS LÄN</t>
        </is>
      </c>
      <c r="G473" t="inlineStr">
        <is>
          <t>BODEN</t>
        </is>
      </c>
      <c r="I473" t="n">
        <v>11.9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46220</v>
      </c>
      <c r="F474" t="inlineStr">
        <is>
          <t>NORRBOTTENS LÄN</t>
        </is>
      </c>
      <c r="G474" t="inlineStr">
        <is>
          <t>BODEN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7370-2026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46220</v>
      </c>
      <c r="F475" t="inlineStr">
        <is>
          <t>NORRBOTTENS LÄN</t>
        </is>
      </c>
      <c r="G475" t="inlineStr">
        <is>
          <t>BODEN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45105</v>
      </c>
      <c r="E476" s="1" t="n">
        <v>46220</v>
      </c>
      <c r="F476" t="inlineStr">
        <is>
          <t>NORRBOTTENS LÄN</t>
        </is>
      </c>
      <c r="G476" t="inlineStr">
        <is>
          <t>BODEN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46220</v>
      </c>
      <c r="F477" t="inlineStr">
        <is>
          <t>NORRBOTTENS LÄN</t>
        </is>
      </c>
      <c r="G477" t="inlineStr">
        <is>
          <t>BODEN</t>
        </is>
      </c>
      <c r="H477" t="inlineStr">
        <is>
          <t>Naturvårdsverket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56439-2025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45975</v>
      </c>
      <c r="E478" s="1" t="n">
        <v>46220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56560-2025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46220</v>
      </c>
      <c r="F479" t="inlineStr">
        <is>
          <t>NORRBOTTENS LÄN</t>
        </is>
      </c>
      <c r="G479" t="inlineStr">
        <is>
          <t>BODEN</t>
        </is>
      </c>
      <c r="H479" t="inlineStr">
        <is>
          <t>Naturvårdsverket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47097-2023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46220</v>
      </c>
      <c r="F480" t="inlineStr">
        <is>
          <t>NORRBOTTENS LÄN</t>
        </is>
      </c>
      <c r="G480" t="inlineStr">
        <is>
          <t>BODEN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28359-2023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46220</v>
      </c>
      <c r="F481" t="inlineStr">
        <is>
          <t>NORRBOTTENS LÄN</t>
        </is>
      </c>
      <c r="G481" t="inlineStr">
        <is>
          <t>BODEN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46220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11647-2023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44994</v>
      </c>
      <c r="E483" s="1" t="n">
        <v>46220</v>
      </c>
      <c r="F483" t="inlineStr">
        <is>
          <t>NORRBOTTENS LÄN</t>
        </is>
      </c>
      <c r="G483" t="inlineStr">
        <is>
          <t>BODEN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57895-2021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44486</v>
      </c>
      <c r="E484" s="1" t="n">
        <v>46220</v>
      </c>
      <c r="F484" t="inlineStr">
        <is>
          <t>NORRBOTTENS LÄN</t>
        </is>
      </c>
      <c r="G484" t="inlineStr">
        <is>
          <t>BODEN</t>
        </is>
      </c>
      <c r="I484" t="n">
        <v>9.199999999999999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11865-2025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46220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Aktiebolag</t>
        </is>
      </c>
      <c r="I485" t="n">
        <v>10.6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56867-2025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45978</v>
      </c>
      <c r="E486" s="1" t="n">
        <v>46220</v>
      </c>
      <c r="F486" t="inlineStr">
        <is>
          <t>NORRBOTTENS LÄN</t>
        </is>
      </c>
      <c r="G486" t="inlineStr">
        <is>
          <t>BODEN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10727-2025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45722</v>
      </c>
      <c r="E487" s="1" t="n">
        <v>46220</v>
      </c>
      <c r="F487" t="inlineStr">
        <is>
          <t>NORRBOTTENS LÄN</t>
        </is>
      </c>
      <c r="G487" t="inlineStr">
        <is>
          <t>BODEN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56947-2025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45978</v>
      </c>
      <c r="E488" s="1" t="n">
        <v>46220</v>
      </c>
      <c r="F488" t="inlineStr">
        <is>
          <t>NORRBOTTENS LÄN</t>
        </is>
      </c>
      <c r="G488" t="inlineStr">
        <is>
          <t>BODEN</t>
        </is>
      </c>
      <c r="H488" t="inlineStr">
        <is>
          <t>Naturvårdsverket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46901-2024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45583</v>
      </c>
      <c r="E489" s="1" t="n">
        <v>46220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57777-2025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46220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57778-2025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46220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7185-2026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46220</v>
      </c>
      <c r="F492" t="inlineStr">
        <is>
          <t>NORRBOTTENS LÄN</t>
        </is>
      </c>
      <c r="G492" t="inlineStr">
        <is>
          <t>BODEN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46541-2021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44445</v>
      </c>
      <c r="E493" s="1" t="n">
        <v>46220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6638-2024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45341</v>
      </c>
      <c r="E494" s="1" t="n">
        <v>46220</v>
      </c>
      <c r="F494" t="inlineStr">
        <is>
          <t>NORRBOTTENS LÄN</t>
        </is>
      </c>
      <c r="G494" t="inlineStr">
        <is>
          <t>BODEN</t>
        </is>
      </c>
      <c r="H494" t="inlineStr">
        <is>
          <t>Övriga statliga verk och myndigheter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38511-2025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45884</v>
      </c>
      <c r="E495" s="1" t="n">
        <v>46220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58203-2025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45984</v>
      </c>
      <c r="E496" s="1" t="n">
        <v>46220</v>
      </c>
      <c r="F496" t="inlineStr">
        <is>
          <t>NORRBOTTENS LÄN</t>
        </is>
      </c>
      <c r="G496" t="inlineStr">
        <is>
          <t>BODEN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58490-2025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46220</v>
      </c>
      <c r="F497" t="inlineStr">
        <is>
          <t>NORRBOTTENS LÄN</t>
        </is>
      </c>
      <c r="G497" t="inlineStr">
        <is>
          <t>BODEN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41957-2024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45561</v>
      </c>
      <c r="E498" s="1" t="n">
        <v>46220</v>
      </c>
      <c r="F498" t="inlineStr">
        <is>
          <t>NORRBOTTENS LÄN</t>
        </is>
      </c>
      <c r="G498" t="inlineStr">
        <is>
          <t>BODEN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58294-2025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46220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59983-2023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45257</v>
      </c>
      <c r="E500" s="1" t="n">
        <v>46220</v>
      </c>
      <c r="F500" t="inlineStr">
        <is>
          <t>NORRBOTTENS LÄN</t>
        </is>
      </c>
      <c r="G500" t="inlineStr">
        <is>
          <t>BODEN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7669-2026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46220</v>
      </c>
      <c r="F501" t="inlineStr">
        <is>
          <t>NORRBOTTENS LÄN</t>
        </is>
      </c>
      <c r="G501" t="inlineStr">
        <is>
          <t>BODEN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67068-2021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44522</v>
      </c>
      <c r="E502" s="1" t="n">
        <v>46220</v>
      </c>
      <c r="F502" t="inlineStr">
        <is>
          <t>NORRBOTTENS LÄN</t>
        </is>
      </c>
      <c r="G502" t="inlineStr">
        <is>
          <t>BODEN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8056-2026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46220</v>
      </c>
      <c r="F503" t="inlineStr">
        <is>
          <t>NORRBOTTENS LÄN</t>
        </is>
      </c>
      <c r="G503" t="inlineStr">
        <is>
          <t>BODEN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7923-2026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46220</v>
      </c>
      <c r="F504" t="inlineStr">
        <is>
          <t>NORRBOTTENS LÄN</t>
        </is>
      </c>
      <c r="G504" t="inlineStr">
        <is>
          <t>BODEN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49730-2024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46220</v>
      </c>
      <c r="F505" t="inlineStr">
        <is>
          <t>NORRBOTTENS LÄN</t>
        </is>
      </c>
      <c r="G505" t="inlineStr">
        <is>
          <t>BODEN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58662-2025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46220</v>
      </c>
      <c r="F506" t="inlineStr">
        <is>
          <t>NORRBOTTENS LÄN</t>
        </is>
      </c>
      <c r="G506" t="inlineStr">
        <is>
          <t>BODEN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59263-2025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46220</v>
      </c>
      <c r="F507" t="inlineStr">
        <is>
          <t>NORRBOTTENS LÄN</t>
        </is>
      </c>
      <c r="G507" t="inlineStr">
        <is>
          <t>BODEN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47424-2024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45587</v>
      </c>
      <c r="E508" s="1" t="n">
        <v>46220</v>
      </c>
      <c r="F508" t="inlineStr">
        <is>
          <t>NORRBOTTENS LÄN</t>
        </is>
      </c>
      <c r="G508" t="inlineStr">
        <is>
          <t>BODEN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59264-2025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46220</v>
      </c>
      <c r="F509" t="inlineStr">
        <is>
          <t>NORRBOTTENS LÄN</t>
        </is>
      </c>
      <c r="G509" t="inlineStr">
        <is>
          <t>BODEN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59032-2025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46220</v>
      </c>
      <c r="F510" t="inlineStr">
        <is>
          <t>NORRBOTTENS LÄN</t>
        </is>
      </c>
      <c r="G510" t="inlineStr">
        <is>
          <t>BODEN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59031-2025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46220</v>
      </c>
      <c r="F511" t="inlineStr">
        <is>
          <t>NORRBOTTENS LÄN</t>
        </is>
      </c>
      <c r="G511" t="inlineStr">
        <is>
          <t>BODEN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8433-2026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46065</v>
      </c>
      <c r="E512" s="1" t="n">
        <v>46220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9.699999999999999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4254-2025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45685</v>
      </c>
      <c r="E513" s="1" t="n">
        <v>46220</v>
      </c>
      <c r="F513" t="inlineStr">
        <is>
          <t>NORRBOTTENS LÄN</t>
        </is>
      </c>
      <c r="G513" t="inlineStr">
        <is>
          <t>BODEN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60429-2025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46220</v>
      </c>
      <c r="F514" t="inlineStr">
        <is>
          <t>NORRBOTTENS LÄN</t>
        </is>
      </c>
      <c r="G514" t="inlineStr">
        <is>
          <t>BODEN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46220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60233-2025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46220</v>
      </c>
      <c r="F516" t="inlineStr">
        <is>
          <t>NORRBOTTENS LÄN</t>
        </is>
      </c>
      <c r="G516" t="inlineStr">
        <is>
          <t>BODEN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46220</v>
      </c>
      <c r="F517" t="inlineStr">
        <is>
          <t>NORRBOTTENS LÄN</t>
        </is>
      </c>
      <c r="G517" t="inlineStr">
        <is>
          <t>BODEN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60428-2025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46220</v>
      </c>
      <c r="F518" t="inlineStr">
        <is>
          <t>NORRBOTTENS LÄN</t>
        </is>
      </c>
      <c r="G518" t="inlineStr">
        <is>
          <t>BODEN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11930-2023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44994</v>
      </c>
      <c r="E519" s="1" t="n">
        <v>46220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60395-2025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46220</v>
      </c>
      <c r="F520" t="inlineStr">
        <is>
          <t>NORRBOTTENS LÄN</t>
        </is>
      </c>
      <c r="G520" t="inlineStr">
        <is>
          <t>BODEN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60423-2025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46220</v>
      </c>
      <c r="F521" t="inlineStr">
        <is>
          <t>NORRBOTTENS LÄN</t>
        </is>
      </c>
      <c r="G521" t="inlineStr">
        <is>
          <t>BODEN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60424-2025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45995</v>
      </c>
      <c r="E522" s="1" t="n">
        <v>46220</v>
      </c>
      <c r="F522" t="inlineStr">
        <is>
          <t>NORRBOTTENS LÄN</t>
        </is>
      </c>
      <c r="G522" t="inlineStr">
        <is>
          <t>BODEN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60238-2025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46220</v>
      </c>
      <c r="F523" t="inlineStr">
        <is>
          <t>NORRBOTTENS LÄN</t>
        </is>
      </c>
      <c r="G523" t="inlineStr">
        <is>
          <t>BODEN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60225-2025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46220</v>
      </c>
      <c r="F524" t="inlineStr">
        <is>
          <t>NORRBOTTENS LÄN</t>
        </is>
      </c>
      <c r="G524" t="inlineStr">
        <is>
          <t>BODEN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60236-2025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46220</v>
      </c>
      <c r="F525" t="inlineStr">
        <is>
          <t>NORRBOTTENS LÄN</t>
        </is>
      </c>
      <c r="G525" t="inlineStr">
        <is>
          <t>BODEN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60613-2025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45996</v>
      </c>
      <c r="E526" s="1" t="n">
        <v>46220</v>
      </c>
      <c r="F526" t="inlineStr">
        <is>
          <t>NORRBOTTENS LÄN</t>
        </is>
      </c>
      <c r="G526" t="inlineStr">
        <is>
          <t>BODEN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61034-2025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45999</v>
      </c>
      <c r="E527" s="1" t="n">
        <v>46220</v>
      </c>
      <c r="F527" t="inlineStr">
        <is>
          <t>NORRBOTTENS LÄN</t>
        </is>
      </c>
      <c r="G527" t="inlineStr">
        <is>
          <t>BODEN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32276-2024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45512</v>
      </c>
      <c r="E528" s="1" t="n">
        <v>46220</v>
      </c>
      <c r="F528" t="inlineStr">
        <is>
          <t>NORRBOTTENS LÄN</t>
        </is>
      </c>
      <c r="G528" t="inlineStr">
        <is>
          <t>BODEN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45906</v>
      </c>
      <c r="E529" s="1" t="n">
        <v>46220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61227-2025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46220</v>
      </c>
      <c r="F530" t="inlineStr">
        <is>
          <t>NORRBOTTENS LÄN</t>
        </is>
      </c>
      <c r="G530" t="inlineStr">
        <is>
          <t>BODEN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61384-2025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46220</v>
      </c>
      <c r="F531" t="inlineStr">
        <is>
          <t>NORRBOTTENS LÄN</t>
        </is>
      </c>
      <c r="G531" t="inlineStr">
        <is>
          <t>BODEN</t>
        </is>
      </c>
      <c r="I531" t="n">
        <v>17.1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56163-2022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44889</v>
      </c>
      <c r="E532" s="1" t="n">
        <v>46220</v>
      </c>
      <c r="F532" t="inlineStr">
        <is>
          <t>NORRBOTTENS LÄN</t>
        </is>
      </c>
      <c r="G532" t="inlineStr">
        <is>
          <t>BODEN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61560-2025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46220</v>
      </c>
      <c r="F533" t="inlineStr">
        <is>
          <t>NORRBOTTENS LÄN</t>
        </is>
      </c>
      <c r="G533" t="inlineStr">
        <is>
          <t>BODEN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16222-2024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45406</v>
      </c>
      <c r="E534" s="1" t="n">
        <v>46220</v>
      </c>
      <c r="F534" t="inlineStr">
        <is>
          <t>NORRBOTTENS LÄN</t>
        </is>
      </c>
      <c r="G534" t="inlineStr">
        <is>
          <t>BODEN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61959-2025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46220</v>
      </c>
      <c r="F535" t="inlineStr">
        <is>
          <t>NORRBOTTENS LÄN</t>
        </is>
      </c>
      <c r="G535" t="inlineStr">
        <is>
          <t>BODEN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19968-2025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45771</v>
      </c>
      <c r="E536" s="1" t="n">
        <v>46220</v>
      </c>
      <c r="F536" t="inlineStr">
        <is>
          <t>NORRBOTTENS LÄN</t>
        </is>
      </c>
      <c r="G536" t="inlineStr">
        <is>
          <t>BODEN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61949-2025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46003</v>
      </c>
      <c r="E537" s="1" t="n">
        <v>46220</v>
      </c>
      <c r="F537" t="inlineStr">
        <is>
          <t>NORRBOTTENS LÄN</t>
        </is>
      </c>
      <c r="G537" t="inlineStr">
        <is>
          <t>BODEN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61559-2025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46001</v>
      </c>
      <c r="E538" s="1" t="n">
        <v>46220</v>
      </c>
      <c r="F538" t="inlineStr">
        <is>
          <t>NORRBOTTENS LÄN</t>
        </is>
      </c>
      <c r="G538" t="inlineStr">
        <is>
          <t>BODEN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54104-2022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44881</v>
      </c>
      <c r="E539" s="1" t="n">
        <v>46220</v>
      </c>
      <c r="F539" t="inlineStr">
        <is>
          <t>NORRBOTTENS LÄN</t>
        </is>
      </c>
      <c r="G539" t="inlineStr">
        <is>
          <t>BODEN</t>
        </is>
      </c>
      <c r="H539" t="inlineStr">
        <is>
          <t>Sveaskog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63329-2025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46220</v>
      </c>
      <c r="F540" t="inlineStr">
        <is>
          <t>NORRBOTTENS LÄN</t>
        </is>
      </c>
      <c r="G540" t="inlineStr">
        <is>
          <t>BODEN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63333-2025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46220</v>
      </c>
      <c r="F541" t="inlineStr">
        <is>
          <t>NORRBOTTENS LÄN</t>
        </is>
      </c>
      <c r="G541" t="inlineStr">
        <is>
          <t>BODEN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62687-2025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46008</v>
      </c>
      <c r="E542" s="1" t="n">
        <v>46220</v>
      </c>
      <c r="F542" t="inlineStr">
        <is>
          <t>NORRBOTTENS LÄN</t>
        </is>
      </c>
      <c r="G542" t="inlineStr">
        <is>
          <t>BODEN</t>
        </is>
      </c>
      <c r="I542" t="n">
        <v>10.1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47423-2024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45587</v>
      </c>
      <c r="E543" s="1" t="n">
        <v>46220</v>
      </c>
      <c r="F543" t="inlineStr">
        <is>
          <t>NORRBOTTENS LÄN</t>
        </is>
      </c>
      <c r="G543" t="inlineStr">
        <is>
          <t>BODEN</t>
        </is>
      </c>
      <c r="I543" t="n">
        <v>17.2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60237-2025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45994</v>
      </c>
      <c r="E544" s="1" t="n">
        <v>46220</v>
      </c>
      <c r="F544" t="inlineStr">
        <is>
          <t>NORRBOTTENS LÄN</t>
        </is>
      </c>
      <c r="G544" t="inlineStr">
        <is>
          <t>BODEN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58099-2023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45248</v>
      </c>
      <c r="E545" s="1" t="n">
        <v>46220</v>
      </c>
      <c r="F545" t="inlineStr">
        <is>
          <t>NORRBOTTENS LÄN</t>
        </is>
      </c>
      <c r="G545" t="inlineStr">
        <is>
          <t>BODEN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62994-2025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46220</v>
      </c>
      <c r="F546" t="inlineStr">
        <is>
          <t>NORRBOTTENS LÄN</t>
        </is>
      </c>
      <c r="G546" t="inlineStr">
        <is>
          <t>BODEN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62673-2025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46220</v>
      </c>
      <c r="F547" t="inlineStr">
        <is>
          <t>NORRBOTTENS LÄN</t>
        </is>
      </c>
      <c r="G547" t="inlineStr">
        <is>
          <t>BODEN</t>
        </is>
      </c>
      <c r="I547" t="n">
        <v>18.6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62992-2025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46009</v>
      </c>
      <c r="E548" s="1" t="n">
        <v>46220</v>
      </c>
      <c r="F548" t="inlineStr">
        <is>
          <t>NORRBOTTENS LÄN</t>
        </is>
      </c>
      <c r="G548" t="inlineStr">
        <is>
          <t>BODEN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46220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statliga verk och myndigheter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45691</v>
      </c>
      <c r="E550" s="1" t="n">
        <v>46220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13714-2022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44648</v>
      </c>
      <c r="E551" s="1" t="n">
        <v>46220</v>
      </c>
      <c r="F551" t="inlineStr">
        <is>
          <t>NORRBOTTENS LÄN</t>
        </is>
      </c>
      <c r="G551" t="inlineStr">
        <is>
          <t>BODEN</t>
        </is>
      </c>
      <c r="H551" t="inlineStr">
        <is>
          <t>Sveaskog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63399-2025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46012</v>
      </c>
      <c r="E552" s="1" t="n">
        <v>46220</v>
      </c>
      <c r="F552" t="inlineStr">
        <is>
          <t>NORRBOTTENS LÄN</t>
        </is>
      </c>
      <c r="G552" t="inlineStr">
        <is>
          <t>BODEN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63400-2025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46012</v>
      </c>
      <c r="E553" s="1" t="n">
        <v>46220</v>
      </c>
      <c r="F553" t="inlineStr">
        <is>
          <t>NORRBOTTENS LÄN</t>
        </is>
      </c>
      <c r="G553" t="inlineStr">
        <is>
          <t>BODEN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46220</v>
      </c>
      <c r="F554" t="inlineStr">
        <is>
          <t>NORRBOTTENS LÄN</t>
        </is>
      </c>
      <c r="G554" t="inlineStr">
        <is>
          <t>BODEN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10251-2026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46220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10231-2026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46220</v>
      </c>
      <c r="F556" t="inlineStr">
        <is>
          <t>NORRBOTTENS LÄN</t>
        </is>
      </c>
      <c r="G556" t="inlineStr">
        <is>
          <t>BODEN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467-2022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44565</v>
      </c>
      <c r="E557" s="1" t="n">
        <v>46220</v>
      </c>
      <c r="F557" t="inlineStr">
        <is>
          <t>NORRBOTTENS LÄN</t>
        </is>
      </c>
      <c r="G557" t="inlineStr">
        <is>
          <t>BODEN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63398-2025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46012</v>
      </c>
      <c r="E558" s="1" t="n">
        <v>46220</v>
      </c>
      <c r="F558" t="inlineStr">
        <is>
          <t>NORRBOTTENS LÄN</t>
        </is>
      </c>
      <c r="G558" t="inlineStr">
        <is>
          <t>BODEN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10234-2026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46220</v>
      </c>
      <c r="F559" t="inlineStr">
        <is>
          <t>NORRBOTTENS LÄN</t>
        </is>
      </c>
      <c r="G559" t="inlineStr">
        <is>
          <t>BODEN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61743-2024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45649</v>
      </c>
      <c r="E560" s="1" t="n">
        <v>46220</v>
      </c>
      <c r="F560" t="inlineStr">
        <is>
          <t>NORRBOTTENS LÄN</t>
        </is>
      </c>
      <c r="G560" t="inlineStr">
        <is>
          <t>BODEN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44553-2024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45574</v>
      </c>
      <c r="E561" s="1" t="n">
        <v>46220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45301</v>
      </c>
      <c r="E562" s="1" t="n">
        <v>46220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statliga verk och myndigheter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11632-2026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46220</v>
      </c>
      <c r="F563" t="inlineStr">
        <is>
          <t>NORRBOTTENS LÄN</t>
        </is>
      </c>
      <c r="G563" t="inlineStr">
        <is>
          <t>BODEN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11633-2026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46220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18173-2025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45761</v>
      </c>
      <c r="E565" s="1" t="n">
        <v>46220</v>
      </c>
      <c r="F565" t="inlineStr">
        <is>
          <t>NORRBOTTENS LÄN</t>
        </is>
      </c>
      <c r="G565" t="inlineStr">
        <is>
          <t>BODEN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11569-2026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46220</v>
      </c>
      <c r="F566" t="inlineStr">
        <is>
          <t>NORRBOTTENS LÄN</t>
        </is>
      </c>
      <c r="G566" t="inlineStr">
        <is>
          <t>BODEN</t>
        </is>
      </c>
      <c r="I566" t="n">
        <v>9.199999999999999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16180-2025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45750</v>
      </c>
      <c r="E567" s="1" t="n">
        <v>46220</v>
      </c>
      <c r="F567" t="inlineStr">
        <is>
          <t>NORRBOTTENS LÄN</t>
        </is>
      </c>
      <c r="G567" t="inlineStr">
        <is>
          <t>BODEN</t>
        </is>
      </c>
      <c r="H567" t="inlineStr">
        <is>
          <t>Övriga Aktiebolag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11636-2026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46084</v>
      </c>
      <c r="E568" s="1" t="n">
        <v>46220</v>
      </c>
      <c r="F568" t="inlineStr">
        <is>
          <t>NORRBOTTENS LÄN</t>
        </is>
      </c>
      <c r="G568" t="inlineStr">
        <is>
          <t>BODEN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11631-2026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46220</v>
      </c>
      <c r="F569" t="inlineStr">
        <is>
          <t>NORRBOTTENS LÄN</t>
        </is>
      </c>
      <c r="G569" t="inlineStr">
        <is>
          <t>BODEN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12183-2026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46220</v>
      </c>
      <c r="F570" t="inlineStr">
        <is>
          <t>NORRBOTTENS LÄN</t>
        </is>
      </c>
      <c r="G570" t="inlineStr">
        <is>
          <t>BODEN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12338-2026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46220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61260-2023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45264</v>
      </c>
      <c r="E572" s="1" t="n">
        <v>46220</v>
      </c>
      <c r="F572" t="inlineStr">
        <is>
          <t>NORRBOTTENS LÄN</t>
        </is>
      </c>
      <c r="G572" t="inlineStr">
        <is>
          <t>BODEN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5452-2025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45692</v>
      </c>
      <c r="E573" s="1" t="n">
        <v>46220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12875-2026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46220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59029-2022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44903</v>
      </c>
      <c r="E575" s="1" t="n">
        <v>46220</v>
      </c>
      <c r="F575" t="inlineStr">
        <is>
          <t>NORRBOTTENS LÄN</t>
        </is>
      </c>
      <c r="G575" t="inlineStr">
        <is>
          <t>BODEN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19757-2025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46220</v>
      </c>
      <c r="F576" t="inlineStr">
        <is>
          <t>NORRBOTTENS LÄN</t>
        </is>
      </c>
      <c r="G576" t="inlineStr">
        <is>
          <t>BODEN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46220</v>
      </c>
      <c r="F577" t="inlineStr">
        <is>
          <t>NORRBOTTENS LÄN</t>
        </is>
      </c>
      <c r="G577" t="inlineStr">
        <is>
          <t>BODEN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13717-2026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46097</v>
      </c>
      <c r="E578" s="1" t="n">
        <v>46220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45376-2025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45922</v>
      </c>
      <c r="E579" s="1" t="n">
        <v>46220</v>
      </c>
      <c r="F579" t="inlineStr">
        <is>
          <t>NORRBOTTENS LÄN</t>
        </is>
      </c>
      <c r="G579" t="inlineStr">
        <is>
          <t>BODEN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48415-2024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45590</v>
      </c>
      <c r="E580" s="1" t="n">
        <v>46220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48471-2024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45591</v>
      </c>
      <c r="E581" s="1" t="n">
        <v>46220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48472-2024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45591</v>
      </c>
      <c r="E582" s="1" t="n">
        <v>46220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14325-2026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46220</v>
      </c>
      <c r="F583" t="inlineStr">
        <is>
          <t>NORRBOTTENS LÄN</t>
        </is>
      </c>
      <c r="G583" t="inlineStr">
        <is>
          <t>BODEN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18002-2025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45761</v>
      </c>
      <c r="E584" s="1" t="n">
        <v>46220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statliga verk och myndigheter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14245-2026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46099</v>
      </c>
      <c r="E585" s="1" t="n">
        <v>46220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18569-2024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45425</v>
      </c>
      <c r="E586" s="1" t="n">
        <v>46220</v>
      </c>
      <c r="F586" t="inlineStr">
        <is>
          <t>NORRBOTTENS LÄN</t>
        </is>
      </c>
      <c r="G586" t="inlineStr">
        <is>
          <t>BODEN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15017-2022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44657</v>
      </c>
      <c r="E587" s="1" t="n">
        <v>46220</v>
      </c>
      <c r="F587" t="inlineStr">
        <is>
          <t>NORRBOTTENS LÄN</t>
        </is>
      </c>
      <c r="G587" t="inlineStr">
        <is>
          <t>BODEN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14984-2026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46220</v>
      </c>
      <c r="F588" t="inlineStr">
        <is>
          <t>NORRBOTTENS LÄN</t>
        </is>
      </c>
      <c r="G588" t="inlineStr">
        <is>
          <t>BODEN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15342-2026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46105</v>
      </c>
      <c r="E589" s="1" t="n">
        <v>46220</v>
      </c>
      <c r="F589" t="inlineStr">
        <is>
          <t>NORRBOTTENS LÄN</t>
        </is>
      </c>
      <c r="G589" t="inlineStr">
        <is>
          <t>BODEN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46564-2022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44847</v>
      </c>
      <c r="E590" s="1" t="n">
        <v>46220</v>
      </c>
      <c r="F590" t="inlineStr">
        <is>
          <t>NORRBOTTENS LÄN</t>
        </is>
      </c>
      <c r="G590" t="inlineStr">
        <is>
          <t>BODEN</t>
        </is>
      </c>
      <c r="I590" t="n">
        <v>28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49162-2023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45210</v>
      </c>
      <c r="E591" s="1" t="n">
        <v>46220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1497-2022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44573</v>
      </c>
      <c r="E592" s="1" t="n">
        <v>46220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48950-2022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44859</v>
      </c>
      <c r="E593" s="1" t="n">
        <v>46220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8869-2024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45356</v>
      </c>
      <c r="E594" s="1" t="n">
        <v>46220</v>
      </c>
      <c r="F594" t="inlineStr">
        <is>
          <t>NORRBOTTENS LÄN</t>
        </is>
      </c>
      <c r="G594" t="inlineStr">
        <is>
          <t>BODEN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37984-2024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46220</v>
      </c>
      <c r="F595" t="inlineStr">
        <is>
          <t>NORRBOTTENS LÄN</t>
        </is>
      </c>
      <c r="G595" t="inlineStr">
        <is>
          <t>BODEN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2682-2024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46220</v>
      </c>
      <c r="F596" t="inlineStr">
        <is>
          <t>NORRBOTTENS LÄN</t>
        </is>
      </c>
      <c r="G596" t="inlineStr">
        <is>
          <t>BODEN</t>
        </is>
      </c>
      <c r="I596" t="n">
        <v>17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19563-2024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46220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6693-2023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44963</v>
      </c>
      <c r="E598" s="1" t="n">
        <v>46220</v>
      </c>
      <c r="F598" t="inlineStr">
        <is>
          <t>NORRBOTTENS LÄN</t>
        </is>
      </c>
      <c r="G598" t="inlineStr">
        <is>
          <t>BODEN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46183-2021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44441</v>
      </c>
      <c r="E599" s="1" t="n">
        <v>46220</v>
      </c>
      <c r="F599" t="inlineStr">
        <is>
          <t>NORRBOTTENS LÄN</t>
        </is>
      </c>
      <c r="G599" t="inlineStr">
        <is>
          <t>BODEN</t>
        </is>
      </c>
      <c r="I599" t="n">
        <v>13.6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31456-2024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45505</v>
      </c>
      <c r="E600" s="1" t="n">
        <v>46220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57575-2025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45980</v>
      </c>
      <c r="E601" s="1" t="n">
        <v>46220</v>
      </c>
      <c r="F601" t="inlineStr">
        <is>
          <t>NORRBOTTENS LÄN</t>
        </is>
      </c>
      <c r="G601" t="inlineStr">
        <is>
          <t>BODEN</t>
        </is>
      </c>
      <c r="I601" t="n">
        <v>19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9969-2023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44979</v>
      </c>
      <c r="E602" s="1" t="n">
        <v>46220</v>
      </c>
      <c r="F602" t="inlineStr">
        <is>
          <t>NORRBOTTENS LÄN</t>
        </is>
      </c>
      <c r="G602" t="inlineStr">
        <is>
          <t>BODEN</t>
        </is>
      </c>
      <c r="H602" t="inlineStr">
        <is>
          <t>Övriga statliga verk och myndigheter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17909-2026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46122</v>
      </c>
      <c r="E603" s="1" t="n">
        <v>46220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26806-2024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45470</v>
      </c>
      <c r="E604" s="1" t="n">
        <v>46220</v>
      </c>
      <c r="F604" t="inlineStr">
        <is>
          <t>NORRBOTTENS LÄN</t>
        </is>
      </c>
      <c r="G604" t="inlineStr">
        <is>
          <t>BODEN</t>
        </is>
      </c>
      <c r="H604" t="inlineStr">
        <is>
          <t>Övriga Aktiebolag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17810-2026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46122</v>
      </c>
      <c r="E605" s="1" t="n">
        <v>46220</v>
      </c>
      <c r="F605" t="inlineStr">
        <is>
          <t>NORRBOTTENS LÄN</t>
        </is>
      </c>
      <c r="G605" t="inlineStr">
        <is>
          <t>BODEN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18221-2026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46126</v>
      </c>
      <c r="E606" s="1" t="n">
        <v>46220</v>
      </c>
      <c r="F606" t="inlineStr">
        <is>
          <t>NORRBOTTENS LÄN</t>
        </is>
      </c>
      <c r="G606" t="inlineStr">
        <is>
          <t>BODEN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18401-2026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46126</v>
      </c>
      <c r="E607" s="1" t="n">
        <v>46220</v>
      </c>
      <c r="F607" t="inlineStr">
        <is>
          <t>NORRBOTTENS LÄN</t>
        </is>
      </c>
      <c r="G607" t="inlineStr">
        <is>
          <t>BODEN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18448-2026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46220</v>
      </c>
      <c r="F608" t="inlineStr">
        <is>
          <t>NORRBOTTENS LÄN</t>
        </is>
      </c>
      <c r="G608" t="inlineStr">
        <is>
          <t>BODEN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68591-2021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44529</v>
      </c>
      <c r="E609" s="1" t="n">
        <v>46220</v>
      </c>
      <c r="F609" t="inlineStr">
        <is>
          <t>NORRBOTTENS LÄN</t>
        </is>
      </c>
      <c r="G609" t="inlineStr">
        <is>
          <t>BODEN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44567-2024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45574</v>
      </c>
      <c r="E610" s="1" t="n">
        <v>46220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19050-2026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46220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19051-2025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46220</v>
      </c>
      <c r="F612" t="inlineStr">
        <is>
          <t>NORRBOTTENS LÄN</t>
        </is>
      </c>
      <c r="G612" t="inlineStr">
        <is>
          <t>BODEN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19091-2026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46220</v>
      </c>
      <c r="F613" t="inlineStr">
        <is>
          <t>NORRBOTTENS LÄN</t>
        </is>
      </c>
      <c r="G613" t="inlineStr">
        <is>
          <t>BODEN</t>
        </is>
      </c>
      <c r="I613" t="n">
        <v>11.7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19200-2026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46132</v>
      </c>
      <c r="E614" s="1" t="n">
        <v>46220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19049-2026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46220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62589-2025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46220</v>
      </c>
      <c r="F616" t="inlineStr">
        <is>
          <t>NORRBOTTENS LÄN</t>
        </is>
      </c>
      <c r="G616" t="inlineStr">
        <is>
          <t>BODEN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14757-2023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46220</v>
      </c>
      <c r="F617" t="inlineStr">
        <is>
          <t>NORRBOTTENS LÄN</t>
        </is>
      </c>
      <c r="G617" t="inlineStr">
        <is>
          <t>BODEN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20069-2026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46220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10254-2026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46220</v>
      </c>
      <c r="F619" t="inlineStr">
        <is>
          <t>NORRBOTTENS LÄN</t>
        </is>
      </c>
      <c r="G619" t="inlineStr">
        <is>
          <t>BODEN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6244-2023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44964</v>
      </c>
      <c r="E620" s="1" t="n">
        <v>46220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19624-2025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46220</v>
      </c>
      <c r="F621" t="inlineStr">
        <is>
          <t>NORRBOTTENS LÄN</t>
        </is>
      </c>
      <c r="G621" t="inlineStr">
        <is>
          <t>BODEN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59893-2023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45254</v>
      </c>
      <c r="E622" s="1" t="n">
        <v>46220</v>
      </c>
      <c r="F622" t="inlineStr">
        <is>
          <t>NORRBOTTENS LÄN</t>
        </is>
      </c>
      <c r="G622" t="inlineStr">
        <is>
          <t>BODEN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62017-2025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46003</v>
      </c>
      <c r="E623" s="1" t="n">
        <v>46220</v>
      </c>
      <c r="F623" t="inlineStr">
        <is>
          <t>NORRBOTTENS LÄN</t>
        </is>
      </c>
      <c r="G623" t="inlineStr">
        <is>
          <t>BODEN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35040-2022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44796</v>
      </c>
      <c r="E624" s="1" t="n">
        <v>46220</v>
      </c>
      <c r="F624" t="inlineStr">
        <is>
          <t>NORRBOTTENS LÄN</t>
        </is>
      </c>
      <c r="G624" t="inlineStr">
        <is>
          <t>BODEN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57600-2021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44484</v>
      </c>
      <c r="E625" s="1" t="n">
        <v>46220</v>
      </c>
      <c r="F625" t="inlineStr">
        <is>
          <t>NORRBOTTENS LÄN</t>
        </is>
      </c>
      <c r="G625" t="inlineStr">
        <is>
          <t>BODEN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26056-2026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46220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46029</v>
      </c>
      <c r="E627" s="1" t="n">
        <v>46220</v>
      </c>
      <c r="F627" t="inlineStr">
        <is>
          <t>NORRBOTTENS LÄN</t>
        </is>
      </c>
      <c r="G627" t="inlineStr">
        <is>
          <t>BODEN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5792-2025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45694</v>
      </c>
      <c r="E628" s="1" t="n">
        <v>46220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33915-2024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45523</v>
      </c>
      <c r="E629" s="1" t="n">
        <v>46220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60776-2025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45999</v>
      </c>
      <c r="E630" s="1" t="n">
        <v>46220</v>
      </c>
      <c r="F630" t="inlineStr">
        <is>
          <t>NORRBOTTENS LÄN</t>
        </is>
      </c>
      <c r="G630" t="inlineStr">
        <is>
          <t>BODEN</t>
        </is>
      </c>
      <c r="I630" t="n">
        <v>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36112-2023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45149</v>
      </c>
      <c r="E631" s="1" t="n">
        <v>46220</v>
      </c>
      <c r="F631" t="inlineStr">
        <is>
          <t>NORRBOTTENS LÄN</t>
        </is>
      </c>
      <c r="G631" t="inlineStr">
        <is>
          <t>BODEN</t>
        </is>
      </c>
      <c r="I631" t="n">
        <v>16.1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20505-2023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45054</v>
      </c>
      <c r="E632" s="1" t="n">
        <v>46220</v>
      </c>
      <c r="F632" t="inlineStr">
        <is>
          <t>NORRBOTTENS LÄN</t>
        </is>
      </c>
      <c r="G632" t="inlineStr">
        <is>
          <t>BODEN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21335-2024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45429</v>
      </c>
      <c r="E633" s="1" t="n">
        <v>46220</v>
      </c>
      <c r="F633" t="inlineStr">
        <is>
          <t>NORRBOTTENS LÄN</t>
        </is>
      </c>
      <c r="G633" t="inlineStr">
        <is>
          <t>BODEN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61988-2025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46003</v>
      </c>
      <c r="E634" s="1" t="n">
        <v>46220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25916-2023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45085</v>
      </c>
      <c r="E635" s="1" t="n">
        <v>46220</v>
      </c>
      <c r="F635" t="inlineStr">
        <is>
          <t>NORRBOTTENS LÄN</t>
        </is>
      </c>
      <c r="G635" t="inlineStr">
        <is>
          <t>BODEN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16700-2024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45408</v>
      </c>
      <c r="E636" s="1" t="n">
        <v>46220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26122-2026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46181</v>
      </c>
      <c r="E637" s="1" t="n">
        <v>46220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64649-2023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46220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25817-2026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46178</v>
      </c>
      <c r="E639" s="1" t="n">
        <v>46220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50561-2025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45944</v>
      </c>
      <c r="E640" s="1" t="n">
        <v>46220</v>
      </c>
      <c r="F640" t="inlineStr">
        <is>
          <t>NORRBOTTENS LÄN</t>
        </is>
      </c>
      <c r="G640" t="inlineStr">
        <is>
          <t>BODEN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59028-2022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44903</v>
      </c>
      <c r="E641" s="1" t="n">
        <v>46220</v>
      </c>
      <c r="F641" t="inlineStr">
        <is>
          <t>NORRBOTTENS LÄN</t>
        </is>
      </c>
      <c r="G641" t="inlineStr">
        <is>
          <t>BODEN</t>
        </is>
      </c>
      <c r="I641" t="n">
        <v>16.1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35755-2025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45860</v>
      </c>
      <c r="E642" s="1" t="n">
        <v>46220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49127-2023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45210</v>
      </c>
      <c r="E643" s="1" t="n">
        <v>46220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43007-2022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44833</v>
      </c>
      <c r="E644" s="1" t="n">
        <v>46220</v>
      </c>
      <c r="F644" t="inlineStr">
        <is>
          <t>NORRBOTTENS LÄN</t>
        </is>
      </c>
      <c r="G644" t="inlineStr">
        <is>
          <t>BODEN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67438-2021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44524</v>
      </c>
      <c r="E645" s="1" t="n">
        <v>46220</v>
      </c>
      <c r="F645" t="inlineStr">
        <is>
          <t>NORRBOTTENS LÄN</t>
        </is>
      </c>
      <c r="G645" t="inlineStr">
        <is>
          <t>BODEN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48459-2025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45935</v>
      </c>
      <c r="E646" s="1" t="n">
        <v>46220</v>
      </c>
      <c r="F646" t="inlineStr">
        <is>
          <t>NORRBOTTENS LÄN</t>
        </is>
      </c>
      <c r="G646" t="inlineStr">
        <is>
          <t>BODEN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46512-2021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44445</v>
      </c>
      <c r="E647" s="1" t="n">
        <v>46220</v>
      </c>
      <c r="F647" t="inlineStr">
        <is>
          <t>NORRBOTTENS LÄN</t>
        </is>
      </c>
      <c r="G647" t="inlineStr">
        <is>
          <t>BODEN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49859-2023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45212</v>
      </c>
      <c r="E648" s="1" t="n">
        <v>46220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21421-2022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44706</v>
      </c>
      <c r="E649" s="1" t="n">
        <v>46220</v>
      </c>
      <c r="F649" t="inlineStr">
        <is>
          <t>NORRBOTTENS LÄN</t>
        </is>
      </c>
      <c r="G649" t="inlineStr">
        <is>
          <t>BODEN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28432-2022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44747</v>
      </c>
      <c r="E650" s="1" t="n">
        <v>46220</v>
      </c>
      <c r="F650" t="inlineStr">
        <is>
          <t>NORRBOTTENS LÄN</t>
        </is>
      </c>
      <c r="G650" t="inlineStr">
        <is>
          <t>BODEN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16741-2022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44673</v>
      </c>
      <c r="E651" s="1" t="n">
        <v>46220</v>
      </c>
      <c r="F651" t="inlineStr">
        <is>
          <t>NORRBOTTENS LÄN</t>
        </is>
      </c>
      <c r="G651" t="inlineStr">
        <is>
          <t>BODEN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56139-2024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45624</v>
      </c>
      <c r="E652" s="1" t="n">
        <v>46220</v>
      </c>
      <c r="F652" t="inlineStr">
        <is>
          <t>NORRBOTTENS LÄN</t>
        </is>
      </c>
      <c r="G652" t="inlineStr">
        <is>
          <t>BODEN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38994-2024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45548</v>
      </c>
      <c r="E653" s="1" t="n">
        <v>46220</v>
      </c>
      <c r="F653" t="inlineStr">
        <is>
          <t>NORRBOTTENS LÄN</t>
        </is>
      </c>
      <c r="G653" t="inlineStr">
        <is>
          <t>BODEN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14995-2022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44657</v>
      </c>
      <c r="E654" s="1" t="n">
        <v>46220</v>
      </c>
      <c r="F654" t="inlineStr">
        <is>
          <t>NORRBOTTENS LÄN</t>
        </is>
      </c>
      <c r="G654" t="inlineStr">
        <is>
          <t>BODEN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15000-2022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44657</v>
      </c>
      <c r="E655" s="1" t="n">
        <v>46220</v>
      </c>
      <c r="F655" t="inlineStr">
        <is>
          <t>NORRBOTTENS LÄN</t>
        </is>
      </c>
      <c r="G655" t="inlineStr">
        <is>
          <t>BODEN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32775-2025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45839</v>
      </c>
      <c r="E656" s="1" t="n">
        <v>46220</v>
      </c>
      <c r="F656" t="inlineStr">
        <is>
          <t>NORRBOTTENS LÄN</t>
        </is>
      </c>
      <c r="G656" t="inlineStr">
        <is>
          <t>BODEN</t>
        </is>
      </c>
      <c r="I656" t="n">
        <v>13.6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26494-2026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46220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6776-2023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44966</v>
      </c>
      <c r="E658" s="1" t="n">
        <v>46220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26375-2026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46220</v>
      </c>
      <c r="F659" t="inlineStr">
        <is>
          <t>NORRBOTTENS LÄN</t>
        </is>
      </c>
      <c r="G659" t="inlineStr">
        <is>
          <t>BODEN</t>
        </is>
      </c>
      <c r="I659" t="n">
        <v>18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24498-2026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46220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46220</v>
      </c>
      <c r="F661" t="inlineStr">
        <is>
          <t>NORRBOTTENS LÄN</t>
        </is>
      </c>
      <c r="G661" t="inlineStr">
        <is>
          <t>BODEN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47024-2024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45586</v>
      </c>
      <c r="E662" s="1" t="n">
        <v>46220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12.8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48592-2024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45593</v>
      </c>
      <c r="E663" s="1" t="n">
        <v>46220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26182-2026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46220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46220</v>
      </c>
      <c r="F665" t="inlineStr">
        <is>
          <t>NORRBOTTENS LÄN</t>
        </is>
      </c>
      <c r="G665" t="inlineStr">
        <is>
          <t>BODEN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19528-2024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45429</v>
      </c>
      <c r="E666" s="1" t="n">
        <v>46220</v>
      </c>
      <c r="F666" t="inlineStr">
        <is>
          <t>NORRBOTTENS LÄN</t>
        </is>
      </c>
      <c r="G666" t="inlineStr">
        <is>
          <t>BODEN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19533-2024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45429</v>
      </c>
      <c r="E667" s="1" t="n">
        <v>46220</v>
      </c>
      <c r="F667" t="inlineStr">
        <is>
          <t>NORRBOTTENS LÄN</t>
        </is>
      </c>
      <c r="G667" t="inlineStr">
        <is>
          <t>BODEN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25920-2023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45085</v>
      </c>
      <c r="E668" s="1" t="n">
        <v>46220</v>
      </c>
      <c r="F668" t="inlineStr">
        <is>
          <t>NORRBOTTENS LÄN</t>
        </is>
      </c>
      <c r="G668" t="inlineStr">
        <is>
          <t>BODEN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11634-2026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46220</v>
      </c>
      <c r="F669" t="inlineStr">
        <is>
          <t>NORRBOTTENS LÄN</t>
        </is>
      </c>
      <c r="G669" t="inlineStr">
        <is>
          <t>BODEN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10240-2026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46076</v>
      </c>
      <c r="E670" s="1" t="n">
        <v>46220</v>
      </c>
      <c r="F670" t="inlineStr">
        <is>
          <t>NORRBOTTENS LÄN</t>
        </is>
      </c>
      <c r="G670" t="inlineStr">
        <is>
          <t>BODEN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31195-2025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45832</v>
      </c>
      <c r="E671" s="1" t="n">
        <v>46220</v>
      </c>
      <c r="F671" t="inlineStr">
        <is>
          <t>NORRBOTTENS LÄN</t>
        </is>
      </c>
      <c r="G671" t="inlineStr">
        <is>
          <t>BODEN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26386-2026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46220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28248-2025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45818</v>
      </c>
      <c r="E673" s="1" t="n">
        <v>46220</v>
      </c>
      <c r="F673" t="inlineStr">
        <is>
          <t>NORRBOTTENS LÄN</t>
        </is>
      </c>
      <c r="G673" t="inlineStr">
        <is>
          <t>BODEN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61214-2024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45645</v>
      </c>
      <c r="E674" s="1" t="n">
        <v>46220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45483</v>
      </c>
      <c r="E675" s="1" t="n">
        <v>46220</v>
      </c>
      <c r="F675" t="inlineStr">
        <is>
          <t>NORRBOTTENS LÄN</t>
        </is>
      </c>
      <c r="G675" t="inlineStr">
        <is>
          <t>BODEN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36915-2023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45153</v>
      </c>
      <c r="E676" s="1" t="n">
        <v>46220</v>
      </c>
      <c r="F676" t="inlineStr">
        <is>
          <t>NORRBOTTENS LÄN</t>
        </is>
      </c>
      <c r="G676" t="inlineStr">
        <is>
          <t>BODEN</t>
        </is>
      </c>
      <c r="I676" t="n">
        <v>7.5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31754-2024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46220</v>
      </c>
      <c r="F677" t="inlineStr">
        <is>
          <t>NORRBOTTENS LÄN</t>
        </is>
      </c>
      <c r="G677" t="inlineStr">
        <is>
          <t>BODEN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26714-2026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46220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59688-2023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45256</v>
      </c>
      <c r="E679" s="1" t="n">
        <v>46220</v>
      </c>
      <c r="F679" t="inlineStr">
        <is>
          <t>NORRBOTTENS LÄN</t>
        </is>
      </c>
      <c r="G679" t="inlineStr">
        <is>
          <t>BODEN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42196-2024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46220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26776-2026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46220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  <c r="X681">
        <f>HYPERLINK("https://klasma.github.io/Logging_2582/knärot/A 26776-2026 karta knärot.png", "A 26776-2026")</f>
        <v/>
      </c>
      <c r="Y681">
        <f>HYPERLINK("https://klasma.github.io/Logging_2582/klagomål/A 26776-2026 FSC-klagomål.docx", "A 26776-2026")</f>
        <v/>
      </c>
      <c r="Z681">
        <f>HYPERLINK("https://klasma.github.io/Logging_2582/klagomålsmail/A 26776-2026 FSC-klagomål mail.docx", "A 26776-2026")</f>
        <v/>
      </c>
      <c r="AA681">
        <f>HYPERLINK("https://klasma.github.io/Logging_2582/tillsyn/A 26776-2026 tillsynsbegäran.docx", "A 26776-2026")</f>
        <v/>
      </c>
      <c r="AB681">
        <f>HYPERLINK("https://klasma.github.io/Logging_2582/tillsynsmail/A 26776-2026 tillsynsbegäran mail.docx", "A 26776-2026")</f>
        <v/>
      </c>
    </row>
    <row r="682" ht="15" customHeight="1">
      <c r="A682" t="inlineStr">
        <is>
          <t>A 61932-2024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45653</v>
      </c>
      <c r="E682" s="1" t="n">
        <v>46220</v>
      </c>
      <c r="F682" t="inlineStr">
        <is>
          <t>NORRBOTTENS LÄN</t>
        </is>
      </c>
      <c r="G682" t="inlineStr">
        <is>
          <t>BODEN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26662-2026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46220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42.2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57968-2023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45247</v>
      </c>
      <c r="E684" s="1" t="n">
        <v>46220</v>
      </c>
      <c r="F684" t="inlineStr">
        <is>
          <t>NORRBOTTENS LÄN</t>
        </is>
      </c>
      <c r="G684" t="inlineStr">
        <is>
          <t>BODEN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26996-2026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46220</v>
      </c>
      <c r="F685" t="inlineStr">
        <is>
          <t>NORRBOTTENS LÄN</t>
        </is>
      </c>
      <c r="G685" t="inlineStr">
        <is>
          <t>BODEN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31007-2024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45499</v>
      </c>
      <c r="E686" s="1" t="n">
        <v>46220</v>
      </c>
      <c r="F686" t="inlineStr">
        <is>
          <t>NORRBOTTENS LÄN</t>
        </is>
      </c>
      <c r="G686" t="inlineStr">
        <is>
          <t>BODEN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37384-2023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45156</v>
      </c>
      <c r="E687" s="1" t="n">
        <v>46220</v>
      </c>
      <c r="F687" t="inlineStr">
        <is>
          <t>NORRBOTTENS LÄN</t>
        </is>
      </c>
      <c r="G687" t="inlineStr">
        <is>
          <t>BODEN</t>
        </is>
      </c>
      <c r="I687" t="n">
        <v>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21279-2026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46220</v>
      </c>
      <c r="F688" t="inlineStr">
        <is>
          <t>NORRBOTTENS LÄN</t>
        </is>
      </c>
      <c r="G688" t="inlineStr">
        <is>
          <t>BODEN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40115-2025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45893</v>
      </c>
      <c r="E689" s="1" t="n">
        <v>46220</v>
      </c>
      <c r="F689" t="inlineStr">
        <is>
          <t>NORRBOTTENS LÄN</t>
        </is>
      </c>
      <c r="G689" t="inlineStr">
        <is>
          <t>BODEN</t>
        </is>
      </c>
      <c r="H689" t="inlineStr">
        <is>
          <t>Övriga statliga verk och myndigheter</t>
        </is>
      </c>
      <c r="I689" t="n">
        <v>5.1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12893-2022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44642</v>
      </c>
      <c r="E690" s="1" t="n">
        <v>46220</v>
      </c>
      <c r="F690" t="inlineStr">
        <is>
          <t>NORRBOTTENS LÄN</t>
        </is>
      </c>
      <c r="G690" t="inlineStr">
        <is>
          <t>BODEN</t>
        </is>
      </c>
      <c r="H690" t="inlineStr">
        <is>
          <t>Övriga statliga verk och myndigheter</t>
        </is>
      </c>
      <c r="I690" t="n">
        <v>15.8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22458-2023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46220</v>
      </c>
      <c r="F691" t="inlineStr">
        <is>
          <t>NORRBOTTENS LÄN</t>
        </is>
      </c>
      <c r="G691" t="inlineStr">
        <is>
          <t>BODEN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58373-2022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44901</v>
      </c>
      <c r="E692" s="1" t="n">
        <v>46220</v>
      </c>
      <c r="F692" t="inlineStr">
        <is>
          <t>NORRBOTTENS LÄN</t>
        </is>
      </c>
      <c r="G692" t="inlineStr">
        <is>
          <t>BODEN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33511-2025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45841</v>
      </c>
      <c r="E693" s="1" t="n">
        <v>46220</v>
      </c>
      <c r="F693" t="inlineStr">
        <is>
          <t>NORRBOTTENS LÄN</t>
        </is>
      </c>
      <c r="G693" t="inlineStr">
        <is>
          <t>BODEN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45929-2023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45195</v>
      </c>
      <c r="E694" s="1" t="n">
        <v>46220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21478-2026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46220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27736-2026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46220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27698-2026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46190</v>
      </c>
      <c r="E697" s="1" t="n">
        <v>46220</v>
      </c>
      <c r="F697" t="inlineStr">
        <is>
          <t>NORRBOTTENS LÄN</t>
        </is>
      </c>
      <c r="G697" t="inlineStr">
        <is>
          <t>BODEN</t>
        </is>
      </c>
      <c r="I697" t="n">
        <v>22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21688-2026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46149</v>
      </c>
      <c r="E698" s="1" t="n">
        <v>46220</v>
      </c>
      <c r="F698" t="inlineStr">
        <is>
          <t>NORRBOTTENS LÄN</t>
        </is>
      </c>
      <c r="G698" t="inlineStr">
        <is>
          <t>BODEN</t>
        </is>
      </c>
      <c r="I698" t="n">
        <v>11.6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61750-2024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45649</v>
      </c>
      <c r="E699" s="1" t="n">
        <v>46220</v>
      </c>
      <c r="F699" t="inlineStr">
        <is>
          <t>NORRBOTTENS LÄN</t>
        </is>
      </c>
      <c r="G699" t="inlineStr">
        <is>
          <t>BODEN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47922-2024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45589</v>
      </c>
      <c r="E700" s="1" t="n">
        <v>46220</v>
      </c>
      <c r="F700" t="inlineStr">
        <is>
          <t>NORRBOTTENS LÄN</t>
        </is>
      </c>
      <c r="G700" t="inlineStr">
        <is>
          <t>BODEN</t>
        </is>
      </c>
      <c r="H700" t="inlineStr">
        <is>
          <t>Naturvårdsverket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47924-2024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45589</v>
      </c>
      <c r="E701" s="1" t="n">
        <v>46220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21610-2026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46149</v>
      </c>
      <c r="E702" s="1" t="n">
        <v>46220</v>
      </c>
      <c r="F702" t="inlineStr">
        <is>
          <t>NORRBOTTENS LÄN</t>
        </is>
      </c>
      <c r="G702" t="inlineStr">
        <is>
          <t>BODEN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21703-2026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46149</v>
      </c>
      <c r="E703" s="1" t="n">
        <v>46220</v>
      </c>
      <c r="F703" t="inlineStr">
        <is>
          <t>NORRBOTTENS LÄN</t>
        </is>
      </c>
      <c r="G703" t="inlineStr">
        <is>
          <t>BODEN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24744-2024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45460</v>
      </c>
      <c r="E704" s="1" t="n">
        <v>46220</v>
      </c>
      <c r="F704" t="inlineStr">
        <is>
          <t>NORRBOTTENS LÄN</t>
        </is>
      </c>
      <c r="G704" t="inlineStr">
        <is>
          <t>BODEN</t>
        </is>
      </c>
      <c r="H704" t="inlineStr">
        <is>
          <t>Övriga Aktiebolag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27749-2026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46191</v>
      </c>
      <c r="E705" s="1" t="n">
        <v>46220</v>
      </c>
      <c r="F705" t="inlineStr">
        <is>
          <t>NORRBOTTENS LÄN</t>
        </is>
      </c>
      <c r="G705" t="inlineStr">
        <is>
          <t>BODEN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22264-2026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46220</v>
      </c>
      <c r="F706" t="inlineStr">
        <is>
          <t>NORRBOTTENS LÄN</t>
        </is>
      </c>
      <c r="G706" t="inlineStr">
        <is>
          <t>BODEN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8028-2024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45350</v>
      </c>
      <c r="E707" s="1" t="n">
        <v>46220</v>
      </c>
      <c r="F707" t="inlineStr">
        <is>
          <t>NORRBOTTENS LÄN</t>
        </is>
      </c>
      <c r="G707" t="inlineStr">
        <is>
          <t>BODEN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22259-2026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46220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21784-2026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46220</v>
      </c>
      <c r="F709" t="inlineStr">
        <is>
          <t>NORRBOTTENS LÄN</t>
        </is>
      </c>
      <c r="G709" t="inlineStr">
        <is>
          <t>BODEN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16699-2024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46220</v>
      </c>
      <c r="F710" t="inlineStr">
        <is>
          <t>NORRBOTTENS LÄN</t>
        </is>
      </c>
      <c r="G710" t="inlineStr">
        <is>
          <t>BODEN</t>
        </is>
      </c>
      <c r="I710" t="n">
        <v>14.9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22373-2026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46220</v>
      </c>
      <c r="F711" t="inlineStr">
        <is>
          <t>NORRBOTTENS LÄN</t>
        </is>
      </c>
      <c r="G711" t="inlineStr">
        <is>
          <t>BODEN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61587-2024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45646</v>
      </c>
      <c r="E712" s="1" t="n">
        <v>46220</v>
      </c>
      <c r="F712" t="inlineStr">
        <is>
          <t>NORRBOTTENS LÄN</t>
        </is>
      </c>
      <c r="G712" t="inlineStr">
        <is>
          <t>BODEN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25627-2022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46220</v>
      </c>
      <c r="F713" t="inlineStr">
        <is>
          <t>NORRBOTTENS LÄN</t>
        </is>
      </c>
      <c r="G713" t="inlineStr">
        <is>
          <t>BODEN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2732-2025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45677</v>
      </c>
      <c r="E714" s="1" t="n">
        <v>46220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22560-2026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46220</v>
      </c>
      <c r="F715" t="inlineStr">
        <is>
          <t>NORRBOTTENS LÄN</t>
        </is>
      </c>
      <c r="G715" t="inlineStr">
        <is>
          <t>BODEN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61107-2022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44908</v>
      </c>
      <c r="E716" s="1" t="n">
        <v>46220</v>
      </c>
      <c r="F716" t="inlineStr">
        <is>
          <t>NORRBOTTENS LÄN</t>
        </is>
      </c>
      <c r="G716" t="inlineStr">
        <is>
          <t>BODEN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60085-2024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45639</v>
      </c>
      <c r="E717" s="1" t="n">
        <v>46220</v>
      </c>
      <c r="F717" t="inlineStr">
        <is>
          <t>NORRBOTTENS LÄN</t>
        </is>
      </c>
      <c r="G717" t="inlineStr">
        <is>
          <t>BODEN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22239-2026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46220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28496-2026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46197</v>
      </c>
      <c r="E719" s="1" t="n">
        <v>46220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50327-2023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45216</v>
      </c>
      <c r="E720" s="1" t="n">
        <v>46220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28509-2026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46197</v>
      </c>
      <c r="E721" s="1" t="n">
        <v>46220</v>
      </c>
      <c r="F721" t="inlineStr">
        <is>
          <t>NORRBOTTENS LÄN</t>
        </is>
      </c>
      <c r="G721" t="inlineStr">
        <is>
          <t>BODEN</t>
        </is>
      </c>
      <c r="I721" t="n">
        <v>8.9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24400-2022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44726</v>
      </c>
      <c r="E722" s="1" t="n">
        <v>46220</v>
      </c>
      <c r="F722" t="inlineStr">
        <is>
          <t>NORRBOTTENS LÄN</t>
        </is>
      </c>
      <c r="G722" t="inlineStr">
        <is>
          <t>BODEN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706-2022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44566</v>
      </c>
      <c r="E723" s="1" t="n">
        <v>46220</v>
      </c>
      <c r="F723" t="inlineStr">
        <is>
          <t>NORRBOTTENS LÄN</t>
        </is>
      </c>
      <c r="G723" t="inlineStr">
        <is>
          <t>BODEN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59035-2025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45988</v>
      </c>
      <c r="E724" s="1" t="n">
        <v>46220</v>
      </c>
      <c r="F724" t="inlineStr">
        <is>
          <t>NORRBOTTENS LÄN</t>
        </is>
      </c>
      <c r="G724" t="inlineStr">
        <is>
          <t>BODEN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28566-2026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46197</v>
      </c>
      <c r="E725" s="1" t="n">
        <v>46220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19068-2024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45427</v>
      </c>
      <c r="E726" s="1" t="n">
        <v>46220</v>
      </c>
      <c r="F726" t="inlineStr">
        <is>
          <t>NORRBOTTENS LÄN</t>
        </is>
      </c>
      <c r="G726" t="inlineStr">
        <is>
          <t>BODEN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45035-2022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44841</v>
      </c>
      <c r="E727" s="1" t="n">
        <v>46220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28512-2026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46197</v>
      </c>
      <c r="E728" s="1" t="n">
        <v>46220</v>
      </c>
      <c r="F728" t="inlineStr">
        <is>
          <t>NORRBOTTENS LÄN</t>
        </is>
      </c>
      <c r="G728" t="inlineStr">
        <is>
          <t>BODEN</t>
        </is>
      </c>
      <c r="I728" t="n">
        <v>10.8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21329-2024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45440</v>
      </c>
      <c r="E729" s="1" t="n">
        <v>46220</v>
      </c>
      <c r="F729" t="inlineStr">
        <is>
          <t>NORRBOTTENS LÄN</t>
        </is>
      </c>
      <c r="G729" t="inlineStr">
        <is>
          <t>BODEN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8873-2024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45356</v>
      </c>
      <c r="E730" s="1" t="n">
        <v>46220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46029</v>
      </c>
      <c r="E731" s="1" t="n">
        <v>46220</v>
      </c>
      <c r="F731" t="inlineStr">
        <is>
          <t>NORRBOTTENS LÄN</t>
        </is>
      </c>
      <c r="G731" t="inlineStr">
        <is>
          <t>BODEN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28490-2026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46197</v>
      </c>
      <c r="E732" s="1" t="n">
        <v>46220</v>
      </c>
      <c r="F732" t="inlineStr">
        <is>
          <t>NORRBOTTENS LÄN</t>
        </is>
      </c>
      <c r="G732" t="inlineStr">
        <is>
          <t>BODEN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28241-2026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46196</v>
      </c>
      <c r="E733" s="1" t="n">
        <v>46220</v>
      </c>
      <c r="F733" t="inlineStr">
        <is>
          <t>NORRBOTTENS LÄN</t>
        </is>
      </c>
      <c r="G733" t="inlineStr">
        <is>
          <t>BODEN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45115-2021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44438</v>
      </c>
      <c r="E734" s="1" t="n">
        <v>46220</v>
      </c>
      <c r="F734" t="inlineStr">
        <is>
          <t>NORRBOTTENS LÄN</t>
        </is>
      </c>
      <c r="G734" t="inlineStr">
        <is>
          <t>BODEN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28615-2026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46197</v>
      </c>
      <c r="E735" s="1" t="n">
        <v>46220</v>
      </c>
      <c r="F735" t="inlineStr">
        <is>
          <t>NORRBOTTENS LÄN</t>
        </is>
      </c>
      <c r="G735" t="inlineStr">
        <is>
          <t>BODEN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26022-2022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44734</v>
      </c>
      <c r="E736" s="1" t="n">
        <v>46220</v>
      </c>
      <c r="F736" t="inlineStr">
        <is>
          <t>NORRBOTTENS LÄN</t>
        </is>
      </c>
      <c r="G736" t="inlineStr">
        <is>
          <t>BODEN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61969-2024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45653</v>
      </c>
      <c r="E737" s="1" t="n">
        <v>46220</v>
      </c>
      <c r="F737" t="inlineStr">
        <is>
          <t>NORRBOTTENS LÄN</t>
        </is>
      </c>
      <c r="G737" t="inlineStr">
        <is>
          <t>BODEN</t>
        </is>
      </c>
      <c r="I737" t="n">
        <v>9.699999999999999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19584-2025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45770</v>
      </c>
      <c r="E738" s="1" t="n">
        <v>46220</v>
      </c>
      <c r="F738" t="inlineStr">
        <is>
          <t>NORRBOTTENS LÄN</t>
        </is>
      </c>
      <c r="G738" t="inlineStr">
        <is>
          <t>BODEN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37866-2024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45544</v>
      </c>
      <c r="E739" s="1" t="n">
        <v>46220</v>
      </c>
      <c r="F739" t="inlineStr">
        <is>
          <t>NORRBOTTENS LÄN</t>
        </is>
      </c>
      <c r="G739" t="inlineStr">
        <is>
          <t>BODEN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34760-2022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44795</v>
      </c>
      <c r="E740" s="1" t="n">
        <v>46220</v>
      </c>
      <c r="F740" t="inlineStr">
        <is>
          <t>NORRBOTTENS LÄN</t>
        </is>
      </c>
      <c r="G740" t="inlineStr">
        <is>
          <t>BODEN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29183-2026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46202</v>
      </c>
      <c r="E741" s="1" t="n">
        <v>46220</v>
      </c>
      <c r="F741" t="inlineStr">
        <is>
          <t>NORRBOTTENS LÄN</t>
        </is>
      </c>
      <c r="G741" t="inlineStr">
        <is>
          <t>BODEN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28139-2025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45818</v>
      </c>
      <c r="E742" s="1" t="n">
        <v>46220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15157-2025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45744</v>
      </c>
      <c r="E743" s="1" t="n">
        <v>46220</v>
      </c>
      <c r="F743" t="inlineStr">
        <is>
          <t>NORRBOTTENS LÄN</t>
        </is>
      </c>
      <c r="G743" t="inlineStr">
        <is>
          <t>BODEN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5129-2025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45691</v>
      </c>
      <c r="E744" s="1" t="n">
        <v>46220</v>
      </c>
      <c r="F744" t="inlineStr">
        <is>
          <t>NORRBOTTENS LÄN</t>
        </is>
      </c>
      <c r="G744" t="inlineStr">
        <is>
          <t>BODEN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38874-2023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45161</v>
      </c>
      <c r="E745" s="1" t="n">
        <v>46220</v>
      </c>
      <c r="F745" t="inlineStr">
        <is>
          <t>NORRBOTTENS LÄN</t>
        </is>
      </c>
      <c r="G745" t="inlineStr">
        <is>
          <t>BODEN</t>
        </is>
      </c>
      <c r="I745" t="n">
        <v>15.5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29394-2026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46220</v>
      </c>
      <c r="F746" t="inlineStr">
        <is>
          <t>NORRBOTTENS LÄN</t>
        </is>
      </c>
      <c r="G746" t="inlineStr">
        <is>
          <t>BODEN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60337-2024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45643</v>
      </c>
      <c r="E747" s="1" t="n">
        <v>46220</v>
      </c>
      <c r="F747" t="inlineStr">
        <is>
          <t>NORRBOTTENS LÄN</t>
        </is>
      </c>
      <c r="G747" t="inlineStr">
        <is>
          <t>BODEN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29393-2026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46203</v>
      </c>
      <c r="E748" s="1" t="n">
        <v>46220</v>
      </c>
      <c r="F748" t="inlineStr">
        <is>
          <t>NORRBOTTENS LÄN</t>
        </is>
      </c>
      <c r="G748" t="inlineStr">
        <is>
          <t>BODEN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37212-2025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45875</v>
      </c>
      <c r="E749" s="1" t="n">
        <v>46220</v>
      </c>
      <c r="F749" t="inlineStr">
        <is>
          <t>NORRBOTTENS LÄN</t>
        </is>
      </c>
      <c r="G749" t="inlineStr">
        <is>
          <t>BODEN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29152-2026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46202</v>
      </c>
      <c r="E750" s="1" t="n">
        <v>46220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29155-2026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46202</v>
      </c>
      <c r="E751" s="1" t="n">
        <v>46220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29147-2026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46202</v>
      </c>
      <c r="E752" s="1" t="n">
        <v>46220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45448-2023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45194</v>
      </c>
      <c r="E753" s="1" t="n">
        <v>46220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61103-2022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44908</v>
      </c>
      <c r="E754" s="1" t="n">
        <v>46220</v>
      </c>
      <c r="F754" t="inlineStr">
        <is>
          <t>NORRBOTTENS LÄN</t>
        </is>
      </c>
      <c r="G754" t="inlineStr">
        <is>
          <t>BODEN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9319-2024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45358</v>
      </c>
      <c r="E755" s="1" t="n">
        <v>46220</v>
      </c>
      <c r="F755" t="inlineStr">
        <is>
          <t>NORRBOTTENS LÄN</t>
        </is>
      </c>
      <c r="G755" t="inlineStr">
        <is>
          <t>BODEN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29746-2026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46220</v>
      </c>
      <c r="F756" t="inlineStr">
        <is>
          <t>NORRBOTTENS LÄN</t>
        </is>
      </c>
      <c r="G756" t="inlineStr">
        <is>
          <t>BODEN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29555-2026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46220</v>
      </c>
      <c r="F757" t="inlineStr">
        <is>
          <t>NORRBOTTENS LÄN</t>
        </is>
      </c>
      <c r="G757" t="inlineStr">
        <is>
          <t>BODEN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3459-2025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45680</v>
      </c>
      <c r="E758" s="1" t="n">
        <v>46220</v>
      </c>
      <c r="F758" t="inlineStr">
        <is>
          <t>NORRBOTTENS LÄN</t>
        </is>
      </c>
      <c r="G758" t="inlineStr">
        <is>
          <t>BODEN</t>
        </is>
      </c>
      <c r="H758" t="inlineStr">
        <is>
          <t>Naturvårdsverket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29759-2026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46220</v>
      </c>
      <c r="F759" t="inlineStr">
        <is>
          <t>NORRBOTTENS LÄN</t>
        </is>
      </c>
      <c r="G759" t="inlineStr">
        <is>
          <t>BODEN</t>
        </is>
      </c>
      <c r="I759" t="n">
        <v>38.7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43648-2023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45187</v>
      </c>
      <c r="E760" s="1" t="n">
        <v>46220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7.1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55540-2022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44887</v>
      </c>
      <c r="E761" s="1" t="n">
        <v>46220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39463-2023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45166</v>
      </c>
      <c r="E762" s="1" t="n">
        <v>46220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29568-2026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46220</v>
      </c>
      <c r="F763" t="inlineStr">
        <is>
          <t>NORRBOTTENS LÄN</t>
        </is>
      </c>
      <c r="G763" t="inlineStr">
        <is>
          <t>BODEN</t>
        </is>
      </c>
      <c r="I763" t="n">
        <v>12.2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61921-2024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45653</v>
      </c>
      <c r="E764" s="1" t="n">
        <v>46220</v>
      </c>
      <c r="F764" t="inlineStr">
        <is>
          <t>NORRBOTTENS LÄN</t>
        </is>
      </c>
      <c r="G764" t="inlineStr">
        <is>
          <t>BODEN</t>
        </is>
      </c>
      <c r="I764" t="n">
        <v>47.3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41212-2023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45174</v>
      </c>
      <c r="E765" s="1" t="n">
        <v>46220</v>
      </c>
      <c r="F765" t="inlineStr">
        <is>
          <t>NORRBOTTENS LÄN</t>
        </is>
      </c>
      <c r="G765" t="inlineStr">
        <is>
          <t>BODEN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4055-2024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45323</v>
      </c>
      <c r="E766" s="1" t="n">
        <v>46220</v>
      </c>
      <c r="F766" t="inlineStr">
        <is>
          <t>NORRBOTTENS LÄN</t>
        </is>
      </c>
      <c r="G766" t="inlineStr">
        <is>
          <t>BODEN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877-2023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44931</v>
      </c>
      <c r="E767" s="1" t="n">
        <v>46220</v>
      </c>
      <c r="F767" t="inlineStr">
        <is>
          <t>NORRBOTTENS LÄN</t>
        </is>
      </c>
      <c r="G767" t="inlineStr">
        <is>
          <t>BODEN</t>
        </is>
      </c>
      <c r="I767" t="n">
        <v>8.699999999999999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12801-2023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45001</v>
      </c>
      <c r="E768" s="1" t="n">
        <v>46220</v>
      </c>
      <c r="F768" t="inlineStr">
        <is>
          <t>NORRBOTTENS LÄN</t>
        </is>
      </c>
      <c r="G768" t="inlineStr">
        <is>
          <t>BODEN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2547-2025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45674</v>
      </c>
      <c r="E769" s="1" t="n">
        <v>46220</v>
      </c>
      <c r="F769" t="inlineStr">
        <is>
          <t>NORRBOTTENS LÄN</t>
        </is>
      </c>
      <c r="G769" t="inlineStr">
        <is>
          <t>BODEN</t>
        </is>
      </c>
      <c r="I769" t="n">
        <v>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20041-2025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45772</v>
      </c>
      <c r="E770" s="1" t="n">
        <v>46220</v>
      </c>
      <c r="F770" t="inlineStr">
        <is>
          <t>NORRBOTTENS LÄN</t>
        </is>
      </c>
      <c r="G770" t="inlineStr">
        <is>
          <t>BODEN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30077-2026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46206</v>
      </c>
      <c r="E771" s="1" t="n">
        <v>46220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19582-2025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45770</v>
      </c>
      <c r="E772" s="1" t="n">
        <v>46220</v>
      </c>
      <c r="F772" t="inlineStr">
        <is>
          <t>NORRBOTTENS LÄN</t>
        </is>
      </c>
      <c r="G772" t="inlineStr">
        <is>
          <t>BODEN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8170-2025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45708</v>
      </c>
      <c r="E773" s="1" t="n">
        <v>46220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Aktiebolag</t>
        </is>
      </c>
      <c r="I773" t="n">
        <v>15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40157-2025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45894</v>
      </c>
      <c r="E774" s="1" t="n">
        <v>46220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statliga verk och myndigheter</t>
        </is>
      </c>
      <c r="I774" t="n">
        <v>17.6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6242-2023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44964</v>
      </c>
      <c r="E775" s="1" t="n">
        <v>46220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46209</v>
      </c>
      <c r="E776" s="1" t="n">
        <v>46220</v>
      </c>
      <c r="F776" t="inlineStr">
        <is>
          <t>NORRBOTTENS LÄN</t>
        </is>
      </c>
      <c r="G776" t="inlineStr">
        <is>
          <t>BODEN</t>
        </is>
      </c>
      <c r="H776" t="inlineStr">
        <is>
          <t>Kommuner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30432-2026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46209</v>
      </c>
      <c r="E777" s="1" t="n">
        <v>46220</v>
      </c>
      <c r="F777" t="inlineStr">
        <is>
          <t>NORRBOTTENS LÄN</t>
        </is>
      </c>
      <c r="G777" t="inlineStr">
        <is>
          <t>BODEN</t>
        </is>
      </c>
      <c r="H777" t="inlineStr">
        <is>
          <t>Kommuner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23790-2026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46164</v>
      </c>
      <c r="E778" s="1" t="n">
        <v>46220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23792-2026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46164</v>
      </c>
      <c r="E779" s="1" t="n">
        <v>46220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30023-2026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46220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15.2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23788-2026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46164</v>
      </c>
      <c r="E781" s="1" t="n">
        <v>46220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30332-2026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46208</v>
      </c>
      <c r="E782" s="1" t="n">
        <v>46220</v>
      </c>
      <c r="F782" t="inlineStr">
        <is>
          <t>NORRBOTTENS LÄN</t>
        </is>
      </c>
      <c r="G782" t="inlineStr">
        <is>
          <t>BODEN</t>
        </is>
      </c>
      <c r="I782" t="n">
        <v>9.800000000000001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17417-2023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45035</v>
      </c>
      <c r="E783" s="1" t="n">
        <v>46220</v>
      </c>
      <c r="F783" t="inlineStr">
        <is>
          <t>NORRBOTTENS LÄN</t>
        </is>
      </c>
      <c r="G783" t="inlineStr">
        <is>
          <t>BODEN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30430-2026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46220</v>
      </c>
      <c r="F784" t="inlineStr">
        <is>
          <t>NORRBOTTENS LÄN</t>
        </is>
      </c>
      <c r="G784" t="inlineStr">
        <is>
          <t>BODEN</t>
        </is>
      </c>
      <c r="H784" t="inlineStr">
        <is>
          <t>Kommuner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23789-2026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46164</v>
      </c>
      <c r="E785" s="1" t="n">
        <v>46220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30025-2026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46220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5.2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28074-2024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45476</v>
      </c>
      <c r="E787" s="1" t="n">
        <v>46220</v>
      </c>
      <c r="F787" t="inlineStr">
        <is>
          <t>NORRBOTTENS LÄN</t>
        </is>
      </c>
      <c r="G787" t="inlineStr">
        <is>
          <t>BODEN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26964-2023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45093</v>
      </c>
      <c r="E788" s="1" t="n">
        <v>46220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16336-2026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46220</v>
      </c>
      <c r="F789" t="inlineStr">
        <is>
          <t>NORRBOTTENS LÄN</t>
        </is>
      </c>
      <c r="G789" t="inlineStr">
        <is>
          <t>BODEN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54590-2022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44883</v>
      </c>
      <c r="E790" s="1" t="n">
        <v>46220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24428-2026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46220</v>
      </c>
      <c r="F791" t="inlineStr">
        <is>
          <t>NORRBOTTENS LÄN</t>
        </is>
      </c>
      <c r="G791" t="inlineStr">
        <is>
          <t>BODEN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35115-2024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45529</v>
      </c>
      <c r="E792" s="1" t="n">
        <v>46220</v>
      </c>
      <c r="F792" t="inlineStr">
        <is>
          <t>NORRBOTTENS LÄN</t>
        </is>
      </c>
      <c r="G792" t="inlineStr">
        <is>
          <t>BODEN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24427-2026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46168</v>
      </c>
      <c r="E793" s="1" t="n">
        <v>46220</v>
      </c>
      <c r="F793" t="inlineStr">
        <is>
          <t>NORRBOTTENS LÄN</t>
        </is>
      </c>
      <c r="G793" t="inlineStr">
        <is>
          <t>BODEN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30105-2023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45099</v>
      </c>
      <c r="E794" s="1" t="n">
        <v>46220</v>
      </c>
      <c r="F794" t="inlineStr">
        <is>
          <t>NORRBOTTENS LÄN</t>
        </is>
      </c>
      <c r="G794" t="inlineStr">
        <is>
          <t>BODEN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57604-2021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44484</v>
      </c>
      <c r="E795" s="1" t="n">
        <v>46220</v>
      </c>
      <c r="F795" t="inlineStr">
        <is>
          <t>NORRBOTTENS LÄN</t>
        </is>
      </c>
      <c r="G795" t="inlineStr">
        <is>
          <t>BODEN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24431-2026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46220</v>
      </c>
      <c r="F796" t="inlineStr">
        <is>
          <t>NORRBOTTENS LÄN</t>
        </is>
      </c>
      <c r="G796" t="inlineStr">
        <is>
          <t>BODEN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24235-2026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46220</v>
      </c>
      <c r="F797" t="inlineStr">
        <is>
          <t>NORRBOTTENS LÄN</t>
        </is>
      </c>
      <c r="G797" t="inlineStr">
        <is>
          <t>BODEN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23706-2024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45454</v>
      </c>
      <c r="E798" s="1" t="n">
        <v>46220</v>
      </c>
      <c r="F798" t="inlineStr">
        <is>
          <t>NORRBOTTENS LÄN</t>
        </is>
      </c>
      <c r="G798" t="inlineStr">
        <is>
          <t>BODEN</t>
        </is>
      </c>
      <c r="I798" t="n">
        <v>10.9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8776-2022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44614</v>
      </c>
      <c r="E799" s="1" t="n">
        <v>46220</v>
      </c>
      <c r="F799" t="inlineStr">
        <is>
          <t>NORRBOTTENS LÄN</t>
        </is>
      </c>
      <c r="G799" t="inlineStr">
        <is>
          <t>BODEN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25387-2023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45079</v>
      </c>
      <c r="E800" s="1" t="n">
        <v>46220</v>
      </c>
      <c r="F800" t="inlineStr">
        <is>
          <t>NORRBOTTENS LÄN</t>
        </is>
      </c>
      <c r="G800" t="inlineStr">
        <is>
          <t>BODEN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24430-2026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46168</v>
      </c>
      <c r="E801" s="1" t="n">
        <v>46220</v>
      </c>
      <c r="F801" t="inlineStr">
        <is>
          <t>NORRBOTTENS LÄN</t>
        </is>
      </c>
      <c r="G801" t="inlineStr">
        <is>
          <t>BODEN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24234-2026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46168</v>
      </c>
      <c r="E802" s="1" t="n">
        <v>46220</v>
      </c>
      <c r="F802" t="inlineStr">
        <is>
          <t>NORRBOTTENS LÄN</t>
        </is>
      </c>
      <c r="G802" t="inlineStr">
        <is>
          <t>BODEN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45762</v>
      </c>
      <c r="E803" s="1" t="n">
        <v>46220</v>
      </c>
      <c r="F803" t="inlineStr">
        <is>
          <t>NORRBOTTENS LÄN</t>
        </is>
      </c>
      <c r="G803" t="inlineStr">
        <is>
          <t>BODEN</t>
        </is>
      </c>
      <c r="I803" t="n">
        <v>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24221-2026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46168</v>
      </c>
      <c r="E804" s="1" t="n">
        <v>46220</v>
      </c>
      <c r="F804" t="inlineStr">
        <is>
          <t>NORRBOTTENS LÄN</t>
        </is>
      </c>
      <c r="G804" t="inlineStr">
        <is>
          <t>BODEN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24227-2026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46168</v>
      </c>
      <c r="E805" s="1" t="n">
        <v>46220</v>
      </c>
      <c r="F805" t="inlineStr">
        <is>
          <t>NORRBOTTENS LÄN</t>
        </is>
      </c>
      <c r="G805" t="inlineStr">
        <is>
          <t>BODEN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62140-2024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45646</v>
      </c>
      <c r="E806" s="1" t="n">
        <v>46220</v>
      </c>
      <c r="F806" t="inlineStr">
        <is>
          <t>NORRBOTTENS LÄN</t>
        </is>
      </c>
      <c r="G806" t="inlineStr">
        <is>
          <t>BODEN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30745-2026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46211</v>
      </c>
      <c r="E807" s="1" t="n">
        <v>46220</v>
      </c>
      <c r="F807" t="inlineStr">
        <is>
          <t>NORRBOTTENS LÄN</t>
        </is>
      </c>
      <c r="G807" t="inlineStr">
        <is>
          <t>BODEN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48129-2023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45205</v>
      </c>
      <c r="E808" s="1" t="n">
        <v>46220</v>
      </c>
      <c r="F808" t="inlineStr">
        <is>
          <t>NORRBOTTENS LÄN</t>
        </is>
      </c>
      <c r="G808" t="inlineStr">
        <is>
          <t>BODEN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54616-2023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45233</v>
      </c>
      <c r="E809" s="1" t="n">
        <v>46220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24225-2026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46220</v>
      </c>
      <c r="F810" t="inlineStr">
        <is>
          <t>NORRBOTTENS LÄN</t>
        </is>
      </c>
      <c r="G810" t="inlineStr">
        <is>
          <t>BODEN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12562-2024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45379</v>
      </c>
      <c r="E811" s="1" t="n">
        <v>46220</v>
      </c>
      <c r="F811" t="inlineStr">
        <is>
          <t>NORRBOTTENS LÄN</t>
        </is>
      </c>
      <c r="G811" t="inlineStr">
        <is>
          <t>BODEN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20260-2025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45773</v>
      </c>
      <c r="E812" s="1" t="n">
        <v>46220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24805-2026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46172</v>
      </c>
      <c r="E813" s="1" t="n">
        <v>46220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11651-2023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44994</v>
      </c>
      <c r="E814" s="1" t="n">
        <v>46220</v>
      </c>
      <c r="F814" t="inlineStr">
        <is>
          <t>NORRBOTTENS LÄN</t>
        </is>
      </c>
      <c r="G814" t="inlineStr">
        <is>
          <t>BODEN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24717-2026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46171</v>
      </c>
      <c r="E815" s="1" t="n">
        <v>46220</v>
      </c>
      <c r="F815" t="inlineStr">
        <is>
          <t>NORRBOTTENS LÄN</t>
        </is>
      </c>
      <c r="G815" t="inlineStr">
        <is>
          <t>BODEN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718-2022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44568</v>
      </c>
      <c r="E816" s="1" t="n">
        <v>46220</v>
      </c>
      <c r="F816" t="inlineStr">
        <is>
          <t>NORRBOTTENS LÄN</t>
        </is>
      </c>
      <c r="G816" t="inlineStr">
        <is>
          <t>BODEN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31233-2026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46217</v>
      </c>
      <c r="E817" s="1" t="n">
        <v>46220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18.5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43969-2024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45572</v>
      </c>
      <c r="E818" s="1" t="n">
        <v>46220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19048-2025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45764</v>
      </c>
      <c r="E819" s="1" t="n">
        <v>46220</v>
      </c>
      <c r="F819" t="inlineStr">
        <is>
          <t>NORRBOTTENS LÄN</t>
        </is>
      </c>
      <c r="G819" t="inlineStr">
        <is>
          <t>BODEN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19050-2025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45764</v>
      </c>
      <c r="E820" s="1" t="n">
        <v>46220</v>
      </c>
      <c r="F820" t="inlineStr">
        <is>
          <t>NORRBOTTENS LÄN</t>
        </is>
      </c>
      <c r="G820" t="inlineStr">
        <is>
          <t>BODEN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31226-2026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46217</v>
      </c>
      <c r="E821" s="1" t="n">
        <v>46220</v>
      </c>
      <c r="F821" t="inlineStr">
        <is>
          <t>NORRBOTTENS LÄN</t>
        </is>
      </c>
      <c r="G821" t="inlineStr">
        <is>
          <t>BODEN</t>
        </is>
      </c>
      <c r="H821" t="inlineStr">
        <is>
          <t>Sveaskog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31217-2026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46217</v>
      </c>
      <c r="E822" s="1" t="n">
        <v>46220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25042-2026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46220</v>
      </c>
      <c r="F823" t="inlineStr">
        <is>
          <t>NORRBOTTENS LÄN</t>
        </is>
      </c>
      <c r="G823" t="inlineStr">
        <is>
          <t>BODEN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54718-2024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45618</v>
      </c>
      <c r="E824" s="1" t="n">
        <v>46220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31209-2026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46217</v>
      </c>
      <c r="E825" s="1" t="n">
        <v>46220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8.800000000000001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28357-2023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45099</v>
      </c>
      <c r="E826" s="1" t="n">
        <v>46220</v>
      </c>
      <c r="F826" t="inlineStr">
        <is>
          <t>NORRBOTTENS LÄN</t>
        </is>
      </c>
      <c r="G826" t="inlineStr">
        <is>
          <t>BODEN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29467-2026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46198</v>
      </c>
      <c r="E827" s="1" t="n">
        <v>46220</v>
      </c>
      <c r="F827" t="inlineStr">
        <is>
          <t>NORRBOTTENS LÄN</t>
        </is>
      </c>
      <c r="G827" t="inlineStr">
        <is>
          <t>BODEN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38219-2022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44812</v>
      </c>
      <c r="E828" s="1" t="n">
        <v>46220</v>
      </c>
      <c r="F828" t="inlineStr">
        <is>
          <t>NORRBOTTENS LÄN</t>
        </is>
      </c>
      <c r="G828" t="inlineStr">
        <is>
          <t>BODEN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40624-2022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44823</v>
      </c>
      <c r="E829" s="1" t="n">
        <v>46220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31211-2026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46217</v>
      </c>
      <c r="E830" s="1" t="n">
        <v>46220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56457-2024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45625</v>
      </c>
      <c r="E831" s="1" t="n">
        <v>46220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25536-2026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46177</v>
      </c>
      <c r="E832" s="1" t="n">
        <v>46220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48107-2022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44856</v>
      </c>
      <c r="E833" s="1" t="n">
        <v>46220</v>
      </c>
      <c r="F833" t="inlineStr">
        <is>
          <t>NORRBOTTENS LÄN</t>
        </is>
      </c>
      <c r="G833" t="inlineStr">
        <is>
          <t>BODEN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14743-2023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45013</v>
      </c>
      <c r="E834" s="1" t="n">
        <v>46220</v>
      </c>
      <c r="F834" t="inlineStr">
        <is>
          <t>NORRBOTTENS LÄN</t>
        </is>
      </c>
      <c r="G834" t="inlineStr">
        <is>
          <t>BODEN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3462-2022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44585</v>
      </c>
      <c r="E835" s="1" t="n">
        <v>46220</v>
      </c>
      <c r="F835" t="inlineStr">
        <is>
          <t>NORRBOTTENS LÄN</t>
        </is>
      </c>
      <c r="G835" t="inlineStr">
        <is>
          <t>BODEN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25240-2026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46175</v>
      </c>
      <c r="E836" s="1" t="n">
        <v>46220</v>
      </c>
      <c r="F836" t="inlineStr">
        <is>
          <t>NORRBOTTENS LÄN</t>
        </is>
      </c>
      <c r="G836" t="inlineStr">
        <is>
          <t>BODEN</t>
        </is>
      </c>
      <c r="I836" t="n">
        <v>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49113-2023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45204</v>
      </c>
      <c r="E837" s="1" t="n">
        <v>46220</v>
      </c>
      <c r="F837" t="inlineStr">
        <is>
          <t>NORRBOTTENS LÄN</t>
        </is>
      </c>
      <c r="G837" t="inlineStr">
        <is>
          <t>BODEN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25571-2026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46220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4630-2025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45687</v>
      </c>
      <c r="E839" s="1" t="n">
        <v>46220</v>
      </c>
      <c r="F839" t="inlineStr">
        <is>
          <t>NORRBOTTENS LÄN</t>
        </is>
      </c>
      <c r="G839" t="inlineStr">
        <is>
          <t>BODEN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1023-2023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44935</v>
      </c>
      <c r="E840" s="1" t="n">
        <v>46220</v>
      </c>
      <c r="F840" t="inlineStr">
        <is>
          <t>NORRBOTTENS LÄN</t>
        </is>
      </c>
      <c r="G840" t="inlineStr">
        <is>
          <t>BODEN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23232-2024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45453</v>
      </c>
      <c r="E841" s="1" t="n">
        <v>46220</v>
      </c>
      <c r="F841" t="inlineStr">
        <is>
          <t>NORRBOTTENS LÄN</t>
        </is>
      </c>
      <c r="G841" t="inlineStr">
        <is>
          <t>BODEN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61588-2024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45646</v>
      </c>
      <c r="E842" s="1" t="n">
        <v>46220</v>
      </c>
      <c r="F842" t="inlineStr">
        <is>
          <t>NORRBOTTENS LÄN</t>
        </is>
      </c>
      <c r="G842" t="inlineStr">
        <is>
          <t>BODEN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28758-2024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45478</v>
      </c>
      <c r="E843" s="1" t="n">
        <v>46220</v>
      </c>
      <c r="F843" t="inlineStr">
        <is>
          <t>NORRBOTTENS LÄN</t>
        </is>
      </c>
      <c r="G843" t="inlineStr">
        <is>
          <t>BODEN</t>
        </is>
      </c>
      <c r="I843" t="n">
        <v>7.5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13925-2024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45391</v>
      </c>
      <c r="E844" s="1" t="n">
        <v>46220</v>
      </c>
      <c r="F844" t="inlineStr">
        <is>
          <t>NORRBOTTENS LÄN</t>
        </is>
      </c>
      <c r="G844" t="inlineStr">
        <is>
          <t>BODEN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21128-2025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45778</v>
      </c>
      <c r="E845" s="1" t="n">
        <v>46220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21349-2025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45782</v>
      </c>
      <c r="E846" s="1" t="n">
        <v>46220</v>
      </c>
      <c r="F846" t="inlineStr">
        <is>
          <t>NORRBOTTENS LÄN</t>
        </is>
      </c>
      <c r="G846" t="inlineStr">
        <is>
          <t>BODEN</t>
        </is>
      </c>
      <c r="I846" t="n">
        <v>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36115-2023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45149</v>
      </c>
      <c r="E847" s="1" t="n">
        <v>46220</v>
      </c>
      <c r="F847" t="inlineStr">
        <is>
          <t>NORRBOTTENS LÄN</t>
        </is>
      </c>
      <c r="G847" t="inlineStr">
        <is>
          <t>BODEN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22372-2025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45786</v>
      </c>
      <c r="E848" s="1" t="n">
        <v>46220</v>
      </c>
      <c r="F848" t="inlineStr">
        <is>
          <t>NORRBOTTENS LÄN</t>
        </is>
      </c>
      <c r="G848" t="inlineStr">
        <is>
          <t>BODEN</t>
        </is>
      </c>
      <c r="H848" t="inlineStr">
        <is>
          <t>Kommuner</t>
        </is>
      </c>
      <c r="I848" t="n">
        <v>16.3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23321-2025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46220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12558-2024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45379</v>
      </c>
      <c r="E850" s="1" t="n">
        <v>46220</v>
      </c>
      <c r="F850" t="inlineStr">
        <is>
          <t>NORRBOTTENS LÄN</t>
        </is>
      </c>
      <c r="G850" t="inlineStr">
        <is>
          <t>BODEN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23761-2025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46220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23763-2025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46220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23724-2025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46220</v>
      </c>
      <c r="F853" t="inlineStr">
        <is>
          <t>NORRBOTTENS LÄN</t>
        </is>
      </c>
      <c r="G853" t="inlineStr">
        <is>
          <t>BODEN</t>
        </is>
      </c>
      <c r="H853" t="inlineStr">
        <is>
          <t>SCA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885-2024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46220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1063-2023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45013</v>
      </c>
      <c r="E855" s="1" t="n">
        <v>46220</v>
      </c>
      <c r="F855" t="inlineStr">
        <is>
          <t>NORRBOTTENS LÄN</t>
        </is>
      </c>
      <c r="G855" t="inlineStr">
        <is>
          <t>BODEN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883-2024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45376</v>
      </c>
      <c r="E856" s="1" t="n">
        <v>46220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52-2025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45667</v>
      </c>
      <c r="E857" s="1" t="n">
        <v>46220</v>
      </c>
      <c r="F857" t="inlineStr">
        <is>
          <t>NORRBOTTENS LÄN</t>
        </is>
      </c>
      <c r="G857" t="inlineStr">
        <is>
          <t>BODEN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190-2023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44945</v>
      </c>
      <c r="E858" s="1" t="n">
        <v>46220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977-2025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46220</v>
      </c>
      <c r="F859" t="inlineStr">
        <is>
          <t>NORRBOTTENS LÄN</t>
        </is>
      </c>
      <c r="G859" t="inlineStr">
        <is>
          <t>BODEN</t>
        </is>
      </c>
      <c r="I859" t="n">
        <v>11.1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978-2025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45743</v>
      </c>
      <c r="E860" s="1" t="n">
        <v>46220</v>
      </c>
      <c r="F860" t="inlineStr">
        <is>
          <t>NORRBOTTENS LÄN</t>
        </is>
      </c>
      <c r="G860" t="inlineStr">
        <is>
          <t>BODEN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1498-2025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45789</v>
      </c>
      <c r="E861" s="1" t="n">
        <v>46220</v>
      </c>
      <c r="F861" t="inlineStr">
        <is>
          <t>NORRBOTTENS LÄN</t>
        </is>
      </c>
      <c r="G861" t="inlineStr">
        <is>
          <t>BODEN</t>
        </is>
      </c>
      <c r="H861" t="inlineStr">
        <is>
          <t>Övriga Aktiebolag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1572-2025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45792</v>
      </c>
      <c r="E862" s="1" t="n">
        <v>46220</v>
      </c>
      <c r="F862" t="inlineStr">
        <is>
          <t>NORRBOTTENS LÄN</t>
        </is>
      </c>
      <c r="G862" t="inlineStr">
        <is>
          <t>BODEN</t>
        </is>
      </c>
      <c r="I862" t="n">
        <v>8.6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1631-2025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46220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1633-2025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46220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1632-2025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45799</v>
      </c>
      <c r="E865" s="1" t="n">
        <v>46220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1734-2025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45810</v>
      </c>
      <c r="E866" s="1" t="n">
        <v>46220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1811-2025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45818</v>
      </c>
      <c r="E867" s="1" t="n">
        <v>46220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2072-2025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45840</v>
      </c>
      <c r="E868" s="1" t="n">
        <v>46220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3580-2025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46018</v>
      </c>
      <c r="E869" s="1" t="n">
        <v>46220</v>
      </c>
      <c r="F869" t="inlineStr">
        <is>
          <t>NORRBOTTENS LÄN</t>
        </is>
      </c>
      <c r="G869" t="inlineStr">
        <is>
          <t>BODEN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1267-2026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46220</v>
      </c>
      <c r="F870" t="inlineStr">
        <is>
          <t>NORRBOTTENS LÄN</t>
        </is>
      </c>
      <c r="G870" t="inlineStr">
        <is>
          <t>BODEN</t>
        </is>
      </c>
      <c r="I870" t="n">
        <v>57.4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1261-2026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46220</v>
      </c>
      <c r="F871" t="inlineStr">
        <is>
          <t>NORRBOTTENS LÄN</t>
        </is>
      </c>
      <c r="G871" t="inlineStr">
        <is>
          <t>BODEN</t>
        </is>
      </c>
      <c r="I871" t="n">
        <v>16.9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1262-2026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46147</v>
      </c>
      <c r="E872" s="1" t="n">
        <v>46220</v>
      </c>
      <c r="F872" t="inlineStr">
        <is>
          <t>NORRBOTTENS LÄN</t>
        </is>
      </c>
      <c r="G872" t="inlineStr">
        <is>
          <t>BODEN</t>
        </is>
      </c>
      <c r="H872" t="inlineStr">
        <is>
          <t>Kommuner</t>
        </is>
      </c>
      <c r="I872" t="n">
        <v>16.2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1356-2026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46220</v>
      </c>
      <c r="F873" t="inlineStr">
        <is>
          <t>NORRBOTTENS LÄN</t>
        </is>
      </c>
      <c r="G873" t="inlineStr">
        <is>
          <t>BODEN</t>
        </is>
      </c>
      <c r="I873" t="n">
        <v>124.7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1357-2026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46152</v>
      </c>
      <c r="E874" s="1" t="n">
        <v>46220</v>
      </c>
      <c r="F874" t="inlineStr">
        <is>
          <t>NORRBOTTENS LÄN</t>
        </is>
      </c>
      <c r="G874" t="inlineStr">
        <is>
          <t>BODEN</t>
        </is>
      </c>
      <c r="I874" t="n">
        <v>38.2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>
      <c r="A875" t="inlineStr">
        <is>
          <t>S 1297-2026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46148</v>
      </c>
      <c r="E875" s="1" t="n">
        <v>46220</v>
      </c>
      <c r="F875" t="inlineStr">
        <is>
          <t>NORRBOTTENS LÄN</t>
        </is>
      </c>
      <c r="G875" t="inlineStr">
        <is>
          <t>BODEN</t>
        </is>
      </c>
      <c r="I875" t="n">
        <v>20.5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2026-07-17T01:38:57Z</dcterms:created>
  <dcterms:modified xmlns:dcterms="http://purl.org/dc/terms/" xmlns:xsi="http://www.w3.org/2001/XMLSchema-instance" xsi:type="dcterms:W3CDTF">2026-07-17T01:38:57Z</dcterms:modified>
</cp:coreProperties>
</file>