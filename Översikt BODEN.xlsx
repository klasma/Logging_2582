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45625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45625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47547-2022</t>
        </is>
      </c>
      <c r="B4" s="1" t="n">
        <v>44853</v>
      </c>
      <c r="C4" s="1" t="n">
        <v>45625</v>
      </c>
      <c r="D4" t="inlineStr">
        <is>
          <t>NORRBOTTENS LÄN</t>
        </is>
      </c>
      <c r="E4" t="inlineStr">
        <is>
          <t>BODEN</t>
        </is>
      </c>
      <c r="G4" t="n">
        <v>14.6</v>
      </c>
      <c r="H4" t="n">
        <v>3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Blå taggsvamp
Gammelgransskål
Garnlav
Kolflarnlav
Lunglav
Talltita
Tretåig hackspett
Vedskivlav
Bårdlav
Luddlav
Stuplav
Revlummer</t>
        </is>
      </c>
      <c r="S4">
        <f>HYPERLINK("https://klasma.github.io/Logging_2582/artfynd/A 47547-2022 artfynd.xlsx", "A 47547-2022")</f>
        <v/>
      </c>
      <c r="T4">
        <f>HYPERLINK("https://klasma.github.io/Logging_2582/kartor/A 47547-2022 karta.png", "A 47547-2022")</f>
        <v/>
      </c>
      <c r="V4">
        <f>HYPERLINK("https://klasma.github.io/Logging_2582/klagomål/A 47547-2022 FSC-klagomål.docx", "A 47547-2022")</f>
        <v/>
      </c>
      <c r="W4">
        <f>HYPERLINK("https://klasma.github.io/Logging_2582/klagomålsmail/A 47547-2022 FSC-klagomål mail.docx", "A 47547-2022")</f>
        <v/>
      </c>
      <c r="X4">
        <f>HYPERLINK("https://klasma.github.io/Logging_2582/tillsyn/A 47547-2022 tillsynsbegäran.docx", "A 47547-2022")</f>
        <v/>
      </c>
      <c r="Y4">
        <f>HYPERLINK("https://klasma.github.io/Logging_2582/tillsynsmail/A 47547-2022 tillsynsbegäran mail.docx", "A 47547-2022")</f>
        <v/>
      </c>
      <c r="Z4">
        <f>HYPERLINK("https://klasma.github.io/Logging_2582/fåglar/A 47547-2022 prioriterade fågelarter.docx", "A 47547-2022")</f>
        <v/>
      </c>
    </row>
    <row r="5" ht="15" customHeight="1">
      <c r="A5" t="inlineStr">
        <is>
          <t>A 16233-2020</t>
        </is>
      </c>
      <c r="B5" s="1" t="n">
        <v>43917</v>
      </c>
      <c r="C5" s="1" t="n">
        <v>45625</v>
      </c>
      <c r="D5" t="inlineStr">
        <is>
          <t>NORRBOTTENS LÄN</t>
        </is>
      </c>
      <c r="E5" t="inlineStr">
        <is>
          <t>BODEN</t>
        </is>
      </c>
      <c r="F5" t="inlineStr">
        <is>
          <t>Övriga statliga verk och myndigheter</t>
        </is>
      </c>
      <c r="G5" t="n">
        <v>11.1</v>
      </c>
      <c r="H5" t="n">
        <v>4</v>
      </c>
      <c r="I5" t="n">
        <v>0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Rynkskinn
Garnlav
Granticka
Lunglav
Rosenticka
Tretåig hackspett
Ullticka
Violmussling
Järnsparv
Kungsfågel
Orre</t>
        </is>
      </c>
      <c r="S5">
        <f>HYPERLINK("https://klasma.github.io/Logging_2582/artfynd/A 16233-2020 artfynd.xlsx", "A 16233-2020")</f>
        <v/>
      </c>
      <c r="T5">
        <f>HYPERLINK("https://klasma.github.io/Logging_2582/kartor/A 16233-2020 karta.png", "A 16233-2020")</f>
        <v/>
      </c>
      <c r="V5">
        <f>HYPERLINK("https://klasma.github.io/Logging_2582/klagomål/A 16233-2020 FSC-klagomål.docx", "A 16233-2020")</f>
        <v/>
      </c>
      <c r="W5">
        <f>HYPERLINK("https://klasma.github.io/Logging_2582/klagomålsmail/A 16233-2020 FSC-klagomål mail.docx", "A 16233-2020")</f>
        <v/>
      </c>
      <c r="X5">
        <f>HYPERLINK("https://klasma.github.io/Logging_2582/tillsyn/A 16233-2020 tillsynsbegäran.docx", "A 16233-2020")</f>
        <v/>
      </c>
      <c r="Y5">
        <f>HYPERLINK("https://klasma.github.io/Logging_2582/tillsynsmail/A 16233-2020 tillsynsbegäran mail.docx", "A 16233-2020")</f>
        <v/>
      </c>
      <c r="Z5">
        <f>HYPERLINK("https://klasma.github.io/Logging_2582/fåglar/A 16233-2020 prioriterade fågelarter.docx", "A 16233-2020")</f>
        <v/>
      </c>
    </row>
    <row r="6" ht="15" customHeight="1">
      <c r="A6" t="inlineStr">
        <is>
          <t>A 32380-2021</t>
        </is>
      </c>
      <c r="B6" s="1" t="n">
        <v>44371</v>
      </c>
      <c r="C6" s="1" t="n">
        <v>45625</v>
      </c>
      <c r="D6" t="inlineStr">
        <is>
          <t>NORRBOTTENS LÄN</t>
        </is>
      </c>
      <c r="E6" t="inlineStr">
        <is>
          <t>BODEN</t>
        </is>
      </c>
      <c r="F6" t="inlineStr">
        <is>
          <t>Sveaskog</t>
        </is>
      </c>
      <c r="G6" t="n">
        <v>9.6</v>
      </c>
      <c r="H6" t="n">
        <v>2</v>
      </c>
      <c r="I6" t="n">
        <v>4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11</v>
      </c>
      <c r="R6" s="2" t="inlineStr">
        <is>
          <t>Knärot
Blå taggsvamp
Garnlav
Kolflarnlav
Koralltaggsvamp
Lunglav
Mörk kolflarnlav
Bårdlav
Spindelblomster
Stuplav
Ögonpyrola</t>
        </is>
      </c>
      <c r="S6">
        <f>HYPERLINK("https://klasma.github.io/Logging_2582/artfynd/A 32380-2021 artfynd.xlsx", "A 32380-2021")</f>
        <v/>
      </c>
      <c r="T6">
        <f>HYPERLINK("https://klasma.github.io/Logging_2582/kartor/A 32380-2021 karta.png", "A 32380-2021")</f>
        <v/>
      </c>
      <c r="U6">
        <f>HYPERLINK("https://klasma.github.io/Logging_2582/knärot/A 32380-2021 karta knärot.png", "A 32380-2021")</f>
        <v/>
      </c>
      <c r="V6">
        <f>HYPERLINK("https://klasma.github.io/Logging_2582/klagomål/A 32380-2021 FSC-klagomål.docx", "A 32380-2021")</f>
        <v/>
      </c>
      <c r="W6">
        <f>HYPERLINK("https://klasma.github.io/Logging_2582/klagomålsmail/A 32380-2021 FSC-klagomål mail.docx", "A 32380-2021")</f>
        <v/>
      </c>
      <c r="X6">
        <f>HYPERLINK("https://klasma.github.io/Logging_2582/tillsyn/A 32380-2021 tillsynsbegäran.docx", "A 32380-2021")</f>
        <v/>
      </c>
      <c r="Y6">
        <f>HYPERLINK("https://klasma.github.io/Logging_2582/tillsynsmail/A 32380-2021 tillsynsbegäran mail.docx", "A 32380-2021")</f>
        <v/>
      </c>
    </row>
    <row r="7" ht="15" customHeight="1">
      <c r="A7" t="inlineStr">
        <is>
          <t>A 67604-2019</t>
        </is>
      </c>
      <c r="B7" s="1" t="n">
        <v>43808</v>
      </c>
      <c r="C7" s="1" t="n">
        <v>45625</v>
      </c>
      <c r="D7" t="inlineStr">
        <is>
          <t>NORRBOTTENS LÄN</t>
        </is>
      </c>
      <c r="E7" t="inlineStr">
        <is>
          <t>BODEN</t>
        </is>
      </c>
      <c r="G7" t="n">
        <v>30.1</v>
      </c>
      <c r="H7" t="n">
        <v>8</v>
      </c>
      <c r="I7" t="n">
        <v>1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Storspov
Buskskvätta
Granticka
Gulsparv
Järpe
Talltita
Stuplav
Enkelbeckasin
Grönsiska
Orre</t>
        </is>
      </c>
      <c r="S7">
        <f>HYPERLINK("https://klasma.github.io/Logging_2582/artfynd/A 67604-2019 artfynd.xlsx", "A 67604-2019")</f>
        <v/>
      </c>
      <c r="T7">
        <f>HYPERLINK("https://klasma.github.io/Logging_2582/kartor/A 67604-2019 karta.png", "A 67604-2019")</f>
        <v/>
      </c>
      <c r="V7">
        <f>HYPERLINK("https://klasma.github.io/Logging_2582/klagomål/A 67604-2019 FSC-klagomål.docx", "A 67604-2019")</f>
        <v/>
      </c>
      <c r="W7">
        <f>HYPERLINK("https://klasma.github.io/Logging_2582/klagomålsmail/A 67604-2019 FSC-klagomål mail.docx", "A 67604-2019")</f>
        <v/>
      </c>
      <c r="X7">
        <f>HYPERLINK("https://klasma.github.io/Logging_2582/tillsyn/A 67604-2019 tillsynsbegäran.docx", "A 67604-2019")</f>
        <v/>
      </c>
      <c r="Y7">
        <f>HYPERLINK("https://klasma.github.io/Logging_2582/tillsynsmail/A 67604-2019 tillsynsbegäran mail.docx", "A 67604-2019")</f>
        <v/>
      </c>
      <c r="Z7">
        <f>HYPERLINK("https://klasma.github.io/Logging_2582/fåglar/A 67604-2019 prioriterade fågelarter.docx", "A 67604-2019")</f>
        <v/>
      </c>
    </row>
    <row r="8" ht="15" customHeight="1">
      <c r="A8" t="inlineStr">
        <is>
          <t>A 64709-2020</t>
        </is>
      </c>
      <c r="B8" s="1" t="n">
        <v>44169</v>
      </c>
      <c r="C8" s="1" t="n">
        <v>45625</v>
      </c>
      <c r="D8" t="inlineStr">
        <is>
          <t>NORRBOTTENS LÄN</t>
        </is>
      </c>
      <c r="E8" t="inlineStr">
        <is>
          <t>BODEN</t>
        </is>
      </c>
      <c r="G8" t="n">
        <v>10.3</v>
      </c>
      <c r="H8" t="n">
        <v>4</v>
      </c>
      <c r="I8" t="n">
        <v>2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Fläckporing
Sälgtagging
Nordtagging
Oljetagging
Talltita
Luddlav
Trådticka
Grönsiska
Järnsparv
Revlummer</t>
        </is>
      </c>
      <c r="S8">
        <f>HYPERLINK("https://klasma.github.io/Logging_2582/artfynd/A 64709-2020 artfynd.xlsx", "A 64709-2020")</f>
        <v/>
      </c>
      <c r="T8">
        <f>HYPERLINK("https://klasma.github.io/Logging_2582/kartor/A 64709-2020 karta.png", "A 64709-2020")</f>
        <v/>
      </c>
      <c r="V8">
        <f>HYPERLINK("https://klasma.github.io/Logging_2582/klagomål/A 64709-2020 FSC-klagomål.docx", "A 64709-2020")</f>
        <v/>
      </c>
      <c r="W8">
        <f>HYPERLINK("https://klasma.github.io/Logging_2582/klagomålsmail/A 64709-2020 FSC-klagomål mail.docx", "A 64709-2020")</f>
        <v/>
      </c>
      <c r="X8">
        <f>HYPERLINK("https://klasma.github.io/Logging_2582/tillsyn/A 64709-2020 tillsynsbegäran.docx", "A 64709-2020")</f>
        <v/>
      </c>
      <c r="Y8">
        <f>HYPERLINK("https://klasma.github.io/Logging_2582/tillsynsmail/A 64709-2020 tillsynsbegäran mail.docx", "A 64709-2020")</f>
        <v/>
      </c>
      <c r="Z8">
        <f>HYPERLINK("https://klasma.github.io/Logging_2582/fåglar/A 64709-2020 prioriterade fågelarter.docx", "A 64709-2020")</f>
        <v/>
      </c>
    </row>
    <row r="9" ht="15" customHeight="1">
      <c r="A9" t="inlineStr">
        <is>
          <t>A 6243-2023</t>
        </is>
      </c>
      <c r="B9" s="1" t="n">
        <v>44964</v>
      </c>
      <c r="C9" s="1" t="n">
        <v>45625</v>
      </c>
      <c r="D9" t="inlineStr">
        <is>
          <t>NORRBOTTENS LÄN</t>
        </is>
      </c>
      <c r="E9" t="inlineStr">
        <is>
          <t>BODEN</t>
        </is>
      </c>
      <c r="F9" t="inlineStr">
        <is>
          <t>SCA</t>
        </is>
      </c>
      <c r="G9" t="n">
        <v>3.2</v>
      </c>
      <c r="H9" t="n">
        <v>3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10</v>
      </c>
      <c r="R9" s="2" t="inlineStr">
        <is>
          <t>Garnlav
Lunglav
Bårdlav
Källpraktmossa
Luddlav
Skinnlav
Spindelblomster
Stuplav
Tjäder
Fläcknycklar</t>
        </is>
      </c>
      <c r="S9">
        <f>HYPERLINK("https://klasma.github.io/Logging_2582/artfynd/A 6243-2023 artfynd.xlsx", "A 6243-2023")</f>
        <v/>
      </c>
      <c r="T9">
        <f>HYPERLINK("https://klasma.github.io/Logging_2582/kartor/A 6243-2023 karta.png", "A 6243-2023")</f>
        <v/>
      </c>
      <c r="V9">
        <f>HYPERLINK("https://klasma.github.io/Logging_2582/klagomål/A 6243-2023 FSC-klagomål.docx", "A 6243-2023")</f>
        <v/>
      </c>
      <c r="W9">
        <f>HYPERLINK("https://klasma.github.io/Logging_2582/klagomålsmail/A 6243-2023 FSC-klagomål mail.docx", "A 6243-2023")</f>
        <v/>
      </c>
      <c r="X9">
        <f>HYPERLINK("https://klasma.github.io/Logging_2582/tillsyn/A 6243-2023 tillsynsbegäran.docx", "A 6243-2023")</f>
        <v/>
      </c>
      <c r="Y9">
        <f>HYPERLINK("https://klasma.github.io/Logging_2582/tillsynsmail/A 6243-2023 tillsynsbegäran mail.docx", "A 6243-2023")</f>
        <v/>
      </c>
      <c r="Z9">
        <f>HYPERLINK("https://klasma.github.io/Logging_2582/fåglar/A 6243-2023 prioriterade fågelarter.docx", "A 6243-2023")</f>
        <v/>
      </c>
    </row>
    <row r="10" ht="15" customHeight="1">
      <c r="A10" t="inlineStr">
        <is>
          <t>A 50504-2023</t>
        </is>
      </c>
      <c r="B10" s="1" t="n">
        <v>45216</v>
      </c>
      <c r="C10" s="1" t="n">
        <v>45625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7.2</v>
      </c>
      <c r="H10" t="n">
        <v>1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10</v>
      </c>
      <c r="R10" s="2" t="inlineStr">
        <is>
          <t>Gammelgransskål
Garnlav
Knottrig blåslav
Nordlig nållav
Ullticka
Vedskivlav
Vitgrynig nållav
Äggvaxskivling
Skinnlav
Lavskrika</t>
        </is>
      </c>
      <c r="S10">
        <f>HYPERLINK("https://klasma.github.io/Logging_2582/artfynd/A 50504-2023 artfynd.xlsx", "A 50504-2023")</f>
        <v/>
      </c>
      <c r="T10">
        <f>HYPERLINK("https://klasma.github.io/Logging_2582/kartor/A 50504-2023 karta.png", "A 50504-2023")</f>
        <v/>
      </c>
      <c r="V10">
        <f>HYPERLINK("https://klasma.github.io/Logging_2582/klagomål/A 50504-2023 FSC-klagomål.docx", "A 50504-2023")</f>
        <v/>
      </c>
      <c r="W10">
        <f>HYPERLINK("https://klasma.github.io/Logging_2582/klagomålsmail/A 50504-2023 FSC-klagomål mail.docx", "A 50504-2023")</f>
        <v/>
      </c>
      <c r="X10">
        <f>HYPERLINK("https://klasma.github.io/Logging_2582/tillsyn/A 50504-2023 tillsynsbegäran.docx", "A 50504-2023")</f>
        <v/>
      </c>
      <c r="Y10">
        <f>HYPERLINK("https://klasma.github.io/Logging_2582/tillsynsmail/A 50504-2023 tillsynsbegäran mail.docx", "A 50504-2023")</f>
        <v/>
      </c>
      <c r="Z10">
        <f>HYPERLINK("https://klasma.github.io/Logging_2582/fåglar/A 50504-2023 prioriterade fågelarter.docx", "A 50504-2023")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45625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45625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45625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45625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45625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45625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45625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45625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45625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45625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45625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45625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45625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45625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45625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45625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45625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45625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45625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45625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45625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45625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45625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45625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45625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45625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45625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45625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45625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45625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45625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45625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45625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45625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45625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45625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45625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45625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45625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45625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45625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45625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45625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45625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45625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45625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45625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45625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45625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45625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45625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45625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45625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45625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45625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45625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45625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45625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45625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45625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45625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45625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45625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45625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45625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45625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45625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45625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45625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45625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45625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45625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45625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45625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45625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45625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45625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45625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45625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45625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45625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45625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45625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45625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45625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45625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45625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45625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45625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45625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45625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45625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45625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45625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45625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45625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45625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45625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45625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45625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45625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45625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45625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45625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45625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45625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45625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45625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45625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45625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45625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45625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45625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45625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45625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45625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45625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45625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45625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45625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45625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45625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45625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45625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45625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45625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45625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45625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45625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45625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45625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50866-2024</t>
        </is>
      </c>
      <c r="B142" s="1" t="n">
        <v>45602</v>
      </c>
      <c r="C142" s="1" t="n">
        <v>45625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HYPERLINK("https://klasma.github.io/Logging_2582/artfynd/A 50866-2024 artfynd.xlsx", "A 50866-2024")</f>
        <v/>
      </c>
      <c r="T142">
        <f>HYPERLINK("https://klasma.github.io/Logging_2582/kartor/A 50866-2024 karta.png", "A 50866-2024")</f>
        <v/>
      </c>
      <c r="V142">
        <f>HYPERLINK("https://klasma.github.io/Logging_2582/klagomål/A 50866-2024 FSC-klagomål.docx", "A 50866-2024")</f>
        <v/>
      </c>
      <c r="W142">
        <f>HYPERLINK("https://klasma.github.io/Logging_2582/klagomålsmail/A 50866-2024 FSC-klagomål mail.docx", "A 50866-2024")</f>
        <v/>
      </c>
      <c r="X142">
        <f>HYPERLINK("https://klasma.github.io/Logging_2582/tillsyn/A 50866-2024 tillsynsbegäran.docx", "A 50866-2024")</f>
        <v/>
      </c>
      <c r="Y142">
        <f>HYPERLINK("https://klasma.github.io/Logging_2582/tillsynsmail/A 50866-2024 tillsynsbegäran mail.docx", "A 50866-2024")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45625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45625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45625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45625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45625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45625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45625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45625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45625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45625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45625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45625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45625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45625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45625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45625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45625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45625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45625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45625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45625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45625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45625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45625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45625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45625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45625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45625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45625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45625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45625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45625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45625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45625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45625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45625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45625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45625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45625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45625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45625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45625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45625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45625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45625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45625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45625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45625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45625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45625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45625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45625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45625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45625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45625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45625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45625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45625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45625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45625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45625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45625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45625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45625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45625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45625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45625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45625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45625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45625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45625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45625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45625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45625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45625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45625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45625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45625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45625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45625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45625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45625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45625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45625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45625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45625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45625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45625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45625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45625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45625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45625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45625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45625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45625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45625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45625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45625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45625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45625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45625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45625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45625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45625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45625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45625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45625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45625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45625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45625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45625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45625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45625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45625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45625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45625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45625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45625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45625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45625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45625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45625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45625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45625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45625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45625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45625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45625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45625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45625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45625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45625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45625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45625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45625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45625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45625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45625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45625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45625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45625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45625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45625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45625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45625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45625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45625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45625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45625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45625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45625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45625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45625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45625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45625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45625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45625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45625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45625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45625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45625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45625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45625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45625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45625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45625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45625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45625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45625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45625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45625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45625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45625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45625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45625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45625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45625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45625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45625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45625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45625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45625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45625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45625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45625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45625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45625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45625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45625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45625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45625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45625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45625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45625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45625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45625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45625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45625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45625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45625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45625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45625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45625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45625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45625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45625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45625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45625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45625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45625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45625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45625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45625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45625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45625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45625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45625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45625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45625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45625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45625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45625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45625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45625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45625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45625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45625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45625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45625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45625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45625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45625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45625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45625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45625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45625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45625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45625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45625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45625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45625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45625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45625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45625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45625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45625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45625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45625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45625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45625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45625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45625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45625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45625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45625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45625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45625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45625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45625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45625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45625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45625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45625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45625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45625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45625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45625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45625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45625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45625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45625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45625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45625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45625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45625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45625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45625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45625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45625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45625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45625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45625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45625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45625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45625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45625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45625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45625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45625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45625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45625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45625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45625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45625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45625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45625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45625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45625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45625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45625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45625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45625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45625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45625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45625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45625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45625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45625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45625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45625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45625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45625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45625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45625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45625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45625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45625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45625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45625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45625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45625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45625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45625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45625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45625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45625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45625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45625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45625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45625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45625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45625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45625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45625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45625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45625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45625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45625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45625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45625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45625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45625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45625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45625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45625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45625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45625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45625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45625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45625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45625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45625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45625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45625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45625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45625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45625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45625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45625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45625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45625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45625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45625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45625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45625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45625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45625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45625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45625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45625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45625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45625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45625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45625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45625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45625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45625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45625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45625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45625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45625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45625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45625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45625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45625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45625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45625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45625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45625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45625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45625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45625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45625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45625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45625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45625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45625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45625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45625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45625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45625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45625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45625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45625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45625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45625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45625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45625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45625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45625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45625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45625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45625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45625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45625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45625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45625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45625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45625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45625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45625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45625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45625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45625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45625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45625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45625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45625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45625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45625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45625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45625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45625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45625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45625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45625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45625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45625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45625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45625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45625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45625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45625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45625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45625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45625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45625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45625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45625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45625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45625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45625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45625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45625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45625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45625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45625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45625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45625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45625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45625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45625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45625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45625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45625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45625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45625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45625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45625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45625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45625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45625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45625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45625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45625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45625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45625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45625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45625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45625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45625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45625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45625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45625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45625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45625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45625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45625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45625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45625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45625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45625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45625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45625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45625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45625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45625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45625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45625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45625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45625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45625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45625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45625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45625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45625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45625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45625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45625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45625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45625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45625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45625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45625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45625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45625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45625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45625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45625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45625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45625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45625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45625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45625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45625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45625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45625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45625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45625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45625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45625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45625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45625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45625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45625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45625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45625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45625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45625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45625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45625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45625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45625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45625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45625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45625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45625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45625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45625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45625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45625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45625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45625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45625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45625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45625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45625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45625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45625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45625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45625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45625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45625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45625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45625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45625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45625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45625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45625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45625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45625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45625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45625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45625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45625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45625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45625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45625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45625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45625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45625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45625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45625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45625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45625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45625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45625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45625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45625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45625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45625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45625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45625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45625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45625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45625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45625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45625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45625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45625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45625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45625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45625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45625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45625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45625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45625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45625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45625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45625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45625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45625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45625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45625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45625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45625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45625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45625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45625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45625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45625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45625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45625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45625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45625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45625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45625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45625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45625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45625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45625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45625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45625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45625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45625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45625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45625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45625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45625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45625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45625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45625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45625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45625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45625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45625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45625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45625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45625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45625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45625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45625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45625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45625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45625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45625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45625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45625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45625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45625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45625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45625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45625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45625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45625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45625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45625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45625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45625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45625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45625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45625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45625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45625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45625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45625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45625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45625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45625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45625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45625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45625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45625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45625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45625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45625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45625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45625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45625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45625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45625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45625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45625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45625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45625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45625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45625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45625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45625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45625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45625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45625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45625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45625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45625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45625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45625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45625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45625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45625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45625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45625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45625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45625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45625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45625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45625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45625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45625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45625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45625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45625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45625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45625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45625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45625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45625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45625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45625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45625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45625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45625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45625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45625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45625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45625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45625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45625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45625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45625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45625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45625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45625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45625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45625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45625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45625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45625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45625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45625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45625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45625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45625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45625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45625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45625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45625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45625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45625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45625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45625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45625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45625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45625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45625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45625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45625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45625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45625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45625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45625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45625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45625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45625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45625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45625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45625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45625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45625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45625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45625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45625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45625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45625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45625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45625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45625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45625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45625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45625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45625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45625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45625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45625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45625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45625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45625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45625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45625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45625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45625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45625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45625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45625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45625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45625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45625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45625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45625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45625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45625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45625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45625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45625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45625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45625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45625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45625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45625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45625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45625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45625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45625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45625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45625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45625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45625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45625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45625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45625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45625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45625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45625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45625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45625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45625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45625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45625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45625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45625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45625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45625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45625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45625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45625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45625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45625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45625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45625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45625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45625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45625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45625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45625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45625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45625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45625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45625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45625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45625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45625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45625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45625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45625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45625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45625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45625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45625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45625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45625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45625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45625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45625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45625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45625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45625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45625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45625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45625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45625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45625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45625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45625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45625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45625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45625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45625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45625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45625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45625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45625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45625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45625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45625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45625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45625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45625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45625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45625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45625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45625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45625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45625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45625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45625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45625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45625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45625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45625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45625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45625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45625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45625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45625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45625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45625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45625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45625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45625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45625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45625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45625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45625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45625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45625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45625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45625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45625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45625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45625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45625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45625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45625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45625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45625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45625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45625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45625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45625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45625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45625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45625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45625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45625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45625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45625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45625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45625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45625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45625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45625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45625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45625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45625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45625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45625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45625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45625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45625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45625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45625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45625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45625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45625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45625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45625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45625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45625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45625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45625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45625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45625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45625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45625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45625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45625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45625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45625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45625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45625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45625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45625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45625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45625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45625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45625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45625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45625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45625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45625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45625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45625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45625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45625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45625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45625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45625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45625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45625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45625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45625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45625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45625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45625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45625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45625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45625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45625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45625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45625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45625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45625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45625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45625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45625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45625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45625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45625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45625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45625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45625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45625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45625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45625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45625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45625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45625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45625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45625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45625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45625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45625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45625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45625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45625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45625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45625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45625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45625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45625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45625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45625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45625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45625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45625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45625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45625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45625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45625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45625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45625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45625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45625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45625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45625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45625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45625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45625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45625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45625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45625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45625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45625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45625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45625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45625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45625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45625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45625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45625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45625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45625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45625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45625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45625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45625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45625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45625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45625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45625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45625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45625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45625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45625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45625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45625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45625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45625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45625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45625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45625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45625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45625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45625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45625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45625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45625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45625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45625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45625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45625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45625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45625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45625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45625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45625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45625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45625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45625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45625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45625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45625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45625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45625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45625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45625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45625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45625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45625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45625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45625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45625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45625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45625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45625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45625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45625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45625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45625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45625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45625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45625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45625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45625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45625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45625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45625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45625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45625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45625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45625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45625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45625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45625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45625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45625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45625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45625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45625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45625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45625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45625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45625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45625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45625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45625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45625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45625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45625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45625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45625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45625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45625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45625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45625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45625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45625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45625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45625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51280-2024</t>
        </is>
      </c>
      <c r="B1312" s="1" t="n">
        <v>45603</v>
      </c>
      <c r="C1312" s="1" t="n">
        <v>45625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51279-2024</t>
        </is>
      </c>
      <c r="B1313" s="1" t="n">
        <v>45603</v>
      </c>
      <c r="C1313" s="1" t="n">
        <v>45625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45625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45625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45625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45625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45625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45625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45625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45625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54765-2024</t>
        </is>
      </c>
      <c r="B1322" s="1" t="n">
        <v>45618</v>
      </c>
      <c r="C1322" s="1" t="n">
        <v>45625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45625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45625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56139-2024</t>
        </is>
      </c>
      <c r="B1325" s="1" t="n">
        <v>45624</v>
      </c>
      <c r="C1325" s="1" t="n">
        <v>45625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2024-11-29T14:58:54Z</dcterms:created>
  <dcterms:modified xmlns:dcterms="http://purl.org/dc/terms/" xmlns:xsi="http://www.w3.org/2001/XMLSchema-instance" xsi:type="dcterms:W3CDTF">2024-11-29T14:58:55Z</dcterms:modified>
</cp:coreProperties>
</file>