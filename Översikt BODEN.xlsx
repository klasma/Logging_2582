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46295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46295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46295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46295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46295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46295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46295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46295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46295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46295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46295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46295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46295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46295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46295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46295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46295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46295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46295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46295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46295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46295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46295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46295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46295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46295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46295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28267-2025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46295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2.6</v>
      </c>
      <c r="J51" t="n">
        <v>2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Doftticka
Knärot
Lunglav</t>
        </is>
      </c>
      <c r="W51">
        <f>HYPERLINK("https://klasma.github.io/Logging_2582/artfynd/A 28267-2025 artfynd.xlsx", "A 28267-2025")</f>
        <v/>
      </c>
      <c r="X51">
        <f>HYPERLINK("https://klasma.github.io/Logging_2582/kartor/A 28267-2025 karta.png", "A 28267-2025")</f>
        <v/>
      </c>
      <c r="Y51">
        <f>HYPERLINK("https://klasma.github.io/Logging_2582/kartor_geotiff/A 28267-2025 georefererad karta.tif", "A 28267-2025")</f>
        <v/>
      </c>
      <c r="Z51">
        <f>HYPERLINK("https://klasma.github.io/Logging_2582/knärot/A 28267-2025 karta knärot.png", "A 28267-2025")</f>
        <v/>
      </c>
      <c r="AA51">
        <f>HYPERLINK("https://klasma.github.io/Logging_2582/klagomål/A 28267-2025 FSC-klagomål.docx", "A 28267-2025")</f>
        <v/>
      </c>
      <c r="AB51">
        <f>HYPERLINK("https://klasma.github.io/Logging_2582/klagomålsmail/A 28267-2025 FSC-klagomål mail.docx", "A 28267-2025")</f>
        <v/>
      </c>
      <c r="AC51">
        <f>HYPERLINK("https://klasma.github.io/Logging_2582/tillsyn/A 28267-2025 tillsynsbegäran.docx", "A 28267-2025")</f>
        <v/>
      </c>
      <c r="AD51">
        <f>HYPERLINK("https://klasma.github.io/Logging_2582/tillsynsmail/A 28267-2025 tillsynsbegäran mail.docx", "A 28267-2025")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46295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46295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46295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46295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10087-2026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46073</v>
      </c>
      <c r="E56" s="1" t="n">
        <v>46295</v>
      </c>
      <c r="F56" t="inlineStr">
        <is>
          <t>NORRBOTTENS LÄN</t>
        </is>
      </c>
      <c r="G56" t="inlineStr">
        <is>
          <t>BODEN</t>
        </is>
      </c>
      <c r="I56" t="n">
        <v>5.9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Korthornad vedstekel
Skogsödla
Vanlig padda</t>
        </is>
      </c>
      <c r="W56">
        <f>HYPERLINK("https://klasma.github.io/Logging_2582/artfynd/A 10087-2026 artfynd.xlsx", "A 10087-2026")</f>
        <v/>
      </c>
      <c r="X56">
        <f>HYPERLINK("https://klasma.github.io/Logging_2582/kartor/A 10087-2026 karta.png", "A 10087-2026")</f>
        <v/>
      </c>
      <c r="Y56">
        <f>HYPERLINK("https://klasma.github.io/Logging_2582/kartor_geotiff/A 10087-2026 georefererad karta.tif", "A 10087-2026")</f>
        <v/>
      </c>
      <c r="AA56">
        <f>HYPERLINK("https://klasma.github.io/Logging_2582/klagomål/A 10087-2026 FSC-klagomål.docx", "A 10087-2026")</f>
        <v/>
      </c>
      <c r="AB56">
        <f>HYPERLINK("https://klasma.github.io/Logging_2582/klagomålsmail/A 10087-2026 FSC-klagomål mail.docx", "A 10087-2026")</f>
        <v/>
      </c>
      <c r="AC56">
        <f>HYPERLINK("https://klasma.github.io/Logging_2582/tillsyn/A 10087-2026 tillsynsbegäran.docx", "A 10087-2026")</f>
        <v/>
      </c>
      <c r="AD56">
        <f>HYPERLINK("https://klasma.github.io/Logging_2582/tillsynsmail/A 10087-2026 tillsynsbegäran mail.docx", "A 10087-2026")</f>
        <v/>
      </c>
    </row>
    <row r="57" ht="15" customHeight="1">
      <c r="A57" t="inlineStr">
        <is>
          <t>A 23575-2023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45077</v>
      </c>
      <c r="E57" s="1" t="n">
        <v>46295</v>
      </c>
      <c r="F57" t="inlineStr">
        <is>
          <t>NORRBOTTENS LÄN</t>
        </is>
      </c>
      <c r="G57" t="inlineStr">
        <is>
          <t>BODEN</t>
        </is>
      </c>
      <c r="I57" t="n">
        <v>7.9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1</v>
      </c>
      <c r="V57" s="2" t="inlineStr">
        <is>
          <t>Gammelgransskål
Nordfladdermus
Bollvitmossa</t>
        </is>
      </c>
      <c r="W57">
        <f>HYPERLINK("https://klasma.github.io/Logging_2582/artfynd/A 23575-2023 artfynd.xlsx", "A 23575-2023")</f>
        <v/>
      </c>
      <c r="X57">
        <f>HYPERLINK("https://klasma.github.io/Logging_2582/kartor/A 23575-2023 karta.png", "A 23575-2023")</f>
        <v/>
      </c>
      <c r="Y57">
        <f>HYPERLINK("https://klasma.github.io/Logging_2582/kartor_geotiff/A 23575-2023 georefererad karta.tif", "A 23575-2023")</f>
        <v/>
      </c>
      <c r="AA57">
        <f>HYPERLINK("https://klasma.github.io/Logging_2582/klagomål/A 23575-2023 FSC-klagomål.docx", "A 23575-2023")</f>
        <v/>
      </c>
      <c r="AB57">
        <f>HYPERLINK("https://klasma.github.io/Logging_2582/klagomålsmail/A 23575-2023 FSC-klagomål mail.docx", "A 23575-2023")</f>
        <v/>
      </c>
      <c r="AC57">
        <f>HYPERLINK("https://klasma.github.io/Logging_2582/tillsyn/A 23575-2023 tillsynsbegäran.docx", "A 23575-2023")</f>
        <v/>
      </c>
      <c r="AD57">
        <f>HYPERLINK("https://klasma.github.io/Logging_2582/tillsynsmail/A 23575-2023 tillsynsbegäran mail.docx", "A 23575-2023")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46295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23323-2025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46295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21.8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Grönpyrola
Fläcknycklar
Nattviol</t>
        </is>
      </c>
      <c r="W59">
        <f>HYPERLINK("https://klasma.github.io/Logging_2582/artfynd/A 23323-2025 artfynd.xlsx", "A 23323-2025")</f>
        <v/>
      </c>
      <c r="X59">
        <f>HYPERLINK("https://klasma.github.io/Logging_2582/kartor/A 23323-2025 karta.png", "A 23323-2025")</f>
        <v/>
      </c>
      <c r="Y59">
        <f>HYPERLINK("https://klasma.github.io/Logging_2582/kartor_geotiff/A 23323-2025 georefererad karta.tif", "A 23323-2025")</f>
        <v/>
      </c>
      <c r="AA59">
        <f>HYPERLINK("https://klasma.github.io/Logging_2582/klagomål/A 23323-2025 FSC-klagomål.docx", "A 23323-2025")</f>
        <v/>
      </c>
      <c r="AB59">
        <f>HYPERLINK("https://klasma.github.io/Logging_2582/klagomålsmail/A 23323-2025 FSC-klagomål mail.docx", "A 23323-2025")</f>
        <v/>
      </c>
      <c r="AC59">
        <f>HYPERLINK("https://klasma.github.io/Logging_2582/tillsyn/A 23323-2025 tillsynsbegäran.docx", "A 23323-2025")</f>
        <v/>
      </c>
      <c r="AD59">
        <f>HYPERLINK("https://klasma.github.io/Logging_2582/tillsynsmail/A 23323-2025 tillsynsbegäran mail.docx", "A 23323-2025")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46295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26040-2026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32.6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Doftticka
Lunglav
Bårdlav</t>
        </is>
      </c>
      <c r="W61">
        <f>HYPERLINK("https://klasma.github.io/Logging_2582/artfynd/A 26040-2026 artfynd.xlsx", "A 26040-2026")</f>
        <v/>
      </c>
      <c r="X61">
        <f>HYPERLINK("https://klasma.github.io/Logging_2582/kartor/A 26040-2026 karta.png", "A 26040-2026")</f>
        <v/>
      </c>
      <c r="Y61">
        <f>HYPERLINK("https://klasma.github.io/Logging_2582/kartor_geotiff/A 26040-2026 georefererad karta.tif", "A 26040-2026")</f>
        <v/>
      </c>
      <c r="AA61">
        <f>HYPERLINK("https://klasma.github.io/Logging_2582/klagomål/A 26040-2026 FSC-klagomål.docx", "A 26040-2026")</f>
        <v/>
      </c>
      <c r="AB61">
        <f>HYPERLINK("https://klasma.github.io/Logging_2582/klagomålsmail/A 26040-2026 FSC-klagomål mail.docx", "A 26040-2026")</f>
        <v/>
      </c>
      <c r="AC61">
        <f>HYPERLINK("https://klasma.github.io/Logging_2582/tillsyn/A 26040-2026 tillsynsbegäran.docx", "A 26040-2026")</f>
        <v/>
      </c>
      <c r="AD61">
        <f>HYPERLINK("https://klasma.github.io/Logging_2582/tillsynsmail/A 26040-2026 tillsynsbegäran mail.docx", "A 26040-2026")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46295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46295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46295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46295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46295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46295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46295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46295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46295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46295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46295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46295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46295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46295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46295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28867-2025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46295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8.199999999999999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12</v>
      </c>
      <c r="U81" t="n">
        <v>12</v>
      </c>
      <c r="V81" s="2" t="inlineStr">
        <is>
          <t>Knärot
Fläcknycklar</t>
        </is>
      </c>
      <c r="W81">
        <f>HYPERLINK("https://klasma.github.io/Logging_2582/artfynd/A 28867-2025 artfynd.xlsx", "A 28867-2025")</f>
        <v/>
      </c>
      <c r="X81">
        <f>HYPERLINK("https://klasma.github.io/Logging_2582/kartor/A 28867-2025 karta.png", "A 28867-2025")</f>
        <v/>
      </c>
      <c r="Y81">
        <f>HYPERLINK("https://klasma.github.io/Logging_2582/kartor_geotiff/A 28867-2025 georefererad karta.tif", "A 28867-2025")</f>
        <v/>
      </c>
      <c r="Z81">
        <f>HYPERLINK("https://klasma.github.io/Logging_2582/knärot/A 28867-2025 karta knärot.png", "A 28867-2025")</f>
        <v/>
      </c>
      <c r="AA81">
        <f>HYPERLINK("https://klasma.github.io/Logging_2582/klagomål/A 28867-2025 FSC-klagomål.docx", "A 28867-2025")</f>
        <v/>
      </c>
      <c r="AB81">
        <f>HYPERLINK("https://klasma.github.io/Logging_2582/klagomålsmail/A 28867-2025 FSC-klagomål mail.docx", "A 28867-2025")</f>
        <v/>
      </c>
      <c r="AC81">
        <f>HYPERLINK("https://klasma.github.io/Logging_2582/tillsyn/A 28867-2025 tillsynsbegäran.docx", "A 28867-2025")</f>
        <v/>
      </c>
      <c r="AD81">
        <f>HYPERLINK("https://klasma.github.io/Logging_2582/tillsynsmail/A 28867-2025 tillsynsbegäran mail.docx", "A 28867-2025")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46295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46295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46295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46295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46295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46295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46295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60774-2025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45999</v>
      </c>
      <c r="E89" s="1" t="n">
        <v>46295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60774-2025 artfynd.xlsx", "A 60774-2025")</f>
        <v/>
      </c>
      <c r="X89">
        <f>HYPERLINK("https://klasma.github.io/Logging_2582/kartor/A 60774-2025 karta.png", "A 60774-2025")</f>
        <v/>
      </c>
      <c r="Y89">
        <f>HYPERLINK("https://klasma.github.io/Logging_2582/kartor_geotiff/A 60774-2025 georefererad karta.tif", "A 60774-2025")</f>
        <v/>
      </c>
      <c r="AA89">
        <f>HYPERLINK("https://klasma.github.io/Logging_2582/klagomål/A 60774-2025 FSC-klagomål.docx", "A 60774-2025")</f>
        <v/>
      </c>
      <c r="AB89">
        <f>HYPERLINK("https://klasma.github.io/Logging_2582/klagomålsmail/A 60774-2025 FSC-klagomål mail.docx", "A 60774-2025")</f>
        <v/>
      </c>
      <c r="AC89">
        <f>HYPERLINK("https://klasma.github.io/Logging_2582/tillsyn/A 60774-2025 tillsynsbegäran.docx", "A 60774-2025")</f>
        <v/>
      </c>
      <c r="AD89">
        <f>HYPERLINK("https://klasma.github.io/Logging_2582/tillsynsmail/A 60774-2025 tillsynsbegäran mail.docx", "A 60774-2025")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46295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46295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46295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46295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21657-2026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46295</v>
      </c>
      <c r="F94" t="inlineStr">
        <is>
          <t>NORRBOTTENS LÄN</t>
        </is>
      </c>
      <c r="G94" t="inlineStr">
        <is>
          <t>BODEN</t>
        </is>
      </c>
      <c r="I94" t="n">
        <v>9.800000000000001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Orre
Utter</t>
        </is>
      </c>
      <c r="W94">
        <f>HYPERLINK("https://klasma.github.io/Logging_2582/artfynd/A 21657-2026 artfynd.xlsx", "A 21657-2026")</f>
        <v/>
      </c>
      <c r="X94">
        <f>HYPERLINK("https://klasma.github.io/Logging_2582/kartor/A 21657-2026 karta.png", "A 21657-2026")</f>
        <v/>
      </c>
      <c r="Y94">
        <f>HYPERLINK("https://klasma.github.io/Logging_2582/kartor_geotiff/A 21657-2026 georefererad karta.tif", "A 21657-2026")</f>
        <v/>
      </c>
      <c r="AA94">
        <f>HYPERLINK("https://klasma.github.io/Logging_2582/klagomål/A 21657-2026 FSC-klagomål.docx", "A 21657-2026")</f>
        <v/>
      </c>
      <c r="AB94">
        <f>HYPERLINK("https://klasma.github.io/Logging_2582/klagomålsmail/A 21657-2026 FSC-klagomål mail.docx", "A 21657-2026")</f>
        <v/>
      </c>
      <c r="AC94">
        <f>HYPERLINK("https://klasma.github.io/Logging_2582/tillsyn/A 21657-2026 tillsynsbegäran.docx", "A 21657-2026")</f>
        <v/>
      </c>
      <c r="AD94">
        <f>HYPERLINK("https://klasma.github.io/Logging_2582/tillsynsmail/A 21657-2026 tillsynsbegäran mail.docx", "A 21657-2026")</f>
        <v/>
      </c>
      <c r="AE94">
        <f>HYPERLINK("https://klasma.github.io/Logging_2582/fåglar/A 21657-2026 prioriterade fågelarter.docx", "A 21657-2026")</f>
        <v/>
      </c>
    </row>
    <row r="95" ht="15" customHeight="1">
      <c r="A95" t="inlineStr">
        <is>
          <t>A 48899-2024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46295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18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Hässlebrodd
Fläcknycklar</t>
        </is>
      </c>
      <c r="W95">
        <f>HYPERLINK("https://klasma.github.io/Logging_2582/artfynd/A 48899-2024 artfynd.xlsx", "A 48899-2024")</f>
        <v/>
      </c>
      <c r="X95">
        <f>HYPERLINK("https://klasma.github.io/Logging_2582/kartor/A 48899-2024 karta.png", "A 48899-2024")</f>
        <v/>
      </c>
      <c r="Y95">
        <f>HYPERLINK("https://klasma.github.io/Logging_2582/kartor_geotiff/A 48899-2024 georefererad karta.tif", "A 48899-2024")</f>
        <v/>
      </c>
      <c r="AA95">
        <f>HYPERLINK("https://klasma.github.io/Logging_2582/klagomål/A 48899-2024 FSC-klagomål.docx", "A 48899-2024")</f>
        <v/>
      </c>
      <c r="AB95">
        <f>HYPERLINK("https://klasma.github.io/Logging_2582/klagomålsmail/A 48899-2024 FSC-klagomål mail.docx", "A 48899-2024")</f>
        <v/>
      </c>
      <c r="AC95">
        <f>HYPERLINK("https://klasma.github.io/Logging_2582/tillsyn/A 48899-2024 tillsynsbegäran.docx", "A 48899-2024")</f>
        <v/>
      </c>
      <c r="AD95">
        <f>HYPERLINK("https://klasma.github.io/Logging_2582/tillsynsmail/A 48899-2024 tillsynsbegäran mail.docx", "A 48899-2024")</f>
        <v/>
      </c>
    </row>
    <row r="96" ht="15" customHeight="1">
      <c r="A96" t="inlineStr">
        <is>
          <t>A 23794-2026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46164</v>
      </c>
      <c r="E96" s="1" t="n">
        <v>46295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3.1</v>
      </c>
      <c r="J96" t="n">
        <v>2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Plattlummer
Spindelblomster</t>
        </is>
      </c>
      <c r="W96">
        <f>HYPERLINK("https://klasma.github.io/Logging_2582/artfynd/A 23794-2026 artfynd.xlsx", "A 23794-2026")</f>
        <v/>
      </c>
      <c r="X96">
        <f>HYPERLINK("https://klasma.github.io/Logging_2582/kartor/A 23794-2026 karta.png", "A 23794-2026")</f>
        <v/>
      </c>
      <c r="Y96">
        <f>HYPERLINK("https://klasma.github.io/Logging_2582/kartor_geotiff/A 23794-2026 georefererad karta.tif", "A 23794-2026")</f>
        <v/>
      </c>
      <c r="AA96">
        <f>HYPERLINK("https://klasma.github.io/Logging_2582/klagomål/A 23794-2026 FSC-klagomål.docx", "A 23794-2026")</f>
        <v/>
      </c>
      <c r="AB96">
        <f>HYPERLINK("https://klasma.github.io/Logging_2582/klagomålsmail/A 23794-2026 FSC-klagomål mail.docx", "A 23794-2026")</f>
        <v/>
      </c>
      <c r="AC96">
        <f>HYPERLINK("https://klasma.github.io/Logging_2582/tillsyn/A 23794-2026 tillsynsbegäran.docx", "A 23794-2026")</f>
        <v/>
      </c>
      <c r="AD96">
        <f>HYPERLINK("https://klasma.github.io/Logging_2582/tillsynsmail/A 23794-2026 tillsynsbegäran mail.docx", "A 23794-2026")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46295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46295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46295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46295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46295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46295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42233-2022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44830</v>
      </c>
      <c r="E106" s="1" t="n">
        <v>46295</v>
      </c>
      <c r="F106" t="inlineStr">
        <is>
          <t>NORRBOTTENS LÄN</t>
        </is>
      </c>
      <c r="G106" t="inlineStr">
        <is>
          <t>BODEN</t>
        </is>
      </c>
      <c r="I106" t="n">
        <v>3.6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Enkelbeckasin
Svartvit flugsnappare</t>
        </is>
      </c>
      <c r="W106">
        <f>HYPERLINK("https://klasma.github.io/Logging_2582/artfynd/A 42233-2022 artfynd.xlsx", "A 42233-2022")</f>
        <v/>
      </c>
      <c r="X106">
        <f>HYPERLINK("https://klasma.github.io/Logging_2582/kartor/A 42233-2022 karta.png", "A 42233-2022")</f>
        <v/>
      </c>
      <c r="Y106">
        <f>HYPERLINK("https://klasma.github.io/Logging_2582/kartor_geotiff/A 42233-2022 georefererad karta.tif", "A 42233-2022")</f>
        <v/>
      </c>
      <c r="AA106">
        <f>HYPERLINK("https://klasma.github.io/Logging_2582/klagomål/A 42233-2022 FSC-klagomål.docx", "A 42233-2022")</f>
        <v/>
      </c>
      <c r="AB106">
        <f>HYPERLINK("https://klasma.github.io/Logging_2582/klagomålsmail/A 42233-2022 FSC-klagomål mail.docx", "A 42233-2022")</f>
        <v/>
      </c>
      <c r="AC106">
        <f>HYPERLINK("https://klasma.github.io/Logging_2582/tillsyn/A 42233-2022 tillsynsbegäran.docx", "A 42233-2022")</f>
        <v/>
      </c>
      <c r="AD106">
        <f>HYPERLINK("https://klasma.github.io/Logging_2582/tillsynsmail/A 42233-2022 tillsynsbegäran mail.docx", "A 42233-2022")</f>
        <v/>
      </c>
      <c r="AE106">
        <f>HYPERLINK("https://klasma.github.io/Logging_2582/fåglar/A 42233-2022 prioriterade fågelarter.docx", "A 42233-2022")</f>
        <v/>
      </c>
    </row>
    <row r="107" ht="15" customHeight="1">
      <c r="A107" t="inlineStr">
        <is>
          <t>A 31655-2026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46295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11.1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Dropptaggsvamp
Lunglav</t>
        </is>
      </c>
      <c r="W107">
        <f>HYPERLINK("https://klasma.github.io/Logging_2582/artfynd/A 31655-2026 artfynd.xlsx", "A 31655-2026")</f>
        <v/>
      </c>
      <c r="X107">
        <f>HYPERLINK("https://klasma.github.io/Logging_2582/kartor/A 31655-2026 karta.png", "A 31655-2026")</f>
        <v/>
      </c>
      <c r="Y107">
        <f>HYPERLINK("https://klasma.github.io/Logging_2582/kartor_geotiff/A 31655-2026 georefererad karta.tif", "A 31655-2026")</f>
        <v/>
      </c>
      <c r="AA107">
        <f>HYPERLINK("https://klasma.github.io/Logging_2582/klagomål/A 31655-2026 FSC-klagomål.docx", "A 31655-2026")</f>
        <v/>
      </c>
      <c r="AB107">
        <f>HYPERLINK("https://klasma.github.io/Logging_2582/klagomålsmail/A 31655-2026 FSC-klagomål mail.docx", "A 31655-2026")</f>
        <v/>
      </c>
      <c r="AC107">
        <f>HYPERLINK("https://klasma.github.io/Logging_2582/tillsyn/A 31655-2026 tillsynsbegäran.docx", "A 31655-2026")</f>
        <v/>
      </c>
      <c r="AD107">
        <f>HYPERLINK("https://klasma.github.io/Logging_2582/tillsynsmail/A 31655-2026 tillsynsbegäran mail.docx", "A 31655-2026")</f>
        <v/>
      </c>
    </row>
    <row r="108" ht="15" customHeight="1">
      <c r="A108" t="inlineStr">
        <is>
          <t>A 36163-2026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46267</v>
      </c>
      <c r="E108" s="1" t="n">
        <v>46295</v>
      </c>
      <c r="F108" t="inlineStr">
        <is>
          <t>NORRBOTTENS LÄN</t>
        </is>
      </c>
      <c r="G108" t="inlineStr">
        <is>
          <t>BODEN</t>
        </is>
      </c>
      <c r="I108" t="n">
        <v>7.2</v>
      </c>
      <c r="J108" t="n">
        <v>2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Björktrast
Rödvingetrast</t>
        </is>
      </c>
      <c r="W108">
        <f>HYPERLINK("https://klasma.github.io/Logging_2582/artfynd/A 36163-2026 artfynd.xlsx", "A 36163-2026")</f>
        <v/>
      </c>
      <c r="X108">
        <f>HYPERLINK("https://klasma.github.io/Logging_2582/kartor/A 36163-2026 karta.png", "A 36163-2026")</f>
        <v/>
      </c>
      <c r="Y108">
        <f>HYPERLINK("https://klasma.github.io/Logging_2582/kartor_geotiff/A 36163-2026 georefererad karta.tif", "A 36163-2026")</f>
        <v/>
      </c>
      <c r="AA108">
        <f>HYPERLINK("https://klasma.github.io/Logging_2582/klagomål/A 36163-2026 FSC-klagomål.docx", "A 36163-2026")</f>
        <v/>
      </c>
      <c r="AB108">
        <f>HYPERLINK("https://klasma.github.io/Logging_2582/klagomålsmail/A 36163-2026 FSC-klagomål mail.docx", "A 36163-2026")</f>
        <v/>
      </c>
      <c r="AC108">
        <f>HYPERLINK("https://klasma.github.io/Logging_2582/tillsyn/A 36163-2026 tillsynsbegäran.docx", "A 36163-2026")</f>
        <v/>
      </c>
      <c r="AD108">
        <f>HYPERLINK("https://klasma.github.io/Logging_2582/tillsynsmail/A 36163-2026 tillsynsbegäran mail.docx", "A 36163-2026")</f>
        <v/>
      </c>
      <c r="AE108">
        <f>HYPERLINK("https://klasma.github.io/Logging_2582/fåglar/A 36163-2026 prioriterade fågelarter.docx", "A 36163-2026")</f>
        <v/>
      </c>
    </row>
    <row r="109" ht="15" customHeight="1">
      <c r="A109" t="inlineStr">
        <is>
          <t>A 36622-2026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46270</v>
      </c>
      <c r="E109" s="1" t="n">
        <v>46295</v>
      </c>
      <c r="F109" t="inlineStr">
        <is>
          <t>NORRBOTTENS LÄN</t>
        </is>
      </c>
      <c r="G109" t="inlineStr">
        <is>
          <t>BODEN</t>
        </is>
      </c>
      <c r="I109" t="n">
        <v>11.7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4</v>
      </c>
      <c r="U109" t="n">
        <v>0</v>
      </c>
      <c r="V109" s="2" t="inlineStr">
        <is>
          <t>Dropptaggsvamp
Revlummer</t>
        </is>
      </c>
      <c r="W109">
        <f>HYPERLINK("https://klasma.github.io/Logging_2582/artfynd/A 36622-2026 artfynd.xlsx", "A 36622-2026")</f>
        <v/>
      </c>
      <c r="X109">
        <f>HYPERLINK("https://klasma.github.io/Logging_2582/kartor/A 36622-2026 karta.png", "A 36622-2026")</f>
        <v/>
      </c>
      <c r="Y109">
        <f>HYPERLINK("https://klasma.github.io/Logging_2582/kartor_geotiff/A 36622-2026 georefererad karta.tif", "A 36622-2026")</f>
        <v/>
      </c>
      <c r="AA109">
        <f>HYPERLINK("https://klasma.github.io/Logging_2582/klagomål/A 36622-2026 FSC-klagomål.docx", "A 36622-2026")</f>
        <v/>
      </c>
      <c r="AB109">
        <f>HYPERLINK("https://klasma.github.io/Logging_2582/klagomålsmail/A 36622-2026 FSC-klagomål mail.docx", "A 36622-2026")</f>
        <v/>
      </c>
      <c r="AC109">
        <f>HYPERLINK("https://klasma.github.io/Logging_2582/tillsyn/A 36622-2026 tillsynsbegäran.docx", "A 36622-2026")</f>
        <v/>
      </c>
      <c r="AD109">
        <f>HYPERLINK("https://klasma.github.io/Logging_2582/tillsynsmail/A 36622-2026 tillsynsbegäran mail.docx", "A 36622-2026")</f>
        <v/>
      </c>
    </row>
    <row r="110" ht="15" customHeight="1">
      <c r="A110" t="inlineStr">
        <is>
          <t>A 22906-2023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45072</v>
      </c>
      <c r="E110" s="1" t="n">
        <v>46295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3.5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Utter</t>
        </is>
      </c>
      <c r="W110">
        <f>HYPERLINK("https://klasma.github.io/Logging_2582/artfynd/A 22906-2023 artfynd.xlsx", "A 22906-2023")</f>
        <v/>
      </c>
      <c r="X110">
        <f>HYPERLINK("https://klasma.github.io/Logging_2582/kartor/A 22906-2023 karta.png", "A 22906-2023")</f>
        <v/>
      </c>
      <c r="Y110">
        <f>HYPERLINK("https://klasma.github.io/Logging_2582/kartor_geotiff/A 22906-2023 georefererad karta.tif", "A 22906-2023")</f>
        <v/>
      </c>
      <c r="AA110">
        <f>HYPERLINK("https://klasma.github.io/Logging_2582/klagomål/A 22906-2023 FSC-klagomål.docx", "A 22906-2023")</f>
        <v/>
      </c>
      <c r="AB110">
        <f>HYPERLINK("https://klasma.github.io/Logging_2582/klagomålsmail/A 22906-2023 FSC-klagomål mail.docx", "A 22906-2023")</f>
        <v/>
      </c>
      <c r="AC110">
        <f>HYPERLINK("https://klasma.github.io/Logging_2582/tillsyn/A 22906-2023 tillsynsbegäran.docx", "A 22906-2023")</f>
        <v/>
      </c>
      <c r="AD110">
        <f>HYPERLINK("https://klasma.github.io/Logging_2582/tillsynsmail/A 22906-2023 tillsynsbegäran mail.docx", "A 22906-2023")</f>
        <v/>
      </c>
      <c r="AE110">
        <f>HYPERLINK("https://klasma.github.io/Logging_2582/fåglar/A 22906-2023 prioriterade fågelarter.docx", "A 22906-2023")</f>
        <v/>
      </c>
    </row>
    <row r="111" ht="15" customHeight="1">
      <c r="A111" t="inlineStr">
        <is>
          <t>A 38870-2026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46295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4.8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Fläcknycklar
Revlummer</t>
        </is>
      </c>
      <c r="W111">
        <f>HYPERLINK("https://klasma.github.io/Logging_2582/artfynd/A 38870-2026 artfynd.xlsx", "A 38870-2026")</f>
        <v/>
      </c>
      <c r="X111">
        <f>HYPERLINK("https://klasma.github.io/Logging_2582/kartor/A 38870-2026 karta.png", "A 38870-2026")</f>
        <v/>
      </c>
      <c r="Y111">
        <f>HYPERLINK("https://klasma.github.io/Logging_2582/kartor_geotiff/A 38870-2026 georefererad karta.tif", "A 38870-2026")</f>
        <v/>
      </c>
      <c r="AA111">
        <f>HYPERLINK("https://klasma.github.io/Logging_2582/klagomål/A 38870-2026 FSC-klagomål.docx", "A 38870-2026")</f>
        <v/>
      </c>
      <c r="AB111">
        <f>HYPERLINK("https://klasma.github.io/Logging_2582/klagomålsmail/A 38870-2026 FSC-klagomål mail.docx", "A 38870-2026")</f>
        <v/>
      </c>
      <c r="AC111">
        <f>HYPERLINK("https://klasma.github.io/Logging_2582/tillsyn/A 38870-2026 tillsynsbegäran.docx", "A 38870-2026")</f>
        <v/>
      </c>
      <c r="AD111">
        <f>HYPERLINK("https://klasma.github.io/Logging_2582/tillsynsmail/A 38870-2026 tillsynsbegäran mail.docx", "A 38870-2026")</f>
        <v/>
      </c>
    </row>
    <row r="112" ht="15" customHeight="1">
      <c r="A112" t="inlineStr">
        <is>
          <t>A 33096-2026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46245</v>
      </c>
      <c r="E112" s="1" t="n">
        <v>46295</v>
      </c>
      <c r="F112" t="inlineStr">
        <is>
          <t>NORRBOTTENS LÄN</t>
        </is>
      </c>
      <c r="G112" t="inlineStr">
        <is>
          <t>BODEN</t>
        </is>
      </c>
      <c r="I112" t="n">
        <v>36.6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HYPERLINK("https://klasma.github.io/Logging_2582/artfynd/A 33096-2026 artfynd.xlsx", "A 33096-2026")</f>
        <v/>
      </c>
      <c r="X112">
        <f>HYPERLINK("https://klasma.github.io/Logging_2582/kartor/A 33096-2026 karta.png", "A 33096-2026")</f>
        <v/>
      </c>
      <c r="Y112">
        <f>HYPERLINK("https://klasma.github.io/Logging_2582/kartor_geotiff/A 33096-2026 georefererad karta.tif", "A 33096-2026")</f>
        <v/>
      </c>
      <c r="AA112">
        <f>HYPERLINK("https://klasma.github.io/Logging_2582/klagomål/A 33096-2026 FSC-klagomål.docx", "A 33096-2026")</f>
        <v/>
      </c>
      <c r="AB112">
        <f>HYPERLINK("https://klasma.github.io/Logging_2582/klagomålsmail/A 33096-2026 FSC-klagomål mail.docx", "A 33096-2026")</f>
        <v/>
      </c>
      <c r="AC112">
        <f>HYPERLINK("https://klasma.github.io/Logging_2582/tillsyn/A 33096-2026 tillsynsbegäran.docx", "A 33096-2026")</f>
        <v/>
      </c>
      <c r="AD112">
        <f>HYPERLINK("https://klasma.github.io/Logging_2582/tillsynsmail/A 33096-2026 tillsynsbegäran mail.docx", "A 33096-2026")</f>
        <v/>
      </c>
    </row>
    <row r="113" ht="15" customHeight="1">
      <c r="A113" t="inlineStr">
        <is>
          <t>A 6639-2024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46295</v>
      </c>
      <c r="F113" t="inlineStr">
        <is>
          <t>NORRBOTTENS LÄN</t>
        </is>
      </c>
      <c r="G113" t="inlineStr">
        <is>
          <t>BODEN</t>
        </is>
      </c>
      <c r="H113" t="inlineStr">
        <is>
          <t>Övriga statliga verk och myndigheter</t>
        </is>
      </c>
      <c r="I113" t="n">
        <v>23.8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Kungsfågel</t>
        </is>
      </c>
      <c r="W113">
        <f>HYPERLINK("https://klasma.github.io/Logging_2582/artfynd/A 6639-2024 artfynd.xlsx", "A 6639-2024")</f>
        <v/>
      </c>
      <c r="X113">
        <f>HYPERLINK("https://klasma.github.io/Logging_2582/kartor/A 6639-2024 karta.png", "A 6639-2024")</f>
        <v/>
      </c>
      <c r="Y113">
        <f>HYPERLINK("https://klasma.github.io/Logging_2582/kartor_geotiff/A 6639-2024 georefererad karta.tif", "A 6639-2024")</f>
        <v/>
      </c>
      <c r="AA113">
        <f>HYPERLINK("https://klasma.github.io/Logging_2582/klagomål/A 6639-2024 FSC-klagomål.docx", "A 6639-2024")</f>
        <v/>
      </c>
      <c r="AB113">
        <f>HYPERLINK("https://klasma.github.io/Logging_2582/klagomålsmail/A 6639-2024 FSC-klagomål mail.docx", "A 6639-2024")</f>
        <v/>
      </c>
      <c r="AC113">
        <f>HYPERLINK("https://klasma.github.io/Logging_2582/tillsyn/A 6639-2024 tillsynsbegäran.docx", "A 6639-2024")</f>
        <v/>
      </c>
      <c r="AD113">
        <f>HYPERLINK("https://klasma.github.io/Logging_2582/tillsynsmail/A 6639-2024 tillsynsbegäran mail.docx", "A 6639-2024")</f>
        <v/>
      </c>
    </row>
    <row r="114" ht="15" customHeight="1">
      <c r="A114" t="inlineStr">
        <is>
          <t>A 33416-2026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46247</v>
      </c>
      <c r="E114" s="1" t="n">
        <v>46295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Plattlummer</t>
        </is>
      </c>
      <c r="W114">
        <f>HYPERLINK("https://klasma.github.io/Logging_2582/artfynd/A 33416-2026 artfynd.xlsx", "A 33416-2026")</f>
        <v/>
      </c>
      <c r="X114">
        <f>HYPERLINK("https://klasma.github.io/Logging_2582/kartor/A 33416-2026 karta.png", "A 33416-2026")</f>
        <v/>
      </c>
      <c r="Y114">
        <f>HYPERLINK("https://klasma.github.io/Logging_2582/kartor_geotiff/A 33416-2026 georefererad karta.tif", "A 33416-2026")</f>
        <v/>
      </c>
      <c r="AA114">
        <f>HYPERLINK("https://klasma.github.io/Logging_2582/klagomål/A 33416-2026 FSC-klagomål.docx", "A 33416-2026")</f>
        <v/>
      </c>
      <c r="AB114">
        <f>HYPERLINK("https://klasma.github.io/Logging_2582/klagomålsmail/A 33416-2026 FSC-klagomål mail.docx", "A 33416-2026")</f>
        <v/>
      </c>
      <c r="AC114">
        <f>HYPERLINK("https://klasma.github.io/Logging_2582/tillsyn/A 33416-2026 tillsynsbegäran.docx", "A 33416-2026")</f>
        <v/>
      </c>
      <c r="AD114">
        <f>HYPERLINK("https://klasma.github.io/Logging_2582/tillsynsmail/A 33416-2026 tillsynsbegäran mail.docx", "A 33416-2026")</f>
        <v/>
      </c>
    </row>
    <row r="115" ht="15" customHeight="1">
      <c r="A115" t="inlineStr">
        <is>
          <t>A 900-2024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46295</v>
      </c>
      <c r="F115" t="inlineStr">
        <is>
          <t>NORRBOTTENS LÄN</t>
        </is>
      </c>
      <c r="G115" t="inlineStr">
        <is>
          <t>BODEN</t>
        </is>
      </c>
      <c r="I115" t="n">
        <v>5.2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Revlummer</t>
        </is>
      </c>
      <c r="W115">
        <f>HYPERLINK("https://klasma.github.io/Logging_2582/artfynd/A 900-2024 artfynd.xlsx", "A 900-2024")</f>
        <v/>
      </c>
      <c r="X115">
        <f>HYPERLINK("https://klasma.github.io/Logging_2582/kartor/A 900-2024 karta.png", "A 900-2024")</f>
        <v/>
      </c>
      <c r="Y115">
        <f>HYPERLINK("https://klasma.github.io/Logging_2582/kartor_geotiff/A 900-2024 georefererad karta.tif", "A 900-2024")</f>
        <v/>
      </c>
      <c r="Z115">
        <f>HYPERLINK("https://klasma.github.io/Logging_2582/knärot/A 900-2024 karta knärot.png", "A 900-2024")</f>
        <v/>
      </c>
      <c r="AA115">
        <f>HYPERLINK("https://klasma.github.io/Logging_2582/klagomål/A 900-2024 FSC-klagomål.docx", "A 900-2024")</f>
        <v/>
      </c>
      <c r="AB115">
        <f>HYPERLINK("https://klasma.github.io/Logging_2582/klagomålsmail/A 900-2024 FSC-klagomål mail.docx", "A 900-2024")</f>
        <v/>
      </c>
      <c r="AC115">
        <f>HYPERLINK("https://klasma.github.io/Logging_2582/tillsyn/A 900-2024 tillsynsbegäran.docx", "A 900-2024")</f>
        <v/>
      </c>
      <c r="AD115">
        <f>HYPERLINK("https://klasma.github.io/Logging_2582/tillsynsmail/A 900-2024 tillsynsbegäran mail.docx", "A 900-2024")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46295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46295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46295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46295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46295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46295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46295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46295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13568-2022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46295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Lavskrika</t>
        </is>
      </c>
      <c r="W125">
        <f>HYPERLINK("https://klasma.github.io/Logging_2582/artfynd/A 13568-2022 artfynd.xlsx", "A 13568-2022")</f>
        <v/>
      </c>
      <c r="X125">
        <f>HYPERLINK("https://klasma.github.io/Logging_2582/kartor/A 13568-2022 karta.png", "A 13568-2022")</f>
        <v/>
      </c>
      <c r="Y125">
        <f>HYPERLINK("https://klasma.github.io/Logging_2582/kartor_geotiff/A 13568-2022 georefererad karta.tif", "A 13568-2022")</f>
        <v/>
      </c>
      <c r="AA125">
        <f>HYPERLINK("https://klasma.github.io/Logging_2582/klagomål/A 13568-2022 FSC-klagomål.docx", "A 13568-2022")</f>
        <v/>
      </c>
      <c r="AB125">
        <f>HYPERLINK("https://klasma.github.io/Logging_2582/klagomålsmail/A 13568-2022 FSC-klagomål mail.docx", "A 13568-2022")</f>
        <v/>
      </c>
      <c r="AC125">
        <f>HYPERLINK("https://klasma.github.io/Logging_2582/tillsyn/A 13568-2022 tillsynsbegäran.docx", "A 13568-2022")</f>
        <v/>
      </c>
      <c r="AD125">
        <f>HYPERLINK("https://klasma.github.io/Logging_2582/tillsynsmail/A 13568-2022 tillsynsbegäran mail.docx", "A 13568-2022")</f>
        <v/>
      </c>
      <c r="AE125">
        <f>HYPERLINK("https://klasma.github.io/Logging_2582/fåglar/A 13568-2022 prioriterade fågelarter.docx", "A 13568-2022")</f>
        <v/>
      </c>
    </row>
    <row r="126" ht="15" customHeight="1">
      <c r="A126" t="inlineStr">
        <is>
          <t>A 68560-2021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46295</v>
      </c>
      <c r="F126" t="inlineStr">
        <is>
          <t>NORRBOTTENS LÄN</t>
        </is>
      </c>
      <c r="G126" t="inlineStr">
        <is>
          <t>BODEN</t>
        </is>
      </c>
      <c r="I126" t="n">
        <v>3.5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4</v>
      </c>
      <c r="U126" t="n">
        <v>4</v>
      </c>
      <c r="V126" s="2" t="inlineStr">
        <is>
          <t>Småflikig brosklav</t>
        </is>
      </c>
      <c r="W126">
        <f>HYPERLINK("https://klasma.github.io/Logging_2582/artfynd/A 68560-2021 artfynd.xlsx", "A 68560-2021")</f>
        <v/>
      </c>
      <c r="X126">
        <f>HYPERLINK("https://klasma.github.io/Logging_2582/kartor/A 68560-2021 karta.png", "A 68560-2021")</f>
        <v/>
      </c>
      <c r="Y126">
        <f>HYPERLINK("https://klasma.github.io/Logging_2582/kartor_geotiff/A 68560-2021 georefererad karta.tif", "A 68560-2021")</f>
        <v/>
      </c>
      <c r="AA126">
        <f>HYPERLINK("https://klasma.github.io/Logging_2582/klagomål/A 68560-2021 FSC-klagomål.docx", "A 68560-2021")</f>
        <v/>
      </c>
      <c r="AB126">
        <f>HYPERLINK("https://klasma.github.io/Logging_2582/klagomålsmail/A 68560-2021 FSC-klagomål mail.docx", "A 68560-2021")</f>
        <v/>
      </c>
      <c r="AC126">
        <f>HYPERLINK("https://klasma.github.io/Logging_2582/tillsyn/A 68560-2021 tillsynsbegäran.docx", "A 68560-2021")</f>
        <v/>
      </c>
      <c r="AD126">
        <f>HYPERLINK("https://klasma.github.io/Logging_2582/tillsynsmail/A 68560-2021 tillsynsbegäran mail.docx", "A 68560-2021")</f>
        <v/>
      </c>
    </row>
    <row r="127" ht="15" customHeight="1">
      <c r="A127" t="inlineStr">
        <is>
          <t>A 41087-2024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45559</v>
      </c>
      <c r="E127" s="1" t="n">
        <v>46295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HYPERLINK("https://klasma.github.io/Logging_2582/artfynd/A 41087-2024 artfynd.xlsx", "A 41087-2024")</f>
        <v/>
      </c>
      <c r="X127">
        <f>HYPERLINK("https://klasma.github.io/Logging_2582/kartor/A 41087-2024 karta.png", "A 41087-2024")</f>
        <v/>
      </c>
      <c r="Y127">
        <f>HYPERLINK("https://klasma.github.io/Logging_2582/kartor_geotiff/A 41087-2024 georefererad karta.tif", "A 41087-2024")</f>
        <v/>
      </c>
      <c r="AA127">
        <f>HYPERLINK("https://klasma.github.io/Logging_2582/klagomål/A 41087-2024 FSC-klagomål.docx", "A 41087-2024")</f>
        <v/>
      </c>
      <c r="AB127">
        <f>HYPERLINK("https://klasma.github.io/Logging_2582/klagomålsmail/A 41087-2024 FSC-klagomål mail.docx", "A 41087-2024")</f>
        <v/>
      </c>
      <c r="AC127">
        <f>HYPERLINK("https://klasma.github.io/Logging_2582/tillsyn/A 41087-2024 tillsynsbegäran.docx", "A 41087-2024")</f>
        <v/>
      </c>
      <c r="AD127">
        <f>HYPERLINK("https://klasma.github.io/Logging_2582/tillsynsmail/A 41087-2024 tillsynsbegäran mail.docx", "A 41087-2024")</f>
        <v/>
      </c>
    </row>
    <row r="128" ht="15" customHeight="1">
      <c r="A128" t="inlineStr">
        <is>
          <t>A 32600-2024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46295</v>
      </c>
      <c r="F128" t="inlineStr">
        <is>
          <t>NORRBOTTENS LÄN</t>
        </is>
      </c>
      <c r="G128" t="inlineStr">
        <is>
          <t>BODEN</t>
        </is>
      </c>
      <c r="I128" t="n">
        <v>2.5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32600-2024 artfynd.xlsx", "A 32600-2024")</f>
        <v/>
      </c>
      <c r="X128">
        <f>HYPERLINK("https://klasma.github.io/Logging_2582/kartor/A 32600-2024 karta.png", "A 32600-2024")</f>
        <v/>
      </c>
      <c r="Y128">
        <f>HYPERLINK("https://klasma.github.io/Logging_2582/kartor_geotiff/A 32600-2024 georefererad karta.tif", "A 32600-2024")</f>
        <v/>
      </c>
      <c r="AA128">
        <f>HYPERLINK("https://klasma.github.io/Logging_2582/klagomål/A 32600-2024 FSC-klagomål.docx", "A 32600-2024")</f>
        <v/>
      </c>
      <c r="AB128">
        <f>HYPERLINK("https://klasma.github.io/Logging_2582/klagomålsmail/A 32600-2024 FSC-klagomål mail.docx", "A 32600-2024")</f>
        <v/>
      </c>
      <c r="AC128">
        <f>HYPERLINK("https://klasma.github.io/Logging_2582/tillsyn/A 32600-2024 tillsynsbegäran.docx", "A 32600-2024")</f>
        <v/>
      </c>
      <c r="AD128">
        <f>HYPERLINK("https://klasma.github.io/Logging_2582/tillsynsmail/A 32600-2024 tillsynsbegäran mail.docx", "A 32600-2024")</f>
        <v/>
      </c>
    </row>
    <row r="129" ht="15" customHeight="1">
      <c r="A129" t="inlineStr">
        <is>
          <t>A 48549-2025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46295</v>
      </c>
      <c r="F129" t="inlineStr">
        <is>
          <t>NORRBOTTENS LÄN</t>
        </is>
      </c>
      <c r="G129" t="inlineStr">
        <is>
          <t>BODEN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Gråspett</t>
        </is>
      </c>
      <c r="W129">
        <f>HYPERLINK("https://klasma.github.io/Logging_2582/artfynd/A 48549-2025 artfynd.xlsx", "A 48549-2025")</f>
        <v/>
      </c>
      <c r="X129">
        <f>HYPERLINK("https://klasma.github.io/Logging_2582/kartor/A 48549-2025 karta.png", "A 48549-2025")</f>
        <v/>
      </c>
      <c r="Y129">
        <f>HYPERLINK("https://klasma.github.io/Logging_2582/kartor_geotiff/A 48549-2025 georefererad karta.tif", "A 48549-2025")</f>
        <v/>
      </c>
      <c r="AA129">
        <f>HYPERLINK("https://klasma.github.io/Logging_2582/klagomål/A 48549-2025 FSC-klagomål.docx", "A 48549-2025")</f>
        <v/>
      </c>
      <c r="AB129">
        <f>HYPERLINK("https://klasma.github.io/Logging_2582/klagomålsmail/A 48549-2025 FSC-klagomål mail.docx", "A 48549-2025")</f>
        <v/>
      </c>
      <c r="AC129">
        <f>HYPERLINK("https://klasma.github.io/Logging_2582/tillsyn/A 48549-2025 tillsynsbegäran.docx", "A 48549-2025")</f>
        <v/>
      </c>
      <c r="AD129">
        <f>HYPERLINK("https://klasma.github.io/Logging_2582/tillsynsmail/A 48549-2025 tillsynsbegäran mail.docx", "A 48549-2025")</f>
        <v/>
      </c>
      <c r="AE129">
        <f>HYPERLINK("https://klasma.github.io/Logging_2582/fåglar/A 48549-2025 prioriterade fågelarter.docx", "A 48549-2025")</f>
        <v/>
      </c>
    </row>
    <row r="130" ht="15" customHeight="1">
      <c r="A130" t="inlineStr">
        <is>
          <t>A 4878-2026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46295</v>
      </c>
      <c r="F130" t="inlineStr">
        <is>
          <t>NORRBOTTENS LÄN</t>
        </is>
      </c>
      <c r="G130" t="inlineStr">
        <is>
          <t>BODEN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padda</t>
        </is>
      </c>
      <c r="W130">
        <f>HYPERLINK("https://klasma.github.io/Logging_2582/artfynd/A 4878-2026 artfynd.xlsx", "A 4878-2026")</f>
        <v/>
      </c>
      <c r="X130">
        <f>HYPERLINK("https://klasma.github.io/Logging_2582/kartor/A 4878-2026 karta.png", "A 4878-2026")</f>
        <v/>
      </c>
      <c r="Y130">
        <f>HYPERLINK("https://klasma.github.io/Logging_2582/kartor_geotiff/A 4878-2026 georefererad karta.tif", "A 4878-2026")</f>
        <v/>
      </c>
      <c r="AA130">
        <f>HYPERLINK("https://klasma.github.io/Logging_2582/klagomål/A 4878-2026 FSC-klagomål.docx", "A 4878-2026")</f>
        <v/>
      </c>
      <c r="AB130">
        <f>HYPERLINK("https://klasma.github.io/Logging_2582/klagomålsmail/A 4878-2026 FSC-klagomål mail.docx", "A 4878-2026")</f>
        <v/>
      </c>
      <c r="AC130">
        <f>HYPERLINK("https://klasma.github.io/Logging_2582/tillsyn/A 4878-2026 tillsynsbegäran.docx", "A 4878-2026")</f>
        <v/>
      </c>
      <c r="AD130">
        <f>HYPERLINK("https://klasma.github.io/Logging_2582/tillsynsmail/A 4878-2026 tillsynsbegäran mail.docx", "A 4878-2026")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46295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51184-2025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46295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HYPERLINK("https://klasma.github.io/Logging_2582/artfynd/A 51184-2025 artfynd.xlsx", "A 51184-2025")</f>
        <v/>
      </c>
      <c r="X132">
        <f>HYPERLINK("https://klasma.github.io/Logging_2582/kartor/A 51184-2025 karta.png", "A 51184-2025")</f>
        <v/>
      </c>
      <c r="Y132">
        <f>HYPERLINK("https://klasma.github.io/Logging_2582/kartor_geotiff/A 51184-2025 georefererad karta.tif", "A 51184-2025")</f>
        <v/>
      </c>
      <c r="AA132">
        <f>HYPERLINK("https://klasma.github.io/Logging_2582/klagomål/A 51184-2025 FSC-klagomål.docx", "A 51184-2025")</f>
        <v/>
      </c>
      <c r="AB132">
        <f>HYPERLINK("https://klasma.github.io/Logging_2582/klagomålsmail/A 51184-2025 FSC-klagomål mail.docx", "A 51184-2025")</f>
        <v/>
      </c>
      <c r="AC132">
        <f>HYPERLINK("https://klasma.github.io/Logging_2582/tillsyn/A 51184-2025 tillsynsbegäran.docx", "A 51184-2025")</f>
        <v/>
      </c>
      <c r="AD132">
        <f>HYPERLINK("https://klasma.github.io/Logging_2582/tillsynsmail/A 51184-2025 tillsynsbegäran mail.docx", "A 51184-2025")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46295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51304-2025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46295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Bollvitmossa</t>
        </is>
      </c>
      <c r="W134">
        <f>HYPERLINK("https://klasma.github.io/Logging_2582/artfynd/A 51304-2025 artfynd.xlsx", "A 51304-2025")</f>
        <v/>
      </c>
      <c r="X134">
        <f>HYPERLINK("https://klasma.github.io/Logging_2582/kartor/A 51304-2025 karta.png", "A 51304-2025")</f>
        <v/>
      </c>
      <c r="Y134">
        <f>HYPERLINK("https://klasma.github.io/Logging_2582/kartor_geotiff/A 51304-2025 georefererad karta.tif", "A 51304-2025")</f>
        <v/>
      </c>
      <c r="AA134">
        <f>HYPERLINK("https://klasma.github.io/Logging_2582/klagomål/A 51304-2025 FSC-klagomål.docx", "A 51304-2025")</f>
        <v/>
      </c>
      <c r="AB134">
        <f>HYPERLINK("https://klasma.github.io/Logging_2582/klagomålsmail/A 51304-2025 FSC-klagomål mail.docx", "A 51304-2025")</f>
        <v/>
      </c>
      <c r="AC134">
        <f>HYPERLINK("https://klasma.github.io/Logging_2582/tillsyn/A 51304-2025 tillsynsbegäran.docx", "A 51304-2025")</f>
        <v/>
      </c>
      <c r="AD134">
        <f>HYPERLINK("https://klasma.github.io/Logging_2582/tillsynsmail/A 51304-2025 tillsynsbegäran mail.docx", "A 51304-2025")</f>
        <v/>
      </c>
    </row>
    <row r="135" ht="15" customHeight="1">
      <c r="A135" t="inlineStr">
        <is>
          <t>A 51874-2025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45952</v>
      </c>
      <c r="E135" s="1" t="n">
        <v>46295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0.7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Skinnlav</t>
        </is>
      </c>
      <c r="W135">
        <f>HYPERLINK("https://klasma.github.io/Logging_2582/artfynd/A 51874-2025 artfynd.xlsx", "A 51874-2025")</f>
        <v/>
      </c>
      <c r="X135">
        <f>HYPERLINK("https://klasma.github.io/Logging_2582/kartor/A 51874-2025 karta.png", "A 51874-2025")</f>
        <v/>
      </c>
      <c r="Y135">
        <f>HYPERLINK("https://klasma.github.io/Logging_2582/kartor_geotiff/A 51874-2025 georefererad karta.tif", "A 51874-2025")</f>
        <v/>
      </c>
      <c r="AA135">
        <f>HYPERLINK("https://klasma.github.io/Logging_2582/klagomål/A 51874-2025 FSC-klagomål.docx", "A 51874-2025")</f>
        <v/>
      </c>
      <c r="AB135">
        <f>HYPERLINK("https://klasma.github.io/Logging_2582/klagomålsmail/A 51874-2025 FSC-klagomål mail.docx", "A 51874-2025")</f>
        <v/>
      </c>
      <c r="AC135">
        <f>HYPERLINK("https://klasma.github.io/Logging_2582/tillsyn/A 51874-2025 tillsynsbegäran.docx", "A 51874-2025")</f>
        <v/>
      </c>
      <c r="AD135">
        <f>HYPERLINK("https://klasma.github.io/Logging_2582/tillsynsmail/A 51874-2025 tillsynsbegäran mail.docx", "A 51874-2025")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46295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46295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38511-2025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46295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5.3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Knärot</t>
        </is>
      </c>
      <c r="W138">
        <f>HYPERLINK("https://klasma.github.io/Logging_2582/artfynd/A 38511-2025 artfynd.xlsx", "A 38511-2025")</f>
        <v/>
      </c>
      <c r="X138">
        <f>HYPERLINK("https://klasma.github.io/Logging_2582/kartor/A 38511-2025 karta.png", "A 38511-2025")</f>
        <v/>
      </c>
      <c r="Y138">
        <f>HYPERLINK("https://klasma.github.io/Logging_2582/kartor_geotiff/A 38511-2025 georefererad karta.tif", "A 38511-2025")</f>
        <v/>
      </c>
      <c r="Z138">
        <f>HYPERLINK("https://klasma.github.io/Logging_2582/knärot/A 38511-2025 karta knärot.png", "A 38511-2025")</f>
        <v/>
      </c>
      <c r="AA138">
        <f>HYPERLINK("https://klasma.github.io/Logging_2582/klagomål/A 38511-2025 FSC-klagomål.docx", "A 38511-2025")</f>
        <v/>
      </c>
      <c r="AB138">
        <f>HYPERLINK("https://klasma.github.io/Logging_2582/klagomålsmail/A 38511-2025 FSC-klagomål mail.docx", "A 38511-2025")</f>
        <v/>
      </c>
      <c r="AC138">
        <f>HYPERLINK("https://klasma.github.io/Logging_2582/tillsyn/A 38511-2025 tillsynsbegäran.docx", "A 38511-2025")</f>
        <v/>
      </c>
      <c r="AD138">
        <f>HYPERLINK("https://klasma.github.io/Logging_2582/tillsynsmail/A 38511-2025 tillsynsbegäran mail.docx", "A 38511-2025")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46295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46295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46295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46295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14329-2026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46295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HYPERLINK("https://klasma.github.io/Logging_2582/artfynd/A 14329-2026 artfynd.xlsx", "A 14329-2026")</f>
        <v/>
      </c>
      <c r="X143">
        <f>HYPERLINK("https://klasma.github.io/Logging_2582/kartor/A 14329-2026 karta.png", "A 14329-2026")</f>
        <v/>
      </c>
      <c r="Y143">
        <f>HYPERLINK("https://klasma.github.io/Logging_2582/kartor_geotiff/A 14329-2026 georefererad karta.tif", "A 14329-2026")</f>
        <v/>
      </c>
      <c r="AA143">
        <f>HYPERLINK("https://klasma.github.io/Logging_2582/klagomål/A 14329-2026 FSC-klagomål.docx", "A 14329-2026")</f>
        <v/>
      </c>
      <c r="AB143">
        <f>HYPERLINK("https://klasma.github.io/Logging_2582/klagomålsmail/A 14329-2026 FSC-klagomål mail.docx", "A 14329-2026")</f>
        <v/>
      </c>
      <c r="AC143">
        <f>HYPERLINK("https://klasma.github.io/Logging_2582/tillsyn/A 14329-2026 tillsynsbegäran.docx", "A 14329-2026")</f>
        <v/>
      </c>
      <c r="AD143">
        <f>HYPERLINK("https://klasma.github.io/Logging_2582/tillsynsmail/A 14329-2026 tillsynsbegäran mail.docx", "A 14329-2026")</f>
        <v/>
      </c>
      <c r="AE143">
        <f>HYPERLINK("https://klasma.github.io/Logging_2582/fåglar/A 14329-2026 prioriterade fågelarter.docx", "A 14329-2026")</f>
        <v/>
      </c>
    </row>
    <row r="144" ht="15" customHeight="1">
      <c r="A144" t="inlineStr">
        <is>
          <t>A 12832-2022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46295</v>
      </c>
      <c r="F144" t="inlineStr">
        <is>
          <t>NORRBOTTENS LÄN</t>
        </is>
      </c>
      <c r="G144" t="inlineStr">
        <is>
          <t>BODEN</t>
        </is>
      </c>
      <c r="I144" t="n">
        <v>6.6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Doftticka</t>
        </is>
      </c>
      <c r="W144">
        <f>HYPERLINK("https://klasma.github.io/Logging_2582/artfynd/A 12832-2022 artfynd.xlsx", "A 12832-2022")</f>
        <v/>
      </c>
      <c r="X144">
        <f>HYPERLINK("https://klasma.github.io/Logging_2582/kartor/A 12832-2022 karta.png", "A 12832-2022")</f>
        <v/>
      </c>
      <c r="Y144">
        <f>HYPERLINK("https://klasma.github.io/Logging_2582/kartor_geotiff/A 12832-2022 georefererad karta.tif", "A 12832-2022")</f>
        <v/>
      </c>
      <c r="AA144">
        <f>HYPERLINK("https://klasma.github.io/Logging_2582/klagomål/A 12832-2022 FSC-klagomål.docx", "A 12832-2022")</f>
        <v/>
      </c>
      <c r="AB144">
        <f>HYPERLINK("https://klasma.github.io/Logging_2582/klagomålsmail/A 12832-2022 FSC-klagomål mail.docx", "A 12832-2022")</f>
        <v/>
      </c>
      <c r="AC144">
        <f>HYPERLINK("https://klasma.github.io/Logging_2582/tillsyn/A 12832-2022 tillsynsbegäran.docx", "A 12832-2022")</f>
        <v/>
      </c>
      <c r="AD144">
        <f>HYPERLINK("https://klasma.github.io/Logging_2582/tillsynsmail/A 12832-2022 tillsynsbegäran mail.docx", "A 12832-2022")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46295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46295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46295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46295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19396-2022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46295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Tallticka</t>
        </is>
      </c>
      <c r="W149">
        <f>HYPERLINK("https://klasma.github.io/Logging_2582/artfynd/A 19396-2022 artfynd.xlsx", "A 19396-2022")</f>
        <v/>
      </c>
      <c r="X149">
        <f>HYPERLINK("https://klasma.github.io/Logging_2582/kartor/A 19396-2022 karta.png", "A 19396-2022")</f>
        <v/>
      </c>
      <c r="Y149">
        <f>HYPERLINK("https://klasma.github.io/Logging_2582/kartor_geotiff/A 19396-2022 georefererad karta.tif", "A 19396-2022")</f>
        <v/>
      </c>
      <c r="AA149">
        <f>HYPERLINK("https://klasma.github.io/Logging_2582/klagomål/A 19396-2022 FSC-klagomål.docx", "A 19396-2022")</f>
        <v/>
      </c>
      <c r="AB149">
        <f>HYPERLINK("https://klasma.github.io/Logging_2582/klagomålsmail/A 19396-2022 FSC-klagomål mail.docx", "A 19396-2022")</f>
        <v/>
      </c>
      <c r="AC149">
        <f>HYPERLINK("https://klasma.github.io/Logging_2582/tillsyn/A 19396-2022 tillsynsbegäran.docx", "A 19396-2022")</f>
        <v/>
      </c>
      <c r="AD149">
        <f>HYPERLINK("https://klasma.github.io/Logging_2582/tillsynsmail/A 19396-2022 tillsynsbegäran mail.docx", "A 19396-2022")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46295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46295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46295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29875-2026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46295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HYPERLINK("https://klasma.github.io/Logging_2582/artfynd/A 29875-2026 artfynd.xlsx", "A 29875-2026")</f>
        <v/>
      </c>
      <c r="X153">
        <f>HYPERLINK("https://klasma.github.io/Logging_2582/kartor/A 29875-2026 karta.png", "A 29875-2026")</f>
        <v/>
      </c>
      <c r="Y153">
        <f>HYPERLINK("https://klasma.github.io/Logging_2582/kartor_geotiff/A 29875-2026 georefererad karta.tif", "A 29875-2026")</f>
        <v/>
      </c>
      <c r="AA153">
        <f>HYPERLINK("https://klasma.github.io/Logging_2582/klagomål/A 29875-2026 FSC-klagomål.docx", "A 29875-2026")</f>
        <v/>
      </c>
      <c r="AB153">
        <f>HYPERLINK("https://klasma.github.io/Logging_2582/klagomålsmail/A 29875-2026 FSC-klagomål mail.docx", "A 29875-2026")</f>
        <v/>
      </c>
      <c r="AC153">
        <f>HYPERLINK("https://klasma.github.io/Logging_2582/tillsyn/A 29875-2026 tillsynsbegäran.docx", "A 29875-2026")</f>
        <v/>
      </c>
      <c r="AD153">
        <f>HYPERLINK("https://klasma.github.io/Logging_2582/tillsynsmail/A 29875-2026 tillsynsbegäran mail.docx", "A 29875-2026")</f>
        <v/>
      </c>
    </row>
    <row r="154" ht="15" customHeight="1">
      <c r="A154" t="inlineStr">
        <is>
          <t>A 665-2023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44925</v>
      </c>
      <c r="E154" s="1" t="n">
        <v>46295</v>
      </c>
      <c r="F154" t="inlineStr">
        <is>
          <t>NORRBOTTENS LÄN</t>
        </is>
      </c>
      <c r="G154" t="inlineStr">
        <is>
          <t>BODEN</t>
        </is>
      </c>
      <c r="I154" t="n">
        <v>0.9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HYPERLINK("https://klasma.github.io/Logging_2582/artfynd/A 665-2023 artfynd.xlsx", "A 665-2023")</f>
        <v/>
      </c>
      <c r="X154">
        <f>HYPERLINK("https://klasma.github.io/Logging_2582/kartor/A 665-2023 karta.png", "A 665-2023")</f>
        <v/>
      </c>
      <c r="Y154">
        <f>HYPERLINK("https://klasma.github.io/Logging_2582/kartor_geotiff/A 665-2023 georefererad karta.tif", "A 665-2023")</f>
        <v/>
      </c>
      <c r="AA154">
        <f>HYPERLINK("https://klasma.github.io/Logging_2582/klagomål/A 665-2023 FSC-klagomål.docx", "A 665-2023")</f>
        <v/>
      </c>
      <c r="AB154">
        <f>HYPERLINK("https://klasma.github.io/Logging_2582/klagomålsmail/A 665-2023 FSC-klagomål mail.docx", "A 665-2023")</f>
        <v/>
      </c>
      <c r="AC154">
        <f>HYPERLINK("https://klasma.github.io/Logging_2582/tillsyn/A 665-2023 tillsynsbegäran.docx", "A 665-2023")</f>
        <v/>
      </c>
      <c r="AD154">
        <f>HYPERLINK("https://klasma.github.io/Logging_2582/tillsynsmail/A 665-2023 tillsynsbegäran mail.docx", "A 665-2023")</f>
        <v/>
      </c>
      <c r="AE154">
        <f>HYPERLINK("https://klasma.github.io/Logging_2582/fåglar/A 665-2023 prioriterade fågelarter.docx", "A 665-2023")</f>
        <v/>
      </c>
    </row>
    <row r="155" ht="15" customHeight="1">
      <c r="A155" t="inlineStr">
        <is>
          <t>A 2568-2024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46295</v>
      </c>
      <c r="F155" t="inlineStr">
        <is>
          <t>NORRBOTTENS LÄN</t>
        </is>
      </c>
      <c r="G155" t="inlineStr">
        <is>
          <t>BODEN</t>
        </is>
      </c>
      <c r="I155" t="n">
        <v>1.6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HYPERLINK("https://klasma.github.io/Logging_2582/artfynd/A 2568-2024 artfynd.xlsx", "A 2568-2024")</f>
        <v/>
      </c>
      <c r="X155">
        <f>HYPERLINK("https://klasma.github.io/Logging_2582/kartor/A 2568-2024 karta.png", "A 2568-2024")</f>
        <v/>
      </c>
      <c r="Y155">
        <f>HYPERLINK("https://klasma.github.io/Logging_2582/kartor_geotiff/A 2568-2024 georefererad karta.tif", "A 2568-2024")</f>
        <v/>
      </c>
      <c r="AA155">
        <f>HYPERLINK("https://klasma.github.io/Logging_2582/klagomål/A 2568-2024 FSC-klagomål.docx", "A 2568-2024")</f>
        <v/>
      </c>
      <c r="AB155">
        <f>HYPERLINK("https://klasma.github.io/Logging_2582/klagomålsmail/A 2568-2024 FSC-klagomål mail.docx", "A 2568-2024")</f>
        <v/>
      </c>
      <c r="AC155">
        <f>HYPERLINK("https://klasma.github.io/Logging_2582/tillsyn/A 2568-2024 tillsynsbegäran.docx", "A 2568-2024")</f>
        <v/>
      </c>
      <c r="AD155">
        <f>HYPERLINK("https://klasma.github.io/Logging_2582/tillsynsmail/A 2568-2024 tillsynsbegäran mail.docx", "A 2568-2024")</f>
        <v/>
      </c>
    </row>
    <row r="156" ht="15" customHeight="1">
      <c r="A156" t="inlineStr">
        <is>
          <t>A 34512-2026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46255</v>
      </c>
      <c r="E156" s="1" t="n">
        <v>46295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Skarp dropptaggsvamp</t>
        </is>
      </c>
      <c r="W156">
        <f>HYPERLINK("https://klasma.github.io/Logging_2582/artfynd/A 34512-2026 artfynd.xlsx", "A 34512-2026")</f>
        <v/>
      </c>
      <c r="X156">
        <f>HYPERLINK("https://klasma.github.io/Logging_2582/kartor/A 34512-2026 karta.png", "A 34512-2026")</f>
        <v/>
      </c>
      <c r="Y156">
        <f>HYPERLINK("https://klasma.github.io/Logging_2582/kartor_geotiff/A 34512-2026 georefererad karta.tif", "A 34512-2026")</f>
        <v/>
      </c>
      <c r="AA156">
        <f>HYPERLINK("https://klasma.github.io/Logging_2582/klagomål/A 34512-2026 FSC-klagomål.docx", "A 34512-2026")</f>
        <v/>
      </c>
      <c r="AB156">
        <f>HYPERLINK("https://klasma.github.io/Logging_2582/klagomålsmail/A 34512-2026 FSC-klagomål mail.docx", "A 34512-2026")</f>
        <v/>
      </c>
      <c r="AC156">
        <f>HYPERLINK("https://klasma.github.io/Logging_2582/tillsyn/A 34512-2026 tillsynsbegäran.docx", "A 34512-2026")</f>
        <v/>
      </c>
      <c r="AD156">
        <f>HYPERLINK("https://klasma.github.io/Logging_2582/tillsynsmail/A 34512-2026 tillsynsbegäran mail.docx", "A 34512-2026")</f>
        <v/>
      </c>
    </row>
    <row r="157" ht="15" customHeight="1">
      <c r="A157" t="inlineStr">
        <is>
          <t>A 35415-2026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46295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2.6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2</v>
      </c>
      <c r="U157" t="n">
        <v>2</v>
      </c>
      <c r="V157" s="2" t="inlineStr">
        <is>
          <t>Knärot</t>
        </is>
      </c>
      <c r="W157">
        <f>HYPERLINK("https://klasma.github.io/Logging_2582/artfynd/A 35415-2026 artfynd.xlsx", "A 35415-2026")</f>
        <v/>
      </c>
      <c r="X157">
        <f>HYPERLINK("https://klasma.github.io/Logging_2582/kartor/A 35415-2026 karta.png", "A 35415-2026")</f>
        <v/>
      </c>
      <c r="Y157">
        <f>HYPERLINK("https://klasma.github.io/Logging_2582/kartor_geotiff/A 35415-2026 georefererad karta.tif", "A 35415-2026")</f>
        <v/>
      </c>
      <c r="Z157">
        <f>HYPERLINK("https://klasma.github.io/Logging_2582/knärot/A 35415-2026 karta knärot.png", "A 35415-2026")</f>
        <v/>
      </c>
      <c r="AA157">
        <f>HYPERLINK("https://klasma.github.io/Logging_2582/klagomål/A 35415-2026 FSC-klagomål.docx", "A 35415-2026")</f>
        <v/>
      </c>
      <c r="AB157">
        <f>HYPERLINK("https://klasma.github.io/Logging_2582/klagomålsmail/A 35415-2026 FSC-klagomål mail.docx", "A 35415-2026")</f>
        <v/>
      </c>
      <c r="AC157">
        <f>HYPERLINK("https://klasma.github.io/Logging_2582/tillsyn/A 35415-2026 tillsynsbegäran.docx", "A 35415-2026")</f>
        <v/>
      </c>
      <c r="AD157">
        <f>HYPERLINK("https://klasma.github.io/Logging_2582/tillsynsmail/A 35415-2026 tillsynsbegäran mail.docx", "A 35415-2026")</f>
        <v/>
      </c>
    </row>
    <row r="158" ht="15" customHeight="1">
      <c r="A158" t="inlineStr">
        <is>
          <t>A 35410-2026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46295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9</v>
      </c>
      <c r="U158" t="n">
        <v>9</v>
      </c>
      <c r="V158" s="2" t="inlineStr">
        <is>
          <t>Knärot</t>
        </is>
      </c>
      <c r="W158">
        <f>HYPERLINK("https://klasma.github.io/Logging_2582/artfynd/A 35410-2026 artfynd.xlsx", "A 35410-2026")</f>
        <v/>
      </c>
      <c r="X158">
        <f>HYPERLINK("https://klasma.github.io/Logging_2582/kartor/A 35410-2026 karta.png", "A 35410-2026")</f>
        <v/>
      </c>
      <c r="Y158">
        <f>HYPERLINK("https://klasma.github.io/Logging_2582/kartor_geotiff/A 35410-2026 georefererad karta.tif", "A 35410-2026")</f>
        <v/>
      </c>
      <c r="Z158">
        <f>HYPERLINK("https://klasma.github.io/Logging_2582/knärot/A 35410-2026 karta knärot.png", "A 35410-2026")</f>
        <v/>
      </c>
      <c r="AA158">
        <f>HYPERLINK("https://klasma.github.io/Logging_2582/klagomål/A 35410-2026 FSC-klagomål.docx", "A 35410-2026")</f>
        <v/>
      </c>
      <c r="AB158">
        <f>HYPERLINK("https://klasma.github.io/Logging_2582/klagomålsmail/A 35410-2026 FSC-klagomål mail.docx", "A 35410-2026")</f>
        <v/>
      </c>
      <c r="AC158">
        <f>HYPERLINK("https://klasma.github.io/Logging_2582/tillsyn/A 35410-2026 tillsynsbegäran.docx", "A 35410-2026")</f>
        <v/>
      </c>
      <c r="AD158">
        <f>HYPERLINK("https://klasma.github.io/Logging_2582/tillsynsmail/A 35410-2026 tillsynsbegäran mail.docx", "A 35410-2026")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46295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35299-2026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46295</v>
      </c>
      <c r="F160" t="inlineStr">
        <is>
          <t>NORRBOTTENS LÄN</t>
        </is>
      </c>
      <c r="G160" t="inlineStr">
        <is>
          <t>BODEN</t>
        </is>
      </c>
      <c r="I160" t="n">
        <v>3.3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Knärot</t>
        </is>
      </c>
      <c r="W160">
        <f>HYPERLINK("https://klasma.github.io/Logging_2582/artfynd/A 35299-2026 artfynd.xlsx", "A 35299-2026")</f>
        <v/>
      </c>
      <c r="X160">
        <f>HYPERLINK("https://klasma.github.io/Logging_2582/kartor/A 35299-2026 karta.png", "A 35299-2026")</f>
        <v/>
      </c>
      <c r="Y160">
        <f>HYPERLINK("https://klasma.github.io/Logging_2582/kartor_geotiff/A 35299-2026 georefererad karta.tif", "A 35299-2026")</f>
        <v/>
      </c>
      <c r="Z160">
        <f>HYPERLINK("https://klasma.github.io/Logging_2582/knärot/A 35299-2026 karta knärot.png", "A 35299-2026")</f>
        <v/>
      </c>
      <c r="AA160">
        <f>HYPERLINK("https://klasma.github.io/Logging_2582/klagomål/A 35299-2026 FSC-klagomål.docx", "A 35299-2026")</f>
        <v/>
      </c>
      <c r="AB160">
        <f>HYPERLINK("https://klasma.github.io/Logging_2582/klagomålsmail/A 35299-2026 FSC-klagomål mail.docx", "A 35299-2026")</f>
        <v/>
      </c>
      <c r="AC160">
        <f>HYPERLINK("https://klasma.github.io/Logging_2582/tillsyn/A 35299-2026 tillsynsbegäran.docx", "A 35299-2026")</f>
        <v/>
      </c>
      <c r="AD160">
        <f>HYPERLINK("https://klasma.github.io/Logging_2582/tillsynsmail/A 35299-2026 tillsynsbegäran mail.docx", "A 35299-2026")</f>
        <v/>
      </c>
    </row>
    <row r="161" ht="15" customHeight="1">
      <c r="A161" t="inlineStr">
        <is>
          <t>A 36743-2024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46295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HYPERLINK("https://klasma.github.io/Logging_2582/artfynd/A 36743-2024 artfynd.xlsx", "A 36743-2024")</f>
        <v/>
      </c>
      <c r="X161">
        <f>HYPERLINK("https://klasma.github.io/Logging_2582/kartor/A 36743-2024 karta.png", "A 36743-2024")</f>
        <v/>
      </c>
      <c r="Y161">
        <f>HYPERLINK("https://klasma.github.io/Logging_2582/kartor_geotiff/A 36743-2024 georefererad karta.tif", "A 36743-2024")</f>
        <v/>
      </c>
      <c r="AA161">
        <f>HYPERLINK("https://klasma.github.io/Logging_2582/klagomål/A 36743-2024 FSC-klagomål.docx", "A 36743-2024")</f>
        <v/>
      </c>
      <c r="AB161">
        <f>HYPERLINK("https://klasma.github.io/Logging_2582/klagomålsmail/A 36743-2024 FSC-klagomål mail.docx", "A 36743-2024")</f>
        <v/>
      </c>
      <c r="AC161">
        <f>HYPERLINK("https://klasma.github.io/Logging_2582/tillsyn/A 36743-2024 tillsynsbegäran.docx", "A 36743-2024")</f>
        <v/>
      </c>
      <c r="AD161">
        <f>HYPERLINK("https://klasma.github.io/Logging_2582/tillsynsmail/A 36743-2024 tillsynsbegäran mail.docx", "A 36743-2024")</f>
        <v/>
      </c>
    </row>
    <row r="162" ht="15" customHeight="1">
      <c r="A162" t="inlineStr">
        <is>
          <t>A 36734-2026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46295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Fläcknycklar</t>
        </is>
      </c>
      <c r="W162">
        <f>HYPERLINK("https://klasma.github.io/Logging_2582/artfynd/A 36734-2026 artfynd.xlsx", "A 36734-2026")</f>
        <v/>
      </c>
      <c r="X162">
        <f>HYPERLINK("https://klasma.github.io/Logging_2582/kartor/A 36734-2026 karta.png", "A 36734-2026")</f>
        <v/>
      </c>
      <c r="Y162">
        <f>HYPERLINK("https://klasma.github.io/Logging_2582/kartor_geotiff/A 36734-2026 georefererad karta.tif", "A 36734-2026")</f>
        <v/>
      </c>
      <c r="AA162">
        <f>HYPERLINK("https://klasma.github.io/Logging_2582/klagomål/A 36734-2026 FSC-klagomål.docx", "A 36734-2026")</f>
        <v/>
      </c>
      <c r="AB162">
        <f>HYPERLINK("https://klasma.github.io/Logging_2582/klagomålsmail/A 36734-2026 FSC-klagomål mail.docx", "A 36734-2026")</f>
        <v/>
      </c>
      <c r="AC162">
        <f>HYPERLINK("https://klasma.github.io/Logging_2582/tillsyn/A 36734-2026 tillsynsbegäran.docx", "A 36734-2026")</f>
        <v/>
      </c>
      <c r="AD162">
        <f>HYPERLINK("https://klasma.github.io/Logging_2582/tillsynsmail/A 36734-2026 tillsynsbegäran mail.docx", "A 36734-2026")</f>
        <v/>
      </c>
    </row>
    <row r="163" ht="15" customHeight="1">
      <c r="A163" t="inlineStr">
        <is>
          <t>A 36130-2026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46267</v>
      </c>
      <c r="E163" s="1" t="n">
        <v>46295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3.8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Vedflamlav</t>
        </is>
      </c>
      <c r="W163">
        <f>HYPERLINK("https://klasma.github.io/Logging_2582/artfynd/A 36130-2026 artfynd.xlsx", "A 36130-2026")</f>
        <v/>
      </c>
      <c r="X163">
        <f>HYPERLINK("https://klasma.github.io/Logging_2582/kartor/A 36130-2026 karta.png", "A 36130-2026")</f>
        <v/>
      </c>
      <c r="Y163">
        <f>HYPERLINK("https://klasma.github.io/Logging_2582/kartor_geotiff/A 36130-2026 georefererad karta.tif", "A 36130-2026")</f>
        <v/>
      </c>
      <c r="AA163">
        <f>HYPERLINK("https://klasma.github.io/Logging_2582/klagomål/A 36130-2026 FSC-klagomål.docx", "A 36130-2026")</f>
        <v/>
      </c>
      <c r="AB163">
        <f>HYPERLINK("https://klasma.github.io/Logging_2582/klagomålsmail/A 36130-2026 FSC-klagomål mail.docx", "A 36130-2026")</f>
        <v/>
      </c>
      <c r="AC163">
        <f>HYPERLINK("https://klasma.github.io/Logging_2582/tillsyn/A 36130-2026 tillsynsbegäran.docx", "A 36130-2026")</f>
        <v/>
      </c>
      <c r="AD163">
        <f>HYPERLINK("https://klasma.github.io/Logging_2582/tillsynsmail/A 36130-2026 tillsynsbegäran mail.docx", "A 36130-2026")</f>
        <v/>
      </c>
    </row>
    <row r="164" ht="15" customHeight="1">
      <c r="A164" t="inlineStr">
        <is>
          <t>A 36749-2026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46295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Vedflamlav</t>
        </is>
      </c>
      <c r="W164">
        <f>HYPERLINK("https://klasma.github.io/Logging_2582/artfynd/A 36749-2026 artfynd.xlsx", "A 36749-2026")</f>
        <v/>
      </c>
      <c r="X164">
        <f>HYPERLINK("https://klasma.github.io/Logging_2582/kartor/A 36749-2026 karta.png", "A 36749-2026")</f>
        <v/>
      </c>
      <c r="Y164">
        <f>HYPERLINK("https://klasma.github.io/Logging_2582/kartor_geotiff/A 36749-2026 georefererad karta.tif", "A 36749-2026")</f>
        <v/>
      </c>
      <c r="AA164">
        <f>HYPERLINK("https://klasma.github.io/Logging_2582/klagomål/A 36749-2026 FSC-klagomål.docx", "A 36749-2026")</f>
        <v/>
      </c>
      <c r="AB164">
        <f>HYPERLINK("https://klasma.github.io/Logging_2582/klagomålsmail/A 36749-2026 FSC-klagomål mail.docx", "A 36749-2026")</f>
        <v/>
      </c>
      <c r="AC164">
        <f>HYPERLINK("https://klasma.github.io/Logging_2582/tillsyn/A 36749-2026 tillsynsbegäran.docx", "A 36749-2026")</f>
        <v/>
      </c>
      <c r="AD164">
        <f>HYPERLINK("https://klasma.github.io/Logging_2582/tillsynsmail/A 36749-2026 tillsynsbegäran mail.docx", "A 36749-2026")</f>
        <v/>
      </c>
    </row>
    <row r="165" ht="15" customHeight="1">
      <c r="A165" t="inlineStr">
        <is>
          <t>A 68514-2021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46295</v>
      </c>
      <c r="F165" t="inlineStr">
        <is>
          <t>NORRBOTTENS LÄN</t>
        </is>
      </c>
      <c r="G165" t="inlineStr">
        <is>
          <t>BODEN</t>
        </is>
      </c>
      <c r="I165" t="n">
        <v>6.2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HYPERLINK("https://klasma.github.io/Logging_2582/artfynd/A 68514-2021 artfynd.xlsx", "A 68514-2021")</f>
        <v/>
      </c>
      <c r="X165">
        <f>HYPERLINK("https://klasma.github.io/Logging_2582/kartor/A 68514-2021 karta.png", "A 68514-2021")</f>
        <v/>
      </c>
      <c r="Y165">
        <f>HYPERLINK("https://klasma.github.io/Logging_2582/kartor_geotiff/A 68514-2021 georefererad karta.tif", "A 68514-2021")</f>
        <v/>
      </c>
      <c r="Z165">
        <f>HYPERLINK("https://klasma.github.io/Logging_2582/knärot/A 68514-2021 karta knärot.png", "A 68514-2021")</f>
        <v/>
      </c>
      <c r="AA165">
        <f>HYPERLINK("https://klasma.github.io/Logging_2582/klagomål/A 68514-2021 FSC-klagomål.docx", "A 68514-2021")</f>
        <v/>
      </c>
      <c r="AB165">
        <f>HYPERLINK("https://klasma.github.io/Logging_2582/klagomålsmail/A 68514-2021 FSC-klagomål mail.docx", "A 68514-2021")</f>
        <v/>
      </c>
      <c r="AC165">
        <f>HYPERLINK("https://klasma.github.io/Logging_2582/tillsyn/A 68514-2021 tillsynsbegäran.docx", "A 68514-2021")</f>
        <v/>
      </c>
      <c r="AD165">
        <f>HYPERLINK("https://klasma.github.io/Logging_2582/tillsynsmail/A 68514-2021 tillsynsbegäran mail.docx", "A 68514-2021")</f>
        <v/>
      </c>
      <c r="AE165">
        <f>HYPERLINK("https://klasma.github.io/Logging_2582/fåglar/A 68514-2021 prioriterade fågelarter.docx", "A 68514-2021")</f>
        <v/>
      </c>
    </row>
    <row r="166" ht="15" customHeight="1">
      <c r="A166" t="inlineStr">
        <is>
          <t>A 32159-2026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46236</v>
      </c>
      <c r="E166" s="1" t="n">
        <v>46295</v>
      </c>
      <c r="F166" t="inlineStr">
        <is>
          <t>NORRBOTTENS LÄN</t>
        </is>
      </c>
      <c r="G166" t="inlineStr">
        <is>
          <t>BODEN</t>
        </is>
      </c>
      <c r="I166" t="n">
        <v>5.8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HYPERLINK("https://klasma.github.io/Logging_2582/artfynd/A 32159-2026 artfynd.xlsx", "A 32159-2026")</f>
        <v/>
      </c>
      <c r="X166">
        <f>HYPERLINK("https://klasma.github.io/Logging_2582/kartor/A 32159-2026 karta.png", "A 32159-2026")</f>
        <v/>
      </c>
      <c r="Y166">
        <f>HYPERLINK("https://klasma.github.io/Logging_2582/kartor_geotiff/A 32159-2026 georefererad karta.tif", "A 32159-2026")</f>
        <v/>
      </c>
      <c r="AA166">
        <f>HYPERLINK("https://klasma.github.io/Logging_2582/klagomål/A 32159-2026 FSC-klagomål.docx", "A 32159-2026")</f>
        <v/>
      </c>
      <c r="AB166">
        <f>HYPERLINK("https://klasma.github.io/Logging_2582/klagomålsmail/A 32159-2026 FSC-klagomål mail.docx", "A 32159-2026")</f>
        <v/>
      </c>
      <c r="AC166">
        <f>HYPERLINK("https://klasma.github.io/Logging_2582/tillsyn/A 32159-2026 tillsynsbegäran.docx", "A 32159-2026")</f>
        <v/>
      </c>
      <c r="AD166">
        <f>HYPERLINK("https://klasma.github.io/Logging_2582/tillsynsmail/A 32159-2026 tillsynsbegäran mail.docx", "A 32159-2026")</f>
        <v/>
      </c>
    </row>
    <row r="167" ht="15" customHeight="1">
      <c r="A167" t="inlineStr">
        <is>
          <t>A 38395-2026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46282</v>
      </c>
      <c r="E167" s="1" t="n">
        <v>46295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8.699999999999999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HYPERLINK("https://klasma.github.io/Logging_2582/artfynd/A 38395-2026 artfynd.xlsx", "A 38395-2026")</f>
        <v/>
      </c>
      <c r="X167">
        <f>HYPERLINK("https://klasma.github.io/Logging_2582/kartor/A 38395-2026 karta.png", "A 38395-2026")</f>
        <v/>
      </c>
      <c r="Y167">
        <f>HYPERLINK("https://klasma.github.io/Logging_2582/kartor_geotiff/A 38395-2026 georefererad karta.tif", "A 38395-2026")</f>
        <v/>
      </c>
      <c r="AA167">
        <f>HYPERLINK("https://klasma.github.io/Logging_2582/klagomål/A 38395-2026 FSC-klagomål.docx", "A 38395-2026")</f>
        <v/>
      </c>
      <c r="AB167">
        <f>HYPERLINK("https://klasma.github.io/Logging_2582/klagomålsmail/A 38395-2026 FSC-klagomål mail.docx", "A 38395-2026")</f>
        <v/>
      </c>
      <c r="AC167">
        <f>HYPERLINK("https://klasma.github.io/Logging_2582/tillsyn/A 38395-2026 tillsynsbegäran.docx", "A 38395-2026")</f>
        <v/>
      </c>
      <c r="AD167">
        <f>HYPERLINK("https://klasma.github.io/Logging_2582/tillsynsmail/A 38395-2026 tillsynsbegäran mail.docx", "A 38395-2026")</f>
        <v/>
      </c>
    </row>
    <row r="168" ht="15" customHeight="1">
      <c r="A168" t="inlineStr">
        <is>
          <t>A 32664-2026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46295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4</v>
      </c>
      <c r="U168" t="n">
        <v>0</v>
      </c>
      <c r="V168" s="2" t="inlineStr">
        <is>
          <t>Lunglav</t>
        </is>
      </c>
      <c r="W168">
        <f>HYPERLINK("https://klasma.github.io/Logging_2582/artfynd/A 32664-2026 artfynd.xlsx", "A 32664-2026")</f>
        <v/>
      </c>
      <c r="X168">
        <f>HYPERLINK("https://klasma.github.io/Logging_2582/kartor/A 32664-2026 karta.png", "A 32664-2026")</f>
        <v/>
      </c>
      <c r="Y168">
        <f>HYPERLINK("https://klasma.github.io/Logging_2582/kartor_geotiff/A 32664-2026 georefererad karta.tif", "A 32664-2026")</f>
        <v/>
      </c>
      <c r="AA168">
        <f>HYPERLINK("https://klasma.github.io/Logging_2582/klagomål/A 32664-2026 FSC-klagomål.docx", "A 32664-2026")</f>
        <v/>
      </c>
      <c r="AB168">
        <f>HYPERLINK("https://klasma.github.io/Logging_2582/klagomålsmail/A 32664-2026 FSC-klagomål mail.docx", "A 32664-2026")</f>
        <v/>
      </c>
      <c r="AC168">
        <f>HYPERLINK("https://klasma.github.io/Logging_2582/tillsyn/A 32664-2026 tillsynsbegäran.docx", "A 32664-2026")</f>
        <v/>
      </c>
      <c r="AD168">
        <f>HYPERLINK("https://klasma.github.io/Logging_2582/tillsynsmail/A 32664-2026 tillsynsbegäran mail.docx", "A 32664-2026")</f>
        <v/>
      </c>
    </row>
    <row r="169" ht="15" customHeight="1">
      <c r="A169" t="inlineStr">
        <is>
          <t>A 54833-2025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46295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Utter</t>
        </is>
      </c>
      <c r="W169">
        <f>HYPERLINK("https://klasma.github.io/Logging_2582/artfynd/A 54833-2025 artfynd.xlsx", "A 54833-2025")</f>
        <v/>
      </c>
      <c r="X169">
        <f>HYPERLINK("https://klasma.github.io/Logging_2582/kartor/A 54833-2025 karta.png", "A 54833-2025")</f>
        <v/>
      </c>
      <c r="Y169">
        <f>HYPERLINK("https://klasma.github.io/Logging_2582/kartor_geotiff/A 54833-2025 georefererad karta.tif", "A 54833-2025")</f>
        <v/>
      </c>
      <c r="AA169">
        <f>HYPERLINK("https://klasma.github.io/Logging_2582/klagomål/A 54833-2025 FSC-klagomål.docx", "A 54833-2025")</f>
        <v/>
      </c>
      <c r="AB169">
        <f>HYPERLINK("https://klasma.github.io/Logging_2582/klagomålsmail/A 54833-2025 FSC-klagomål mail.docx", "A 54833-2025")</f>
        <v/>
      </c>
      <c r="AC169">
        <f>HYPERLINK("https://klasma.github.io/Logging_2582/tillsyn/A 54833-2025 tillsynsbegäran.docx", "A 54833-2025")</f>
        <v/>
      </c>
      <c r="AD169">
        <f>HYPERLINK("https://klasma.github.io/Logging_2582/tillsynsmail/A 54833-2025 tillsynsbegäran mail.docx", "A 54833-2025")</f>
        <v/>
      </c>
    </row>
    <row r="170" ht="15" customHeight="1">
      <c r="A170" t="inlineStr">
        <is>
          <t>A 32708-2026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46295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12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Lunglav</t>
        </is>
      </c>
      <c r="W170">
        <f>HYPERLINK("https://klasma.github.io/Logging_2582/artfynd/A 32708-2026 artfynd.xlsx", "A 32708-2026")</f>
        <v/>
      </c>
      <c r="X170">
        <f>HYPERLINK("https://klasma.github.io/Logging_2582/kartor/A 32708-2026 karta.png", "A 32708-2026")</f>
        <v/>
      </c>
      <c r="Y170">
        <f>HYPERLINK("https://klasma.github.io/Logging_2582/kartor_geotiff/A 32708-2026 georefererad karta.tif", "A 32708-2026")</f>
        <v/>
      </c>
      <c r="AA170">
        <f>HYPERLINK("https://klasma.github.io/Logging_2582/klagomål/A 32708-2026 FSC-klagomål.docx", "A 32708-2026")</f>
        <v/>
      </c>
      <c r="AB170">
        <f>HYPERLINK("https://klasma.github.io/Logging_2582/klagomålsmail/A 32708-2026 FSC-klagomål mail.docx", "A 32708-2026")</f>
        <v/>
      </c>
      <c r="AC170">
        <f>HYPERLINK("https://klasma.github.io/Logging_2582/tillsyn/A 32708-2026 tillsynsbegäran.docx", "A 32708-2026")</f>
        <v/>
      </c>
      <c r="AD170">
        <f>HYPERLINK("https://klasma.github.io/Logging_2582/tillsynsmail/A 32708-2026 tillsynsbegäran mail.docx", "A 32708-2026")</f>
        <v/>
      </c>
    </row>
    <row r="171" ht="15" customHeight="1">
      <c r="A171" t="inlineStr">
        <is>
          <t>A 2565-2026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46295</v>
      </c>
      <c r="F171" t="inlineStr">
        <is>
          <t>NORRBOTTENS LÄN</t>
        </is>
      </c>
      <c r="G171" t="inlineStr">
        <is>
          <t>BODEN</t>
        </is>
      </c>
      <c r="H171" t="inlineStr">
        <is>
          <t>Naturvårdsverket</t>
        </is>
      </c>
      <c r="I171" t="n">
        <v>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2</v>
      </c>
      <c r="U171" t="n">
        <v>2</v>
      </c>
      <c r="V171" s="2" t="inlineStr">
        <is>
          <t>Garnlav</t>
        </is>
      </c>
      <c r="W171">
        <f>HYPERLINK("https://klasma.github.io/Logging_2582/artfynd/A 2565-2026 artfynd.xlsx", "A 2565-2026")</f>
        <v/>
      </c>
      <c r="X171">
        <f>HYPERLINK("https://klasma.github.io/Logging_2582/kartor/A 2565-2026 karta.png", "A 2565-2026")</f>
        <v/>
      </c>
      <c r="Y171">
        <f>HYPERLINK("https://klasma.github.io/Logging_2582/kartor_geotiff/A 2565-2026 georefererad karta.tif", "A 2565-2026")</f>
        <v/>
      </c>
      <c r="AA171">
        <f>HYPERLINK("https://klasma.github.io/Logging_2582/klagomål/A 2565-2026 FSC-klagomål.docx", "A 2565-2026")</f>
        <v/>
      </c>
      <c r="AB171">
        <f>HYPERLINK("https://klasma.github.io/Logging_2582/klagomålsmail/A 2565-2026 FSC-klagomål mail.docx", "A 2565-2026")</f>
        <v/>
      </c>
      <c r="AC171">
        <f>HYPERLINK("https://klasma.github.io/Logging_2582/tillsyn/A 2565-2026 tillsynsbegäran.docx", "A 2565-2026")</f>
        <v/>
      </c>
      <c r="AD171">
        <f>HYPERLINK("https://klasma.github.io/Logging_2582/tillsynsmail/A 2565-2026 tillsynsbegäran mail.docx", "A 2565-2026")</f>
        <v/>
      </c>
    </row>
    <row r="172" ht="15" customHeight="1">
      <c r="A172" t="inlineStr">
        <is>
          <t>A 19580-2026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46295</v>
      </c>
      <c r="F172" t="inlineStr">
        <is>
          <t>NORRBOTTENS LÄN</t>
        </is>
      </c>
      <c r="G172" t="inlineStr">
        <is>
          <t>BODEN</t>
        </is>
      </c>
      <c r="I172" t="n">
        <v>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Dropptaggsvamp</t>
        </is>
      </c>
      <c r="W172">
        <f>HYPERLINK("https://klasma.github.io/Logging_2582/artfynd/A 19580-2026 artfynd.xlsx", "A 19580-2026")</f>
        <v/>
      </c>
      <c r="X172">
        <f>HYPERLINK("https://klasma.github.io/Logging_2582/kartor/A 19580-2026 karta.png", "A 19580-2026")</f>
        <v/>
      </c>
      <c r="Y172">
        <f>HYPERLINK("https://klasma.github.io/Logging_2582/kartor_geotiff/A 19580-2026 georefererad karta.tif", "A 19580-2026")</f>
        <v/>
      </c>
      <c r="AA172">
        <f>HYPERLINK("https://klasma.github.io/Logging_2582/klagomål/A 19580-2026 FSC-klagomål.docx", "A 19580-2026")</f>
        <v/>
      </c>
      <c r="AB172">
        <f>HYPERLINK("https://klasma.github.io/Logging_2582/klagomålsmail/A 19580-2026 FSC-klagomål mail.docx", "A 19580-2026")</f>
        <v/>
      </c>
      <c r="AC172">
        <f>HYPERLINK("https://klasma.github.io/Logging_2582/tillsyn/A 19580-2026 tillsynsbegäran.docx", "A 19580-2026")</f>
        <v/>
      </c>
      <c r="AD172">
        <f>HYPERLINK("https://klasma.github.io/Logging_2582/tillsynsmail/A 19580-2026 tillsynsbegäran mail.docx", "A 19580-2026")</f>
        <v/>
      </c>
    </row>
    <row r="173" ht="15" customHeight="1">
      <c r="A173" t="inlineStr">
        <is>
          <t>A 33756-2026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46251</v>
      </c>
      <c r="E173" s="1" t="n">
        <v>46295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5.5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Bollvitmossa</t>
        </is>
      </c>
      <c r="W173">
        <f>HYPERLINK("https://klasma.github.io/Logging_2582/artfynd/A 33756-2026 artfynd.xlsx", "A 33756-2026")</f>
        <v/>
      </c>
      <c r="X173">
        <f>HYPERLINK("https://klasma.github.io/Logging_2582/kartor/A 33756-2026 karta.png", "A 33756-2026")</f>
        <v/>
      </c>
      <c r="Y173">
        <f>HYPERLINK("https://klasma.github.io/Logging_2582/kartor_geotiff/A 33756-2026 georefererad karta.tif", "A 33756-2026")</f>
        <v/>
      </c>
      <c r="AA173">
        <f>HYPERLINK("https://klasma.github.io/Logging_2582/klagomål/A 33756-2026 FSC-klagomål.docx", "A 33756-2026")</f>
        <v/>
      </c>
      <c r="AB173">
        <f>HYPERLINK("https://klasma.github.io/Logging_2582/klagomålsmail/A 33756-2026 FSC-klagomål mail.docx", "A 33756-2026")</f>
        <v/>
      </c>
      <c r="AC173">
        <f>HYPERLINK("https://klasma.github.io/Logging_2582/tillsyn/A 33756-2026 tillsynsbegäran.docx", "A 33756-2026")</f>
        <v/>
      </c>
      <c r="AD173">
        <f>HYPERLINK("https://klasma.github.io/Logging_2582/tillsynsmail/A 33756-2026 tillsynsbegäran mail.docx", "A 33756-2026")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46295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46295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46295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46295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46295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46295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46295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46295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46295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46295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46295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46295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46295</v>
      </c>
      <c r="F186" t="inlineStr">
        <is>
          <t>NORRBOTTENS LÄN</t>
        </is>
      </c>
      <c r="G186" t="inlineStr">
        <is>
          <t>BODEN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46295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46295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46295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46295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46295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46295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46295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46295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46295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46295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46295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46295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46295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46295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46295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46295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46295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46295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46295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46295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46295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46295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69124-2021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44530</v>
      </c>
      <c r="E209" s="1" t="n">
        <v>46295</v>
      </c>
      <c r="F209" t="inlineStr">
        <is>
          <t>NORRBOTTENS LÄN</t>
        </is>
      </c>
      <c r="G209" t="inlineStr">
        <is>
          <t>BODEN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46295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46295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46295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46295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46295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46295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44566</v>
      </c>
      <c r="E216" s="1" t="n">
        <v>46295</v>
      </c>
      <c r="F216" t="inlineStr">
        <is>
          <t>NORRBOTTENS LÄN</t>
        </is>
      </c>
      <c r="G216" t="inlineStr">
        <is>
          <t>BODEN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46295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46295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46295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46295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46295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46295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46295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46295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46295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46295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46295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46295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46295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46295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46295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46295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45572</v>
      </c>
      <c r="E233" s="1" t="n">
        <v>46295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46295</v>
      </c>
      <c r="F234" t="inlineStr">
        <is>
          <t>NORRBOTTENS LÄN</t>
        </is>
      </c>
      <c r="G234" t="inlineStr">
        <is>
          <t>BODEN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46295</v>
      </c>
      <c r="F235" t="inlineStr">
        <is>
          <t>NORRBOTTENS LÄN</t>
        </is>
      </c>
      <c r="G235" t="inlineStr">
        <is>
          <t>BODEN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46295</v>
      </c>
      <c r="F236" t="inlineStr">
        <is>
          <t>NORRBOTTENS LÄN</t>
        </is>
      </c>
      <c r="G236" t="inlineStr">
        <is>
          <t>BODEN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46295</v>
      </c>
      <c r="F237" t="inlineStr">
        <is>
          <t>NORRBOTTENS LÄN</t>
        </is>
      </c>
      <c r="G237" t="inlineStr">
        <is>
          <t>BODEN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46295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46295</v>
      </c>
      <c r="F239" t="inlineStr">
        <is>
          <t>NORRBOTTENS LÄN</t>
        </is>
      </c>
      <c r="G239" t="inlineStr">
        <is>
          <t>BODEN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46295</v>
      </c>
      <c r="F240" t="inlineStr">
        <is>
          <t>NORRBOTTENS LÄN</t>
        </is>
      </c>
      <c r="G240" t="inlineStr">
        <is>
          <t>BODEN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46295</v>
      </c>
      <c r="F241" t="inlineStr">
        <is>
          <t>NORRBOTTENS LÄN</t>
        </is>
      </c>
      <c r="G241" t="inlineStr">
        <is>
          <t>BODEN</t>
        </is>
      </c>
      <c r="H241" t="inlineStr">
        <is>
          <t>Sveaskog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45301</v>
      </c>
      <c r="E242" s="1" t="n">
        <v>46295</v>
      </c>
      <c r="F242" t="inlineStr">
        <is>
          <t>NORRBOTTENS LÄN</t>
        </is>
      </c>
      <c r="G242" t="inlineStr">
        <is>
          <t>BODEN</t>
        </is>
      </c>
      <c r="H242" t="inlineStr">
        <is>
          <t>Övriga statliga verk och myndigheter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46295</v>
      </c>
      <c r="F243" t="inlineStr">
        <is>
          <t>NORRBOTTENS LÄN</t>
        </is>
      </c>
      <c r="G243" t="inlineStr">
        <is>
          <t>BODEN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46295</v>
      </c>
      <c r="F244" t="inlineStr">
        <is>
          <t>NORRBOTTENS LÄN</t>
        </is>
      </c>
      <c r="G244" t="inlineStr">
        <is>
          <t>BODEN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46295</v>
      </c>
      <c r="F245" t="inlineStr">
        <is>
          <t>NORRBOTTENS LÄN</t>
        </is>
      </c>
      <c r="G245" t="inlineStr">
        <is>
          <t>BODEN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74264-2021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44558</v>
      </c>
      <c r="E246" s="1" t="n">
        <v>46295</v>
      </c>
      <c r="F246" t="inlineStr">
        <is>
          <t>NORRBOTTENS LÄN</t>
        </is>
      </c>
      <c r="G246" t="inlineStr">
        <is>
          <t>BODEN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45379</v>
      </c>
      <c r="E247" s="1" t="n">
        <v>46295</v>
      </c>
      <c r="F247" t="inlineStr">
        <is>
          <t>NORRBOTTENS LÄN</t>
        </is>
      </c>
      <c r="G247" t="inlineStr">
        <is>
          <t>BODEN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46295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46295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46012</v>
      </c>
      <c r="E250" s="1" t="n">
        <v>46295</v>
      </c>
      <c r="F250" t="inlineStr">
        <is>
          <t>NORRBOTTENS LÄN</t>
        </is>
      </c>
      <c r="G250" t="inlineStr">
        <is>
          <t>BODEN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46012</v>
      </c>
      <c r="E251" s="1" t="n">
        <v>46295</v>
      </c>
      <c r="F251" t="inlineStr">
        <is>
          <t>NORRBOTTENS LÄN</t>
        </is>
      </c>
      <c r="G251" t="inlineStr">
        <is>
          <t>BODEN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46295</v>
      </c>
      <c r="F252" t="inlineStr">
        <is>
          <t>NORRBOTTENS LÄN</t>
        </is>
      </c>
      <c r="G252" t="inlineStr">
        <is>
          <t>BODEN</t>
        </is>
      </c>
      <c r="H252" t="inlineStr">
        <is>
          <t>Övriga statliga verk och myndigheter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54590-2022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44883</v>
      </c>
      <c r="E253" s="1" t="n">
        <v>46295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46020</v>
      </c>
      <c r="E254" s="1" t="n">
        <v>46295</v>
      </c>
      <c r="F254" t="inlineStr">
        <is>
          <t>NORRBOTTENS LÄN</t>
        </is>
      </c>
      <c r="G254" t="inlineStr">
        <is>
          <t>BODEN</t>
        </is>
      </c>
      <c r="I254" t="n">
        <v>12.5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45793</v>
      </c>
      <c r="E255" s="1" t="n">
        <v>46295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46295</v>
      </c>
      <c r="F256" t="inlineStr">
        <is>
          <t>NORRBOTTENS LÄN</t>
        </is>
      </c>
      <c r="G256" t="inlineStr">
        <is>
          <t>BODEN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46295</v>
      </c>
      <c r="F257" t="inlineStr">
        <is>
          <t>NORRBOTTENS LÄN</t>
        </is>
      </c>
      <c r="G257" t="inlineStr">
        <is>
          <t>BODEN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46295</v>
      </c>
      <c r="F258" t="inlineStr">
        <is>
          <t>NORRBOTTENS LÄN</t>
        </is>
      </c>
      <c r="G258" t="inlineStr">
        <is>
          <t>BODEN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48420-2024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46295</v>
      </c>
      <c r="F259" t="inlineStr">
        <is>
          <t>NORRBOTTENS LÄN</t>
        </is>
      </c>
      <c r="G259" t="inlineStr">
        <is>
          <t>BODEN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46295</v>
      </c>
      <c r="F260" t="inlineStr">
        <is>
          <t>NORRBOTTENS LÄN</t>
        </is>
      </c>
      <c r="G260" t="inlineStr">
        <is>
          <t>BODEN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46295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46295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46295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46295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46295</v>
      </c>
      <c r="F265" t="inlineStr">
        <is>
          <t>NORRBOTTENS LÄN</t>
        </is>
      </c>
      <c r="G265" t="inlineStr">
        <is>
          <t>BODEN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46295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15.8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46295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46295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46295</v>
      </c>
      <c r="F269" t="inlineStr">
        <is>
          <t>NORRBOTTENS LÄN</t>
        </is>
      </c>
      <c r="G269" t="inlineStr">
        <is>
          <t>BODEN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45649</v>
      </c>
      <c r="E270" s="1" t="n">
        <v>46295</v>
      </c>
      <c r="F270" t="inlineStr">
        <is>
          <t>NORRBOTTENS LÄN</t>
        </is>
      </c>
      <c r="G270" t="inlineStr">
        <is>
          <t>BODEN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46295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46295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60466-2024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45643</v>
      </c>
      <c r="E273" s="1" t="n">
        <v>46295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45764</v>
      </c>
      <c r="E274" s="1" t="n">
        <v>46295</v>
      </c>
      <c r="F274" t="inlineStr">
        <is>
          <t>NORRBOTTENS LÄN</t>
        </is>
      </c>
      <c r="G274" t="inlineStr">
        <is>
          <t>BODEN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46295</v>
      </c>
      <c r="F275" t="inlineStr">
        <is>
          <t>NORRBOTTENS LÄN</t>
        </is>
      </c>
      <c r="G275" t="inlineStr">
        <is>
          <t>BODEN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46295</v>
      </c>
      <c r="F276" t="inlineStr">
        <is>
          <t>NORRBOTTENS LÄN</t>
        </is>
      </c>
      <c r="G276" t="inlineStr">
        <is>
          <t>BODEN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45589</v>
      </c>
      <c r="E277" s="1" t="n">
        <v>46295</v>
      </c>
      <c r="F277" t="inlineStr">
        <is>
          <t>NORRBOTTENS LÄN</t>
        </is>
      </c>
      <c r="G277" t="inlineStr">
        <is>
          <t>BODEN</t>
        </is>
      </c>
      <c r="H277" t="inlineStr">
        <is>
          <t>Naturvårdsverket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46295</v>
      </c>
      <c r="F278" t="inlineStr">
        <is>
          <t>NORRBOTTENS LÄN</t>
        </is>
      </c>
      <c r="G278" t="inlineStr">
        <is>
          <t>BODEN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46295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46295</v>
      </c>
      <c r="F280" t="inlineStr">
        <is>
          <t>NORRBOTTENS LÄN</t>
        </is>
      </c>
      <c r="G280" t="inlineStr">
        <is>
          <t>BODEN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46295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45891</v>
      </c>
      <c r="E282" s="1" t="n">
        <v>46295</v>
      </c>
      <c r="F282" t="inlineStr">
        <is>
          <t>NORRBOTTENS LÄN</t>
        </is>
      </c>
      <c r="G282" t="inlineStr">
        <is>
          <t>BODEN</t>
        </is>
      </c>
      <c r="I282" t="n">
        <v>13.9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46295</v>
      </c>
      <c r="F283" t="inlineStr">
        <is>
          <t>NORRBOTTENS LÄN</t>
        </is>
      </c>
      <c r="G283" t="inlineStr">
        <is>
          <t>BODEN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46295</v>
      </c>
      <c r="F284" t="inlineStr">
        <is>
          <t>NORRBOTTENS LÄN</t>
        </is>
      </c>
      <c r="G284" t="inlineStr">
        <is>
          <t>BODEN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46295</v>
      </c>
      <c r="F285" t="inlineStr">
        <is>
          <t>NORRBOTTENS LÄN</t>
        </is>
      </c>
      <c r="G285" t="inlineStr">
        <is>
          <t>BODEN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46295</v>
      </c>
      <c r="F286" t="inlineStr">
        <is>
          <t>NORRBOTTENS LÄN</t>
        </is>
      </c>
      <c r="G286" t="inlineStr">
        <is>
          <t>BODEN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41691-2025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45902</v>
      </c>
      <c r="E287" s="1" t="n">
        <v>46295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46295</v>
      </c>
      <c r="F288" t="inlineStr">
        <is>
          <t>NORRBOTTENS LÄN</t>
        </is>
      </c>
      <c r="G288" t="inlineStr">
        <is>
          <t>BODEN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46295</v>
      </c>
      <c r="F289" t="inlineStr">
        <is>
          <t>NORRBOTTENS LÄN</t>
        </is>
      </c>
      <c r="G289" t="inlineStr">
        <is>
          <t>BODEN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46295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46295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46295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45429</v>
      </c>
      <c r="E293" s="1" t="n">
        <v>46295</v>
      </c>
      <c r="F293" t="inlineStr">
        <is>
          <t>NORRBOTTENS LÄN</t>
        </is>
      </c>
      <c r="G293" t="inlineStr">
        <is>
          <t>BODEN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46295</v>
      </c>
      <c r="F294" t="inlineStr">
        <is>
          <t>NORRBOTTENS LÄN</t>
        </is>
      </c>
      <c r="G294" t="inlineStr">
        <is>
          <t>BODEN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46295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25735-2024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45464</v>
      </c>
      <c r="E296" s="1" t="n">
        <v>46295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45907</v>
      </c>
      <c r="E297" s="1" t="n">
        <v>46295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46295</v>
      </c>
      <c r="F298" t="inlineStr">
        <is>
          <t>NORRBOTTENS LÄN</t>
        </is>
      </c>
      <c r="G298" t="inlineStr">
        <is>
          <t>BODEN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46295</v>
      </c>
      <c r="F299" t="inlineStr">
        <is>
          <t>NORRBOTTENS LÄN</t>
        </is>
      </c>
      <c r="G299" t="inlineStr">
        <is>
          <t>BODEN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46295</v>
      </c>
      <c r="F300" t="inlineStr">
        <is>
          <t>NORRBOTTENS LÄN</t>
        </is>
      </c>
      <c r="G300" t="inlineStr">
        <is>
          <t>BODEN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46020</v>
      </c>
      <c r="E301" s="1" t="n">
        <v>46295</v>
      </c>
      <c r="F301" t="inlineStr">
        <is>
          <t>NORRBOTTENS LÄN</t>
        </is>
      </c>
      <c r="G301" t="inlineStr">
        <is>
          <t>BODEN</t>
        </is>
      </c>
      <c r="I301" t="n">
        <v>10.9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11651-2023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44994</v>
      </c>
      <c r="E302" s="1" t="n">
        <v>46295</v>
      </c>
      <c r="F302" t="inlineStr">
        <is>
          <t>NORRBOTTENS LÄN</t>
        </is>
      </c>
      <c r="G302" t="inlineStr">
        <is>
          <t>BODEN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45910</v>
      </c>
      <c r="E303" s="1" t="n">
        <v>46295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46295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46295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46295</v>
      </c>
      <c r="F306" t="inlineStr">
        <is>
          <t>NORRBOTTENS LÄN</t>
        </is>
      </c>
      <c r="G306" t="inlineStr">
        <is>
          <t>BODEN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43710-2025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46295</v>
      </c>
      <c r="F307" t="inlineStr">
        <is>
          <t>NORRBOTTENS LÄN</t>
        </is>
      </c>
      <c r="G307" t="inlineStr">
        <is>
          <t>BODEN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46295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46295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49113-2023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46295</v>
      </c>
      <c r="F310" t="inlineStr">
        <is>
          <t>NORRBOTTENS LÄN</t>
        </is>
      </c>
      <c r="G310" t="inlineStr">
        <is>
          <t>BODEN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45813</v>
      </c>
      <c r="E311" s="1" t="n">
        <v>46295</v>
      </c>
      <c r="F311" t="inlineStr">
        <is>
          <t>NORRBOTTENS LÄN</t>
        </is>
      </c>
      <c r="G311" t="inlineStr">
        <is>
          <t>BODEN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45766</v>
      </c>
      <c r="E312" s="1" t="n">
        <v>46295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46295</v>
      </c>
      <c r="F313" t="inlineStr">
        <is>
          <t>NORRBOTTENS LÄN</t>
        </is>
      </c>
      <c r="G313" t="inlineStr">
        <is>
          <t>BODEN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58373-2022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46295</v>
      </c>
      <c r="F314" t="inlineStr">
        <is>
          <t>NORRBOTTENS LÄN</t>
        </is>
      </c>
      <c r="G314" t="inlineStr">
        <is>
          <t>BODEN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46295</v>
      </c>
      <c r="F315" t="inlineStr">
        <is>
          <t>NORRBOTTENS LÄN</t>
        </is>
      </c>
      <c r="G315" t="inlineStr">
        <is>
          <t>BODEN</t>
        </is>
      </c>
      <c r="H315" t="inlineStr">
        <is>
          <t>SCA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46295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45316</v>
      </c>
      <c r="E317" s="1" t="n">
        <v>46295</v>
      </c>
      <c r="F317" t="inlineStr">
        <is>
          <t>NORRBOTTENS LÄN</t>
        </is>
      </c>
      <c r="G317" t="inlineStr">
        <is>
          <t>BODEN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45427</v>
      </c>
      <c r="E318" s="1" t="n">
        <v>46295</v>
      </c>
      <c r="F318" t="inlineStr">
        <is>
          <t>NORRBOTTENS LÄN</t>
        </is>
      </c>
      <c r="G318" t="inlineStr">
        <is>
          <t>BODEN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46295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45481</v>
      </c>
      <c r="E320" s="1" t="n">
        <v>46295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44903</v>
      </c>
      <c r="E321" s="1" t="n">
        <v>46295</v>
      </c>
      <c r="F321" t="inlineStr">
        <is>
          <t>NORRBOTTENS LÄN</t>
        </is>
      </c>
      <c r="G321" t="inlineStr">
        <is>
          <t>BODEN</t>
        </is>
      </c>
      <c r="I321" t="n">
        <v>16.1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68565-2021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44529</v>
      </c>
      <c r="E322" s="1" t="n">
        <v>46295</v>
      </c>
      <c r="F322" t="inlineStr">
        <is>
          <t>NORRBOTTENS LÄN</t>
        </is>
      </c>
      <c r="G322" t="inlineStr">
        <is>
          <t>BODEN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28270-2025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45818</v>
      </c>
      <c r="E323" s="1" t="n">
        <v>46295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46295</v>
      </c>
      <c r="F324" t="inlineStr">
        <is>
          <t>NORRBOTTENS LÄN</t>
        </is>
      </c>
      <c r="G324" t="inlineStr">
        <is>
          <t>BODEN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46295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46295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44881</v>
      </c>
      <c r="E327" s="1" t="n">
        <v>46295</v>
      </c>
      <c r="F327" t="inlineStr">
        <is>
          <t>NORRBOTTENS LÄN</t>
        </is>
      </c>
      <c r="G327" t="inlineStr">
        <is>
          <t>BODEN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46295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46295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46295</v>
      </c>
      <c r="F330" t="inlineStr">
        <is>
          <t>NORRBOTTENS LÄN</t>
        </is>
      </c>
      <c r="G330" t="inlineStr">
        <is>
          <t>BODEN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46295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46295</v>
      </c>
      <c r="F332" t="inlineStr">
        <is>
          <t>NORRBOTTENS LÄN</t>
        </is>
      </c>
      <c r="G332" t="inlineStr">
        <is>
          <t>BODEN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46295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45750</v>
      </c>
      <c r="E334" s="1" t="n">
        <v>46295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46295</v>
      </c>
      <c r="F335" t="inlineStr">
        <is>
          <t>NORRBOTTENS LÄN</t>
        </is>
      </c>
      <c r="G335" t="inlineStr">
        <is>
          <t>BODEN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46295</v>
      </c>
      <c r="F336" t="inlineStr">
        <is>
          <t>NORRBOTTENS LÄN</t>
        </is>
      </c>
      <c r="G336" t="inlineStr">
        <is>
          <t>BODEN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46295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46295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45616-2025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46295</v>
      </c>
      <c r="F339" t="inlineStr">
        <is>
          <t>NORRBOTTENS LÄN</t>
        </is>
      </c>
      <c r="G339" t="inlineStr">
        <is>
          <t>BODEN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46295</v>
      </c>
      <c r="F340" t="inlineStr">
        <is>
          <t>NORRBOTTENS LÄN</t>
        </is>
      </c>
      <c r="G340" t="inlineStr">
        <is>
          <t>BODEN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45617-2025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46295</v>
      </c>
      <c r="F341" t="inlineStr">
        <is>
          <t>NORRBOTTENS LÄN</t>
        </is>
      </c>
      <c r="G341" t="inlineStr">
        <is>
          <t>BODEN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46295</v>
      </c>
      <c r="F342" t="inlineStr">
        <is>
          <t>NORRBOTTENS LÄN</t>
        </is>
      </c>
      <c r="G342" t="inlineStr">
        <is>
          <t>BODEN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61260-2023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46295</v>
      </c>
      <c r="F343" t="inlineStr">
        <is>
          <t>NORRBOTTENS LÄN</t>
        </is>
      </c>
      <c r="G343" t="inlineStr">
        <is>
          <t>BODEN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46295</v>
      </c>
      <c r="F344" t="inlineStr">
        <is>
          <t>NORRBOTTENS LÄN</t>
        </is>
      </c>
      <c r="G344" t="inlineStr">
        <is>
          <t>BODEN</t>
        </is>
      </c>
      <c r="H344" t="inlineStr">
        <is>
          <t>Övriga Aktiebolag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45969-2025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45924</v>
      </c>
      <c r="E345" s="1" t="n">
        <v>46295</v>
      </c>
      <c r="F345" t="inlineStr">
        <is>
          <t>NORRBOTTENS LÄN</t>
        </is>
      </c>
      <c r="G345" t="inlineStr">
        <is>
          <t>BODEN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45708</v>
      </c>
      <c r="E346" s="1" t="n">
        <v>46295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Aktiebolag</t>
        </is>
      </c>
      <c r="I346" t="n">
        <v>15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46295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Aktiebolag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46295</v>
      </c>
      <c r="F348" t="inlineStr">
        <is>
          <t>NORRBOTTENS LÄN</t>
        </is>
      </c>
      <c r="G348" t="inlineStr">
        <is>
          <t>BODEN</t>
        </is>
      </c>
      <c r="I348" t="n">
        <v>6.4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45653</v>
      </c>
      <c r="E349" s="1" t="n">
        <v>46295</v>
      </c>
      <c r="F349" t="inlineStr">
        <is>
          <t>NORRBOTTENS LÄN</t>
        </is>
      </c>
      <c r="G349" t="inlineStr">
        <is>
          <t>BODEN</t>
        </is>
      </c>
      <c r="I349" t="n">
        <v>47.3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45833</v>
      </c>
      <c r="E350" s="1" t="n">
        <v>46295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46295</v>
      </c>
      <c r="F351" t="inlineStr">
        <is>
          <t>NORRBOTTENS LÄN</t>
        </is>
      </c>
      <c r="G351" t="inlineStr">
        <is>
          <t>BODEN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46295</v>
      </c>
      <c r="F352" t="inlineStr">
        <is>
          <t>NORRBOTTENS LÄN</t>
        </is>
      </c>
      <c r="G352" t="inlineStr">
        <is>
          <t>BODEN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46295</v>
      </c>
      <c r="F353" t="inlineStr">
        <is>
          <t>NORRBOTTENS LÄN</t>
        </is>
      </c>
      <c r="G353" t="inlineStr">
        <is>
          <t>BODEN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46295</v>
      </c>
      <c r="F354" t="inlineStr">
        <is>
          <t>NORRBOTTENS LÄN</t>
        </is>
      </c>
      <c r="G354" t="inlineStr">
        <is>
          <t>BODEN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32052-2025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46295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46295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33915-2024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46295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46295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46295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45747</v>
      </c>
      <c r="E360" s="1" t="n">
        <v>46295</v>
      </c>
      <c r="F360" t="inlineStr">
        <is>
          <t>NORRBOTTENS LÄN</t>
        </is>
      </c>
      <c r="G360" t="inlineStr">
        <is>
          <t>BODEN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33130-2025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45840</v>
      </c>
      <c r="E361" s="1" t="n">
        <v>46295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45587</v>
      </c>
      <c r="E362" s="1" t="n">
        <v>46295</v>
      </c>
      <c r="F362" t="inlineStr">
        <is>
          <t>NORRBOTTENS LÄN</t>
        </is>
      </c>
      <c r="G362" t="inlineStr">
        <is>
          <t>BODEN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45583</v>
      </c>
      <c r="E363" s="1" t="n">
        <v>46295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46295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45649</v>
      </c>
      <c r="E365" s="1" t="n">
        <v>46295</v>
      </c>
      <c r="F365" t="inlineStr">
        <is>
          <t>NORRBOTTENS LÄN</t>
        </is>
      </c>
      <c r="G365" t="inlineStr">
        <is>
          <t>BODEN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46295</v>
      </c>
      <c r="F366" t="inlineStr">
        <is>
          <t>NORRBOTTENS LÄN</t>
        </is>
      </c>
      <c r="G366" t="inlineStr">
        <is>
          <t>BODEN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46295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45906</v>
      </c>
      <c r="E368" s="1" t="n">
        <v>46295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46295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48091-2025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45933</v>
      </c>
      <c r="E370" s="1" t="n">
        <v>46295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45843</v>
      </c>
      <c r="E371" s="1" t="n">
        <v>46295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46295</v>
      </c>
      <c r="F372" t="inlineStr">
        <is>
          <t>NORRBOTTENS LÄN</t>
        </is>
      </c>
      <c r="G372" t="inlineStr">
        <is>
          <t>BODEN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46295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24400-2022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44726</v>
      </c>
      <c r="E374" s="1" t="n">
        <v>46295</v>
      </c>
      <c r="F374" t="inlineStr">
        <is>
          <t>NORRBOTTENS LÄN</t>
        </is>
      </c>
      <c r="G374" t="inlineStr">
        <is>
          <t>BODEN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46295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46295</v>
      </c>
      <c r="F376" t="inlineStr">
        <is>
          <t>NORRBOTTENS LÄN</t>
        </is>
      </c>
      <c r="G376" t="inlineStr">
        <is>
          <t>BODEN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45603</v>
      </c>
      <c r="E377" s="1" t="n">
        <v>46295</v>
      </c>
      <c r="F377" t="inlineStr">
        <is>
          <t>NORRBOTTENS LÄN</t>
        </is>
      </c>
      <c r="G377" t="inlineStr">
        <is>
          <t>BODEN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46295</v>
      </c>
      <c r="F378" t="inlineStr">
        <is>
          <t>NORRBOTTENS LÄN</t>
        </is>
      </c>
      <c r="G378" t="inlineStr">
        <is>
          <t>BODEN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44642</v>
      </c>
      <c r="E379" s="1" t="n">
        <v>46295</v>
      </c>
      <c r="F379" t="inlineStr">
        <is>
          <t>NORRBOTTENS LÄN</t>
        </is>
      </c>
      <c r="G379" t="inlineStr">
        <is>
          <t>BODEN</t>
        </is>
      </c>
      <c r="H379" t="inlineStr">
        <is>
          <t>Övriga statliga verk och myndigheter</t>
        </is>
      </c>
      <c r="I379" t="n">
        <v>15.8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45548</v>
      </c>
      <c r="E380" s="1" t="n">
        <v>46295</v>
      </c>
      <c r="F380" t="inlineStr">
        <is>
          <t>NORRBOTTENS LÄN</t>
        </is>
      </c>
      <c r="G380" t="inlineStr">
        <is>
          <t>BODEN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46295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46295</v>
      </c>
      <c r="F382" t="inlineStr">
        <is>
          <t>NORRBOTTENS LÄN</t>
        </is>
      </c>
      <c r="G382" t="inlineStr">
        <is>
          <t>BODEN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46295</v>
      </c>
      <c r="F383" t="inlineStr">
        <is>
          <t>NORRBOTTENS LÄN</t>
        </is>
      </c>
      <c r="G383" t="inlineStr">
        <is>
          <t>BODEN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50419-2025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46295</v>
      </c>
      <c r="F384" t="inlineStr">
        <is>
          <t>NORRBOTTENS LÄN</t>
        </is>
      </c>
      <c r="G384" t="inlineStr">
        <is>
          <t>BODEN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44963</v>
      </c>
      <c r="E385" s="1" t="n">
        <v>46295</v>
      </c>
      <c r="F385" t="inlineStr">
        <is>
          <t>NORRBOTTENS LÄN</t>
        </is>
      </c>
      <c r="G385" t="inlineStr">
        <is>
          <t>BODEN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46295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55628-2023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45238</v>
      </c>
      <c r="E387" s="1" t="n">
        <v>46295</v>
      </c>
      <c r="F387" t="inlineStr">
        <is>
          <t>NORRBOTTENS LÄN</t>
        </is>
      </c>
      <c r="G387" t="inlineStr">
        <is>
          <t>BODEN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46295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46295</v>
      </c>
      <c r="F389" t="inlineStr">
        <is>
          <t>NORRBOTTENS LÄN</t>
        </is>
      </c>
      <c r="G389" t="inlineStr">
        <is>
          <t>BODEN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45674</v>
      </c>
      <c r="E390" s="1" t="n">
        <v>46295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46295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49728-2024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45596</v>
      </c>
      <c r="E392" s="1" t="n">
        <v>46295</v>
      </c>
      <c r="F392" t="inlineStr">
        <is>
          <t>NORRBOTTENS LÄN</t>
        </is>
      </c>
      <c r="G392" t="inlineStr">
        <is>
          <t>BODEN</t>
        </is>
      </c>
      <c r="I392" t="n">
        <v>22.7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46295</v>
      </c>
      <c r="F393" t="inlineStr">
        <is>
          <t>NORRBOTTENS LÄN</t>
        </is>
      </c>
      <c r="G393" t="inlineStr">
        <is>
          <t>BODEN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46295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45863</v>
      </c>
      <c r="E395" s="1" t="n">
        <v>46295</v>
      </c>
      <c r="F395" t="inlineStr">
        <is>
          <t>NORRBOTTENS LÄN</t>
        </is>
      </c>
      <c r="G395" t="inlineStr">
        <is>
          <t>BODEN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46295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46295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32582-2025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45838</v>
      </c>
      <c r="E398" s="1" t="n">
        <v>46295</v>
      </c>
      <c r="F398" t="inlineStr">
        <is>
          <t>NORRBOTTENS LÄN</t>
        </is>
      </c>
      <c r="G398" t="inlineStr">
        <is>
          <t>BODEN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46295</v>
      </c>
      <c r="F399" t="inlineStr">
        <is>
          <t>NORRBOTTENS LÄN</t>
        </is>
      </c>
      <c r="G399" t="inlineStr">
        <is>
          <t>BODEN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19051-2025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45764</v>
      </c>
      <c r="E400" s="1" t="n">
        <v>46295</v>
      </c>
      <c r="F400" t="inlineStr">
        <is>
          <t>NORRBOTTENS LÄN</t>
        </is>
      </c>
      <c r="G400" t="inlineStr">
        <is>
          <t>BODEN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45456</v>
      </c>
      <c r="E401" s="1" t="n">
        <v>46295</v>
      </c>
      <c r="F401" t="inlineStr">
        <is>
          <t>NORRBOTTENS LÄN</t>
        </is>
      </c>
      <c r="G401" t="inlineStr">
        <is>
          <t>BODEN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46295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45764</v>
      </c>
      <c r="E403" s="1" t="n">
        <v>46295</v>
      </c>
      <c r="F403" t="inlineStr">
        <is>
          <t>NORRBOTTENS LÄN</t>
        </is>
      </c>
      <c r="G403" t="inlineStr">
        <is>
          <t>BODEN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46295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46295</v>
      </c>
      <c r="F405" t="inlineStr">
        <is>
          <t>NORRBOTTENS LÄN</t>
        </is>
      </c>
      <c r="G405" t="inlineStr">
        <is>
          <t>BODEN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14995-2022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46295</v>
      </c>
      <c r="F406" t="inlineStr">
        <is>
          <t>NORRBOTTENS LÄN</t>
        </is>
      </c>
      <c r="G406" t="inlineStr">
        <is>
          <t>BODEN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15000-2022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46295</v>
      </c>
      <c r="F407" t="inlineStr">
        <is>
          <t>NORRBOTTENS LÄN</t>
        </is>
      </c>
      <c r="G407" t="inlineStr">
        <is>
          <t>BODEN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44490</v>
      </c>
      <c r="E408" s="1" t="n">
        <v>46295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11647-2023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44994</v>
      </c>
      <c r="E409" s="1" t="n">
        <v>46295</v>
      </c>
      <c r="F409" t="inlineStr">
        <is>
          <t>NORRBOTTENS LÄN</t>
        </is>
      </c>
      <c r="G409" t="inlineStr">
        <is>
          <t>BODEN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46295</v>
      </c>
      <c r="F410" t="inlineStr">
        <is>
          <t>NORRBOTTENS LÄN</t>
        </is>
      </c>
      <c r="G410" t="inlineStr">
        <is>
          <t>BODEN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44673</v>
      </c>
      <c r="E411" s="1" t="n">
        <v>46295</v>
      </c>
      <c r="F411" t="inlineStr">
        <is>
          <t>NORRBOTTENS LÄN</t>
        </is>
      </c>
      <c r="G411" t="inlineStr">
        <is>
          <t>BODEN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46295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45369</v>
      </c>
      <c r="E413" s="1" t="n">
        <v>46295</v>
      </c>
      <c r="F413" t="inlineStr">
        <is>
          <t>NORRBOTTENS LÄN</t>
        </is>
      </c>
      <c r="G413" t="inlineStr">
        <is>
          <t>BODEN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52284-2025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46295</v>
      </c>
      <c r="F414" t="inlineStr">
        <is>
          <t>NORRBOTTENS LÄN</t>
        </is>
      </c>
      <c r="G414" t="inlineStr">
        <is>
          <t>BODEN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52169-2025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46295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46295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46295</v>
      </c>
      <c r="F417" t="inlineStr">
        <is>
          <t>NORRBOTTENS LÄN</t>
        </is>
      </c>
      <c r="G417" t="inlineStr">
        <is>
          <t>BODEN</t>
        </is>
      </c>
      <c r="H417" t="inlineStr">
        <is>
          <t>Naturvårdsverket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46295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51525-2025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45950</v>
      </c>
      <c r="E419" s="1" t="n">
        <v>46295</v>
      </c>
      <c r="F419" t="inlineStr">
        <is>
          <t>NORRBOTTENS LÄN</t>
        </is>
      </c>
      <c r="G419" t="inlineStr">
        <is>
          <t>BODEN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45868</v>
      </c>
      <c r="E420" s="1" t="n">
        <v>46295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46295</v>
      </c>
      <c r="F421" t="inlineStr">
        <is>
          <t>NORRBOTTENS LÄN</t>
        </is>
      </c>
      <c r="G421" t="inlineStr">
        <is>
          <t>BODEN</t>
        </is>
      </c>
      <c r="I421" t="n">
        <v>9.800000000000001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46295</v>
      </c>
      <c r="F422" t="inlineStr">
        <is>
          <t>NORRBOTTENS LÄN</t>
        </is>
      </c>
      <c r="G422" t="inlineStr">
        <is>
          <t>BODEN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45877</v>
      </c>
      <c r="E423" s="1" t="n">
        <v>46295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45955</v>
      </c>
      <c r="E424" s="1" t="n">
        <v>46295</v>
      </c>
      <c r="F424" t="inlineStr">
        <is>
          <t>NORRBOTTENS LÄN</t>
        </is>
      </c>
      <c r="G424" t="inlineStr">
        <is>
          <t>BODEN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52646-2025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45955</v>
      </c>
      <c r="E425" s="1" t="n">
        <v>46295</v>
      </c>
      <c r="F425" t="inlineStr">
        <is>
          <t>NORRBOTTENS LÄN</t>
        </is>
      </c>
      <c r="G425" t="inlineStr">
        <is>
          <t>BODEN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45880</v>
      </c>
      <c r="E426" s="1" t="n">
        <v>46295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37854-2025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45881</v>
      </c>
      <c r="E427" s="1" t="n">
        <v>46295</v>
      </c>
      <c r="F427" t="inlineStr">
        <is>
          <t>NORRBOTTENS LÄN</t>
        </is>
      </c>
      <c r="G427" t="inlineStr">
        <is>
          <t>BODEN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45882</v>
      </c>
      <c r="E428" s="1" t="n">
        <v>46295</v>
      </c>
      <c r="F428" t="inlineStr">
        <is>
          <t>NORRBOTTENS LÄN</t>
        </is>
      </c>
      <c r="G428" t="inlineStr">
        <is>
          <t>BODEN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45882</v>
      </c>
      <c r="E429" s="1" t="n">
        <v>46295</v>
      </c>
      <c r="F429" t="inlineStr">
        <is>
          <t>NORRBOTTENS LÄN</t>
        </is>
      </c>
      <c r="G429" t="inlineStr">
        <is>
          <t>BODEN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46295</v>
      </c>
      <c r="F430" t="inlineStr">
        <is>
          <t>NORRBOTTENS LÄN</t>
        </is>
      </c>
      <c r="G430" t="inlineStr">
        <is>
          <t>BODEN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46295</v>
      </c>
      <c r="F431" t="inlineStr">
        <is>
          <t>NORRBOTTENS LÄN</t>
        </is>
      </c>
      <c r="G431" t="inlineStr">
        <is>
          <t>BODEN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53623-2025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45960</v>
      </c>
      <c r="E432" s="1" t="n">
        <v>46295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46295</v>
      </c>
      <c r="F433" t="inlineStr">
        <is>
          <t>NORRBOTTENS LÄN</t>
        </is>
      </c>
      <c r="G433" t="inlineStr">
        <is>
          <t>BODEN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46295</v>
      </c>
      <c r="F434" t="inlineStr">
        <is>
          <t>NORRBOTTENS LÄN</t>
        </is>
      </c>
      <c r="G434" t="inlineStr">
        <is>
          <t>BODEN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46295</v>
      </c>
      <c r="F435" t="inlineStr">
        <is>
          <t>NORRBOTTENS LÄN</t>
        </is>
      </c>
      <c r="G435" t="inlineStr">
        <is>
          <t>BODEN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46295</v>
      </c>
      <c r="F436" t="inlineStr">
        <is>
          <t>NORRBOTTENS LÄN</t>
        </is>
      </c>
      <c r="G436" t="inlineStr">
        <is>
          <t>BODEN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46295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54834-2025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45966</v>
      </c>
      <c r="E438" s="1" t="n">
        <v>46295</v>
      </c>
      <c r="F438" t="inlineStr">
        <is>
          <t>NORRBOTTENS LÄN</t>
        </is>
      </c>
      <c r="G438" t="inlineStr">
        <is>
          <t>BODEN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46295</v>
      </c>
      <c r="F439" t="inlineStr">
        <is>
          <t>NORRBOTTENS LÄN</t>
        </is>
      </c>
      <c r="G439" t="inlineStr">
        <is>
          <t>BODEN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46295</v>
      </c>
      <c r="F440" t="inlineStr">
        <is>
          <t>NORRBOTTENS LÄN</t>
        </is>
      </c>
      <c r="G440" t="inlineStr">
        <is>
          <t>BODEN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46059</v>
      </c>
      <c r="E441" s="1" t="n">
        <v>46295</v>
      </c>
      <c r="F441" t="inlineStr">
        <is>
          <t>NORRBOTTENS LÄN</t>
        </is>
      </c>
      <c r="G441" t="inlineStr">
        <is>
          <t>BODEN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56457-2024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45625</v>
      </c>
      <c r="E442" s="1" t="n">
        <v>46295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38584-2025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45884</v>
      </c>
      <c r="E443" s="1" t="n">
        <v>46295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22447-2024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45446</v>
      </c>
      <c r="E444" s="1" t="n">
        <v>46295</v>
      </c>
      <c r="F444" t="inlineStr">
        <is>
          <t>NORRBOTTENS LÄN</t>
        </is>
      </c>
      <c r="G444" t="inlineStr">
        <is>
          <t>BODEN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46063</v>
      </c>
      <c r="E445" s="1" t="n">
        <v>46295</v>
      </c>
      <c r="F445" t="inlineStr">
        <is>
          <t>NORRBOTTENS LÄN</t>
        </is>
      </c>
      <c r="G445" t="inlineStr">
        <is>
          <t>BODEN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7923-2026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46295</v>
      </c>
      <c r="F446" t="inlineStr">
        <is>
          <t>NORRBOTTENS LÄN</t>
        </is>
      </c>
      <c r="G446" t="inlineStr">
        <is>
          <t>BODEN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59029-2022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44903</v>
      </c>
      <c r="E447" s="1" t="n">
        <v>46295</v>
      </c>
      <c r="F447" t="inlineStr">
        <is>
          <t>NORRBOTTENS LÄN</t>
        </is>
      </c>
      <c r="G447" t="inlineStr">
        <is>
          <t>BODEN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46065</v>
      </c>
      <c r="E448" s="1" t="n">
        <v>46295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46295</v>
      </c>
      <c r="F449" t="inlineStr">
        <is>
          <t>NORRBOTTENS LÄN</t>
        </is>
      </c>
      <c r="G449" t="inlineStr">
        <is>
          <t>BODEN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45972</v>
      </c>
      <c r="E450" s="1" t="n">
        <v>46295</v>
      </c>
      <c r="F450" t="inlineStr">
        <is>
          <t>NORRBOTTENS LÄN</t>
        </is>
      </c>
      <c r="G450" t="inlineStr">
        <is>
          <t>BODEN</t>
        </is>
      </c>
      <c r="I450" t="n">
        <v>11.9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45212</v>
      </c>
      <c r="E451" s="1" t="n">
        <v>46295</v>
      </c>
      <c r="F451" t="inlineStr">
        <is>
          <t>NORRBOTTENS LÄN</t>
        </is>
      </c>
      <c r="G451" t="inlineStr">
        <is>
          <t>BODEN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56560-2025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46295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9.800000000000001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46295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46295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46295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46295</v>
      </c>
      <c r="F456" t="inlineStr">
        <is>
          <t>NORRBOTTENS LÄN</t>
        </is>
      </c>
      <c r="G456" t="inlineStr">
        <is>
          <t>BODEN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45161</v>
      </c>
      <c r="E457" s="1" t="n">
        <v>46295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46295</v>
      </c>
      <c r="F458" t="inlineStr">
        <is>
          <t>NORRBOTTENS LÄN</t>
        </is>
      </c>
      <c r="G458" t="inlineStr">
        <is>
          <t>BODEN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45195</v>
      </c>
      <c r="E459" s="1" t="n">
        <v>46295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46295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45981</v>
      </c>
      <c r="E461" s="1" t="n">
        <v>46295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10234-2026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46295</v>
      </c>
      <c r="F462" t="inlineStr">
        <is>
          <t>NORRBOTTENS LÄN</t>
        </is>
      </c>
      <c r="G462" t="inlineStr">
        <is>
          <t>BODEN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46295</v>
      </c>
      <c r="F463" t="inlineStr">
        <is>
          <t>NORRBOTTENS LÄN</t>
        </is>
      </c>
      <c r="G463" t="inlineStr">
        <is>
          <t>BODEN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46295</v>
      </c>
      <c r="F464" t="inlineStr">
        <is>
          <t>NORRBOTTENS LÄN</t>
        </is>
      </c>
      <c r="G464" t="inlineStr">
        <is>
          <t>BODEN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58662-2025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46295</v>
      </c>
      <c r="F465" t="inlineStr">
        <is>
          <t>NORRBOTTENS LÄN</t>
        </is>
      </c>
      <c r="G465" t="inlineStr">
        <is>
          <t>BODEN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46295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45984</v>
      </c>
      <c r="E467" s="1" t="n">
        <v>46295</v>
      </c>
      <c r="F467" t="inlineStr">
        <is>
          <t>NORRBOTTENS LÄN</t>
        </is>
      </c>
      <c r="G467" t="inlineStr">
        <is>
          <t>BODEN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35040-2022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44796</v>
      </c>
      <c r="E468" s="1" t="n">
        <v>46295</v>
      </c>
      <c r="F468" t="inlineStr">
        <is>
          <t>NORRBOTTENS LÄN</t>
        </is>
      </c>
      <c r="G468" t="inlineStr">
        <is>
          <t>BODEN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46295</v>
      </c>
      <c r="F469" t="inlineStr">
        <is>
          <t>NORRBOTTENS LÄN</t>
        </is>
      </c>
      <c r="G469" t="inlineStr">
        <is>
          <t>BODEN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46295</v>
      </c>
      <c r="F470" t="inlineStr">
        <is>
          <t>NORRBOTTENS LÄN</t>
        </is>
      </c>
      <c r="G470" t="inlineStr">
        <is>
          <t>BODEN</t>
        </is>
      </c>
      <c r="I470" t="n">
        <v>6.7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46295</v>
      </c>
      <c r="F471" t="inlineStr">
        <is>
          <t>NORRBOTTENS LÄN</t>
        </is>
      </c>
      <c r="G471" t="inlineStr">
        <is>
          <t>BODEN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25916-2023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45085</v>
      </c>
      <c r="E472" s="1" t="n">
        <v>46295</v>
      </c>
      <c r="F472" t="inlineStr">
        <is>
          <t>NORRBOTTENS LÄN</t>
        </is>
      </c>
      <c r="G472" t="inlineStr">
        <is>
          <t>BODEN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45153</v>
      </c>
      <c r="E473" s="1" t="n">
        <v>46295</v>
      </c>
      <c r="F473" t="inlineStr">
        <is>
          <t>NORRBOTTENS LÄN</t>
        </is>
      </c>
      <c r="G473" t="inlineStr">
        <is>
          <t>BODEN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46078</v>
      </c>
      <c r="E474" s="1" t="n">
        <v>46295</v>
      </c>
      <c r="F474" t="inlineStr">
        <is>
          <t>NORRBOTTENS LÄN</t>
        </is>
      </c>
      <c r="G474" t="inlineStr">
        <is>
          <t>BODEN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45649</v>
      </c>
      <c r="E475" s="1" t="n">
        <v>46295</v>
      </c>
      <c r="F475" t="inlineStr">
        <is>
          <t>NORRBOTTENS LÄN</t>
        </is>
      </c>
      <c r="G475" t="inlineStr">
        <is>
          <t>BODEN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46295</v>
      </c>
      <c r="F476" t="inlineStr">
        <is>
          <t>NORRBOTTENS LÄN</t>
        </is>
      </c>
      <c r="G476" t="inlineStr">
        <is>
          <t>BODEN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46295</v>
      </c>
      <c r="F477" t="inlineStr">
        <is>
          <t>NORRBOTTENS LÄN</t>
        </is>
      </c>
      <c r="G477" t="inlineStr">
        <is>
          <t>BODEN</t>
        </is>
      </c>
      <c r="I477" t="n">
        <v>16.1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46295</v>
      </c>
      <c r="F478" t="inlineStr">
        <is>
          <t>NORRBOTTENS LÄN</t>
        </is>
      </c>
      <c r="G478" t="inlineStr">
        <is>
          <t>BODEN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46295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45994</v>
      </c>
      <c r="E480" s="1" t="n">
        <v>46295</v>
      </c>
      <c r="F480" t="inlineStr">
        <is>
          <t>NORRBOTTENS LÄN</t>
        </is>
      </c>
      <c r="G480" t="inlineStr">
        <is>
          <t>BODEN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45994</v>
      </c>
      <c r="E481" s="1" t="n">
        <v>46295</v>
      </c>
      <c r="F481" t="inlineStr">
        <is>
          <t>NORRBOTTENS LÄN</t>
        </is>
      </c>
      <c r="G481" t="inlineStr">
        <is>
          <t>BODEN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46295</v>
      </c>
      <c r="F482" t="inlineStr">
        <is>
          <t>NORRBOTTENS LÄN</t>
        </is>
      </c>
      <c r="G482" t="inlineStr">
        <is>
          <t>BODEN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46295</v>
      </c>
      <c r="F483" t="inlineStr">
        <is>
          <t>NORRBOTTENS LÄN</t>
        </is>
      </c>
      <c r="G483" t="inlineStr">
        <is>
          <t>BODEN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46295</v>
      </c>
      <c r="F484" t="inlineStr">
        <is>
          <t>NORRBOTTENS LÄN</t>
        </is>
      </c>
      <c r="G484" t="inlineStr">
        <is>
          <t>BODEN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46295</v>
      </c>
      <c r="F485" t="inlineStr">
        <is>
          <t>NORRBOTTENS LÄN</t>
        </is>
      </c>
      <c r="G485" t="inlineStr">
        <is>
          <t>BODEN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45996</v>
      </c>
      <c r="E486" s="1" t="n">
        <v>46295</v>
      </c>
      <c r="F486" t="inlineStr">
        <is>
          <t>NORRBOTTENS LÄN</t>
        </is>
      </c>
      <c r="G486" t="inlineStr">
        <is>
          <t>BODEN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44856</v>
      </c>
      <c r="E487" s="1" t="n">
        <v>46295</v>
      </c>
      <c r="F487" t="inlineStr">
        <is>
          <t>NORRBOTTENS LÄN</t>
        </is>
      </c>
      <c r="G487" t="inlineStr">
        <is>
          <t>BODEN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45995</v>
      </c>
      <c r="E488" s="1" t="n">
        <v>46295</v>
      </c>
      <c r="F488" t="inlineStr">
        <is>
          <t>NORRBOTTENS LÄN</t>
        </is>
      </c>
      <c r="G488" t="inlineStr">
        <is>
          <t>BODEN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46295</v>
      </c>
      <c r="F489" t="inlineStr">
        <is>
          <t>NORRBOTTENS LÄN</t>
        </is>
      </c>
      <c r="G489" t="inlineStr">
        <is>
          <t>BODEN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46295</v>
      </c>
      <c r="F490" t="inlineStr">
        <is>
          <t>NORRBOTTENS LÄN</t>
        </is>
      </c>
      <c r="G490" t="inlineStr">
        <is>
          <t>BODEN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11631-2026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46084</v>
      </c>
      <c r="E491" s="1" t="n">
        <v>46295</v>
      </c>
      <c r="F491" t="inlineStr">
        <is>
          <t>NORRBOTTENS LÄN</t>
        </is>
      </c>
      <c r="G491" t="inlineStr">
        <is>
          <t>BODEN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46295</v>
      </c>
      <c r="F492" t="inlineStr">
        <is>
          <t>NORRBOTTENS LÄN</t>
        </is>
      </c>
      <c r="G492" t="inlineStr">
        <is>
          <t>BODEN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46084</v>
      </c>
      <c r="E493" s="1" t="n">
        <v>46295</v>
      </c>
      <c r="F493" t="inlineStr">
        <is>
          <t>NORRBOTTENS LÄN</t>
        </is>
      </c>
      <c r="G493" t="inlineStr">
        <is>
          <t>BODEN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40624-2022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44823</v>
      </c>
      <c r="E494" s="1" t="n">
        <v>46295</v>
      </c>
      <c r="F494" t="inlineStr">
        <is>
          <t>NORRBOTTENS LÄN</t>
        </is>
      </c>
      <c r="G494" t="inlineStr">
        <is>
          <t>BODEN</t>
        </is>
      </c>
      <c r="H494" t="inlineStr">
        <is>
          <t>SCA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45906</v>
      </c>
      <c r="E495" s="1" t="n">
        <v>46295</v>
      </c>
      <c r="F495" t="inlineStr">
        <is>
          <t>NORRBOTTENS LÄN</t>
        </is>
      </c>
      <c r="G495" t="inlineStr">
        <is>
          <t>BODEN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45999</v>
      </c>
      <c r="E496" s="1" t="n">
        <v>46295</v>
      </c>
      <c r="F496" t="inlineStr">
        <is>
          <t>NORRBOTTENS LÄN</t>
        </is>
      </c>
      <c r="G496" t="inlineStr">
        <is>
          <t>BODEN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46295</v>
      </c>
      <c r="F497" t="inlineStr">
        <is>
          <t>NORRBOTTENS LÄN</t>
        </is>
      </c>
      <c r="G497" t="inlineStr">
        <is>
          <t>BODEN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46295</v>
      </c>
      <c r="F498" t="inlineStr">
        <is>
          <t>NORRBOTTENS LÄN</t>
        </is>
      </c>
      <c r="G498" t="inlineStr">
        <is>
          <t>BODEN</t>
        </is>
      </c>
      <c r="I498" t="n">
        <v>9.199999999999999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718-2022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44568</v>
      </c>
      <c r="E499" s="1" t="n">
        <v>46295</v>
      </c>
      <c r="F499" t="inlineStr">
        <is>
          <t>NORRBOTTENS LÄN</t>
        </is>
      </c>
      <c r="G499" t="inlineStr">
        <is>
          <t>BODEN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46001</v>
      </c>
      <c r="E500" s="1" t="n">
        <v>46295</v>
      </c>
      <c r="F500" t="inlineStr">
        <is>
          <t>NORRBOTTENS LÄN</t>
        </is>
      </c>
      <c r="G500" t="inlineStr">
        <is>
          <t>BODEN</t>
        </is>
      </c>
      <c r="I500" t="n">
        <v>17.1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46295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12183-2026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46295</v>
      </c>
      <c r="F502" t="inlineStr">
        <is>
          <t>NORRBOTTENS LÄN</t>
        </is>
      </c>
      <c r="G502" t="inlineStr">
        <is>
          <t>BODEN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45667</v>
      </c>
      <c r="E503" s="1" t="n">
        <v>46295</v>
      </c>
      <c r="F503" t="inlineStr">
        <is>
          <t>NORRBOTTENS LÄN</t>
        </is>
      </c>
      <c r="G503" t="inlineStr">
        <is>
          <t>BODEN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44648</v>
      </c>
      <c r="E504" s="1" t="n">
        <v>46295</v>
      </c>
      <c r="F504" t="inlineStr">
        <is>
          <t>NORRBOTTENS LÄN</t>
        </is>
      </c>
      <c r="G504" t="inlineStr">
        <is>
          <t>BODEN</t>
        </is>
      </c>
      <c r="H504" t="inlineStr">
        <is>
          <t>Sveaskog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46295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46295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46295</v>
      </c>
      <c r="F507" t="inlineStr">
        <is>
          <t>NORRBOTTENS LÄN</t>
        </is>
      </c>
      <c r="G507" t="inlineStr">
        <is>
          <t>BODEN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46295</v>
      </c>
      <c r="F508" t="inlineStr">
        <is>
          <t>NORRBOTTENS LÄN</t>
        </is>
      </c>
      <c r="G508" t="inlineStr">
        <is>
          <t>BODEN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46295</v>
      </c>
      <c r="F509" t="inlineStr">
        <is>
          <t>NORRBOTTENS LÄN</t>
        </is>
      </c>
      <c r="G509" t="inlineStr">
        <is>
          <t>BODEN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46009</v>
      </c>
      <c r="E510" s="1" t="n">
        <v>46295</v>
      </c>
      <c r="F510" t="inlineStr">
        <is>
          <t>NORRBOTTENS LÄN</t>
        </is>
      </c>
      <c r="G510" t="inlineStr">
        <is>
          <t>BODEN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46295</v>
      </c>
      <c r="F511" t="inlineStr">
        <is>
          <t>NORRBOTTENS LÄN</t>
        </is>
      </c>
      <c r="G511" t="inlineStr">
        <is>
          <t>BODEN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46295</v>
      </c>
      <c r="F512" t="inlineStr">
        <is>
          <t>NORRBOTTENS LÄN</t>
        </is>
      </c>
      <c r="G512" t="inlineStr">
        <is>
          <t>BODEN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45376-2025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46295</v>
      </c>
      <c r="F513" t="inlineStr">
        <is>
          <t>NORRBOTTENS LÄN</t>
        </is>
      </c>
      <c r="G513" t="inlineStr">
        <is>
          <t>BODEN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62992-2025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46295</v>
      </c>
      <c r="F514" t="inlineStr">
        <is>
          <t>NORRBOTTENS LÄN</t>
        </is>
      </c>
      <c r="G514" t="inlineStr">
        <is>
          <t>BODEN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46295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14245-2026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46099</v>
      </c>
      <c r="E516" s="1" t="n">
        <v>46295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45499</v>
      </c>
      <c r="E517" s="1" t="n">
        <v>46295</v>
      </c>
      <c r="F517" t="inlineStr">
        <is>
          <t>NORRBOTTENS LÄN</t>
        </is>
      </c>
      <c r="G517" t="inlineStr">
        <is>
          <t>BODEN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45194</v>
      </c>
      <c r="E518" s="1" t="n">
        <v>46295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45649</v>
      </c>
      <c r="E519" s="1" t="n">
        <v>46295</v>
      </c>
      <c r="F519" t="inlineStr">
        <is>
          <t>NORRBOTTENS LÄN</t>
        </is>
      </c>
      <c r="G519" t="inlineStr">
        <is>
          <t>BODEN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46295</v>
      </c>
      <c r="F520" t="inlineStr">
        <is>
          <t>NORRBOTTENS LÄN</t>
        </is>
      </c>
      <c r="G520" t="inlineStr">
        <is>
          <t>BODEN</t>
        </is>
      </c>
      <c r="H520" t="inlineStr">
        <is>
          <t>Övriga statliga verk och myndigheter</t>
        </is>
      </c>
      <c r="I520" t="n">
        <v>11.5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45709</v>
      </c>
      <c r="E521" s="1" t="n">
        <v>46295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Aktiebolag</t>
        </is>
      </c>
      <c r="I521" t="n">
        <v>14.3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18871-2025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46295</v>
      </c>
      <c r="F522" t="inlineStr">
        <is>
          <t>NORRBOTTENS LÄN</t>
        </is>
      </c>
      <c r="G522" t="inlineStr">
        <is>
          <t>BODEN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45773</v>
      </c>
      <c r="E523" s="1" t="n">
        <v>46295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14325-2026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46295</v>
      </c>
      <c r="F524" t="inlineStr">
        <is>
          <t>NORRBOTTENS LÄN</t>
        </is>
      </c>
      <c r="G524" t="inlineStr">
        <is>
          <t>BODEN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46295</v>
      </c>
      <c r="F525" t="inlineStr">
        <is>
          <t>NORRBOTTENS LÄN</t>
        </is>
      </c>
      <c r="G525" t="inlineStr">
        <is>
          <t>BODEN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46295</v>
      </c>
      <c r="F526" t="inlineStr">
        <is>
          <t>NORRBOTTENS LÄN</t>
        </is>
      </c>
      <c r="G526" t="inlineStr">
        <is>
          <t>BODEN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45672</v>
      </c>
      <c r="E527" s="1" t="n">
        <v>46295</v>
      </c>
      <c r="F527" t="inlineStr">
        <is>
          <t>NORRBOTTENS LÄN</t>
        </is>
      </c>
      <c r="G527" t="inlineStr">
        <is>
          <t>BODEN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55080-2021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44474</v>
      </c>
      <c r="E528" s="1" t="n">
        <v>46295</v>
      </c>
      <c r="F528" t="inlineStr">
        <is>
          <t>NORRBOTTENS LÄN</t>
        </is>
      </c>
      <c r="G528" t="inlineStr">
        <is>
          <t>BODEN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16020-2025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45748</v>
      </c>
      <c r="E529" s="1" t="n">
        <v>46295</v>
      </c>
      <c r="F529" t="inlineStr">
        <is>
          <t>NORRBOTTENS LÄN</t>
        </is>
      </c>
      <c r="G529" t="inlineStr">
        <is>
          <t>BODEN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67438-2021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44524</v>
      </c>
      <c r="E530" s="1" t="n">
        <v>46295</v>
      </c>
      <c r="F530" t="inlineStr">
        <is>
          <t>NORRBOTTENS LÄN</t>
        </is>
      </c>
      <c r="G530" t="inlineStr">
        <is>
          <t>BODEN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45761</v>
      </c>
      <c r="E531" s="1" t="n">
        <v>46295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54104-2022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44881</v>
      </c>
      <c r="E532" s="1" t="n">
        <v>46295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58099-2023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45248</v>
      </c>
      <c r="E533" s="1" t="n">
        <v>46295</v>
      </c>
      <c r="F533" t="inlineStr">
        <is>
          <t>NORRBOTTENS LÄN</t>
        </is>
      </c>
      <c r="G533" t="inlineStr">
        <is>
          <t>BODEN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49127-2023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45210</v>
      </c>
      <c r="E534" s="1" t="n">
        <v>46295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45980</v>
      </c>
      <c r="E535" s="1" t="n">
        <v>46295</v>
      </c>
      <c r="F535" t="inlineStr">
        <is>
          <t>NORRBOTTENS LÄN</t>
        </is>
      </c>
      <c r="G535" t="inlineStr">
        <is>
          <t>BODEN</t>
        </is>
      </c>
      <c r="I535" t="n">
        <v>19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44887</v>
      </c>
      <c r="E536" s="1" t="n">
        <v>46295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467-2022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44565</v>
      </c>
      <c r="E537" s="1" t="n">
        <v>46295</v>
      </c>
      <c r="F537" t="inlineStr">
        <is>
          <t>NORRBOTTENS LÄN</t>
        </is>
      </c>
      <c r="G537" t="inlineStr">
        <is>
          <t>BODEN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45233</v>
      </c>
      <c r="E538" s="1" t="n">
        <v>46295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45070</v>
      </c>
      <c r="E539" s="1" t="n">
        <v>46295</v>
      </c>
      <c r="F539" t="inlineStr">
        <is>
          <t>NORRBOTTENS LÄN</t>
        </is>
      </c>
      <c r="G539" t="inlineStr">
        <is>
          <t>BODEN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45085</v>
      </c>
      <c r="E540" s="1" t="n">
        <v>46295</v>
      </c>
      <c r="F540" t="inlineStr">
        <is>
          <t>NORRBOTTENS LÄN</t>
        </is>
      </c>
      <c r="G540" t="inlineStr">
        <is>
          <t>BODEN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68591-2021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44529</v>
      </c>
      <c r="E541" s="1" t="n">
        <v>46295</v>
      </c>
      <c r="F541" t="inlineStr">
        <is>
          <t>NORRBOTTENS LÄN</t>
        </is>
      </c>
      <c r="G541" t="inlineStr">
        <is>
          <t>BODEN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45070</v>
      </c>
      <c r="E542" s="1" t="n">
        <v>46295</v>
      </c>
      <c r="F542" t="inlineStr">
        <is>
          <t>NORRBOTTENS LÄN</t>
        </is>
      </c>
      <c r="G542" t="inlineStr">
        <is>
          <t>BODEN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17909-2026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46295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17810-2026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46122</v>
      </c>
      <c r="E544" s="1" t="n">
        <v>46295</v>
      </c>
      <c r="F544" t="inlineStr">
        <is>
          <t>NORRBOTTENS LÄN</t>
        </is>
      </c>
      <c r="G544" t="inlineStr">
        <is>
          <t>BODEN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46126</v>
      </c>
      <c r="E545" s="1" t="n">
        <v>46295</v>
      </c>
      <c r="F545" t="inlineStr">
        <is>
          <t>NORRBOTTENS LÄN</t>
        </is>
      </c>
      <c r="G545" t="inlineStr">
        <is>
          <t>BODEN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46126</v>
      </c>
      <c r="E546" s="1" t="n">
        <v>46295</v>
      </c>
      <c r="F546" t="inlineStr">
        <is>
          <t>NORRBOTTENS LÄN</t>
        </is>
      </c>
      <c r="G546" t="inlineStr">
        <is>
          <t>BODEN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46295</v>
      </c>
      <c r="F547" t="inlineStr">
        <is>
          <t>NORRBOTTENS LÄN</t>
        </is>
      </c>
      <c r="G547" t="inlineStr">
        <is>
          <t>BODEN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46295</v>
      </c>
      <c r="F548" t="inlineStr">
        <is>
          <t>NORRBOTTENS LÄN</t>
        </is>
      </c>
      <c r="G548" t="inlineStr">
        <is>
          <t>BODEN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44812</v>
      </c>
      <c r="E549" s="1" t="n">
        <v>46295</v>
      </c>
      <c r="F549" t="inlineStr">
        <is>
          <t>NORRBOTTENS LÄN</t>
        </is>
      </c>
      <c r="G549" t="inlineStr">
        <is>
          <t>BODEN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25387-2023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45079</v>
      </c>
      <c r="E550" s="1" t="n">
        <v>46295</v>
      </c>
      <c r="F550" t="inlineStr">
        <is>
          <t>NORRBOTTENS LÄN</t>
        </is>
      </c>
      <c r="G550" t="inlineStr">
        <is>
          <t>BODEN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45102</v>
      </c>
      <c r="E551" s="1" t="n">
        <v>46295</v>
      </c>
      <c r="F551" t="inlineStr">
        <is>
          <t>NORRBOTTENS LÄN</t>
        </is>
      </c>
      <c r="G551" t="inlineStr">
        <is>
          <t>BODEN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48592-2024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45593</v>
      </c>
      <c r="E552" s="1" t="n">
        <v>46295</v>
      </c>
      <c r="F552" t="inlineStr">
        <is>
          <t>NORRBOTTENS LÄN</t>
        </is>
      </c>
      <c r="G552" t="inlineStr">
        <is>
          <t>BODEN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46295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46295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46295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16222-2024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45406</v>
      </c>
      <c r="E556" s="1" t="n">
        <v>46295</v>
      </c>
      <c r="F556" t="inlineStr">
        <is>
          <t>NORRBOTTENS LÄN</t>
        </is>
      </c>
      <c r="G556" t="inlineStr">
        <is>
          <t>BODEN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58877-2021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44489</v>
      </c>
      <c r="E557" s="1" t="n">
        <v>46295</v>
      </c>
      <c r="F557" t="inlineStr">
        <is>
          <t>NORRBOTTENS LÄN</t>
        </is>
      </c>
      <c r="G557" t="inlineStr">
        <is>
          <t>BODEN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62589-2025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46007</v>
      </c>
      <c r="E558" s="1" t="n">
        <v>46295</v>
      </c>
      <c r="F558" t="inlineStr">
        <is>
          <t>NORRBOTTENS LÄN</t>
        </is>
      </c>
      <c r="G558" t="inlineStr">
        <is>
          <t>BODEN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61103-2022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44908</v>
      </c>
      <c r="E559" s="1" t="n">
        <v>46295</v>
      </c>
      <c r="F559" t="inlineStr">
        <is>
          <t>NORRBOTTENS LÄN</t>
        </is>
      </c>
      <c r="G559" t="inlineStr">
        <is>
          <t>BODEN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45099</v>
      </c>
      <c r="E560" s="1" t="n">
        <v>46295</v>
      </c>
      <c r="F560" t="inlineStr">
        <is>
          <t>NORRBOTTENS LÄN</t>
        </is>
      </c>
      <c r="G560" t="inlineStr">
        <is>
          <t>BODEN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45358</v>
      </c>
      <c r="E561" s="1" t="n">
        <v>46295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57600-2021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44484</v>
      </c>
      <c r="E562" s="1" t="n">
        <v>46295</v>
      </c>
      <c r="F562" t="inlineStr">
        <is>
          <t>NORRBOTTENS LÄN</t>
        </is>
      </c>
      <c r="G562" t="inlineStr">
        <is>
          <t>BODEN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46295</v>
      </c>
      <c r="F563" t="inlineStr">
        <is>
          <t>NORRBOTTENS LÄN</t>
        </is>
      </c>
      <c r="G563" t="inlineStr">
        <is>
          <t>BODEN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48459-2025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45935</v>
      </c>
      <c r="E564" s="1" t="n">
        <v>46295</v>
      </c>
      <c r="F564" t="inlineStr">
        <is>
          <t>NORRBOTTENS LÄN</t>
        </is>
      </c>
      <c r="G564" t="inlineStr">
        <is>
          <t>BODEN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30299-2023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46295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47024-2024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45586</v>
      </c>
      <c r="E566" s="1" t="n">
        <v>46295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12.8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39272-2024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46295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46136</v>
      </c>
      <c r="E568" s="1" t="n">
        <v>46295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46295</v>
      </c>
      <c r="F569" t="inlineStr">
        <is>
          <t>NORRBOTTENS LÄN</t>
        </is>
      </c>
      <c r="G569" t="inlineStr">
        <is>
          <t>BODEN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50561-2025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46295</v>
      </c>
      <c r="F570" t="inlineStr">
        <is>
          <t>NORRBOTTENS LÄN</t>
        </is>
      </c>
      <c r="G570" t="inlineStr">
        <is>
          <t>BODEN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46295</v>
      </c>
      <c r="F571" t="inlineStr">
        <is>
          <t>NORRBOTTENS LÄN</t>
        </is>
      </c>
      <c r="G571" t="inlineStr">
        <is>
          <t>BODEN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44553-2024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45574</v>
      </c>
      <c r="E572" s="1" t="n">
        <v>46295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44567-2024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45574</v>
      </c>
      <c r="E573" s="1" t="n">
        <v>46295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61988-2025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46003</v>
      </c>
      <c r="E574" s="1" t="n">
        <v>46295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64649-2023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45281</v>
      </c>
      <c r="E575" s="1" t="n">
        <v>46295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68611-2021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44529</v>
      </c>
      <c r="E576" s="1" t="n">
        <v>46295</v>
      </c>
      <c r="F576" t="inlineStr">
        <is>
          <t>NORRBOTTENS LÄN</t>
        </is>
      </c>
      <c r="G576" t="inlineStr">
        <is>
          <t>BODEN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45839</v>
      </c>
      <c r="E577" s="1" t="n">
        <v>46295</v>
      </c>
      <c r="F577" t="inlineStr">
        <is>
          <t>NORRBOTTENS LÄN</t>
        </is>
      </c>
      <c r="G577" t="inlineStr">
        <is>
          <t>BODEN</t>
        </is>
      </c>
      <c r="I577" t="n">
        <v>13.6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46295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28248-2025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45818</v>
      </c>
      <c r="E579" s="1" t="n">
        <v>46295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60776-2025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45999</v>
      </c>
      <c r="E580" s="1" t="n">
        <v>46295</v>
      </c>
      <c r="F580" t="inlineStr">
        <is>
          <t>NORRBOTTENS LÄN</t>
        </is>
      </c>
      <c r="G580" t="inlineStr">
        <is>
          <t>BODEN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46295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45645</v>
      </c>
      <c r="E582" s="1" t="n">
        <v>46295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46295</v>
      </c>
      <c r="F583" t="inlineStr">
        <is>
          <t>NORRBOTTENS LÄN</t>
        </is>
      </c>
      <c r="G583" t="inlineStr">
        <is>
          <t>BODEN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9596-2023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44983</v>
      </c>
      <c r="E584" s="1" t="n">
        <v>46295</v>
      </c>
      <c r="F584" t="inlineStr">
        <is>
          <t>NORRBOTTENS LÄN</t>
        </is>
      </c>
      <c r="G584" t="inlineStr">
        <is>
          <t>BODEN</t>
        </is>
      </c>
      <c r="I584" t="n">
        <v>37.1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46295</v>
      </c>
      <c r="F585" t="inlineStr">
        <is>
          <t>NORRBOTTENS LÄN</t>
        </is>
      </c>
      <c r="G585" t="inlineStr">
        <is>
          <t>BODEN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54718-2024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45618</v>
      </c>
      <c r="E586" s="1" t="n">
        <v>46295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45408</v>
      </c>
      <c r="E587" s="1" t="n">
        <v>46295</v>
      </c>
      <c r="F587" t="inlineStr">
        <is>
          <t>NORRBOTTENS LÄN</t>
        </is>
      </c>
      <c r="G587" t="inlineStr">
        <is>
          <t>BODEN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46003</v>
      </c>
      <c r="E588" s="1" t="n">
        <v>46295</v>
      </c>
      <c r="F588" t="inlineStr">
        <is>
          <t>NORRBOTTENS LÄN</t>
        </is>
      </c>
      <c r="G588" t="inlineStr">
        <is>
          <t>BODEN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46295</v>
      </c>
      <c r="F589" t="inlineStr">
        <is>
          <t>NORRBOTTENS LÄN</t>
        </is>
      </c>
      <c r="G589" t="inlineStr">
        <is>
          <t>BODEN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51614-2024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45604</v>
      </c>
      <c r="E590" s="1" t="n">
        <v>46295</v>
      </c>
      <c r="F590" t="inlineStr">
        <is>
          <t>NORRBOTTENS LÄN</t>
        </is>
      </c>
      <c r="G590" t="inlineStr">
        <is>
          <t>BODEN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46295</v>
      </c>
      <c r="F591" t="inlineStr">
        <is>
          <t>NORRBOTTENS LÄN</t>
        </is>
      </c>
      <c r="G591" t="inlineStr">
        <is>
          <t>BODEN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67068-2021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44522</v>
      </c>
      <c r="E592" s="1" t="n">
        <v>46295</v>
      </c>
      <c r="F592" t="inlineStr">
        <is>
          <t>NORRBOTTENS LÄN</t>
        </is>
      </c>
      <c r="G592" t="inlineStr">
        <is>
          <t>BODEN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45591</v>
      </c>
      <c r="E593" s="1" t="n">
        <v>46295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8120-2022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44609</v>
      </c>
      <c r="E594" s="1" t="n">
        <v>46295</v>
      </c>
      <c r="F594" t="inlineStr">
        <is>
          <t>NORRBOTTENS LÄN</t>
        </is>
      </c>
      <c r="G594" t="inlineStr">
        <is>
          <t>BODEN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38371-2023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46295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46295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46295</v>
      </c>
      <c r="F597" t="inlineStr">
        <is>
          <t>NORRBOTTENS LÄN</t>
        </is>
      </c>
      <c r="G597" t="inlineStr">
        <is>
          <t>BODEN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11634-2026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46295</v>
      </c>
      <c r="F598" t="inlineStr">
        <is>
          <t>NORRBOTTENS LÄN</t>
        </is>
      </c>
      <c r="G598" t="inlineStr">
        <is>
          <t>BODEN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44795</v>
      </c>
      <c r="E599" s="1" t="n">
        <v>46295</v>
      </c>
      <c r="F599" t="inlineStr">
        <is>
          <t>NORRBOTTENS LÄN</t>
        </is>
      </c>
      <c r="G599" t="inlineStr">
        <is>
          <t>BODEN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45893</v>
      </c>
      <c r="E600" s="1" t="n">
        <v>46295</v>
      </c>
      <c r="F600" t="inlineStr">
        <is>
          <t>NORRBOTTENS LÄN</t>
        </is>
      </c>
      <c r="G600" t="inlineStr">
        <is>
          <t>BODEN</t>
        </is>
      </c>
      <c r="H600" t="inlineStr">
        <is>
          <t>Övriga statliga verk och myndigheter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50327-2023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45216</v>
      </c>
      <c r="E601" s="1" t="n">
        <v>46295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46295</v>
      </c>
      <c r="F602" t="inlineStr">
        <is>
          <t>NORRBOTTENS LÄN</t>
        </is>
      </c>
      <c r="G602" t="inlineStr">
        <is>
          <t>BODEN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46295</v>
      </c>
      <c r="F603" t="inlineStr">
        <is>
          <t>NORRBOTTENS LÄN</t>
        </is>
      </c>
      <c r="G603" t="inlineStr">
        <is>
          <t>BODEN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50107-2024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45600</v>
      </c>
      <c r="E604" s="1" t="n">
        <v>46295</v>
      </c>
      <c r="F604" t="inlineStr">
        <is>
          <t>NORRBOTTENS LÄN</t>
        </is>
      </c>
      <c r="G604" t="inlineStr">
        <is>
          <t>BODEN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706-2022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44566</v>
      </c>
      <c r="E605" s="1" t="n">
        <v>46295</v>
      </c>
      <c r="F605" t="inlineStr">
        <is>
          <t>NORRBOTTENS LÄN</t>
        </is>
      </c>
      <c r="G605" t="inlineStr">
        <is>
          <t>BODEN</t>
        </is>
      </c>
      <c r="I605" t="n">
        <v>12.4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46295</v>
      </c>
      <c r="F606" t="inlineStr">
        <is>
          <t>NORRBOTTENS LÄN</t>
        </is>
      </c>
      <c r="G606" t="inlineStr">
        <is>
          <t>BODEN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46295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46295</v>
      </c>
      <c r="F608" t="inlineStr">
        <is>
          <t>NORRBOTTENS LÄN</t>
        </is>
      </c>
      <c r="G608" t="inlineStr">
        <is>
          <t>BODEN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21784-2026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46150</v>
      </c>
      <c r="E609" s="1" t="n">
        <v>46295</v>
      </c>
      <c r="F609" t="inlineStr">
        <is>
          <t>NORRBOTTENS LÄN</t>
        </is>
      </c>
      <c r="G609" t="inlineStr">
        <is>
          <t>BODEN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46295</v>
      </c>
      <c r="F610" t="inlineStr">
        <is>
          <t>NORRBOTTENS LÄN</t>
        </is>
      </c>
      <c r="G610" t="inlineStr">
        <is>
          <t>BODEN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22259-2026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46295</v>
      </c>
      <c r="F611" t="inlineStr">
        <is>
          <t>NORRBOTTENS LÄN</t>
        </is>
      </c>
      <c r="G611" t="inlineStr">
        <is>
          <t>BODEN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46295</v>
      </c>
      <c r="F612" t="inlineStr">
        <is>
          <t>NORRBOTTENS LÄN</t>
        </is>
      </c>
      <c r="G612" t="inlineStr">
        <is>
          <t>BODEN</t>
        </is>
      </c>
      <c r="I612" t="n">
        <v>11.6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21703-2026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46149</v>
      </c>
      <c r="E613" s="1" t="n">
        <v>46295</v>
      </c>
      <c r="F613" t="inlineStr">
        <is>
          <t>NORRBOTTENS LÄN</t>
        </is>
      </c>
      <c r="G613" t="inlineStr">
        <is>
          <t>BODEN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45478</v>
      </c>
      <c r="E614" s="1" t="n">
        <v>46295</v>
      </c>
      <c r="F614" t="inlineStr">
        <is>
          <t>NORRBOTTENS LÄN</t>
        </is>
      </c>
      <c r="G614" t="inlineStr">
        <is>
          <t>BODEN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22239-2026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46154</v>
      </c>
      <c r="E615" s="1" t="n">
        <v>46295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45411</v>
      </c>
      <c r="E616" s="1" t="n">
        <v>46295</v>
      </c>
      <c r="F616" t="inlineStr">
        <is>
          <t>NORRBOTTENS LÄN</t>
        </is>
      </c>
      <c r="G616" t="inlineStr">
        <is>
          <t>BODEN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2426-2024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45310</v>
      </c>
      <c r="E617" s="1" t="n">
        <v>46295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16699-2024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45408</v>
      </c>
      <c r="E618" s="1" t="n">
        <v>46295</v>
      </c>
      <c r="F618" t="inlineStr">
        <is>
          <t>NORRBOTTENS LÄN</t>
        </is>
      </c>
      <c r="G618" t="inlineStr">
        <is>
          <t>BODEN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45427</v>
      </c>
      <c r="E619" s="1" t="n">
        <v>46295</v>
      </c>
      <c r="F619" t="inlineStr">
        <is>
          <t>NORRBOTTENS LÄN</t>
        </is>
      </c>
      <c r="G619" t="inlineStr">
        <is>
          <t>BODEN</t>
        </is>
      </c>
      <c r="I619" t="n">
        <v>22.1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22373-2026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46154</v>
      </c>
      <c r="E620" s="1" t="n">
        <v>46295</v>
      </c>
      <c r="F620" t="inlineStr">
        <is>
          <t>NORRBOTTENS LÄN</t>
        </is>
      </c>
      <c r="G620" t="inlineStr">
        <is>
          <t>BODEN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45639</v>
      </c>
      <c r="E621" s="1" t="n">
        <v>46295</v>
      </c>
      <c r="F621" t="inlineStr">
        <is>
          <t>NORRBOTTENS LÄN</t>
        </is>
      </c>
      <c r="G621" t="inlineStr">
        <is>
          <t>BODEN</t>
        </is>
      </c>
      <c r="I621" t="n">
        <v>9.5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11092-2022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44628</v>
      </c>
      <c r="E622" s="1" t="n">
        <v>46295</v>
      </c>
      <c r="F622" t="inlineStr">
        <is>
          <t>NORRBOTTENS LÄN</t>
        </is>
      </c>
      <c r="G622" t="inlineStr">
        <is>
          <t>BODEN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45988</v>
      </c>
      <c r="E623" s="1" t="n">
        <v>46295</v>
      </c>
      <c r="F623" t="inlineStr">
        <is>
          <t>NORRBOTTENS LÄN</t>
        </is>
      </c>
      <c r="G623" t="inlineStr">
        <is>
          <t>BODEN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61587-2024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45646</v>
      </c>
      <c r="E624" s="1" t="n">
        <v>46295</v>
      </c>
      <c r="F624" t="inlineStr">
        <is>
          <t>NORRBOTTENS LÄN</t>
        </is>
      </c>
      <c r="G624" t="inlineStr">
        <is>
          <t>BODEN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41957-2024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45561</v>
      </c>
      <c r="E625" s="1" t="n">
        <v>46295</v>
      </c>
      <c r="F625" t="inlineStr">
        <is>
          <t>NORRBOTTENS LÄN</t>
        </is>
      </c>
      <c r="G625" t="inlineStr">
        <is>
          <t>BODEN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32347-2024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45512</v>
      </c>
      <c r="E626" s="1" t="n">
        <v>46295</v>
      </c>
      <c r="F626" t="inlineStr">
        <is>
          <t>NORRBOTTENS LÄN</t>
        </is>
      </c>
      <c r="G626" t="inlineStr">
        <is>
          <t>BODEN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46295</v>
      </c>
      <c r="F627" t="inlineStr">
        <is>
          <t>NORRBOTTENS LÄN</t>
        </is>
      </c>
      <c r="G627" t="inlineStr">
        <is>
          <t>BODEN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21329-2024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45440</v>
      </c>
      <c r="E628" s="1" t="n">
        <v>46295</v>
      </c>
      <c r="F628" t="inlineStr">
        <is>
          <t>NORRBOTTENS LÄN</t>
        </is>
      </c>
      <c r="G628" t="inlineStr">
        <is>
          <t>BODEN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48950-2022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44859</v>
      </c>
      <c r="E629" s="1" t="n">
        <v>46295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46295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4630-2025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45687</v>
      </c>
      <c r="E631" s="1" t="n">
        <v>46295</v>
      </c>
      <c r="F631" t="inlineStr">
        <is>
          <t>NORRBOTTENS LÄN</t>
        </is>
      </c>
      <c r="G631" t="inlineStr">
        <is>
          <t>BODEN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41487-2024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45560</v>
      </c>
      <c r="E632" s="1" t="n">
        <v>46295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45770</v>
      </c>
      <c r="E633" s="1" t="n">
        <v>46295</v>
      </c>
      <c r="F633" t="inlineStr">
        <is>
          <t>NORRBOTTENS LÄN</t>
        </is>
      </c>
      <c r="G633" t="inlineStr">
        <is>
          <t>BODEN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28139-2025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46295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11.3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45875</v>
      </c>
      <c r="E635" s="1" t="n">
        <v>46295</v>
      </c>
      <c r="F635" t="inlineStr">
        <is>
          <t>NORRBOTTENS LÄN</t>
        </is>
      </c>
      <c r="G635" t="inlineStr">
        <is>
          <t>BODEN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15157-2025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45744</v>
      </c>
      <c r="E636" s="1" t="n">
        <v>46295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5129-2025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46295</v>
      </c>
      <c r="F637" t="inlineStr">
        <is>
          <t>NORRBOTTENS LÄN</t>
        </is>
      </c>
      <c r="G637" t="inlineStr">
        <is>
          <t>BODEN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46164</v>
      </c>
      <c r="E638" s="1" t="n">
        <v>46295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23792-2026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46295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23788-2026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46295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46164</v>
      </c>
      <c r="E641" s="1" t="n">
        <v>46295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2547-2025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45674</v>
      </c>
      <c r="E642" s="1" t="n">
        <v>46295</v>
      </c>
      <c r="F642" t="inlineStr">
        <is>
          <t>NORRBOTTENS LÄN</t>
        </is>
      </c>
      <c r="G642" t="inlineStr">
        <is>
          <t>BODEN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31456-2024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45505</v>
      </c>
      <c r="E643" s="1" t="n">
        <v>46295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24234-2026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46295</v>
      </c>
      <c r="F644" t="inlineStr">
        <is>
          <t>NORRBOTTENS LÄN</t>
        </is>
      </c>
      <c r="G644" t="inlineStr">
        <is>
          <t>BODEN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24235-2026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46295</v>
      </c>
      <c r="F645" t="inlineStr">
        <is>
          <t>NORRBOTTENS LÄN</t>
        </is>
      </c>
      <c r="G645" t="inlineStr">
        <is>
          <t>BODEN</t>
        </is>
      </c>
      <c r="I645" t="n">
        <v>5.9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45894</v>
      </c>
      <c r="E646" s="1" t="n">
        <v>46295</v>
      </c>
      <c r="F646" t="inlineStr">
        <is>
          <t>NORRBOTTENS LÄN</t>
        </is>
      </c>
      <c r="G646" t="inlineStr">
        <is>
          <t>BODEN</t>
        </is>
      </c>
      <c r="H646" t="inlineStr">
        <is>
          <t>Övriga statliga verk och myndigheter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46295</v>
      </c>
      <c r="F647" t="inlineStr">
        <is>
          <t>NORRBOTTENS LÄN</t>
        </is>
      </c>
      <c r="G647" t="inlineStr">
        <is>
          <t>BODEN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45460</v>
      </c>
      <c r="E648" s="1" t="n">
        <v>46295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Aktiebolag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46295</v>
      </c>
      <c r="F649" t="inlineStr">
        <is>
          <t>NORRBOTTENS LÄN</t>
        </is>
      </c>
      <c r="G649" t="inlineStr">
        <is>
          <t>BODEN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46295</v>
      </c>
      <c r="F650" t="inlineStr">
        <is>
          <t>NORRBOTTENS LÄN</t>
        </is>
      </c>
      <c r="G650" t="inlineStr">
        <is>
          <t>BODEN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55317-2023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45237</v>
      </c>
      <c r="E651" s="1" t="n">
        <v>46295</v>
      </c>
      <c r="F651" t="inlineStr">
        <is>
          <t>NORRBOTTENS LÄN</t>
        </is>
      </c>
      <c r="G651" t="inlineStr">
        <is>
          <t>BODEN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49162-2023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45210</v>
      </c>
      <c r="E652" s="1" t="n">
        <v>46295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46171</v>
      </c>
      <c r="E653" s="1" t="n">
        <v>46295</v>
      </c>
      <c r="F653" t="inlineStr">
        <is>
          <t>NORRBOTTENS LÄN</t>
        </is>
      </c>
      <c r="G653" t="inlineStr">
        <is>
          <t>BODEN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45194</v>
      </c>
      <c r="E654" s="1" t="n">
        <v>46295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24805-2026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46172</v>
      </c>
      <c r="E655" s="1" t="n">
        <v>46295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38874-2023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45161</v>
      </c>
      <c r="E656" s="1" t="n">
        <v>46295</v>
      </c>
      <c r="F656" t="inlineStr">
        <is>
          <t>NORRBOTTENS LÄN</t>
        </is>
      </c>
      <c r="G656" t="inlineStr">
        <is>
          <t>BODEN</t>
        </is>
      </c>
      <c r="I656" t="n">
        <v>15.5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46174</v>
      </c>
      <c r="E657" s="1" t="n">
        <v>46295</v>
      </c>
      <c r="F657" t="inlineStr">
        <is>
          <t>NORRBOTTENS LÄN</t>
        </is>
      </c>
      <c r="G657" t="inlineStr">
        <is>
          <t>BODEN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32754-2022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44783</v>
      </c>
      <c r="E658" s="1" t="n">
        <v>46295</v>
      </c>
      <c r="F658" t="inlineStr">
        <is>
          <t>NORRBOTTENS LÄN</t>
        </is>
      </c>
      <c r="G658" t="inlineStr">
        <is>
          <t>BODEN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25240-2026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46295</v>
      </c>
      <c r="F659" t="inlineStr">
        <is>
          <t>NORRBOTTENS LÄN</t>
        </is>
      </c>
      <c r="G659" t="inlineStr">
        <is>
          <t>BODEN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47097-2023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46295</v>
      </c>
      <c r="F660" t="inlineStr">
        <is>
          <t>NORRBOTTENS LÄN</t>
        </is>
      </c>
      <c r="G660" t="inlineStr">
        <is>
          <t>BODEN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11865-2025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45728</v>
      </c>
      <c r="E661" s="1" t="n">
        <v>46295</v>
      </c>
      <c r="F661" t="inlineStr">
        <is>
          <t>NORRBOTTENS LÄN</t>
        </is>
      </c>
      <c r="G661" t="inlineStr">
        <is>
          <t>BODEN</t>
        </is>
      </c>
      <c r="H661" t="inlineStr">
        <is>
          <t>Övriga Aktiebolag</t>
        </is>
      </c>
      <c r="I661" t="n">
        <v>10.6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46295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25536-2026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46295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57579-2023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46295</v>
      </c>
      <c r="F664" t="inlineStr">
        <is>
          <t>NORRBOTTENS LÄN</t>
        </is>
      </c>
      <c r="G664" t="inlineStr">
        <is>
          <t>BODEN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18428-2025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45762</v>
      </c>
      <c r="E665" s="1" t="n">
        <v>46295</v>
      </c>
      <c r="F665" t="inlineStr">
        <is>
          <t>NORRBOTTENS LÄN</t>
        </is>
      </c>
      <c r="G665" t="inlineStr">
        <is>
          <t>BODEN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39463-2023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46295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45718</v>
      </c>
      <c r="E667" s="1" t="n">
        <v>46295</v>
      </c>
      <c r="F667" t="inlineStr">
        <is>
          <t>NORRBOTTENS LÄN</t>
        </is>
      </c>
      <c r="G667" t="inlineStr">
        <is>
          <t>BODEN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57968-2023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45247</v>
      </c>
      <c r="E668" s="1" t="n">
        <v>46295</v>
      </c>
      <c r="F668" t="inlineStr">
        <is>
          <t>NORRBOTTENS LÄN</t>
        </is>
      </c>
      <c r="G668" t="inlineStr">
        <is>
          <t>BODEN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8869-2024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46295</v>
      </c>
      <c r="F669" t="inlineStr">
        <is>
          <t>NORRBOTTENS LÄN</t>
        </is>
      </c>
      <c r="G669" t="inlineStr">
        <is>
          <t>BODEN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46295</v>
      </c>
      <c r="F670" t="inlineStr">
        <is>
          <t>NORRBOTTENS LÄN</t>
        </is>
      </c>
      <c r="G670" t="inlineStr">
        <is>
          <t>BODEN</t>
        </is>
      </c>
      <c r="I670" t="n">
        <v>17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25817-2026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46295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59688-2023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45256</v>
      </c>
      <c r="E672" s="1" t="n">
        <v>46295</v>
      </c>
      <c r="F672" t="inlineStr">
        <is>
          <t>NORRBOTTENS LÄN</t>
        </is>
      </c>
      <c r="G672" t="inlineStr">
        <is>
          <t>BODEN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57604-2021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44484</v>
      </c>
      <c r="E673" s="1" t="n">
        <v>46295</v>
      </c>
      <c r="F673" t="inlineStr">
        <is>
          <t>NORRBOTTENS LÄN</t>
        </is>
      </c>
      <c r="G673" t="inlineStr">
        <is>
          <t>BODEN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26122-2026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46181</v>
      </c>
      <c r="E674" s="1" t="n">
        <v>46295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45680</v>
      </c>
      <c r="E675" s="1" t="n">
        <v>46295</v>
      </c>
      <c r="F675" t="inlineStr">
        <is>
          <t>NORRBOTTENS LÄN</t>
        </is>
      </c>
      <c r="G675" t="inlineStr">
        <is>
          <t>BODEN</t>
        </is>
      </c>
      <c r="H675" t="inlineStr">
        <is>
          <t>Naturvårdsverket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59890-2023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45254</v>
      </c>
      <c r="E676" s="1" t="n">
        <v>46295</v>
      </c>
      <c r="F676" t="inlineStr">
        <is>
          <t>NORRBOTTENS LÄN</t>
        </is>
      </c>
      <c r="G676" t="inlineStr">
        <is>
          <t>BODEN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59983-2023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45257</v>
      </c>
      <c r="E677" s="1" t="n">
        <v>46295</v>
      </c>
      <c r="F677" t="inlineStr">
        <is>
          <t>NORRBOTTENS LÄN</t>
        </is>
      </c>
      <c r="G677" t="inlineStr">
        <is>
          <t>BODEN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26375-2026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46295</v>
      </c>
      <c r="F678" t="inlineStr">
        <is>
          <t>NORRBOTTENS LÄN</t>
        </is>
      </c>
      <c r="G678" t="inlineStr">
        <is>
          <t>BODEN</t>
        </is>
      </c>
      <c r="I678" t="n">
        <v>18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24498-2026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46170</v>
      </c>
      <c r="E679" s="1" t="n">
        <v>46295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46295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46295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13556-2022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44648</v>
      </c>
      <c r="E682" s="1" t="n">
        <v>46295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61488-2023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45264</v>
      </c>
      <c r="E683" s="1" t="n">
        <v>46295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46295</v>
      </c>
      <c r="F684" t="inlineStr">
        <is>
          <t>NORRBOTTENS LÄN</t>
        </is>
      </c>
      <c r="G684" t="inlineStr">
        <is>
          <t>BODEN</t>
        </is>
      </c>
      <c r="I684" t="n">
        <v>7.7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46295</v>
      </c>
      <c r="F685" t="inlineStr">
        <is>
          <t>NORRBOTTENS LÄN</t>
        </is>
      </c>
      <c r="G685" t="inlineStr">
        <is>
          <t>BODEN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26776-2026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46295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  <c r="Z686">
        <f>HYPERLINK("https://klasma.github.io/Logging_2582/knärot/A 26776-2026 karta knärot.png", "A 26776-2026")</f>
        <v/>
      </c>
      <c r="AA686">
        <f>HYPERLINK("https://klasma.github.io/Logging_2582/klagomål/A 26776-2026 FSC-klagomål.docx", "A 26776-2026")</f>
        <v/>
      </c>
      <c r="AB686">
        <f>HYPERLINK("https://klasma.github.io/Logging_2582/klagomålsmail/A 26776-2026 FSC-klagomål mail.docx", "A 26776-2026")</f>
        <v/>
      </c>
      <c r="AC686">
        <f>HYPERLINK("https://klasma.github.io/Logging_2582/tillsyn/A 26776-2026 tillsynsbegäran.docx", "A 26776-2026")</f>
        <v/>
      </c>
      <c r="AD686">
        <f>HYPERLINK("https://klasma.github.io/Logging_2582/tillsynsmail/A 26776-2026 tillsynsbegäran mail.docx", "A 26776-2026")</f>
        <v/>
      </c>
    </row>
    <row r="687" ht="15" customHeight="1">
      <c r="A687" t="inlineStr">
        <is>
          <t>A 26714-2026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46295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46295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42.2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8873-2024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46295</v>
      </c>
      <c r="F689" t="inlineStr">
        <is>
          <t>NORRBOTTENS LÄN</t>
        </is>
      </c>
      <c r="G689" t="inlineStr">
        <is>
          <t>BODEN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54935-2021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44474</v>
      </c>
      <c r="E690" s="1" t="n">
        <v>46295</v>
      </c>
      <c r="F690" t="inlineStr">
        <is>
          <t>NORRBOTTENS LÄN</t>
        </is>
      </c>
      <c r="G690" t="inlineStr">
        <is>
          <t>BODEN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45694</v>
      </c>
      <c r="E691" s="1" t="n">
        <v>46295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61241-2023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46295</v>
      </c>
      <c r="F692" t="inlineStr">
        <is>
          <t>NORRBOTTENS LÄN</t>
        </is>
      </c>
      <c r="G692" t="inlineStr">
        <is>
          <t>BODEN</t>
        </is>
      </c>
      <c r="I692" t="n">
        <v>33.9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46295</v>
      </c>
      <c r="F693" t="inlineStr">
        <is>
          <t>NORRBOTTENS LÄN</t>
        </is>
      </c>
      <c r="G693" t="inlineStr">
        <is>
          <t>BODEN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27749-2026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46191</v>
      </c>
      <c r="E694" s="1" t="n">
        <v>46295</v>
      </c>
      <c r="F694" t="inlineStr">
        <is>
          <t>NORRBOTTENS LÄN</t>
        </is>
      </c>
      <c r="G694" t="inlineStr">
        <is>
          <t>BODEN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44573</v>
      </c>
      <c r="E695" s="1" t="n">
        <v>46295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statliga verk och myndigheter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7442-2024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45345</v>
      </c>
      <c r="E696" s="1" t="n">
        <v>46295</v>
      </c>
      <c r="F696" t="inlineStr">
        <is>
          <t>NORRBOTTENS LÄN</t>
        </is>
      </c>
      <c r="G696" t="inlineStr">
        <is>
          <t>BODEN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29377-2024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45483</v>
      </c>
      <c r="E697" s="1" t="n">
        <v>46295</v>
      </c>
      <c r="F697" t="inlineStr">
        <is>
          <t>NORRBOTTENS LÄN</t>
        </is>
      </c>
      <c r="G697" t="inlineStr">
        <is>
          <t>BODEN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64975-2023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45285</v>
      </c>
      <c r="E698" s="1" t="n">
        <v>46295</v>
      </c>
      <c r="F698" t="inlineStr">
        <is>
          <t>NORRBOTTENS LÄN</t>
        </is>
      </c>
      <c r="G698" t="inlineStr">
        <is>
          <t>BODEN</t>
        </is>
      </c>
      <c r="I698" t="n">
        <v>9.4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28566-2026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46197</v>
      </c>
      <c r="E699" s="1" t="n">
        <v>46295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28512-2026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46197</v>
      </c>
      <c r="E700" s="1" t="n">
        <v>46295</v>
      </c>
      <c r="F700" t="inlineStr">
        <is>
          <t>NORRBOTTENS LÄN</t>
        </is>
      </c>
      <c r="G700" t="inlineStr">
        <is>
          <t>BODEN</t>
        </is>
      </c>
      <c r="I700" t="n">
        <v>10.8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35115-2024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45529</v>
      </c>
      <c r="E701" s="1" t="n">
        <v>46295</v>
      </c>
      <c r="F701" t="inlineStr">
        <is>
          <t>NORRBOTTENS LÄN</t>
        </is>
      </c>
      <c r="G701" t="inlineStr">
        <is>
          <t>BODEN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28509-2026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46197</v>
      </c>
      <c r="E702" s="1" t="n">
        <v>46295</v>
      </c>
      <c r="F702" t="inlineStr">
        <is>
          <t>NORRBOTTENS LÄN</t>
        </is>
      </c>
      <c r="G702" t="inlineStr">
        <is>
          <t>BODEN</t>
        </is>
      </c>
      <c r="I702" t="n">
        <v>8.9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25627-2022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44732</v>
      </c>
      <c r="E703" s="1" t="n">
        <v>46295</v>
      </c>
      <c r="F703" t="inlineStr">
        <is>
          <t>NORRBOTTENS LÄN</t>
        </is>
      </c>
      <c r="G703" t="inlineStr">
        <is>
          <t>BODEN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46295</v>
      </c>
      <c r="F704" t="inlineStr">
        <is>
          <t>NORRBOTTENS LÄN</t>
        </is>
      </c>
      <c r="G704" t="inlineStr">
        <is>
          <t>BODEN</t>
        </is>
      </c>
      <c r="I704" t="n">
        <v>14.5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45323</v>
      </c>
      <c r="E705" s="1" t="n">
        <v>46295</v>
      </c>
      <c r="F705" t="inlineStr">
        <is>
          <t>NORRBOTTENS LÄN</t>
        </is>
      </c>
      <c r="G705" t="inlineStr">
        <is>
          <t>BODEN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28241-2026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46295</v>
      </c>
      <c r="F706" t="inlineStr">
        <is>
          <t>NORRBOTTENS LÄN</t>
        </is>
      </c>
      <c r="G706" t="inlineStr">
        <is>
          <t>BODEN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46295</v>
      </c>
      <c r="F707" t="inlineStr">
        <is>
          <t>NORRBOTTENS LÄN</t>
        </is>
      </c>
      <c r="G707" t="inlineStr">
        <is>
          <t>BODEN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45643</v>
      </c>
      <c r="E708" s="1" t="n">
        <v>46295</v>
      </c>
      <c r="F708" t="inlineStr">
        <is>
          <t>NORRBOTTENS LÄN</t>
        </is>
      </c>
      <c r="G708" t="inlineStr">
        <is>
          <t>BODEN</t>
        </is>
      </c>
      <c r="I708" t="n">
        <v>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7159-2023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44970</v>
      </c>
      <c r="E709" s="1" t="n">
        <v>46295</v>
      </c>
      <c r="F709" t="inlineStr">
        <is>
          <t>NORRBOTTENS LÄN</t>
        </is>
      </c>
      <c r="G709" t="inlineStr">
        <is>
          <t>BODEN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49124-2023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45210</v>
      </c>
      <c r="E710" s="1" t="n">
        <v>46295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5452-2025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45692</v>
      </c>
      <c r="E711" s="1" t="n">
        <v>46295</v>
      </c>
      <c r="F711" t="inlineStr">
        <is>
          <t>NORRBOTTENS LÄN</t>
        </is>
      </c>
      <c r="G711" t="inlineStr">
        <is>
          <t>BODEN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31754-2024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46295</v>
      </c>
      <c r="F712" t="inlineStr">
        <is>
          <t>NORRBOTTENS LÄN</t>
        </is>
      </c>
      <c r="G712" t="inlineStr">
        <is>
          <t>BODEN</t>
        </is>
      </c>
      <c r="I712" t="n">
        <v>11.1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29393-2026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46203</v>
      </c>
      <c r="E713" s="1" t="n">
        <v>46295</v>
      </c>
      <c r="F713" t="inlineStr">
        <is>
          <t>NORRBOTTENS LÄN</t>
        </is>
      </c>
      <c r="G713" t="inlineStr">
        <is>
          <t>BODEN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36438-2024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45537</v>
      </c>
      <c r="E714" s="1" t="n">
        <v>46295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6242-2023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46295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29555-2026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46295</v>
      </c>
      <c r="F716" t="inlineStr">
        <is>
          <t>NORRBOTTENS LÄN</t>
        </is>
      </c>
      <c r="G716" t="inlineStr">
        <is>
          <t>BODEN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46295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29147-2026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46295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46295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45539</v>
      </c>
      <c r="E720" s="1" t="n">
        <v>46295</v>
      </c>
      <c r="F720" t="inlineStr">
        <is>
          <t>NORRBOTTENS LÄN</t>
        </is>
      </c>
      <c r="G720" t="inlineStr">
        <is>
          <t>BODEN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29568-2026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46295</v>
      </c>
      <c r="F721" t="inlineStr">
        <is>
          <t>NORRBOTTENS LÄN</t>
        </is>
      </c>
      <c r="G721" t="inlineStr">
        <is>
          <t>BODEN</t>
        </is>
      </c>
      <c r="I721" t="n">
        <v>12.2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45429</v>
      </c>
      <c r="E722" s="1" t="n">
        <v>46295</v>
      </c>
      <c r="F722" t="inlineStr">
        <is>
          <t>NORRBOTTENS LÄN</t>
        </is>
      </c>
      <c r="G722" t="inlineStr">
        <is>
          <t>BODEN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29759-2026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46295</v>
      </c>
      <c r="F723" t="inlineStr">
        <is>
          <t>NORRBOTTENS LÄN</t>
        </is>
      </c>
      <c r="G723" t="inlineStr">
        <is>
          <t>BODEN</t>
        </is>
      </c>
      <c r="I723" t="n">
        <v>38.7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28432-2022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44747</v>
      </c>
      <c r="E724" s="1" t="n">
        <v>46295</v>
      </c>
      <c r="F724" t="inlineStr">
        <is>
          <t>NORRBOTTENS LÄN</t>
        </is>
      </c>
      <c r="G724" t="inlineStr">
        <is>
          <t>BODEN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21421-2022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44706</v>
      </c>
      <c r="E725" s="1" t="n">
        <v>46295</v>
      </c>
      <c r="F725" t="inlineStr">
        <is>
          <t>NORRBOTTENS LÄN</t>
        </is>
      </c>
      <c r="G725" t="inlineStr">
        <is>
          <t>BODEN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30432-2026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46209</v>
      </c>
      <c r="E726" s="1" t="n">
        <v>46295</v>
      </c>
      <c r="F726" t="inlineStr">
        <is>
          <t>NORRBOTTENS LÄN</t>
        </is>
      </c>
      <c r="G726" t="inlineStr">
        <is>
          <t>BODEN</t>
        </is>
      </c>
      <c r="H726" t="inlineStr">
        <is>
          <t>Kommuner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34022-2026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46252</v>
      </c>
      <c r="E727" s="1" t="n">
        <v>46295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19.5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30023-2026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46295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15.2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53840-2022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44880</v>
      </c>
      <c r="E729" s="1" t="n">
        <v>46295</v>
      </c>
      <c r="F729" t="inlineStr">
        <is>
          <t>NORRBOTTENS LÄN</t>
        </is>
      </c>
      <c r="G729" t="inlineStr">
        <is>
          <t>BODEN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9969-2023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44979</v>
      </c>
      <c r="E730" s="1" t="n">
        <v>46295</v>
      </c>
      <c r="F730" t="inlineStr">
        <is>
          <t>NORRBOTTENS LÄN</t>
        </is>
      </c>
      <c r="G730" t="inlineStr">
        <is>
          <t>BODEN</t>
        </is>
      </c>
      <c r="H730" t="inlineStr">
        <is>
          <t>Övriga statliga verk och myndigheter</t>
        </is>
      </c>
      <c r="I730" t="n">
        <v>18.8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877-2023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44931</v>
      </c>
      <c r="E731" s="1" t="n">
        <v>46295</v>
      </c>
      <c r="F731" t="inlineStr">
        <is>
          <t>NORRBOTTENS LÄN</t>
        </is>
      </c>
      <c r="G731" t="inlineStr">
        <is>
          <t>BODEN</t>
        </is>
      </c>
      <c r="I731" t="n">
        <v>8.699999999999999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30025-2026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46295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30077-2026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46206</v>
      </c>
      <c r="E733" s="1" t="n">
        <v>46295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46208</v>
      </c>
      <c r="E734" s="1" t="n">
        <v>46295</v>
      </c>
      <c r="F734" t="inlineStr">
        <is>
          <t>NORRBOTTENS LÄN</t>
        </is>
      </c>
      <c r="G734" t="inlineStr">
        <is>
          <t>BODEN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46209</v>
      </c>
      <c r="E735" s="1" t="n">
        <v>46295</v>
      </c>
      <c r="F735" t="inlineStr">
        <is>
          <t>NORRBOTTENS LÄN</t>
        </is>
      </c>
      <c r="G735" t="inlineStr">
        <is>
          <t>BODEN</t>
        </is>
      </c>
      <c r="H735" t="inlineStr">
        <is>
          <t>Kommuner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46295</v>
      </c>
      <c r="F736" t="inlineStr">
        <is>
          <t>NORRBOTTENS LÄN</t>
        </is>
      </c>
      <c r="G736" t="inlineStr">
        <is>
          <t>BODEN</t>
        </is>
      </c>
      <c r="H736" t="inlineStr">
        <is>
          <t>Kommuner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43648-2023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45187</v>
      </c>
      <c r="E737" s="1" t="n">
        <v>46295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30745-2026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46211</v>
      </c>
      <c r="E738" s="1" t="n">
        <v>46295</v>
      </c>
      <c r="F738" t="inlineStr">
        <is>
          <t>NORRBOTTENS LÄN</t>
        </is>
      </c>
      <c r="G738" t="inlineStr">
        <is>
          <t>BODEN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48471-2024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45591</v>
      </c>
      <c r="E739" s="1" t="n">
        <v>46295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34158-2026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46253</v>
      </c>
      <c r="E740" s="1" t="n">
        <v>46295</v>
      </c>
      <c r="F740" t="inlineStr">
        <is>
          <t>NORRBOTTENS LÄN</t>
        </is>
      </c>
      <c r="G740" t="inlineStr">
        <is>
          <t>BODEN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46295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18.5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14757-2023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45014</v>
      </c>
      <c r="E742" s="1" t="n">
        <v>46295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45544</v>
      </c>
      <c r="E743" s="1" t="n">
        <v>46295</v>
      </c>
      <c r="F743" t="inlineStr">
        <is>
          <t>NORRBOTTENS LÄN</t>
        </is>
      </c>
      <c r="G743" t="inlineStr">
        <is>
          <t>BODEN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46295</v>
      </c>
      <c r="F744" t="inlineStr">
        <is>
          <t>NORRBOTTENS LÄN</t>
        </is>
      </c>
      <c r="G744" t="inlineStr">
        <is>
          <t>BODEN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6244-2023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44964</v>
      </c>
      <c r="E745" s="1" t="n">
        <v>46295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34517-2026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46295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29309-2023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45105</v>
      </c>
      <c r="E747" s="1" t="n">
        <v>46295</v>
      </c>
      <c r="F747" t="inlineStr">
        <is>
          <t>NORRBOTTENS LÄN</t>
        </is>
      </c>
      <c r="G747" t="inlineStr">
        <is>
          <t>BODEN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3462-2022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44585</v>
      </c>
      <c r="E748" s="1" t="n">
        <v>46295</v>
      </c>
      <c r="F748" t="inlineStr">
        <is>
          <t>NORRBOTTENS LÄN</t>
        </is>
      </c>
      <c r="G748" t="inlineStr">
        <is>
          <t>BODEN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46564-2022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44847</v>
      </c>
      <c r="E749" s="1" t="n">
        <v>46295</v>
      </c>
      <c r="F749" t="inlineStr">
        <is>
          <t>NORRBOTTENS LÄN</t>
        </is>
      </c>
      <c r="G749" t="inlineStr">
        <is>
          <t>BODEN</t>
        </is>
      </c>
      <c r="I749" t="n">
        <v>28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46295</v>
      </c>
      <c r="F750" t="inlineStr">
        <is>
          <t>NORRBOTTENS LÄN</t>
        </is>
      </c>
      <c r="G750" t="inlineStr">
        <is>
          <t>BODEN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34462-2026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46295</v>
      </c>
      <c r="F751" t="inlineStr">
        <is>
          <t>NORRBOTTENS LÄN</t>
        </is>
      </c>
      <c r="G751" t="inlineStr">
        <is>
          <t>BODEN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34897-2026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46259</v>
      </c>
      <c r="E752" s="1" t="n">
        <v>46295</v>
      </c>
      <c r="F752" t="inlineStr">
        <is>
          <t>NORRBOTTENS LÄN</t>
        </is>
      </c>
      <c r="G752" t="inlineStr">
        <is>
          <t>BODEN</t>
        </is>
      </c>
      <c r="H752" t="inlineStr">
        <is>
          <t>Naturvårdsverket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3146-2024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45316</v>
      </c>
      <c r="E753" s="1" t="n">
        <v>46295</v>
      </c>
      <c r="F753" t="inlineStr">
        <is>
          <t>NORRBOTTENS LÄN</t>
        </is>
      </c>
      <c r="G753" t="inlineStr">
        <is>
          <t>BODEN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73910-2021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44552</v>
      </c>
      <c r="E754" s="1" t="n">
        <v>46295</v>
      </c>
      <c r="F754" t="inlineStr">
        <is>
          <t>NORRBOTTENS LÄN</t>
        </is>
      </c>
      <c r="G754" t="inlineStr">
        <is>
          <t>BODEN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34898-2026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46259</v>
      </c>
      <c r="E755" s="1" t="n">
        <v>46295</v>
      </c>
      <c r="F755" t="inlineStr">
        <is>
          <t>NORRBOTTENS LÄN</t>
        </is>
      </c>
      <c r="G755" t="inlineStr">
        <is>
          <t>BODEN</t>
        </is>
      </c>
      <c r="H755" t="inlineStr">
        <is>
          <t>Naturvårdsverket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35060-2026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46259</v>
      </c>
      <c r="E756" s="1" t="n">
        <v>46295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44.8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8776-2022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44614</v>
      </c>
      <c r="E757" s="1" t="n">
        <v>46295</v>
      </c>
      <c r="F757" t="inlineStr">
        <is>
          <t>NORRBOTTENS LÄN</t>
        </is>
      </c>
      <c r="G757" t="inlineStr">
        <is>
          <t>BODEN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45470</v>
      </c>
      <c r="E758" s="1" t="n">
        <v>46295</v>
      </c>
      <c r="F758" t="inlineStr">
        <is>
          <t>NORRBOTTENS LÄN</t>
        </is>
      </c>
      <c r="G758" t="inlineStr">
        <is>
          <t>BODEN</t>
        </is>
      </c>
      <c r="H758" t="inlineStr">
        <is>
          <t>Övriga Aktiebolag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47423-2024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45587</v>
      </c>
      <c r="E759" s="1" t="n">
        <v>46295</v>
      </c>
      <c r="F759" t="inlineStr">
        <is>
          <t>NORRBOTTENS LÄN</t>
        </is>
      </c>
      <c r="G759" t="inlineStr">
        <is>
          <t>BODEN</t>
        </is>
      </c>
      <c r="I759" t="n">
        <v>17.2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46295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31209-2026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46217</v>
      </c>
      <c r="E761" s="1" t="n">
        <v>46295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8.800000000000001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31211-2026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46217</v>
      </c>
      <c r="E762" s="1" t="n">
        <v>46295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31226-2026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46217</v>
      </c>
      <c r="E763" s="1" t="n">
        <v>46295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708-2022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44566</v>
      </c>
      <c r="E764" s="1" t="n">
        <v>46295</v>
      </c>
      <c r="F764" t="inlineStr">
        <is>
          <t>NORRBOTTENS LÄN</t>
        </is>
      </c>
      <c r="G764" t="inlineStr">
        <is>
          <t>BODEN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45685</v>
      </c>
      <c r="E765" s="1" t="n">
        <v>46295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37791-2024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45543</v>
      </c>
      <c r="E766" s="1" t="n">
        <v>46295</v>
      </c>
      <c r="F766" t="inlineStr">
        <is>
          <t>NORRBOTTENS LÄN</t>
        </is>
      </c>
      <c r="G766" t="inlineStr">
        <is>
          <t>BODEN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45924</v>
      </c>
      <c r="E767" s="1" t="n">
        <v>46295</v>
      </c>
      <c r="F767" t="inlineStr">
        <is>
          <t>NORRBOTTENS LÄN</t>
        </is>
      </c>
      <c r="G767" t="inlineStr">
        <is>
          <t>BODEN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40117-2025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45894</v>
      </c>
      <c r="E768" s="1" t="n">
        <v>46295</v>
      </c>
      <c r="F768" t="inlineStr">
        <is>
          <t>NORRBOTTENS LÄN</t>
        </is>
      </c>
      <c r="G768" t="inlineStr">
        <is>
          <t>BODEN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35372-2026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46261</v>
      </c>
      <c r="E769" s="1" t="n">
        <v>46295</v>
      </c>
      <c r="F769" t="inlineStr">
        <is>
          <t>NORRBOTTENS LÄN</t>
        </is>
      </c>
      <c r="G769" t="inlineStr">
        <is>
          <t>BODEN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46295</v>
      </c>
      <c r="F770" t="inlineStr">
        <is>
          <t>NORRBOTTENS LÄN</t>
        </is>
      </c>
      <c r="G770" t="inlineStr">
        <is>
          <t>BODEN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35381-2026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46295</v>
      </c>
      <c r="F771" t="inlineStr">
        <is>
          <t>NORRBOTTENS LÄN</t>
        </is>
      </c>
      <c r="G771" t="inlineStr">
        <is>
          <t>BODEN</t>
        </is>
      </c>
      <c r="I771" t="n">
        <v>10.9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46295</v>
      </c>
      <c r="F772" t="inlineStr">
        <is>
          <t>NORRBOTTENS LÄN</t>
        </is>
      </c>
      <c r="G772" t="inlineStr">
        <is>
          <t>BODEN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  <c r="Z772">
        <f>HYPERLINK("https://klasma.github.io/Logging_2582/knärot/A 35295-2026 karta knärot.png", "A 35295-2026")</f>
        <v/>
      </c>
      <c r="AA772">
        <f>HYPERLINK("https://klasma.github.io/Logging_2582/klagomål/A 35295-2026 FSC-klagomål.docx", "A 35295-2026")</f>
        <v/>
      </c>
      <c r="AB772">
        <f>HYPERLINK("https://klasma.github.io/Logging_2582/klagomålsmail/A 35295-2026 FSC-klagomål mail.docx", "A 35295-2026")</f>
        <v/>
      </c>
      <c r="AC772">
        <f>HYPERLINK("https://klasma.github.io/Logging_2582/tillsyn/A 35295-2026 tillsynsbegäran.docx", "A 35295-2026")</f>
        <v/>
      </c>
      <c r="AD772">
        <f>HYPERLINK("https://klasma.github.io/Logging_2582/tillsynsmail/A 35295-2026 tillsynsbegäran mail.docx", "A 35295-2026")</f>
        <v/>
      </c>
    </row>
    <row r="773" ht="15" customHeight="1">
      <c r="A773" t="inlineStr">
        <is>
          <t>A 35407-2026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46261</v>
      </c>
      <c r="E773" s="1" t="n">
        <v>46295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57563-2023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45246</v>
      </c>
      <c r="E774" s="1" t="n">
        <v>46295</v>
      </c>
      <c r="F774" t="inlineStr">
        <is>
          <t>NORRBOTTENS LÄN</t>
        </is>
      </c>
      <c r="G774" t="inlineStr">
        <is>
          <t>BODEN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45035-2022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44841</v>
      </c>
      <c r="E775" s="1" t="n">
        <v>46295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45762</v>
      </c>
      <c r="E776" s="1" t="n">
        <v>46295</v>
      </c>
      <c r="F776" t="inlineStr">
        <is>
          <t>NORRBOTTENS LÄN</t>
        </is>
      </c>
      <c r="G776" t="inlineStr">
        <is>
          <t>BODEN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46295</v>
      </c>
      <c r="F777" t="inlineStr">
        <is>
          <t>NORRBOTTENS LÄN</t>
        </is>
      </c>
      <c r="G777" t="inlineStr">
        <is>
          <t>BODEN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35902-2026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46295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12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24225-2026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46295</v>
      </c>
      <c r="F779" t="inlineStr">
        <is>
          <t>NORRBOTTENS LÄN</t>
        </is>
      </c>
      <c r="G779" t="inlineStr">
        <is>
          <t>BODEN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23232-2024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45453</v>
      </c>
      <c r="E780" s="1" t="n">
        <v>46295</v>
      </c>
      <c r="F780" t="inlineStr">
        <is>
          <t>NORRBOTTENS LÄN</t>
        </is>
      </c>
      <c r="G780" t="inlineStr">
        <is>
          <t>BODEN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36406-2026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46268</v>
      </c>
      <c r="E781" s="1" t="n">
        <v>46295</v>
      </c>
      <c r="F781" t="inlineStr">
        <is>
          <t>NORRBOTTENS LÄN</t>
        </is>
      </c>
      <c r="G781" t="inlineStr">
        <is>
          <t>BODEN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31652-2026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46225</v>
      </c>
      <c r="E782" s="1" t="n">
        <v>46295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30105-2023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45099</v>
      </c>
      <c r="E783" s="1" t="n">
        <v>46295</v>
      </c>
      <c r="F783" t="inlineStr">
        <is>
          <t>NORRBOTTENS LÄN</t>
        </is>
      </c>
      <c r="G783" t="inlineStr">
        <is>
          <t>BODEN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61588-2024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45646</v>
      </c>
      <c r="E784" s="1" t="n">
        <v>46295</v>
      </c>
      <c r="F784" t="inlineStr">
        <is>
          <t>NORRBOTTENS LÄN</t>
        </is>
      </c>
      <c r="G784" t="inlineStr">
        <is>
          <t>BODEN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36398-2026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46268</v>
      </c>
      <c r="E785" s="1" t="n">
        <v>46295</v>
      </c>
      <c r="F785" t="inlineStr">
        <is>
          <t>NORRBOTTENS LÄN</t>
        </is>
      </c>
      <c r="G785" t="inlineStr">
        <is>
          <t>BODEN</t>
        </is>
      </c>
      <c r="H785" t="inlineStr">
        <is>
          <t>Kommuner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36187-2026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46295</v>
      </c>
      <c r="F786" t="inlineStr">
        <is>
          <t>NORRBOTTENS LÄN</t>
        </is>
      </c>
      <c r="G786" t="inlineStr">
        <is>
          <t>BODEN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46295</v>
      </c>
      <c r="F787" t="inlineStr">
        <is>
          <t>NORRBOTTENS LÄN</t>
        </is>
      </c>
      <c r="G787" t="inlineStr">
        <is>
          <t>BODEN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36792-2026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46272</v>
      </c>
      <c r="E788" s="1" t="n">
        <v>46295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36430-2026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46295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46270</v>
      </c>
      <c r="E790" s="1" t="n">
        <v>46295</v>
      </c>
      <c r="F790" t="inlineStr">
        <is>
          <t>NORRBOTTENS LÄN</t>
        </is>
      </c>
      <c r="G790" t="inlineStr">
        <is>
          <t>BODEN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19757-2025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46295</v>
      </c>
      <c r="F791" t="inlineStr">
        <is>
          <t>NORRBOTTENS LÄN</t>
        </is>
      </c>
      <c r="G791" t="inlineStr">
        <is>
          <t>BODEN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36241-2026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46268</v>
      </c>
      <c r="E792" s="1" t="n">
        <v>46295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23706-2024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45454</v>
      </c>
      <c r="E793" s="1" t="n">
        <v>46295</v>
      </c>
      <c r="F793" t="inlineStr">
        <is>
          <t>NORRBOTTENS LÄN</t>
        </is>
      </c>
      <c r="G793" t="inlineStr">
        <is>
          <t>BODEN</t>
        </is>
      </c>
      <c r="I793" t="n">
        <v>10.9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37101-2026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46274</v>
      </c>
      <c r="E794" s="1" t="n">
        <v>46295</v>
      </c>
      <c r="F794" t="inlineStr">
        <is>
          <t>NORRBOTTENS LÄN</t>
        </is>
      </c>
      <c r="G794" t="inlineStr">
        <is>
          <t>BODEN</t>
        </is>
      </c>
      <c r="I794" t="n">
        <v>9.800000000000001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19582-2025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45770</v>
      </c>
      <c r="E795" s="1" t="n">
        <v>46295</v>
      </c>
      <c r="F795" t="inlineStr">
        <is>
          <t>NORRBOTTENS LÄN</t>
        </is>
      </c>
      <c r="G795" t="inlineStr">
        <is>
          <t>BODEN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37029-2026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46295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46295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45677</v>
      </c>
      <c r="E798" s="1" t="n">
        <v>46295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18569-2024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45425</v>
      </c>
      <c r="E799" s="1" t="n">
        <v>46295</v>
      </c>
      <c r="F799" t="inlineStr">
        <is>
          <t>NORRBOTTENS LÄN</t>
        </is>
      </c>
      <c r="G799" t="inlineStr">
        <is>
          <t>BODEN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46295</v>
      </c>
      <c r="F800" t="inlineStr">
        <is>
          <t>NORRBOTTENS LÄN</t>
        </is>
      </c>
      <c r="G800" t="inlineStr">
        <is>
          <t>BODEN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19968-2025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46295</v>
      </c>
      <c r="F801" t="inlineStr">
        <is>
          <t>NORRBOTTENS LÄN</t>
        </is>
      </c>
      <c r="G801" t="inlineStr">
        <is>
          <t>BODEN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33034-2023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45125</v>
      </c>
      <c r="E802" s="1" t="n">
        <v>46295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37103-2026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46274</v>
      </c>
      <c r="E803" s="1" t="n">
        <v>46295</v>
      </c>
      <c r="F803" t="inlineStr">
        <is>
          <t>NORRBOTTENS LÄN</t>
        </is>
      </c>
      <c r="G803" t="inlineStr">
        <is>
          <t>BODEN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62140-2024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46295</v>
      </c>
      <c r="F804" t="inlineStr">
        <is>
          <t>NORRBOTTENS LÄN</t>
        </is>
      </c>
      <c r="G804" t="inlineStr">
        <is>
          <t>BODEN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37589-2026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46276</v>
      </c>
      <c r="E805" s="1" t="n">
        <v>46295</v>
      </c>
      <c r="F805" t="inlineStr">
        <is>
          <t>NORRBOTTENS LÄN</t>
        </is>
      </c>
      <c r="G805" t="inlineStr">
        <is>
          <t>BODEN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19082-2025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45766</v>
      </c>
      <c r="E806" s="1" t="n">
        <v>46295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46275</v>
      </c>
      <c r="E807" s="1" t="n">
        <v>46295</v>
      </c>
      <c r="F807" t="inlineStr">
        <is>
          <t>NORRBOTTENS LÄN</t>
        </is>
      </c>
      <c r="G807" t="inlineStr">
        <is>
          <t>BODEN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37478-2026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46275</v>
      </c>
      <c r="E808" s="1" t="n">
        <v>46295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46295</v>
      </c>
      <c r="F809" t="inlineStr">
        <is>
          <t>NORRBOTTENS LÄN</t>
        </is>
      </c>
      <c r="G809" t="inlineStr">
        <is>
          <t>BODEN</t>
        </is>
      </c>
      <c r="I809" t="n">
        <v>8.300000000000001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37459-2026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46275</v>
      </c>
      <c r="E810" s="1" t="n">
        <v>46295</v>
      </c>
      <c r="F810" t="inlineStr">
        <is>
          <t>NORRBOTTENS LÄN</t>
        </is>
      </c>
      <c r="G810" t="inlineStr">
        <is>
          <t>BODEN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46275</v>
      </c>
      <c r="E811" s="1" t="n">
        <v>46295</v>
      </c>
      <c r="F811" t="inlineStr">
        <is>
          <t>NORRBOTTENS LÄN</t>
        </is>
      </c>
      <c r="G811" t="inlineStr">
        <is>
          <t>BODEN</t>
        </is>
      </c>
      <c r="I811" t="n">
        <v>23.1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58504-2024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45635</v>
      </c>
      <c r="E812" s="1" t="n">
        <v>46295</v>
      </c>
      <c r="F812" t="inlineStr">
        <is>
          <t>NORRBOTTENS LÄN</t>
        </is>
      </c>
      <c r="G812" t="inlineStr">
        <is>
          <t>BODEN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46275</v>
      </c>
      <c r="E813" s="1" t="n">
        <v>46295</v>
      </c>
      <c r="F813" t="inlineStr">
        <is>
          <t>NORRBOTTENS LÄN</t>
        </is>
      </c>
      <c r="G813" t="inlineStr">
        <is>
          <t>BODEN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28357-2023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45099</v>
      </c>
      <c r="E814" s="1" t="n">
        <v>46295</v>
      </c>
      <c r="F814" t="inlineStr">
        <is>
          <t>NORRBOTTENS LÄN</t>
        </is>
      </c>
      <c r="G814" t="inlineStr">
        <is>
          <t>BODEN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32087-2026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46234</v>
      </c>
      <c r="E815" s="1" t="n">
        <v>46295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15017-2022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44657</v>
      </c>
      <c r="E816" s="1" t="n">
        <v>46295</v>
      </c>
      <c r="F816" t="inlineStr">
        <is>
          <t>NORRBOTTENS LÄN</t>
        </is>
      </c>
      <c r="G816" t="inlineStr">
        <is>
          <t>BODEN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61487-2023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45264</v>
      </c>
      <c r="E817" s="1" t="n">
        <v>46295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8028-2024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45350</v>
      </c>
      <c r="E818" s="1" t="n">
        <v>46295</v>
      </c>
      <c r="F818" t="inlineStr">
        <is>
          <t>NORRBOTTENS LÄN</t>
        </is>
      </c>
      <c r="G818" t="inlineStr">
        <is>
          <t>BODEN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12562-2024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45379</v>
      </c>
      <c r="E819" s="1" t="n">
        <v>46295</v>
      </c>
      <c r="F819" t="inlineStr">
        <is>
          <t>NORRBOTTENS LÄN</t>
        </is>
      </c>
      <c r="G819" t="inlineStr">
        <is>
          <t>BODEN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32086-2026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46295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57873-2021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44484</v>
      </c>
      <c r="E821" s="1" t="n">
        <v>46295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57895-2021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44486</v>
      </c>
      <c r="E822" s="1" t="n">
        <v>46295</v>
      </c>
      <c r="F822" t="inlineStr">
        <is>
          <t>NORRBOTTENS LÄN</t>
        </is>
      </c>
      <c r="G822" t="inlineStr">
        <is>
          <t>BODEN</t>
        </is>
      </c>
      <c r="I822" t="n">
        <v>9.199999999999999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48129-2023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45205</v>
      </c>
      <c r="E823" s="1" t="n">
        <v>46295</v>
      </c>
      <c r="F823" t="inlineStr">
        <is>
          <t>NORRBOTTENS LÄN</t>
        </is>
      </c>
      <c r="G823" t="inlineStr">
        <is>
          <t>BODEN</t>
        </is>
      </c>
      <c r="I823" t="n">
        <v>7.1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32088-2026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46234</v>
      </c>
      <c r="E824" s="1" t="n">
        <v>46295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46281</v>
      </c>
      <c r="E825" s="1" t="n">
        <v>46295</v>
      </c>
      <c r="F825" t="inlineStr">
        <is>
          <t>NORRBOTTENS LÄN</t>
        </is>
      </c>
      <c r="G825" t="inlineStr">
        <is>
          <t>BODEN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38272-2026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46281</v>
      </c>
      <c r="E826" s="1" t="n">
        <v>46295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38212-2026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46281</v>
      </c>
      <c r="E827" s="1" t="n">
        <v>46295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Aktiebolag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38259-2026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46281</v>
      </c>
      <c r="E828" s="1" t="n">
        <v>46295</v>
      </c>
      <c r="F828" t="inlineStr">
        <is>
          <t>NORRBOTTENS LÄN</t>
        </is>
      </c>
      <c r="G828" t="inlineStr">
        <is>
          <t>BODEN</t>
        </is>
      </c>
      <c r="H828" t="inlineStr">
        <is>
          <t>Övriga Aktiebolag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46238</v>
      </c>
      <c r="E829" s="1" t="n">
        <v>46295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32427-2026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46238</v>
      </c>
      <c r="E830" s="1" t="n">
        <v>46295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17417-2023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45035</v>
      </c>
      <c r="E831" s="1" t="n">
        <v>46295</v>
      </c>
      <c r="F831" t="inlineStr">
        <is>
          <t>NORRBOTTENS LÄN</t>
        </is>
      </c>
      <c r="G831" t="inlineStr">
        <is>
          <t>BODEN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32562-2026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46239</v>
      </c>
      <c r="E832" s="1" t="n">
        <v>46295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26.6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6638-2024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45341</v>
      </c>
      <c r="E833" s="1" t="n">
        <v>46295</v>
      </c>
      <c r="F833" t="inlineStr">
        <is>
          <t>NORRBOTTENS LÄN</t>
        </is>
      </c>
      <c r="G833" t="inlineStr">
        <is>
          <t>BODEN</t>
        </is>
      </c>
      <c r="H833" t="inlineStr">
        <is>
          <t>Övriga statliga verk och myndigheter</t>
        </is>
      </c>
      <c r="I833" t="n">
        <v>12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61932-2024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45653</v>
      </c>
      <c r="E834" s="1" t="n">
        <v>46295</v>
      </c>
      <c r="F834" t="inlineStr">
        <is>
          <t>NORRBOTTENS LÄN</t>
        </is>
      </c>
      <c r="G834" t="inlineStr">
        <is>
          <t>BODEN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45174</v>
      </c>
      <c r="E835" s="1" t="n">
        <v>46295</v>
      </c>
      <c r="F835" t="inlineStr">
        <is>
          <t>NORRBOTTENS LÄN</t>
        </is>
      </c>
      <c r="G835" t="inlineStr">
        <is>
          <t>BODEN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32674-2026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46240</v>
      </c>
      <c r="E836" s="1" t="n">
        <v>46295</v>
      </c>
      <c r="F836" t="inlineStr">
        <is>
          <t>NORRBOTTENS LÄN</t>
        </is>
      </c>
      <c r="G836" t="inlineStr">
        <is>
          <t>BODEN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32678-2026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46240</v>
      </c>
      <c r="E837" s="1" t="n">
        <v>46295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42995-2022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44833</v>
      </c>
      <c r="E838" s="1" t="n">
        <v>46295</v>
      </c>
      <c r="F838" t="inlineStr">
        <is>
          <t>NORRBOTTENS LÄN</t>
        </is>
      </c>
      <c r="G838" t="inlineStr">
        <is>
          <t>BODEN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59893-2023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45254</v>
      </c>
      <c r="E839" s="1" t="n">
        <v>46295</v>
      </c>
      <c r="F839" t="inlineStr">
        <is>
          <t>NORRBOTTENS LÄN</t>
        </is>
      </c>
      <c r="G839" t="inlineStr">
        <is>
          <t>BODEN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35561-2025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45856</v>
      </c>
      <c r="E840" s="1" t="n">
        <v>46295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1017-2023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44935</v>
      </c>
      <c r="E841" s="1" t="n">
        <v>46295</v>
      </c>
      <c r="F841" t="inlineStr">
        <is>
          <t>NORRBOTTENS LÄN</t>
        </is>
      </c>
      <c r="G841" t="inlineStr">
        <is>
          <t>BODEN</t>
        </is>
      </c>
      <c r="I841" t="n">
        <v>4.4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38576-2026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46283</v>
      </c>
      <c r="E842" s="1" t="n">
        <v>46295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31203-2025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45832</v>
      </c>
      <c r="E843" s="1" t="n">
        <v>46295</v>
      </c>
      <c r="F843" t="inlineStr">
        <is>
          <t>NORRBOTTENS LÄN</t>
        </is>
      </c>
      <c r="G843" t="inlineStr">
        <is>
          <t>BODEN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38574-2026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46283</v>
      </c>
      <c r="E844" s="1" t="n">
        <v>46295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56837-2023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45244</v>
      </c>
      <c r="E845" s="1" t="n">
        <v>46295</v>
      </c>
      <c r="F845" t="inlineStr">
        <is>
          <t>NORRBOTTENS LÄN</t>
        </is>
      </c>
      <c r="G845" t="inlineStr">
        <is>
          <t>BODEN</t>
        </is>
      </c>
      <c r="H845" t="inlineStr">
        <is>
          <t>Övriga statliga verk och myndigheter</t>
        </is>
      </c>
      <c r="I845" t="n">
        <v>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28496-2026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46197</v>
      </c>
      <c r="E846" s="1" t="n">
        <v>46295</v>
      </c>
      <c r="F846" t="inlineStr">
        <is>
          <t>NORRBOTTENS LÄN</t>
        </is>
      </c>
      <c r="G846" t="inlineStr">
        <is>
          <t>BODEN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61969-2024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45653</v>
      </c>
      <c r="E847" s="1" t="n">
        <v>46295</v>
      </c>
      <c r="F847" t="inlineStr">
        <is>
          <t>NORRBOTTENS LÄN</t>
        </is>
      </c>
      <c r="G847" t="inlineStr">
        <is>
          <t>BODEN</t>
        </is>
      </c>
      <c r="I847" t="n">
        <v>9.699999999999999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1961-2025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46295</v>
      </c>
      <c r="F848" t="inlineStr">
        <is>
          <t>NORRBOTTENS LÄN</t>
        </is>
      </c>
      <c r="G848" t="inlineStr">
        <is>
          <t>BODEN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19624-2025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45770</v>
      </c>
      <c r="E849" s="1" t="n">
        <v>46295</v>
      </c>
      <c r="F849" t="inlineStr">
        <is>
          <t>NORRBOTTENS LÄN</t>
        </is>
      </c>
      <c r="G849" t="inlineStr">
        <is>
          <t>BODEN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39007-2026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46287</v>
      </c>
      <c r="E850" s="1" t="n">
        <v>46295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28079-2024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45476</v>
      </c>
      <c r="E851" s="1" t="n">
        <v>46295</v>
      </c>
      <c r="F851" t="inlineStr">
        <is>
          <t>NORRBOTTENS LÄN</t>
        </is>
      </c>
      <c r="G851" t="inlineStr">
        <is>
          <t>BODEN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29183-2026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46202</v>
      </c>
      <c r="E852" s="1" t="n">
        <v>46295</v>
      </c>
      <c r="F852" t="inlineStr">
        <is>
          <t>NORRBOTTENS LÄN</t>
        </is>
      </c>
      <c r="G852" t="inlineStr">
        <is>
          <t>BODEN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19048-2025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45764</v>
      </c>
      <c r="E853" s="1" t="n">
        <v>46295</v>
      </c>
      <c r="F853" t="inlineStr">
        <is>
          <t>NORRBOTTENS LÄN</t>
        </is>
      </c>
      <c r="G853" t="inlineStr">
        <is>
          <t>BODEN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19050-2025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45764</v>
      </c>
      <c r="E854" s="1" t="n">
        <v>46295</v>
      </c>
      <c r="F854" t="inlineStr">
        <is>
          <t>NORRBOTTENS LÄN</t>
        </is>
      </c>
      <c r="G854" t="inlineStr">
        <is>
          <t>BODEN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39220-2026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46287</v>
      </c>
      <c r="E855" s="1" t="n">
        <v>46295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54236-2022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44881</v>
      </c>
      <c r="E856" s="1" t="n">
        <v>46295</v>
      </c>
      <c r="F856" t="inlineStr">
        <is>
          <t>NORRBOTTENS LÄN</t>
        </is>
      </c>
      <c r="G856" t="inlineStr">
        <is>
          <t>BODEN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46295</v>
      </c>
      <c r="F857" t="inlineStr">
        <is>
          <t>NORRBOTTENS LÄN</t>
        </is>
      </c>
      <c r="G857" t="inlineStr">
        <is>
          <t>BODEN</t>
        </is>
      </c>
      <c r="H857" t="inlineStr">
        <is>
          <t>Naturvårdsverket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14801-2024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45397</v>
      </c>
      <c r="E858" s="1" t="n">
        <v>46295</v>
      </c>
      <c r="F858" t="inlineStr">
        <is>
          <t>NORRBOTTENS LÄN</t>
        </is>
      </c>
      <c r="G858" t="inlineStr">
        <is>
          <t>BODEN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14802-2024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45397</v>
      </c>
      <c r="E859" s="1" t="n">
        <v>46295</v>
      </c>
      <c r="F859" t="inlineStr">
        <is>
          <t>NORRBOTTENS LÄN</t>
        </is>
      </c>
      <c r="G859" t="inlineStr">
        <is>
          <t>BODEN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13925-2024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45391</v>
      </c>
      <c r="E860" s="1" t="n">
        <v>46295</v>
      </c>
      <c r="F860" t="inlineStr">
        <is>
          <t>NORRBOTTENS LÄN</t>
        </is>
      </c>
      <c r="G860" t="inlineStr">
        <is>
          <t>BODEN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21128-2025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45778</v>
      </c>
      <c r="E861" s="1" t="n">
        <v>46295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21349-2025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45782</v>
      </c>
      <c r="E862" s="1" t="n">
        <v>46295</v>
      </c>
      <c r="F862" t="inlineStr">
        <is>
          <t>NORRBOTTENS LÄN</t>
        </is>
      </c>
      <c r="G862" t="inlineStr">
        <is>
          <t>BODEN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39943-2026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46290</v>
      </c>
      <c r="E863" s="1" t="n">
        <v>46295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11.1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39521-2026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46289</v>
      </c>
      <c r="E864" s="1" t="n">
        <v>46295</v>
      </c>
      <c r="F864" t="inlineStr">
        <is>
          <t>NORRBOTTENS LÄN</t>
        </is>
      </c>
      <c r="G864" t="inlineStr">
        <is>
          <t>BODEN</t>
        </is>
      </c>
      <c r="I864" t="n">
        <v>24.6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33326-2026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46246</v>
      </c>
      <c r="E865" s="1" t="n">
        <v>46295</v>
      </c>
      <c r="F865" t="inlineStr">
        <is>
          <t>NORRBOTTENS LÄN</t>
        </is>
      </c>
      <c r="G865" t="inlineStr">
        <is>
          <t>BODEN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22372-2025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45786</v>
      </c>
      <c r="E866" s="1" t="n">
        <v>46295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36115-2023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45149</v>
      </c>
      <c r="E867" s="1" t="n">
        <v>46295</v>
      </c>
      <c r="F867" t="inlineStr">
        <is>
          <t>NORRBOTTENS LÄN</t>
        </is>
      </c>
      <c r="G867" t="inlineStr">
        <is>
          <t>BODEN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40100-2026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46293</v>
      </c>
      <c r="E868" s="1" t="n">
        <v>46295</v>
      </c>
      <c r="F868" t="inlineStr">
        <is>
          <t>NORRBOTTENS LÄN</t>
        </is>
      </c>
      <c r="G868" t="inlineStr">
        <is>
          <t>BODEN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33864-2026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46251</v>
      </c>
      <c r="E869" s="1" t="n">
        <v>46295</v>
      </c>
      <c r="F869" t="inlineStr">
        <is>
          <t>NORRBOTTENS LÄN</t>
        </is>
      </c>
      <c r="G869" t="inlineStr">
        <is>
          <t>BODEN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40151-2026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46293</v>
      </c>
      <c r="E870" s="1" t="n">
        <v>46295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33790-2026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46251</v>
      </c>
      <c r="E871" s="1" t="n">
        <v>46295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40028-2026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46293</v>
      </c>
      <c r="E872" s="1" t="n">
        <v>46295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40434-2026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46294</v>
      </c>
      <c r="E873" s="1" t="n">
        <v>46295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40026-2026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46293</v>
      </c>
      <c r="E874" s="1" t="n">
        <v>46295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8.300000000000001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33671-2026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46248</v>
      </c>
      <c r="E875" s="1" t="n">
        <v>46295</v>
      </c>
      <c r="F875" t="inlineStr">
        <is>
          <t>NORRBOTTENS LÄN</t>
        </is>
      </c>
      <c r="G875" t="inlineStr">
        <is>
          <t>BODEN</t>
        </is>
      </c>
      <c r="I875" t="n">
        <v>4.2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885-2024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45376</v>
      </c>
      <c r="E876" s="1" t="n">
        <v>46295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1063-2023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45013</v>
      </c>
      <c r="E877" s="1" t="n">
        <v>46295</v>
      </c>
      <c r="F877" t="inlineStr">
        <is>
          <t>NORRBOTTENS LÄN</t>
        </is>
      </c>
      <c r="G877" t="inlineStr">
        <is>
          <t>BODEN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883-2024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46295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52-2025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45667</v>
      </c>
      <c r="E879" s="1" t="n">
        <v>46295</v>
      </c>
      <c r="F879" t="inlineStr">
        <is>
          <t>NORRBOTTENS LÄN</t>
        </is>
      </c>
      <c r="G879" t="inlineStr">
        <is>
          <t>BODEN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190-2023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44945</v>
      </c>
      <c r="E880" s="1" t="n">
        <v>46295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6.8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977-2025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46295</v>
      </c>
      <c r="F881" t="inlineStr">
        <is>
          <t>NORRBOTTENS LÄN</t>
        </is>
      </c>
      <c r="G881" t="inlineStr">
        <is>
          <t>BODEN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978-2025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45743</v>
      </c>
      <c r="E882" s="1" t="n">
        <v>46295</v>
      </c>
      <c r="F882" t="inlineStr">
        <is>
          <t>NORRBOTTENS LÄN</t>
        </is>
      </c>
      <c r="G882" t="inlineStr">
        <is>
          <t>BODEN</t>
        </is>
      </c>
      <c r="I882" t="n">
        <v>19.5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1498-2025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45789</v>
      </c>
      <c r="E883" s="1" t="n">
        <v>46295</v>
      </c>
      <c r="F883" t="inlineStr">
        <is>
          <t>NORRBOTTENS LÄN</t>
        </is>
      </c>
      <c r="G883" t="inlineStr">
        <is>
          <t>BODEN</t>
        </is>
      </c>
      <c r="H883" t="inlineStr">
        <is>
          <t>Övriga Aktiebolag</t>
        </is>
      </c>
      <c r="I883" t="n">
        <v>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1572-2025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45792</v>
      </c>
      <c r="E884" s="1" t="n">
        <v>46295</v>
      </c>
      <c r="F884" t="inlineStr">
        <is>
          <t>NORRBOTTENS LÄN</t>
        </is>
      </c>
      <c r="G884" t="inlineStr">
        <is>
          <t>BODEN</t>
        </is>
      </c>
      <c r="I884" t="n">
        <v>8.6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1631-2025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46295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1633-2025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46295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1632-2025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46295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1734-2025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45810</v>
      </c>
      <c r="E888" s="1" t="n">
        <v>46295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1811-2025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45818</v>
      </c>
      <c r="E889" s="1" t="n">
        <v>46295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2072-2025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45840</v>
      </c>
      <c r="E890" s="1" t="n">
        <v>46295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3580-2025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46018</v>
      </c>
      <c r="E891" s="1" t="n">
        <v>46295</v>
      </c>
      <c r="F891" t="inlineStr">
        <is>
          <t>NORRBOTTENS LÄN</t>
        </is>
      </c>
      <c r="G891" t="inlineStr">
        <is>
          <t>BODEN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46295</v>
      </c>
      <c r="F892" t="inlineStr">
        <is>
          <t>NORRBOTTENS LÄN</t>
        </is>
      </c>
      <c r="G892" t="inlineStr">
        <is>
          <t>BODEN</t>
        </is>
      </c>
      <c r="I892" t="n">
        <v>57.4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1261-2026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46295</v>
      </c>
      <c r="F893" t="inlineStr">
        <is>
          <t>NORRBOTTENS LÄN</t>
        </is>
      </c>
      <c r="G893" t="inlineStr">
        <is>
          <t>BODEN</t>
        </is>
      </c>
      <c r="I893" t="n">
        <v>16.9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46295</v>
      </c>
      <c r="F894" t="inlineStr">
        <is>
          <t>NORRBOTTENS LÄN</t>
        </is>
      </c>
      <c r="G894" t="inlineStr">
        <is>
          <t>BODEN</t>
        </is>
      </c>
      <c r="H894" t="inlineStr">
        <is>
          <t>Kommuner</t>
        </is>
      </c>
      <c r="I894" t="n">
        <v>16.2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1356-2026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46295</v>
      </c>
      <c r="F895" t="inlineStr">
        <is>
          <t>NORRBOTTENS LÄN</t>
        </is>
      </c>
      <c r="G895" t="inlineStr">
        <is>
          <t>BODEN</t>
        </is>
      </c>
      <c r="I895" t="n">
        <v>124.7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1357-2026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46152</v>
      </c>
      <c r="E896" s="1" t="n">
        <v>46295</v>
      </c>
      <c r="F896" t="inlineStr">
        <is>
          <t>NORRBOTTENS LÄN</t>
        </is>
      </c>
      <c r="G896" t="inlineStr">
        <is>
          <t>BODEN</t>
        </is>
      </c>
      <c r="I896" t="n">
        <v>38.2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>
      <c r="A897" t="inlineStr">
        <is>
          <t>S 1297-2026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46148</v>
      </c>
      <c r="E897" s="1" t="n">
        <v>46295</v>
      </c>
      <c r="F897" t="inlineStr">
        <is>
          <t>NORRBOTTENS LÄN</t>
        </is>
      </c>
      <c r="G897" t="inlineStr">
        <is>
          <t>BODEN</t>
        </is>
      </c>
      <c r="I897" t="n">
        <v>20.5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2026-09-30T02:00:16Z</dcterms:created>
  <dcterms:modified xmlns:dcterms="http://purl.org/dc/terms/" xmlns:xsi="http://www.w3.org/2001/XMLSchema-instance" xsi:type="dcterms:W3CDTF">2026-09-30T02:00:17Z</dcterms:modified>
</cp:coreProperties>
</file>