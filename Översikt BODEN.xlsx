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46276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46276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46276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46276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46276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46276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46276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46276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46276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46276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46276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46276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46276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46276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46276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46276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46276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46276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46276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46276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46276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46276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46276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46276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46276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59358-2022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44904</v>
      </c>
      <c r="E38" s="1" t="n">
        <v>46276</v>
      </c>
      <c r="F38" t="inlineStr">
        <is>
          <t>NORRBOTTENS LÄN</t>
        </is>
      </c>
      <c r="G38" t="inlineStr">
        <is>
          <t>BODEN</t>
        </is>
      </c>
      <c r="I38" t="n">
        <v>1.5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5</v>
      </c>
      <c r="U38" t="n">
        <v>5</v>
      </c>
      <c r="V38" s="2" t="inlineStr">
        <is>
          <t>Stare
Rosenfink
Rävticka
Sångsvan
Trana</t>
        </is>
      </c>
      <c r="W38">
        <f>HYPERLINK("https://klasma.github.io/Logging_2582/artfynd/A 59358-2022 artfynd.xlsx", "A 59358-2022")</f>
        <v/>
      </c>
      <c r="X38">
        <f>HYPERLINK("https://klasma.github.io/Logging_2582/kartor/A 59358-2022 karta.png", "A 59358-2022")</f>
        <v/>
      </c>
      <c r="Y38">
        <f>HYPERLINK("https://klasma.github.io/Logging_2582/kartor_geotiff/A 59358-2022 georefererad karta.tif", "A 59358-2022")</f>
        <v/>
      </c>
      <c r="AA38">
        <f>HYPERLINK("https://klasma.github.io/Logging_2582/klagomål/A 59358-2022 FSC-klagomål.docx", "A 59358-2022")</f>
        <v/>
      </c>
      <c r="AB38">
        <f>HYPERLINK("https://klasma.github.io/Logging_2582/klagomålsmail/A 59358-2022 FSC-klagomål mail.docx", "A 59358-2022")</f>
        <v/>
      </c>
      <c r="AC38">
        <f>HYPERLINK("https://klasma.github.io/Logging_2582/tillsyn/A 59358-2022 tillsynsbegäran.docx", "A 59358-2022")</f>
        <v/>
      </c>
      <c r="AD38">
        <f>HYPERLINK("https://klasma.github.io/Logging_2582/tillsynsmail/A 59358-2022 tillsynsbegäran mail.docx", "A 59358-2022")</f>
        <v/>
      </c>
      <c r="AE38">
        <f>HYPERLINK("https://klasma.github.io/Logging_2582/fåglar/A 59358-2022 prioriterade fågelarter.docx", "A 59358-2022")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46276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46276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46276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46276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46276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46276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46276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46276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46276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46276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46276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46276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46276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46276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10087-2026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46073</v>
      </c>
      <c r="E53" s="1" t="n">
        <v>46276</v>
      </c>
      <c r="F53" t="inlineStr">
        <is>
          <t>NORRBOTTENS LÄN</t>
        </is>
      </c>
      <c r="G53" t="inlineStr">
        <is>
          <t>BODEN</t>
        </is>
      </c>
      <c r="I53" t="n">
        <v>5.9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Korthornad vedstekel
Skogsödla
Vanlig padda</t>
        </is>
      </c>
      <c r="W53">
        <f>HYPERLINK("https://klasma.github.io/Logging_2582/artfynd/A 10087-2026 artfynd.xlsx", "A 10087-2026")</f>
        <v/>
      </c>
      <c r="X53">
        <f>HYPERLINK("https://klasma.github.io/Logging_2582/kartor/A 10087-2026 karta.png", "A 10087-2026")</f>
        <v/>
      </c>
      <c r="Y53">
        <f>HYPERLINK("https://klasma.github.io/Logging_2582/kartor_geotiff/A 10087-2026 georefererad karta.tif", "A 10087-2026")</f>
        <v/>
      </c>
      <c r="AA53">
        <f>HYPERLINK("https://klasma.github.io/Logging_2582/klagomål/A 10087-2026 FSC-klagomål.docx", "A 10087-2026")</f>
        <v/>
      </c>
      <c r="AB53">
        <f>HYPERLINK("https://klasma.github.io/Logging_2582/klagomålsmail/A 10087-2026 FSC-klagomål mail.docx", "A 10087-2026")</f>
        <v/>
      </c>
      <c r="AC53">
        <f>HYPERLINK("https://klasma.github.io/Logging_2582/tillsyn/A 10087-2026 tillsynsbegäran.docx", "A 10087-2026")</f>
        <v/>
      </c>
      <c r="AD53">
        <f>HYPERLINK("https://klasma.github.io/Logging_2582/tillsynsmail/A 10087-2026 tillsynsbegäran mail.docx", "A 10087-2026")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46276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46276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46276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43007-2022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46276</v>
      </c>
      <c r="F58" t="inlineStr">
        <is>
          <t>NORRBOTTENS LÄN</t>
        </is>
      </c>
      <c r="G58" t="inlineStr">
        <is>
          <t>BODEN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Kransmossa
Liljekonvalj
Nattviol</t>
        </is>
      </c>
      <c r="W58">
        <f>HYPERLINK("https://klasma.github.io/Logging_2582/artfynd/A 43007-2022 artfynd.xlsx", "A 43007-2022")</f>
        <v/>
      </c>
      <c r="X58">
        <f>HYPERLINK("https://klasma.github.io/Logging_2582/kartor/A 43007-2022 karta.png", "A 43007-2022")</f>
        <v/>
      </c>
      <c r="Y58">
        <f>HYPERLINK("https://klasma.github.io/Logging_2582/kartor_geotiff/A 43007-2022 georefererad karta.tif", "A 43007-2022")</f>
        <v/>
      </c>
      <c r="AA58">
        <f>HYPERLINK("https://klasma.github.io/Logging_2582/klagomål/A 43007-2022 FSC-klagomål.docx", "A 43007-2022")</f>
        <v/>
      </c>
      <c r="AB58">
        <f>HYPERLINK("https://klasma.github.io/Logging_2582/klagomålsmail/A 43007-2022 FSC-klagomål mail.docx", "A 43007-2022")</f>
        <v/>
      </c>
      <c r="AC58">
        <f>HYPERLINK("https://klasma.github.io/Logging_2582/tillsyn/A 43007-2022 tillsynsbegäran.docx", "A 43007-2022")</f>
        <v/>
      </c>
      <c r="AD58">
        <f>HYPERLINK("https://klasma.github.io/Logging_2582/tillsynsmail/A 43007-2022 tillsynsbegäran mail.docx", "A 43007-2022")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46276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46276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26040-2026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46276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32.6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Doftticka
Lunglav
Bårdlav</t>
        </is>
      </c>
      <c r="W61">
        <f>HYPERLINK("https://klasma.github.io/Logging_2582/artfynd/A 26040-2026 artfynd.xlsx", "A 26040-2026")</f>
        <v/>
      </c>
      <c r="X61">
        <f>HYPERLINK("https://klasma.github.io/Logging_2582/kartor/A 26040-2026 karta.png", "A 26040-2026")</f>
        <v/>
      </c>
      <c r="Y61">
        <f>HYPERLINK("https://klasma.github.io/Logging_2582/kartor_geotiff/A 26040-2026 georefererad karta.tif", "A 26040-2026")</f>
        <v/>
      </c>
      <c r="AA61">
        <f>HYPERLINK("https://klasma.github.io/Logging_2582/klagomål/A 26040-2026 FSC-klagomål.docx", "A 26040-2026")</f>
        <v/>
      </c>
      <c r="AB61">
        <f>HYPERLINK("https://klasma.github.io/Logging_2582/klagomålsmail/A 26040-2026 FSC-klagomål mail.docx", "A 26040-2026")</f>
        <v/>
      </c>
      <c r="AC61">
        <f>HYPERLINK("https://klasma.github.io/Logging_2582/tillsyn/A 26040-2026 tillsynsbegäran.docx", "A 26040-2026")</f>
        <v/>
      </c>
      <c r="AD61">
        <f>HYPERLINK("https://klasma.github.io/Logging_2582/tillsynsmail/A 26040-2026 tillsynsbegäran mail.docx", "A 26040-2026")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46276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27698-2026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46190</v>
      </c>
      <c r="E63" s="1" t="n">
        <v>46276</v>
      </c>
      <c r="F63" t="inlineStr">
        <is>
          <t>NORRBOTTENS LÄN</t>
        </is>
      </c>
      <c r="G63" t="inlineStr">
        <is>
          <t>BODEN</t>
        </is>
      </c>
      <c r="I63" t="n">
        <v>22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16</v>
      </c>
      <c r="U63" t="n">
        <v>16</v>
      </c>
      <c r="V63" s="2" t="inlineStr">
        <is>
          <t>Fläckporing
Knärot
Lunglav</t>
        </is>
      </c>
      <c r="W63">
        <f>HYPERLINK("https://klasma.github.io/Logging_2582/artfynd/A 27698-2026 artfynd.xlsx", "A 27698-2026")</f>
        <v/>
      </c>
      <c r="X63">
        <f>HYPERLINK("https://klasma.github.io/Logging_2582/kartor/A 27698-2026 karta.png", "A 27698-2026")</f>
        <v/>
      </c>
      <c r="Y63">
        <f>HYPERLINK("https://klasma.github.io/Logging_2582/kartor_geotiff/A 27698-2026 georefererad karta.tif", "A 27698-2026")</f>
        <v/>
      </c>
      <c r="Z63">
        <f>HYPERLINK("https://klasma.github.io/Logging_2582/knärot/A 27698-2026 karta knärot.png", "A 27698-2026")</f>
        <v/>
      </c>
      <c r="AA63">
        <f>HYPERLINK("https://klasma.github.io/Logging_2582/klagomål/A 27698-2026 FSC-klagomål.docx", "A 27698-2026")</f>
        <v/>
      </c>
      <c r="AB63">
        <f>HYPERLINK("https://klasma.github.io/Logging_2582/klagomålsmail/A 27698-2026 FSC-klagomål mail.docx", "A 27698-2026")</f>
        <v/>
      </c>
      <c r="AC63">
        <f>HYPERLINK("https://klasma.github.io/Logging_2582/tillsyn/A 27698-2026 tillsynsbegäran.docx", "A 27698-2026")</f>
        <v/>
      </c>
      <c r="AD63">
        <f>HYPERLINK("https://klasma.github.io/Logging_2582/tillsynsmail/A 27698-2026 tillsynsbegäran mail.docx", "A 27698-2026")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46276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46276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46276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31230-2026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46217</v>
      </c>
      <c r="E67" s="1" t="n">
        <v>46276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Fläcknycklar
Fläcknycklar × sumpnycklar</t>
        </is>
      </c>
      <c r="W67">
        <f>HYPERLINK("https://klasma.github.io/Logging_2582/artfynd/A 31230-2026 artfynd.xlsx", "A 31230-2026")</f>
        <v/>
      </c>
      <c r="X67">
        <f>HYPERLINK("https://klasma.github.io/Logging_2582/kartor/A 31230-2026 karta.png", "A 31230-2026")</f>
        <v/>
      </c>
      <c r="Y67">
        <f>HYPERLINK("https://klasma.github.io/Logging_2582/kartor_geotiff/A 31230-2026 georefererad karta.tif", "A 31230-2026")</f>
        <v/>
      </c>
      <c r="AA67">
        <f>HYPERLINK("https://klasma.github.io/Logging_2582/klagomål/A 31230-2026 FSC-klagomål.docx", "A 31230-2026")</f>
        <v/>
      </c>
      <c r="AB67">
        <f>HYPERLINK("https://klasma.github.io/Logging_2582/klagomålsmail/A 31230-2026 FSC-klagomål mail.docx", "A 31230-2026")</f>
        <v/>
      </c>
      <c r="AC67">
        <f>HYPERLINK("https://klasma.github.io/Logging_2582/tillsyn/A 31230-2026 tillsynsbegäran.docx", "A 31230-2026")</f>
        <v/>
      </c>
      <c r="AD67">
        <f>HYPERLINK("https://klasma.github.io/Logging_2582/tillsynsmail/A 31230-2026 tillsynsbegäran mail.docx", "A 31230-2026")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46276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46276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46276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46276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46276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46276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59435-2024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45638</v>
      </c>
      <c r="E75" s="1" t="n">
        <v>46276</v>
      </c>
      <c r="F75" t="inlineStr">
        <is>
          <t>NORRBOTTENS LÄN</t>
        </is>
      </c>
      <c r="G75" t="inlineStr">
        <is>
          <t>BODEN</t>
        </is>
      </c>
      <c r="I75" t="n">
        <v>2.1</v>
      </c>
      <c r="J75" t="n">
        <v>1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Lappranunkel
Ögonpyrola</t>
        </is>
      </c>
      <c r="W75">
        <f>HYPERLINK("https://klasma.github.io/Logging_2582/artfynd/A 59435-2024 artfynd.xlsx", "A 59435-2024")</f>
        <v/>
      </c>
      <c r="X75">
        <f>HYPERLINK("https://klasma.github.io/Logging_2582/kartor/A 59435-2024 karta.png", "A 59435-2024")</f>
        <v/>
      </c>
      <c r="Y75">
        <f>HYPERLINK("https://klasma.github.io/Logging_2582/kartor_geotiff/A 59435-2024 georefererad karta.tif", "A 59435-2024")</f>
        <v/>
      </c>
      <c r="AA75">
        <f>HYPERLINK("https://klasma.github.io/Logging_2582/klagomål/A 59435-2024 FSC-klagomål.docx", "A 59435-2024")</f>
        <v/>
      </c>
      <c r="AB75">
        <f>HYPERLINK("https://klasma.github.io/Logging_2582/klagomålsmail/A 59435-2024 FSC-klagomål mail.docx", "A 59435-2024")</f>
        <v/>
      </c>
      <c r="AC75">
        <f>HYPERLINK("https://klasma.github.io/Logging_2582/tillsyn/A 59435-2024 tillsynsbegäran.docx", "A 59435-2024")</f>
        <v/>
      </c>
      <c r="AD75">
        <f>HYPERLINK("https://klasma.github.io/Logging_2582/tillsynsmail/A 59435-2024 tillsynsbegäran mail.docx", "A 59435-2024")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46276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8703-2026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46276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8703-2026 artfynd.xlsx", "A 8703-2026")</f>
        <v/>
      </c>
      <c r="X77">
        <f>HYPERLINK("https://klasma.github.io/Logging_2582/kartor/A 8703-2026 karta.png", "A 8703-2026")</f>
        <v/>
      </c>
      <c r="Y77">
        <f>HYPERLINK("https://klasma.github.io/Logging_2582/kartor_geotiff/A 8703-2026 georefererad karta.tif", "A 8703-2026")</f>
        <v/>
      </c>
      <c r="AA77">
        <f>HYPERLINK("https://klasma.github.io/Logging_2582/klagomål/A 8703-2026 FSC-klagomål.docx", "A 8703-2026")</f>
        <v/>
      </c>
      <c r="AB77">
        <f>HYPERLINK("https://klasma.github.io/Logging_2582/klagomålsmail/A 8703-2026 FSC-klagomål mail.docx", "A 8703-2026")</f>
        <v/>
      </c>
      <c r="AC77">
        <f>HYPERLINK("https://klasma.github.io/Logging_2582/tillsyn/A 8703-2026 tillsynsbegäran.docx", "A 8703-2026")</f>
        <v/>
      </c>
      <c r="AD77">
        <f>HYPERLINK("https://klasma.github.io/Logging_2582/tillsynsmail/A 8703-2026 tillsynsbegäran mail.docx", "A 8703-2026")</f>
        <v/>
      </c>
    </row>
    <row r="78" ht="15" customHeight="1">
      <c r="A78" t="inlineStr">
        <is>
          <t>A 8754-2026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46276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Ullticka</t>
        </is>
      </c>
      <c r="W78">
        <f>HYPERLINK("https://klasma.github.io/Logging_2582/artfynd/A 8754-2026 artfynd.xlsx", "A 8754-2026")</f>
        <v/>
      </c>
      <c r="X78">
        <f>HYPERLINK("https://klasma.github.io/Logging_2582/kartor/A 8754-2026 karta.png", "A 8754-2026")</f>
        <v/>
      </c>
      <c r="Y78">
        <f>HYPERLINK("https://klasma.github.io/Logging_2582/kartor_geotiff/A 8754-2026 georefererad karta.tif", "A 8754-2026")</f>
        <v/>
      </c>
      <c r="AA78">
        <f>HYPERLINK("https://klasma.github.io/Logging_2582/klagomål/A 8754-2026 FSC-klagomål.docx", "A 8754-2026")</f>
        <v/>
      </c>
      <c r="AB78">
        <f>HYPERLINK("https://klasma.github.io/Logging_2582/klagomålsmail/A 8754-2026 FSC-klagomål mail.docx", "A 8754-2026")</f>
        <v/>
      </c>
      <c r="AC78">
        <f>HYPERLINK("https://klasma.github.io/Logging_2582/tillsyn/A 8754-2026 tillsynsbegäran.docx", "A 8754-2026")</f>
        <v/>
      </c>
      <c r="AD78">
        <f>HYPERLINK("https://klasma.github.io/Logging_2582/tillsynsmail/A 8754-2026 tillsynsbegäran mail.docx", "A 8754-2026")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46276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28867-2025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46276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8.199999999999999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12</v>
      </c>
      <c r="U80" t="n">
        <v>12</v>
      </c>
      <c r="V80" s="2" t="inlineStr">
        <is>
          <t>Knärot
Fläcknycklar</t>
        </is>
      </c>
      <c r="W80">
        <f>HYPERLINK("https://klasma.github.io/Logging_2582/artfynd/A 28867-2025 artfynd.xlsx", "A 28867-2025")</f>
        <v/>
      </c>
      <c r="X80">
        <f>HYPERLINK("https://klasma.github.io/Logging_2582/kartor/A 28867-2025 karta.png", "A 28867-2025")</f>
        <v/>
      </c>
      <c r="Y80">
        <f>HYPERLINK("https://klasma.github.io/Logging_2582/kartor_geotiff/A 28867-2025 georefererad karta.tif", "A 28867-2025")</f>
        <v/>
      </c>
      <c r="Z80">
        <f>HYPERLINK("https://klasma.github.io/Logging_2582/knärot/A 28867-2025 karta knärot.png", "A 28867-2025")</f>
        <v/>
      </c>
      <c r="AA80">
        <f>HYPERLINK("https://klasma.github.io/Logging_2582/klagomål/A 28867-2025 FSC-klagomål.docx", "A 28867-2025")</f>
        <v/>
      </c>
      <c r="AB80">
        <f>HYPERLINK("https://klasma.github.io/Logging_2582/klagomålsmail/A 28867-2025 FSC-klagomål mail.docx", "A 28867-2025")</f>
        <v/>
      </c>
      <c r="AC80">
        <f>HYPERLINK("https://klasma.github.io/Logging_2582/tillsyn/A 28867-2025 tillsynsbegäran.docx", "A 28867-2025")</f>
        <v/>
      </c>
      <c r="AD80">
        <f>HYPERLINK("https://klasma.github.io/Logging_2582/tillsynsmail/A 28867-2025 tillsynsbegäran mail.docx", "A 28867-2025")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46276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46276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46276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37086-2025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46276</v>
      </c>
      <c r="F84" t="inlineStr">
        <is>
          <t>NORRBOTTENS LÄN</t>
        </is>
      </c>
      <c r="G84" t="inlineStr">
        <is>
          <t>BODEN</t>
        </is>
      </c>
      <c r="H84" t="inlineStr">
        <is>
          <t>Övriga Aktiebolag</t>
        </is>
      </c>
      <c r="I84" t="n">
        <v>22.8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Stuplav</t>
        </is>
      </c>
      <c r="W84">
        <f>HYPERLINK("https://klasma.github.io/Logging_2582/artfynd/A 37086-2025 artfynd.xlsx", "A 37086-2025")</f>
        <v/>
      </c>
      <c r="X84">
        <f>HYPERLINK("https://klasma.github.io/Logging_2582/kartor/A 37086-2025 karta.png", "A 37086-2025")</f>
        <v/>
      </c>
      <c r="Y84">
        <f>HYPERLINK("https://klasma.github.io/Logging_2582/kartor_geotiff/A 37086-2025 georefererad karta.tif", "A 37086-2025")</f>
        <v/>
      </c>
      <c r="AA84">
        <f>HYPERLINK("https://klasma.github.io/Logging_2582/klagomål/A 37086-2025 FSC-klagomål.docx", "A 37086-2025")</f>
        <v/>
      </c>
      <c r="AB84">
        <f>HYPERLINK("https://klasma.github.io/Logging_2582/klagomålsmail/A 37086-2025 FSC-klagomål mail.docx", "A 37086-2025")</f>
        <v/>
      </c>
      <c r="AC84">
        <f>HYPERLINK("https://klasma.github.io/Logging_2582/tillsyn/A 37086-2025 tillsynsbegäran.docx", "A 37086-2025")</f>
        <v/>
      </c>
      <c r="AD84">
        <f>HYPERLINK("https://klasma.github.io/Logging_2582/tillsynsmail/A 37086-2025 tillsynsbegäran mail.docx", "A 37086-2025")</f>
        <v/>
      </c>
    </row>
    <row r="85" ht="15" customHeight="1">
      <c r="A85" t="inlineStr">
        <is>
          <t>A 45477-2025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46276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9.1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Doftticka
Lunglav</t>
        </is>
      </c>
      <c r="W85">
        <f>HYPERLINK("https://klasma.github.io/Logging_2582/artfynd/A 45477-2025 artfynd.xlsx", "A 45477-2025")</f>
        <v/>
      </c>
      <c r="X85">
        <f>HYPERLINK("https://klasma.github.io/Logging_2582/kartor/A 45477-2025 karta.png", "A 45477-2025")</f>
        <v/>
      </c>
      <c r="Y85">
        <f>HYPERLINK("https://klasma.github.io/Logging_2582/kartor_geotiff/A 45477-2025 georefererad karta.tif", "A 45477-2025")</f>
        <v/>
      </c>
      <c r="AA85">
        <f>HYPERLINK("https://klasma.github.io/Logging_2582/klagomål/A 45477-2025 FSC-klagomål.docx", "A 45477-2025")</f>
        <v/>
      </c>
      <c r="AB85">
        <f>HYPERLINK("https://klasma.github.io/Logging_2582/klagomålsmail/A 45477-2025 FSC-klagomål mail.docx", "A 45477-2025")</f>
        <v/>
      </c>
      <c r="AC85">
        <f>HYPERLINK("https://klasma.github.io/Logging_2582/tillsyn/A 45477-2025 tillsynsbegäran.docx", "A 45477-2025")</f>
        <v/>
      </c>
      <c r="AD85">
        <f>HYPERLINK("https://klasma.github.io/Logging_2582/tillsynsmail/A 45477-2025 tillsynsbegäran mail.docx", "A 45477-2025")</f>
        <v/>
      </c>
    </row>
    <row r="86" ht="15" customHeight="1">
      <c r="A86" t="inlineStr">
        <is>
          <t>A 50100-2025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46276</v>
      </c>
      <c r="F86" t="inlineStr">
        <is>
          <t>NORRBOTTENS LÄN</t>
        </is>
      </c>
      <c r="G86" t="inlineStr">
        <is>
          <t>BODEN</t>
        </is>
      </c>
      <c r="I86" t="n">
        <v>6.5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Mörk kolflarnlav
Fläcknycklar</t>
        </is>
      </c>
      <c r="W86">
        <f>HYPERLINK("https://klasma.github.io/Logging_2582/artfynd/A 50100-2025 artfynd.xlsx", "A 50100-2025")</f>
        <v/>
      </c>
      <c r="X86">
        <f>HYPERLINK("https://klasma.github.io/Logging_2582/kartor/A 50100-2025 karta.png", "A 50100-2025")</f>
        <v/>
      </c>
      <c r="Y86">
        <f>HYPERLINK("https://klasma.github.io/Logging_2582/kartor_geotiff/A 50100-2025 georefererad karta.tif", "A 50100-2025")</f>
        <v/>
      </c>
      <c r="AA86">
        <f>HYPERLINK("https://klasma.github.io/Logging_2582/klagomål/A 50100-2025 FSC-klagomål.docx", "A 50100-2025")</f>
        <v/>
      </c>
      <c r="AB86">
        <f>HYPERLINK("https://klasma.github.io/Logging_2582/klagomålsmail/A 50100-2025 FSC-klagomål mail.docx", "A 50100-2025")</f>
        <v/>
      </c>
      <c r="AC86">
        <f>HYPERLINK("https://klasma.github.io/Logging_2582/tillsyn/A 50100-2025 tillsynsbegäran.docx", "A 50100-2025")</f>
        <v/>
      </c>
      <c r="AD86">
        <f>HYPERLINK("https://klasma.github.io/Logging_2582/tillsynsmail/A 50100-2025 tillsynsbegäran mail.docx", "A 50100-2025")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46276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48899-2024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46276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18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Hässlebrodd
Fläcknycklar</t>
        </is>
      </c>
      <c r="W88">
        <f>HYPERLINK("https://klasma.github.io/Logging_2582/artfynd/A 48899-2024 artfynd.xlsx", "A 48899-2024")</f>
        <v/>
      </c>
      <c r="X88">
        <f>HYPERLINK("https://klasma.github.io/Logging_2582/kartor/A 48899-2024 karta.png", "A 48899-2024")</f>
        <v/>
      </c>
      <c r="Y88">
        <f>HYPERLINK("https://klasma.github.io/Logging_2582/kartor_geotiff/A 48899-2024 georefererad karta.tif", "A 48899-2024")</f>
        <v/>
      </c>
      <c r="AA88">
        <f>HYPERLINK("https://klasma.github.io/Logging_2582/klagomål/A 48899-2024 FSC-klagomål.docx", "A 48899-2024")</f>
        <v/>
      </c>
      <c r="AB88">
        <f>HYPERLINK("https://klasma.github.io/Logging_2582/klagomålsmail/A 48899-2024 FSC-klagomål mail.docx", "A 48899-2024")</f>
        <v/>
      </c>
      <c r="AC88">
        <f>HYPERLINK("https://klasma.github.io/Logging_2582/tillsyn/A 48899-2024 tillsynsbegäran.docx", "A 48899-2024")</f>
        <v/>
      </c>
      <c r="AD88">
        <f>HYPERLINK("https://klasma.github.io/Logging_2582/tillsynsmail/A 48899-2024 tillsynsbegäran mail.docx", "A 48899-2024")</f>
        <v/>
      </c>
    </row>
    <row r="89" ht="15" customHeight="1">
      <c r="A89" t="inlineStr">
        <is>
          <t>A 61210-2024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46276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4</v>
      </c>
      <c r="U89" t="n">
        <v>0</v>
      </c>
      <c r="V89" s="2" t="inlineStr">
        <is>
          <t>Skrovlig taggsvamp
Blå taggsvamp</t>
        </is>
      </c>
      <c r="W89">
        <f>HYPERLINK("https://klasma.github.io/Logging_2582/artfynd/A 61210-2024 artfynd.xlsx", "A 61210-2024")</f>
        <v/>
      </c>
      <c r="X89">
        <f>HYPERLINK("https://klasma.github.io/Logging_2582/kartor/A 61210-2024 karta.png", "A 61210-2024")</f>
        <v/>
      </c>
      <c r="Y89">
        <f>HYPERLINK("https://klasma.github.io/Logging_2582/kartor_geotiff/A 61210-2024 georefererad karta.tif", "A 61210-2024")</f>
        <v/>
      </c>
      <c r="AA89">
        <f>HYPERLINK("https://klasma.github.io/Logging_2582/klagomål/A 61210-2024 FSC-klagomål.docx", "A 61210-2024")</f>
        <v/>
      </c>
      <c r="AB89">
        <f>HYPERLINK("https://klasma.github.io/Logging_2582/klagomålsmail/A 61210-2024 FSC-klagomål mail.docx", "A 61210-2024")</f>
        <v/>
      </c>
      <c r="AC89">
        <f>HYPERLINK("https://klasma.github.io/Logging_2582/tillsyn/A 61210-2024 tillsynsbegäran.docx", "A 61210-2024")</f>
        <v/>
      </c>
      <c r="AD89">
        <f>HYPERLINK("https://klasma.github.io/Logging_2582/tillsynsmail/A 61210-2024 tillsynsbegäran mail.docx", "A 61210-2024")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46276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60774-2025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46276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60774-2025 artfynd.xlsx", "A 60774-2025")</f>
        <v/>
      </c>
      <c r="X91">
        <f>HYPERLINK("https://klasma.github.io/Logging_2582/kartor/A 60774-2025 karta.png", "A 60774-2025")</f>
        <v/>
      </c>
      <c r="Y91">
        <f>HYPERLINK("https://klasma.github.io/Logging_2582/kartor_geotiff/A 60774-2025 georefererad karta.tif", "A 60774-2025")</f>
        <v/>
      </c>
      <c r="AA91">
        <f>HYPERLINK("https://klasma.github.io/Logging_2582/klagomål/A 60774-2025 FSC-klagomål.docx", "A 60774-2025")</f>
        <v/>
      </c>
      <c r="AB91">
        <f>HYPERLINK("https://klasma.github.io/Logging_2582/klagomålsmail/A 60774-2025 FSC-klagomål mail.docx", "A 60774-2025")</f>
        <v/>
      </c>
      <c r="AC91">
        <f>HYPERLINK("https://klasma.github.io/Logging_2582/tillsyn/A 60774-2025 tillsynsbegäran.docx", "A 60774-2025")</f>
        <v/>
      </c>
      <c r="AD91">
        <f>HYPERLINK("https://klasma.github.io/Logging_2582/tillsynsmail/A 60774-2025 tillsynsbegäran mail.docx", "A 60774-2025")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46276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34164-2023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45137</v>
      </c>
      <c r="E93" s="1" t="n">
        <v>46276</v>
      </c>
      <c r="F93" t="inlineStr">
        <is>
          <t>NORRBOTTENS LÄN</t>
        </is>
      </c>
      <c r="G93" t="inlineStr">
        <is>
          <t>BODEN</t>
        </is>
      </c>
      <c r="H93" t="inlineStr">
        <is>
          <t>SCA</t>
        </is>
      </c>
      <c r="I93" t="n">
        <v>2.2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Tretåig hackspett</t>
        </is>
      </c>
      <c r="W93">
        <f>HYPERLINK("https://klasma.github.io/Logging_2582/artfynd/A 34164-2023 artfynd.xlsx", "A 34164-2023")</f>
        <v/>
      </c>
      <c r="X93">
        <f>HYPERLINK("https://klasma.github.io/Logging_2582/kartor/A 34164-2023 karta.png", "A 34164-2023")</f>
        <v/>
      </c>
      <c r="Y93">
        <f>HYPERLINK("https://klasma.github.io/Logging_2582/kartor_geotiff/A 34164-2023 georefererad karta.tif", "A 34164-2023")</f>
        <v/>
      </c>
      <c r="AA93">
        <f>HYPERLINK("https://klasma.github.io/Logging_2582/klagomål/A 34164-2023 FSC-klagomål.docx", "A 34164-2023")</f>
        <v/>
      </c>
      <c r="AB93">
        <f>HYPERLINK("https://klasma.github.io/Logging_2582/klagomålsmail/A 34164-2023 FSC-klagomål mail.docx", "A 34164-2023")</f>
        <v/>
      </c>
      <c r="AC93">
        <f>HYPERLINK("https://klasma.github.io/Logging_2582/tillsyn/A 34164-2023 tillsynsbegäran.docx", "A 34164-2023")</f>
        <v/>
      </c>
      <c r="AD93">
        <f>HYPERLINK("https://klasma.github.io/Logging_2582/tillsynsmail/A 34164-2023 tillsynsbegäran mail.docx", "A 34164-2023")</f>
        <v/>
      </c>
      <c r="AE93">
        <f>HYPERLINK("https://klasma.github.io/Logging_2582/fåglar/A 34164-2023 prioriterade fågelarter.docx", "A 34164-2023")</f>
        <v/>
      </c>
    </row>
    <row r="94" ht="15" customHeight="1">
      <c r="A94" t="inlineStr">
        <is>
          <t>A 21657-2026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46276</v>
      </c>
      <c r="F94" t="inlineStr">
        <is>
          <t>NORRBOTTENS LÄN</t>
        </is>
      </c>
      <c r="G94" t="inlineStr">
        <is>
          <t>BODEN</t>
        </is>
      </c>
      <c r="I94" t="n">
        <v>9.800000000000001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Orre
Utter</t>
        </is>
      </c>
      <c r="W94">
        <f>HYPERLINK("https://klasma.github.io/Logging_2582/artfynd/A 21657-2026 artfynd.xlsx", "A 21657-2026")</f>
        <v/>
      </c>
      <c r="X94">
        <f>HYPERLINK("https://klasma.github.io/Logging_2582/kartor/A 21657-2026 karta.png", "A 21657-2026")</f>
        <v/>
      </c>
      <c r="Y94">
        <f>HYPERLINK("https://klasma.github.io/Logging_2582/kartor_geotiff/A 21657-2026 georefererad karta.tif", "A 21657-2026")</f>
        <v/>
      </c>
      <c r="AA94">
        <f>HYPERLINK("https://klasma.github.io/Logging_2582/klagomål/A 21657-2026 FSC-klagomål.docx", "A 21657-2026")</f>
        <v/>
      </c>
      <c r="AB94">
        <f>HYPERLINK("https://klasma.github.io/Logging_2582/klagomålsmail/A 21657-2026 FSC-klagomål mail.docx", "A 21657-2026")</f>
        <v/>
      </c>
      <c r="AC94">
        <f>HYPERLINK("https://klasma.github.io/Logging_2582/tillsyn/A 21657-2026 tillsynsbegäran.docx", "A 21657-2026")</f>
        <v/>
      </c>
      <c r="AD94">
        <f>HYPERLINK("https://klasma.github.io/Logging_2582/tillsynsmail/A 21657-2026 tillsynsbegäran mail.docx", "A 21657-2026")</f>
        <v/>
      </c>
      <c r="AE94">
        <f>HYPERLINK("https://klasma.github.io/Logging_2582/fåglar/A 21657-2026 prioriterade fågelarter.docx", "A 21657-2026")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46276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46276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46276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46276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33096-2026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46276</v>
      </c>
      <c r="F99" t="inlineStr">
        <is>
          <t>NORRBOTTENS LÄN</t>
        </is>
      </c>
      <c r="G99" t="inlineStr">
        <is>
          <t>BODEN</t>
        </is>
      </c>
      <c r="I99" t="n">
        <v>36.6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Skinnlav</t>
        </is>
      </c>
      <c r="W99">
        <f>HYPERLINK("https://klasma.github.io/Logging_2582/artfynd/A 33096-2026 artfynd.xlsx", "A 33096-2026")</f>
        <v/>
      </c>
      <c r="X99">
        <f>HYPERLINK("https://klasma.github.io/Logging_2582/kartor/A 33096-2026 karta.png", "A 33096-2026")</f>
        <v/>
      </c>
      <c r="Y99">
        <f>HYPERLINK("https://klasma.github.io/Logging_2582/kartor_geotiff/A 33096-2026 georefererad karta.tif", "A 33096-2026")</f>
        <v/>
      </c>
      <c r="AA99">
        <f>HYPERLINK("https://klasma.github.io/Logging_2582/klagomål/A 33096-2026 FSC-klagomål.docx", "A 33096-2026")</f>
        <v/>
      </c>
      <c r="AB99">
        <f>HYPERLINK("https://klasma.github.io/Logging_2582/klagomålsmail/A 33096-2026 FSC-klagomål mail.docx", "A 33096-2026")</f>
        <v/>
      </c>
      <c r="AC99">
        <f>HYPERLINK("https://klasma.github.io/Logging_2582/tillsyn/A 33096-2026 tillsynsbegäran.docx", "A 33096-2026")</f>
        <v/>
      </c>
      <c r="AD99">
        <f>HYPERLINK("https://klasma.github.io/Logging_2582/tillsynsmail/A 33096-2026 tillsynsbegäran mail.docx", "A 33096-2026")</f>
        <v/>
      </c>
    </row>
    <row r="100" ht="15" customHeight="1">
      <c r="A100" t="inlineStr">
        <is>
          <t>A 29881-2026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46276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Lunglav
Fläcknycklar</t>
        </is>
      </c>
      <c r="W100">
        <f>HYPERLINK("https://klasma.github.io/Logging_2582/artfynd/A 29881-2026 artfynd.xlsx", "A 29881-2026")</f>
        <v/>
      </c>
      <c r="X100">
        <f>HYPERLINK("https://klasma.github.io/Logging_2582/kartor/A 29881-2026 karta.png", "A 29881-2026")</f>
        <v/>
      </c>
      <c r="Y100">
        <f>HYPERLINK("https://klasma.github.io/Logging_2582/kartor_geotiff/A 29881-2026 georefererad karta.tif", "A 29881-2026")</f>
        <v/>
      </c>
      <c r="AA100">
        <f>HYPERLINK("https://klasma.github.io/Logging_2582/klagomål/A 29881-2026 FSC-klagomål.docx", "A 29881-2026")</f>
        <v/>
      </c>
      <c r="AB100">
        <f>HYPERLINK("https://klasma.github.io/Logging_2582/klagomålsmail/A 29881-2026 FSC-klagomål mail.docx", "A 29881-2026")</f>
        <v/>
      </c>
      <c r="AC100">
        <f>HYPERLINK("https://klasma.github.io/Logging_2582/tillsyn/A 29881-2026 tillsynsbegäran.docx", "A 29881-2026")</f>
        <v/>
      </c>
      <c r="AD100">
        <f>HYPERLINK("https://klasma.github.io/Logging_2582/tillsynsmail/A 29881-2026 tillsynsbegäran mail.docx", "A 29881-2026")</f>
        <v/>
      </c>
    </row>
    <row r="101" ht="15" customHeight="1">
      <c r="A101" t="inlineStr">
        <is>
          <t>A 33416-2026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46276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7</v>
      </c>
      <c r="J101" t="n">
        <v>1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Plattlummer</t>
        </is>
      </c>
      <c r="W101">
        <f>HYPERLINK("https://klasma.github.io/Logging_2582/artfynd/A 33416-2026 artfynd.xlsx", "A 33416-2026")</f>
        <v/>
      </c>
      <c r="X101">
        <f>HYPERLINK("https://klasma.github.io/Logging_2582/kartor/A 33416-2026 karta.png", "A 33416-2026")</f>
        <v/>
      </c>
      <c r="Y101">
        <f>HYPERLINK("https://klasma.github.io/Logging_2582/kartor_geotiff/A 33416-2026 georefererad karta.tif", "A 33416-2026")</f>
        <v/>
      </c>
      <c r="AA101">
        <f>HYPERLINK("https://klasma.github.io/Logging_2582/klagomål/A 33416-2026 FSC-klagomål.docx", "A 33416-2026")</f>
        <v/>
      </c>
      <c r="AB101">
        <f>HYPERLINK("https://klasma.github.io/Logging_2582/klagomålsmail/A 33416-2026 FSC-klagomål mail.docx", "A 33416-2026")</f>
        <v/>
      </c>
      <c r="AC101">
        <f>HYPERLINK("https://klasma.github.io/Logging_2582/tillsyn/A 33416-2026 tillsynsbegäran.docx", "A 33416-2026")</f>
        <v/>
      </c>
      <c r="AD101">
        <f>HYPERLINK("https://klasma.github.io/Logging_2582/tillsynsmail/A 33416-2026 tillsynsbegäran mail.docx", "A 33416-2026")</f>
        <v/>
      </c>
    </row>
    <row r="102" ht="15" customHeight="1">
      <c r="A102" t="inlineStr">
        <is>
          <t>A 1507-2022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44573</v>
      </c>
      <c r="E102" s="1" t="n">
        <v>46276</v>
      </c>
      <c r="F102" t="inlineStr">
        <is>
          <t>NORRBOTTENS LÄN</t>
        </is>
      </c>
      <c r="G102" t="inlineStr">
        <is>
          <t>BODEN</t>
        </is>
      </c>
      <c r="H102" t="inlineStr">
        <is>
          <t>Övriga statliga verk och myndigheter</t>
        </is>
      </c>
      <c r="I102" t="n">
        <v>15.4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Talltita
Gråspett</t>
        </is>
      </c>
      <c r="W102">
        <f>HYPERLINK("https://klasma.github.io/Logging_2582/artfynd/A 1507-2022 artfynd.xlsx", "A 1507-2022")</f>
        <v/>
      </c>
      <c r="X102">
        <f>HYPERLINK("https://klasma.github.io/Logging_2582/kartor/A 1507-2022 karta.png", "A 1507-2022")</f>
        <v/>
      </c>
      <c r="Y102">
        <f>HYPERLINK("https://klasma.github.io/Logging_2582/kartor_geotiff/A 1507-2022 georefererad karta.tif", "A 1507-2022")</f>
        <v/>
      </c>
      <c r="AA102">
        <f>HYPERLINK("https://klasma.github.io/Logging_2582/klagomål/A 1507-2022 FSC-klagomål.docx", "A 1507-2022")</f>
        <v/>
      </c>
      <c r="AB102">
        <f>HYPERLINK("https://klasma.github.io/Logging_2582/klagomålsmail/A 1507-2022 FSC-klagomål mail.docx", "A 1507-2022")</f>
        <v/>
      </c>
      <c r="AC102">
        <f>HYPERLINK("https://klasma.github.io/Logging_2582/tillsyn/A 1507-2022 tillsynsbegäran.docx", "A 1507-2022")</f>
        <v/>
      </c>
      <c r="AD102">
        <f>HYPERLINK("https://klasma.github.io/Logging_2582/tillsynsmail/A 1507-2022 tillsynsbegäran mail.docx", "A 1507-2022")</f>
        <v/>
      </c>
      <c r="AE102">
        <f>HYPERLINK("https://klasma.github.io/Logging_2582/fåglar/A 1507-2022 prioriterade fågelarter.docx", "A 1507-2022")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46276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46276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A 22906-2023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45072</v>
      </c>
      <c r="E105" s="1" t="n">
        <v>46276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3.5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Talltita
Utter</t>
        </is>
      </c>
      <c r="W105">
        <f>HYPERLINK("https://klasma.github.io/Logging_2582/artfynd/A 22906-2023 artfynd.xlsx", "A 22906-2023")</f>
        <v/>
      </c>
      <c r="X105">
        <f>HYPERLINK("https://klasma.github.io/Logging_2582/kartor/A 22906-2023 karta.png", "A 22906-2023")</f>
        <v/>
      </c>
      <c r="Y105">
        <f>HYPERLINK("https://klasma.github.io/Logging_2582/kartor_geotiff/A 22906-2023 georefererad karta.tif", "A 22906-2023")</f>
        <v/>
      </c>
      <c r="AA105">
        <f>HYPERLINK("https://klasma.github.io/Logging_2582/klagomål/A 22906-2023 FSC-klagomål.docx", "A 22906-2023")</f>
        <v/>
      </c>
      <c r="AB105">
        <f>HYPERLINK("https://klasma.github.io/Logging_2582/klagomålsmail/A 22906-2023 FSC-klagomål mail.docx", "A 22906-2023")</f>
        <v/>
      </c>
      <c r="AC105">
        <f>HYPERLINK("https://klasma.github.io/Logging_2582/tillsyn/A 22906-2023 tillsynsbegäran.docx", "A 22906-2023")</f>
        <v/>
      </c>
      <c r="AD105">
        <f>HYPERLINK("https://klasma.github.io/Logging_2582/tillsynsmail/A 22906-2023 tillsynsbegäran mail.docx", "A 22906-2023")</f>
        <v/>
      </c>
      <c r="AE105">
        <f>HYPERLINK("https://klasma.github.io/Logging_2582/fåglar/A 22906-2023 prioriterade fågelarter.docx", "A 22906-2023")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46276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46276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17292-2022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46276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Revlummer</t>
        </is>
      </c>
      <c r="W108">
        <f>HYPERLINK("https://klasma.github.io/Logging_2582/artfynd/A 17292-2022 artfynd.xlsx", "A 17292-2022")</f>
        <v/>
      </c>
      <c r="X108">
        <f>HYPERLINK("https://klasma.github.io/Logging_2582/kartor/A 17292-2022 karta.png", "A 17292-2022")</f>
        <v/>
      </c>
      <c r="Y108">
        <f>HYPERLINK("https://klasma.github.io/Logging_2582/kartor_geotiff/A 17292-2022 georefererad karta.tif", "A 17292-2022")</f>
        <v/>
      </c>
      <c r="AA108">
        <f>HYPERLINK("https://klasma.github.io/Logging_2582/klagomål/A 17292-2022 FSC-klagomål.docx", "A 17292-2022")</f>
        <v/>
      </c>
      <c r="AB108">
        <f>HYPERLINK("https://klasma.github.io/Logging_2582/klagomålsmail/A 17292-2022 FSC-klagomål mail.docx", "A 17292-2022")</f>
        <v/>
      </c>
      <c r="AC108">
        <f>HYPERLINK("https://klasma.github.io/Logging_2582/tillsyn/A 17292-2022 tillsynsbegäran.docx", "A 17292-2022")</f>
        <v/>
      </c>
      <c r="AD108">
        <f>HYPERLINK("https://klasma.github.io/Logging_2582/tillsynsmail/A 17292-2022 tillsynsbegäran mail.docx", "A 17292-2022")</f>
        <v/>
      </c>
    </row>
    <row r="109" ht="15" customHeight="1">
      <c r="A109" t="inlineStr">
        <is>
          <t>A 35418-2026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46276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4.3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8</v>
      </c>
      <c r="U109" t="n">
        <v>8</v>
      </c>
      <c r="V109" s="2" t="inlineStr">
        <is>
          <t>Knärot
Dropptaggsvamp</t>
        </is>
      </c>
      <c r="W109">
        <f>HYPERLINK("https://klasma.github.io/Logging_2582/artfynd/A 35418-2026 artfynd.xlsx", "A 35418-2026")</f>
        <v/>
      </c>
      <c r="X109">
        <f>HYPERLINK("https://klasma.github.io/Logging_2582/kartor/A 35418-2026 karta.png", "A 35418-2026")</f>
        <v/>
      </c>
      <c r="Y109">
        <f>HYPERLINK("https://klasma.github.io/Logging_2582/kartor_geotiff/A 35418-2026 georefererad karta.tif", "A 35418-2026")</f>
        <v/>
      </c>
      <c r="Z109">
        <f>HYPERLINK("https://klasma.github.io/Logging_2582/knärot/A 35418-2026 karta knärot.png", "A 35418-2026")</f>
        <v/>
      </c>
      <c r="AA109">
        <f>HYPERLINK("https://klasma.github.io/Logging_2582/klagomål/A 35418-2026 FSC-klagomål.docx", "A 35418-2026")</f>
        <v/>
      </c>
      <c r="AB109">
        <f>HYPERLINK("https://klasma.github.io/Logging_2582/klagomålsmail/A 35418-2026 FSC-klagomål mail.docx", "A 35418-2026")</f>
        <v/>
      </c>
      <c r="AC109">
        <f>HYPERLINK("https://klasma.github.io/Logging_2582/tillsyn/A 35418-2026 tillsynsbegäran.docx", "A 35418-2026")</f>
        <v/>
      </c>
      <c r="AD109">
        <f>HYPERLINK("https://klasma.github.io/Logging_2582/tillsynsmail/A 35418-2026 tillsynsbegäran mail.docx", "A 35418-2026")</f>
        <v/>
      </c>
    </row>
    <row r="110" ht="15" customHeight="1">
      <c r="A110" t="inlineStr">
        <is>
          <t>A 31233-2026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46217</v>
      </c>
      <c r="E110" s="1" t="n">
        <v>46276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18.5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Lunglav
Fläcknycklar</t>
        </is>
      </c>
      <c r="W110">
        <f>HYPERLINK("https://klasma.github.io/Logging_2582/artfynd/A 31233-2026 artfynd.xlsx", "A 31233-2026")</f>
        <v/>
      </c>
      <c r="X110">
        <f>HYPERLINK("https://klasma.github.io/Logging_2582/kartor/A 31233-2026 karta.png", "A 31233-2026")</f>
        <v/>
      </c>
      <c r="Y110">
        <f>HYPERLINK("https://klasma.github.io/Logging_2582/kartor_geotiff/A 31233-2026 georefererad karta.tif", "A 31233-2026")</f>
        <v/>
      </c>
      <c r="AA110">
        <f>HYPERLINK("https://klasma.github.io/Logging_2582/klagomål/A 31233-2026 FSC-klagomål.docx", "A 31233-2026")</f>
        <v/>
      </c>
      <c r="AB110">
        <f>HYPERLINK("https://klasma.github.io/Logging_2582/klagomålsmail/A 31233-2026 FSC-klagomål mail.docx", "A 31233-2026")</f>
        <v/>
      </c>
      <c r="AC110">
        <f>HYPERLINK("https://klasma.github.io/Logging_2582/tillsyn/A 31233-2026 tillsynsbegäran.docx", "A 31233-2026")</f>
        <v/>
      </c>
      <c r="AD110">
        <f>HYPERLINK("https://klasma.github.io/Logging_2582/tillsynsmail/A 31233-2026 tillsynsbegäran mail.docx", "A 31233-2026")</f>
        <v/>
      </c>
    </row>
    <row r="111" ht="15" customHeight="1">
      <c r="A111" t="inlineStr">
        <is>
          <t>A 35300-2026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46276</v>
      </c>
      <c r="F111" t="inlineStr">
        <is>
          <t>NORRBOTTENS LÄN</t>
        </is>
      </c>
      <c r="G111" t="inlineStr">
        <is>
          <t>BODEN</t>
        </is>
      </c>
      <c r="I111" t="n">
        <v>3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Vitgrynig nållav</t>
        </is>
      </c>
      <c r="W111">
        <f>HYPERLINK("https://klasma.github.io/Logging_2582/artfynd/A 35300-2026 artfynd.xlsx", "A 35300-2026")</f>
        <v/>
      </c>
      <c r="X111">
        <f>HYPERLINK("https://klasma.github.io/Logging_2582/kartor/A 35300-2026 karta.png", "A 35300-2026")</f>
        <v/>
      </c>
      <c r="Y111">
        <f>HYPERLINK("https://klasma.github.io/Logging_2582/kartor_geotiff/A 35300-2026 georefererad karta.tif", "A 35300-2026")</f>
        <v/>
      </c>
      <c r="AA111">
        <f>HYPERLINK("https://klasma.github.io/Logging_2582/klagomål/A 35300-2026 FSC-klagomål.docx", "A 35300-2026")</f>
        <v/>
      </c>
      <c r="AB111">
        <f>HYPERLINK("https://klasma.github.io/Logging_2582/klagomålsmail/A 35300-2026 FSC-klagomål mail.docx", "A 35300-2026")</f>
        <v/>
      </c>
      <c r="AC111">
        <f>HYPERLINK("https://klasma.github.io/Logging_2582/tillsyn/A 35300-2026 tillsynsbegäran.docx", "A 35300-2026")</f>
        <v/>
      </c>
      <c r="AD111">
        <f>HYPERLINK("https://klasma.github.io/Logging_2582/tillsynsmail/A 35300-2026 tillsynsbegäran mail.docx", "A 35300-2026")</f>
        <v/>
      </c>
    </row>
    <row r="112" ht="15" customHeight="1">
      <c r="A112" t="inlineStr">
        <is>
          <t>A 31655-2026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46225</v>
      </c>
      <c r="E112" s="1" t="n">
        <v>46276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11.1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Lunglav</t>
        </is>
      </c>
      <c r="W112">
        <f>HYPERLINK("https://klasma.github.io/Logging_2582/artfynd/A 31655-2026 artfynd.xlsx", "A 31655-2026")</f>
        <v/>
      </c>
      <c r="X112">
        <f>HYPERLINK("https://klasma.github.io/Logging_2582/kartor/A 31655-2026 karta.png", "A 31655-2026")</f>
        <v/>
      </c>
      <c r="Y112">
        <f>HYPERLINK("https://klasma.github.io/Logging_2582/kartor_geotiff/A 31655-2026 georefererad karta.tif", "A 31655-2026")</f>
        <v/>
      </c>
      <c r="AA112">
        <f>HYPERLINK("https://klasma.github.io/Logging_2582/klagomål/A 31655-2026 FSC-klagomål.docx", "A 31655-2026")</f>
        <v/>
      </c>
      <c r="AB112">
        <f>HYPERLINK("https://klasma.github.io/Logging_2582/klagomålsmail/A 31655-2026 FSC-klagomål mail.docx", "A 31655-2026")</f>
        <v/>
      </c>
      <c r="AC112">
        <f>HYPERLINK("https://klasma.github.io/Logging_2582/tillsyn/A 31655-2026 tillsynsbegäran.docx", "A 31655-2026")</f>
        <v/>
      </c>
      <c r="AD112">
        <f>HYPERLINK("https://klasma.github.io/Logging_2582/tillsynsmail/A 31655-2026 tillsynsbegäran mail.docx", "A 31655-2026")</f>
        <v/>
      </c>
    </row>
    <row r="113" ht="15" customHeight="1">
      <c r="A113" t="inlineStr">
        <is>
          <t>A 36622-2026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46270</v>
      </c>
      <c r="E113" s="1" t="n">
        <v>46276</v>
      </c>
      <c r="F113" t="inlineStr">
        <is>
          <t>NORRBOTTENS LÄN</t>
        </is>
      </c>
      <c r="G113" t="inlineStr">
        <is>
          <t>BODEN</t>
        </is>
      </c>
      <c r="I113" t="n">
        <v>11.7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Dropptaggsvamp
Revlummer</t>
        </is>
      </c>
      <c r="W113">
        <f>HYPERLINK("https://klasma.github.io/Logging_2582/artfynd/A 36622-2026 artfynd.xlsx", "A 36622-2026")</f>
        <v/>
      </c>
      <c r="X113">
        <f>HYPERLINK("https://klasma.github.io/Logging_2582/kartor/A 36622-2026 karta.png", "A 36622-2026")</f>
        <v/>
      </c>
      <c r="Y113">
        <f>HYPERLINK("https://klasma.github.io/Logging_2582/kartor_geotiff/A 36622-2026 georefererad karta.tif", "A 36622-2026")</f>
        <v/>
      </c>
      <c r="AA113">
        <f>HYPERLINK("https://klasma.github.io/Logging_2582/klagomål/A 36622-2026 FSC-klagomål.docx", "A 36622-2026")</f>
        <v/>
      </c>
      <c r="AB113">
        <f>HYPERLINK("https://klasma.github.io/Logging_2582/klagomålsmail/A 36622-2026 FSC-klagomål mail.docx", "A 36622-2026")</f>
        <v/>
      </c>
      <c r="AC113">
        <f>HYPERLINK("https://klasma.github.io/Logging_2582/tillsyn/A 36622-2026 tillsynsbegäran.docx", "A 36622-2026")</f>
        <v/>
      </c>
      <c r="AD113">
        <f>HYPERLINK("https://klasma.github.io/Logging_2582/tillsynsmail/A 36622-2026 tillsynsbegäran mail.docx", "A 36622-2026")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46276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46276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46276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2568-2024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46276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 taggsvamp</t>
        </is>
      </c>
      <c r="W117">
        <f>HYPERLINK("https://klasma.github.io/Logging_2582/artfynd/A 2568-2024 artfynd.xlsx", "A 2568-2024")</f>
        <v/>
      </c>
      <c r="X117">
        <f>HYPERLINK("https://klasma.github.io/Logging_2582/kartor/A 2568-2024 karta.png", "A 2568-2024")</f>
        <v/>
      </c>
      <c r="Y117">
        <f>HYPERLINK("https://klasma.github.io/Logging_2582/kartor_geotiff/A 2568-2024 georefererad karta.tif", "A 2568-2024")</f>
        <v/>
      </c>
      <c r="AA117">
        <f>HYPERLINK("https://klasma.github.io/Logging_2582/klagomål/A 2568-2024 FSC-klagomål.docx", "A 2568-2024")</f>
        <v/>
      </c>
      <c r="AB117">
        <f>HYPERLINK("https://klasma.github.io/Logging_2582/klagomålsmail/A 2568-2024 FSC-klagomål mail.docx", "A 2568-2024")</f>
        <v/>
      </c>
      <c r="AC117">
        <f>HYPERLINK("https://klasma.github.io/Logging_2582/tillsyn/A 2568-2024 tillsynsbegäran.docx", "A 2568-2024")</f>
        <v/>
      </c>
      <c r="AD117">
        <f>HYPERLINK("https://klasma.github.io/Logging_2582/tillsynsmail/A 2568-2024 tillsynsbegäran mail.docx", "A 2568-2024")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46276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46276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52078-2021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46276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4</v>
      </c>
      <c r="V120" s="2" t="inlineStr">
        <is>
          <t>Knärot</t>
        </is>
      </c>
      <c r="W120">
        <f>HYPERLINK("https://klasma.github.io/Logging_2582/artfynd/A 52078-2021 artfynd.xlsx", "A 52078-2021")</f>
        <v/>
      </c>
      <c r="X120">
        <f>HYPERLINK("https://klasma.github.io/Logging_2582/kartor/A 52078-2021 karta.png", "A 52078-2021")</f>
        <v/>
      </c>
      <c r="Y120">
        <f>HYPERLINK("https://klasma.github.io/Logging_2582/kartor_geotiff/A 52078-2021 georefererad karta.tif", "A 52078-2021")</f>
        <v/>
      </c>
      <c r="Z120">
        <f>HYPERLINK("https://klasma.github.io/Logging_2582/knärot/A 52078-2021 karta knärot.png", "A 52078-2021")</f>
        <v/>
      </c>
      <c r="AA120">
        <f>HYPERLINK("https://klasma.github.io/Logging_2582/klagomål/A 52078-2021 FSC-klagomål.docx", "A 52078-2021")</f>
        <v/>
      </c>
      <c r="AB120">
        <f>HYPERLINK("https://klasma.github.io/Logging_2582/klagomålsmail/A 52078-2021 FSC-klagomål mail.docx", "A 52078-2021")</f>
        <v/>
      </c>
      <c r="AC120">
        <f>HYPERLINK("https://klasma.github.io/Logging_2582/tillsyn/A 52078-2021 tillsynsbegäran.docx", "A 52078-2021")</f>
        <v/>
      </c>
      <c r="AD120">
        <f>HYPERLINK("https://klasma.github.io/Logging_2582/tillsynsmail/A 52078-2021 tillsynsbegäran mail.docx", "A 52078-2021")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46276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68514-2021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46276</v>
      </c>
      <c r="F122" t="inlineStr">
        <is>
          <t>NORRBOTTENS LÄN</t>
        </is>
      </c>
      <c r="G122" t="inlineStr">
        <is>
          <t>BODEN</t>
        </is>
      </c>
      <c r="I122" t="n">
        <v>6.2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HYPERLINK("https://klasma.github.io/Logging_2582/artfynd/A 68514-2021 artfynd.xlsx", "A 68514-2021")</f>
        <v/>
      </c>
      <c r="X122">
        <f>HYPERLINK("https://klasma.github.io/Logging_2582/kartor/A 68514-2021 karta.png", "A 68514-2021")</f>
        <v/>
      </c>
      <c r="Y122">
        <f>HYPERLINK("https://klasma.github.io/Logging_2582/kartor_geotiff/A 68514-2021 georefererad karta.tif", "A 68514-2021")</f>
        <v/>
      </c>
      <c r="Z122">
        <f>HYPERLINK("https://klasma.github.io/Logging_2582/knärot/A 68514-2021 karta knärot.png", "A 68514-2021")</f>
        <v/>
      </c>
      <c r="AA122">
        <f>HYPERLINK("https://klasma.github.io/Logging_2582/klagomål/A 68514-2021 FSC-klagomål.docx", "A 68514-2021")</f>
        <v/>
      </c>
      <c r="AB122">
        <f>HYPERLINK("https://klasma.github.io/Logging_2582/klagomålsmail/A 68514-2021 FSC-klagomål mail.docx", "A 68514-2021")</f>
        <v/>
      </c>
      <c r="AC122">
        <f>HYPERLINK("https://klasma.github.io/Logging_2582/tillsyn/A 68514-2021 tillsynsbegäran.docx", "A 68514-2021")</f>
        <v/>
      </c>
      <c r="AD122">
        <f>HYPERLINK("https://klasma.github.io/Logging_2582/tillsynsmail/A 68514-2021 tillsynsbegäran mail.docx", "A 68514-2021")</f>
        <v/>
      </c>
      <c r="AE122">
        <f>HYPERLINK("https://klasma.github.io/Logging_2582/fåglar/A 68514-2021 prioriterade fågelarter.docx", "A 68514-2021")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46276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46276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4878-2026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46276</v>
      </c>
      <c r="F125" t="inlineStr">
        <is>
          <t>NORRBOTTENS LÄN</t>
        </is>
      </c>
      <c r="G125" t="inlineStr">
        <is>
          <t>BODEN</t>
        </is>
      </c>
      <c r="I125" t="n">
        <v>1.8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padda</t>
        </is>
      </c>
      <c r="W125">
        <f>HYPERLINK("https://klasma.github.io/Logging_2582/artfynd/A 4878-2026 artfynd.xlsx", "A 4878-2026")</f>
        <v/>
      </c>
      <c r="X125">
        <f>HYPERLINK("https://klasma.github.io/Logging_2582/kartor/A 4878-2026 karta.png", "A 4878-2026")</f>
        <v/>
      </c>
      <c r="Y125">
        <f>HYPERLINK("https://klasma.github.io/Logging_2582/kartor_geotiff/A 4878-2026 georefererad karta.tif", "A 4878-2026")</f>
        <v/>
      </c>
      <c r="AA125">
        <f>HYPERLINK("https://klasma.github.io/Logging_2582/klagomål/A 4878-2026 FSC-klagomål.docx", "A 4878-2026")</f>
        <v/>
      </c>
      <c r="AB125">
        <f>HYPERLINK("https://klasma.github.io/Logging_2582/klagomålsmail/A 4878-2026 FSC-klagomål mail.docx", "A 4878-2026")</f>
        <v/>
      </c>
      <c r="AC125">
        <f>HYPERLINK("https://klasma.github.io/Logging_2582/tillsyn/A 4878-2026 tillsynsbegäran.docx", "A 4878-2026")</f>
        <v/>
      </c>
      <c r="AD125">
        <f>HYPERLINK("https://klasma.github.io/Logging_2582/tillsynsmail/A 4878-2026 tillsynsbegäran mail.docx", "A 4878-2026")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46276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26359-2022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46276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Tallticka</t>
        </is>
      </c>
      <c r="W127">
        <f>HYPERLINK("https://klasma.github.io/Logging_2582/artfynd/A 26359-2022 artfynd.xlsx", "A 26359-2022")</f>
        <v/>
      </c>
      <c r="X127">
        <f>HYPERLINK("https://klasma.github.io/Logging_2582/kartor/A 26359-2022 karta.png", "A 26359-2022")</f>
        <v/>
      </c>
      <c r="Y127">
        <f>HYPERLINK("https://klasma.github.io/Logging_2582/kartor_geotiff/A 26359-2022 georefererad karta.tif", "A 26359-2022")</f>
        <v/>
      </c>
      <c r="AA127">
        <f>HYPERLINK("https://klasma.github.io/Logging_2582/klagomål/A 26359-2022 FSC-klagomål.docx", "A 26359-2022")</f>
        <v/>
      </c>
      <c r="AB127">
        <f>HYPERLINK("https://klasma.github.io/Logging_2582/klagomålsmail/A 26359-2022 FSC-klagomål mail.docx", "A 26359-2022")</f>
        <v/>
      </c>
      <c r="AC127">
        <f>HYPERLINK("https://klasma.github.io/Logging_2582/tillsyn/A 26359-2022 tillsynsbegäran.docx", "A 26359-2022")</f>
        <v/>
      </c>
      <c r="AD127">
        <f>HYPERLINK("https://klasma.github.io/Logging_2582/tillsynsmail/A 26359-2022 tillsynsbegäran mail.docx", "A 26359-2022")</f>
        <v/>
      </c>
    </row>
    <row r="128" ht="15" customHeight="1">
      <c r="A128" t="inlineStr">
        <is>
          <t>A 38511-2025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46276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5.3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HYPERLINK("https://klasma.github.io/Logging_2582/artfynd/A 38511-2025 artfynd.xlsx", "A 38511-2025")</f>
        <v/>
      </c>
      <c r="X128">
        <f>HYPERLINK("https://klasma.github.io/Logging_2582/kartor/A 38511-2025 karta.png", "A 38511-2025")</f>
        <v/>
      </c>
      <c r="Y128">
        <f>HYPERLINK("https://klasma.github.io/Logging_2582/kartor_geotiff/A 38511-2025 georefererad karta.tif", "A 38511-2025")</f>
        <v/>
      </c>
      <c r="Z128">
        <f>HYPERLINK("https://klasma.github.io/Logging_2582/knärot/A 38511-2025 karta knärot.png", "A 38511-2025")</f>
        <v/>
      </c>
      <c r="AA128">
        <f>HYPERLINK("https://klasma.github.io/Logging_2582/klagomål/A 38511-2025 FSC-klagomål.docx", "A 38511-2025")</f>
        <v/>
      </c>
      <c r="AB128">
        <f>HYPERLINK("https://klasma.github.io/Logging_2582/klagomålsmail/A 38511-2025 FSC-klagomål mail.docx", "A 38511-2025")</f>
        <v/>
      </c>
      <c r="AC128">
        <f>HYPERLINK("https://klasma.github.io/Logging_2582/tillsyn/A 38511-2025 tillsynsbegäran.docx", "A 38511-2025")</f>
        <v/>
      </c>
      <c r="AD128">
        <f>HYPERLINK("https://klasma.github.io/Logging_2582/tillsynsmail/A 38511-2025 tillsynsbegäran mail.docx", "A 38511-2025")</f>
        <v/>
      </c>
    </row>
    <row r="129" ht="15" customHeight="1">
      <c r="A129" t="inlineStr">
        <is>
          <t>A 49410-2023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46276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49410-2023 artfynd.xlsx", "A 49410-2023")</f>
        <v/>
      </c>
      <c r="X129">
        <f>HYPERLINK("https://klasma.github.io/Logging_2582/kartor/A 49410-2023 karta.png", "A 49410-2023")</f>
        <v/>
      </c>
      <c r="Y129">
        <f>HYPERLINK("https://klasma.github.io/Logging_2582/kartor_geotiff/A 49410-2023 georefererad karta.tif", "A 49410-2023")</f>
        <v/>
      </c>
      <c r="AA129">
        <f>HYPERLINK("https://klasma.github.io/Logging_2582/klagomål/A 49410-2023 FSC-klagomål.docx", "A 49410-2023")</f>
        <v/>
      </c>
      <c r="AB129">
        <f>HYPERLINK("https://klasma.github.io/Logging_2582/klagomålsmail/A 49410-2023 FSC-klagomål mail.docx", "A 49410-2023")</f>
        <v/>
      </c>
      <c r="AC129">
        <f>HYPERLINK("https://klasma.github.io/Logging_2582/tillsyn/A 49410-2023 tillsynsbegäran.docx", "A 49410-2023")</f>
        <v/>
      </c>
      <c r="AD129">
        <f>HYPERLINK("https://klasma.github.io/Logging_2582/tillsynsmail/A 49410-2023 tillsynsbegäran mail.docx", "A 49410-2023")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46276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46276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46276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46276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46276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46276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46276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54563-2025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46276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54563-2025 artfynd.xlsx", "A 54563-2025")</f>
        <v/>
      </c>
      <c r="X137">
        <f>HYPERLINK("https://klasma.github.io/Logging_2582/kartor/A 54563-2025 karta.png", "A 54563-2025")</f>
        <v/>
      </c>
      <c r="Y137">
        <f>HYPERLINK("https://klasma.github.io/Logging_2582/kartor_geotiff/A 54563-2025 georefererad karta.tif", "A 54563-2025")</f>
        <v/>
      </c>
      <c r="AA137">
        <f>HYPERLINK("https://klasma.github.io/Logging_2582/klagomål/A 54563-2025 FSC-klagomål.docx", "A 54563-2025")</f>
        <v/>
      </c>
      <c r="AB137">
        <f>HYPERLINK("https://klasma.github.io/Logging_2582/klagomålsmail/A 54563-2025 FSC-klagomål mail.docx", "A 54563-2025")</f>
        <v/>
      </c>
      <c r="AC137">
        <f>HYPERLINK("https://klasma.github.io/Logging_2582/tillsyn/A 54563-2025 tillsynsbegäran.docx", "A 54563-2025")</f>
        <v/>
      </c>
      <c r="AD137">
        <f>HYPERLINK("https://klasma.github.io/Logging_2582/tillsynsmail/A 54563-2025 tillsynsbegäran mail.docx", "A 54563-2025")</f>
        <v/>
      </c>
    </row>
    <row r="138" ht="15" customHeight="1">
      <c r="A138" t="inlineStr">
        <is>
          <t>A 54833-2025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46276</v>
      </c>
      <c r="F138" t="inlineStr">
        <is>
          <t>NORRBOTTENS LÄN</t>
        </is>
      </c>
      <c r="G138" t="inlineStr">
        <is>
          <t>BODEN</t>
        </is>
      </c>
      <c r="I138" t="n">
        <v>2.5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Utter</t>
        </is>
      </c>
      <c r="W138">
        <f>HYPERLINK("https://klasma.github.io/Logging_2582/artfynd/A 54833-2025 artfynd.xlsx", "A 54833-2025")</f>
        <v/>
      </c>
      <c r="X138">
        <f>HYPERLINK("https://klasma.github.io/Logging_2582/kartor/A 54833-2025 karta.png", "A 54833-2025")</f>
        <v/>
      </c>
      <c r="Y138">
        <f>HYPERLINK("https://klasma.github.io/Logging_2582/kartor_geotiff/A 54833-2025 georefererad karta.tif", "A 54833-2025")</f>
        <v/>
      </c>
      <c r="AA138">
        <f>HYPERLINK("https://klasma.github.io/Logging_2582/klagomål/A 54833-2025 FSC-klagomål.docx", "A 54833-2025")</f>
        <v/>
      </c>
      <c r="AB138">
        <f>HYPERLINK("https://klasma.github.io/Logging_2582/klagomålsmail/A 54833-2025 FSC-klagomål mail.docx", "A 54833-2025")</f>
        <v/>
      </c>
      <c r="AC138">
        <f>HYPERLINK("https://klasma.github.io/Logging_2582/tillsyn/A 54833-2025 tillsynsbegäran.docx", "A 54833-2025")</f>
        <v/>
      </c>
      <c r="AD138">
        <f>HYPERLINK("https://klasma.github.io/Logging_2582/tillsynsmail/A 54833-2025 tillsynsbegäran mail.docx", "A 54833-2025")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46276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14329-2026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46276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HYPERLINK("https://klasma.github.io/Logging_2582/artfynd/A 14329-2026 artfynd.xlsx", "A 14329-2026")</f>
        <v/>
      </c>
      <c r="X140">
        <f>HYPERLINK("https://klasma.github.io/Logging_2582/kartor/A 14329-2026 karta.png", "A 14329-2026")</f>
        <v/>
      </c>
      <c r="Y140">
        <f>HYPERLINK("https://klasma.github.io/Logging_2582/kartor_geotiff/A 14329-2026 georefererad karta.tif", "A 14329-2026")</f>
        <v/>
      </c>
      <c r="AA140">
        <f>HYPERLINK("https://klasma.github.io/Logging_2582/klagomål/A 14329-2026 FSC-klagomål.docx", "A 14329-2026")</f>
        <v/>
      </c>
      <c r="AB140">
        <f>HYPERLINK("https://klasma.github.io/Logging_2582/klagomålsmail/A 14329-2026 FSC-klagomål mail.docx", "A 14329-2026")</f>
        <v/>
      </c>
      <c r="AC140">
        <f>HYPERLINK("https://klasma.github.io/Logging_2582/tillsyn/A 14329-2026 tillsynsbegäran.docx", "A 14329-2026")</f>
        <v/>
      </c>
      <c r="AD140">
        <f>HYPERLINK("https://klasma.github.io/Logging_2582/tillsynsmail/A 14329-2026 tillsynsbegäran mail.docx", "A 14329-2026")</f>
        <v/>
      </c>
      <c r="AE140">
        <f>HYPERLINK("https://klasma.github.io/Logging_2582/fåglar/A 14329-2026 prioriterade fågelarter.docx", "A 14329-2026")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46276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46276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46276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36743-2024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46276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36743-2024 artfynd.xlsx", "A 36743-2024")</f>
        <v/>
      </c>
      <c r="X144">
        <f>HYPERLINK("https://klasma.github.io/Logging_2582/kartor/A 36743-2024 karta.png", "A 36743-2024")</f>
        <v/>
      </c>
      <c r="Y144">
        <f>HYPERLINK("https://klasma.github.io/Logging_2582/kartor_geotiff/A 36743-2024 georefererad karta.tif", "A 36743-2024")</f>
        <v/>
      </c>
      <c r="AA144">
        <f>HYPERLINK("https://klasma.github.io/Logging_2582/klagomål/A 36743-2024 FSC-klagomål.docx", "A 36743-2024")</f>
        <v/>
      </c>
      <c r="AB144">
        <f>HYPERLINK("https://klasma.github.io/Logging_2582/klagomålsmail/A 36743-2024 FSC-klagomål mail.docx", "A 36743-2024")</f>
        <v/>
      </c>
      <c r="AC144">
        <f>HYPERLINK("https://klasma.github.io/Logging_2582/tillsyn/A 36743-2024 tillsynsbegäran.docx", "A 36743-2024")</f>
        <v/>
      </c>
      <c r="AD144">
        <f>HYPERLINK("https://klasma.github.io/Logging_2582/tillsynsmail/A 36743-2024 tillsynsbegäran mail.docx", "A 36743-2024")</f>
        <v/>
      </c>
    </row>
    <row r="145" ht="15" customHeight="1">
      <c r="A145" t="inlineStr">
        <is>
          <t>A 32600-2024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45513</v>
      </c>
      <c r="E145" s="1" t="n">
        <v>46276</v>
      </c>
      <c r="F145" t="inlineStr">
        <is>
          <t>NORRBOTTENS LÄN</t>
        </is>
      </c>
      <c r="G145" t="inlineStr">
        <is>
          <t>BODEN</t>
        </is>
      </c>
      <c r="I145" t="n">
        <v>2.5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HYPERLINK("https://klasma.github.io/Logging_2582/artfynd/A 32600-2024 artfynd.xlsx", "A 32600-2024")</f>
        <v/>
      </c>
      <c r="X145">
        <f>HYPERLINK("https://klasma.github.io/Logging_2582/kartor/A 32600-2024 karta.png", "A 32600-2024")</f>
        <v/>
      </c>
      <c r="Y145">
        <f>HYPERLINK("https://klasma.github.io/Logging_2582/kartor_geotiff/A 32600-2024 georefererad karta.tif", "A 32600-2024")</f>
        <v/>
      </c>
      <c r="AA145">
        <f>HYPERLINK("https://klasma.github.io/Logging_2582/klagomål/A 32600-2024 FSC-klagomål.docx", "A 32600-2024")</f>
        <v/>
      </c>
      <c r="AB145">
        <f>HYPERLINK("https://klasma.github.io/Logging_2582/klagomålsmail/A 32600-2024 FSC-klagomål mail.docx", "A 32600-2024")</f>
        <v/>
      </c>
      <c r="AC145">
        <f>HYPERLINK("https://klasma.github.io/Logging_2582/tillsyn/A 32600-2024 tillsynsbegäran.docx", "A 32600-2024")</f>
        <v/>
      </c>
      <c r="AD145">
        <f>HYPERLINK("https://klasma.github.io/Logging_2582/tillsynsmail/A 32600-2024 tillsynsbegäran mail.docx", "A 32600-2024")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46276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665-2023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44925</v>
      </c>
      <c r="E147" s="1" t="n">
        <v>46276</v>
      </c>
      <c r="F147" t="inlineStr">
        <is>
          <t>NORRBOTTENS LÄN</t>
        </is>
      </c>
      <c r="G147" t="inlineStr">
        <is>
          <t>BODEN</t>
        </is>
      </c>
      <c r="I147" t="n">
        <v>0.9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Duvhök</t>
        </is>
      </c>
      <c r="W147">
        <f>HYPERLINK("https://klasma.github.io/Logging_2582/artfynd/A 665-2023 artfynd.xlsx", "A 665-2023")</f>
        <v/>
      </c>
      <c r="X147">
        <f>HYPERLINK("https://klasma.github.io/Logging_2582/kartor/A 665-2023 karta.png", "A 665-2023")</f>
        <v/>
      </c>
      <c r="Y147">
        <f>HYPERLINK("https://klasma.github.io/Logging_2582/kartor_geotiff/A 665-2023 georefererad karta.tif", "A 665-2023")</f>
        <v/>
      </c>
      <c r="AA147">
        <f>HYPERLINK("https://klasma.github.io/Logging_2582/klagomål/A 665-2023 FSC-klagomål.docx", "A 665-2023")</f>
        <v/>
      </c>
      <c r="AB147">
        <f>HYPERLINK("https://klasma.github.io/Logging_2582/klagomålsmail/A 665-2023 FSC-klagomål mail.docx", "A 665-2023")</f>
        <v/>
      </c>
      <c r="AC147">
        <f>HYPERLINK("https://klasma.github.io/Logging_2582/tillsyn/A 665-2023 tillsynsbegäran.docx", "A 665-2023")</f>
        <v/>
      </c>
      <c r="AD147">
        <f>HYPERLINK("https://klasma.github.io/Logging_2582/tillsynsmail/A 665-2023 tillsynsbegäran mail.docx", "A 665-2023")</f>
        <v/>
      </c>
      <c r="AE147">
        <f>HYPERLINK("https://klasma.github.io/Logging_2582/fåglar/A 665-2023 prioriterade fågelarter.docx", "A 665-2023")</f>
        <v/>
      </c>
    </row>
    <row r="148" ht="15" customHeight="1">
      <c r="A148" t="inlineStr">
        <is>
          <t>A 12832-2022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46276</v>
      </c>
      <c r="F148" t="inlineStr">
        <is>
          <t>NORRBOTTENS LÄN</t>
        </is>
      </c>
      <c r="G148" t="inlineStr">
        <is>
          <t>BODEN</t>
        </is>
      </c>
      <c r="I148" t="n">
        <v>6.6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Doftticka</t>
        </is>
      </c>
      <c r="W148">
        <f>HYPERLINK("https://klasma.github.io/Logging_2582/artfynd/A 12832-2022 artfynd.xlsx", "A 12832-2022")</f>
        <v/>
      </c>
      <c r="X148">
        <f>HYPERLINK("https://klasma.github.io/Logging_2582/kartor/A 12832-2022 karta.png", "A 12832-2022")</f>
        <v/>
      </c>
      <c r="Y148">
        <f>HYPERLINK("https://klasma.github.io/Logging_2582/kartor_geotiff/A 12832-2022 georefererad karta.tif", "A 12832-2022")</f>
        <v/>
      </c>
      <c r="AA148">
        <f>HYPERLINK("https://klasma.github.io/Logging_2582/klagomål/A 12832-2022 FSC-klagomål.docx", "A 12832-2022")</f>
        <v/>
      </c>
      <c r="AB148">
        <f>HYPERLINK("https://klasma.github.io/Logging_2582/klagomålsmail/A 12832-2022 FSC-klagomål mail.docx", "A 12832-2022")</f>
        <v/>
      </c>
      <c r="AC148">
        <f>HYPERLINK("https://klasma.github.io/Logging_2582/tillsyn/A 12832-2022 tillsynsbegäran.docx", "A 12832-2022")</f>
        <v/>
      </c>
      <c r="AD148">
        <f>HYPERLINK("https://klasma.github.io/Logging_2582/tillsynsmail/A 12832-2022 tillsynsbegäran mail.docx", "A 12832-2022")</f>
        <v/>
      </c>
    </row>
    <row r="149" ht="15" customHeight="1">
      <c r="A149" t="inlineStr">
        <is>
          <t>A 21310-2026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46276</v>
      </c>
      <c r="F149" t="inlineStr">
        <is>
          <t>NORRBOTTENS LÄN</t>
        </is>
      </c>
      <c r="G149" t="inlineStr">
        <is>
          <t>BODEN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HYPERLINK("https://klasma.github.io/Logging_2582/artfynd/A 21310-2026 artfynd.xlsx", "A 21310-2026")</f>
        <v/>
      </c>
      <c r="X149">
        <f>HYPERLINK("https://klasma.github.io/Logging_2582/kartor/A 21310-2026 karta.png", "A 21310-2026")</f>
        <v/>
      </c>
      <c r="Y149">
        <f>HYPERLINK("https://klasma.github.io/Logging_2582/kartor_geotiff/A 21310-2026 georefererad karta.tif", "A 21310-2026")</f>
        <v/>
      </c>
      <c r="AA149">
        <f>HYPERLINK("https://klasma.github.io/Logging_2582/klagomål/A 21310-2026 FSC-klagomål.docx", "A 21310-2026")</f>
        <v/>
      </c>
      <c r="AB149">
        <f>HYPERLINK("https://klasma.github.io/Logging_2582/klagomålsmail/A 21310-2026 FSC-klagomål mail.docx", "A 21310-2026")</f>
        <v/>
      </c>
      <c r="AC149">
        <f>HYPERLINK("https://klasma.github.io/Logging_2582/tillsyn/A 21310-2026 tillsynsbegäran.docx", "A 21310-2026")</f>
        <v/>
      </c>
      <c r="AD149">
        <f>HYPERLINK("https://klasma.github.io/Logging_2582/tillsynsmail/A 21310-2026 tillsynsbegäran mail.docx", "A 21310-2026")</f>
        <v/>
      </c>
    </row>
    <row r="150" ht="15" customHeight="1">
      <c r="A150" t="inlineStr">
        <is>
          <t>A 41087-2024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45559</v>
      </c>
      <c r="E150" s="1" t="n">
        <v>46276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HYPERLINK("https://klasma.github.io/Logging_2582/artfynd/A 41087-2024 artfynd.xlsx", "A 41087-2024")</f>
        <v/>
      </c>
      <c r="X150">
        <f>HYPERLINK("https://klasma.github.io/Logging_2582/kartor/A 41087-2024 karta.png", "A 41087-2024")</f>
        <v/>
      </c>
      <c r="Y150">
        <f>HYPERLINK("https://klasma.github.io/Logging_2582/kartor_geotiff/A 41087-2024 georefererad karta.tif", "A 41087-2024")</f>
        <v/>
      </c>
      <c r="AA150">
        <f>HYPERLINK("https://klasma.github.io/Logging_2582/klagomål/A 41087-2024 FSC-klagomål.docx", "A 41087-2024")</f>
        <v/>
      </c>
      <c r="AB150">
        <f>HYPERLINK("https://klasma.github.io/Logging_2582/klagomålsmail/A 41087-2024 FSC-klagomål mail.docx", "A 41087-2024")</f>
        <v/>
      </c>
      <c r="AC150">
        <f>HYPERLINK("https://klasma.github.io/Logging_2582/tillsyn/A 41087-2024 tillsynsbegäran.docx", "A 41087-2024")</f>
        <v/>
      </c>
      <c r="AD150">
        <f>HYPERLINK("https://klasma.github.io/Logging_2582/tillsynsmail/A 41087-2024 tillsynsbegäran mail.docx", "A 41087-2024")</f>
        <v/>
      </c>
    </row>
    <row r="151" ht="15" customHeight="1">
      <c r="A151" t="inlineStr">
        <is>
          <t>A 24429-2026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46276</v>
      </c>
      <c r="F151" t="inlineStr">
        <is>
          <t>NORRBOTTENS LÄN</t>
        </is>
      </c>
      <c r="G151" t="inlineStr">
        <is>
          <t>BODEN</t>
        </is>
      </c>
      <c r="I151" t="n">
        <v>0.5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Fläcknycklar</t>
        </is>
      </c>
      <c r="W151">
        <f>HYPERLINK("https://klasma.github.io/Logging_2582/artfynd/A 24429-2026 artfynd.xlsx", "A 24429-2026")</f>
        <v/>
      </c>
      <c r="X151">
        <f>HYPERLINK("https://klasma.github.io/Logging_2582/kartor/A 24429-2026 karta.png", "A 24429-2026")</f>
        <v/>
      </c>
      <c r="Y151">
        <f>HYPERLINK("https://klasma.github.io/Logging_2582/kartor_geotiff/A 24429-2026 georefererad karta.tif", "A 24429-2026")</f>
        <v/>
      </c>
      <c r="AA151">
        <f>HYPERLINK("https://klasma.github.io/Logging_2582/klagomål/A 24429-2026 FSC-klagomål.docx", "A 24429-2026")</f>
        <v/>
      </c>
      <c r="AB151">
        <f>HYPERLINK("https://klasma.github.io/Logging_2582/klagomålsmail/A 24429-2026 FSC-klagomål mail.docx", "A 24429-2026")</f>
        <v/>
      </c>
      <c r="AC151">
        <f>HYPERLINK("https://klasma.github.io/Logging_2582/tillsyn/A 24429-2026 tillsynsbegäran.docx", "A 24429-2026")</f>
        <v/>
      </c>
      <c r="AD151">
        <f>HYPERLINK("https://klasma.github.io/Logging_2582/tillsynsmail/A 24429-2026 tillsynsbegäran mail.docx", "A 24429-2026")</f>
        <v/>
      </c>
    </row>
    <row r="152" ht="15" customHeight="1">
      <c r="A152" t="inlineStr">
        <is>
          <t>A 25805-2026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46276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3.6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Plattlummer</t>
        </is>
      </c>
      <c r="W152">
        <f>HYPERLINK("https://klasma.github.io/Logging_2582/artfynd/A 25805-2026 artfynd.xlsx", "A 25805-2026")</f>
        <v/>
      </c>
      <c r="X152">
        <f>HYPERLINK("https://klasma.github.io/Logging_2582/kartor/A 25805-2026 karta.png", "A 25805-2026")</f>
        <v/>
      </c>
      <c r="Y152">
        <f>HYPERLINK("https://klasma.github.io/Logging_2582/kartor_geotiff/A 25805-2026 georefererad karta.tif", "A 25805-2026")</f>
        <v/>
      </c>
      <c r="AA152">
        <f>HYPERLINK("https://klasma.github.io/Logging_2582/klagomål/A 25805-2026 FSC-klagomål.docx", "A 25805-2026")</f>
        <v/>
      </c>
      <c r="AB152">
        <f>HYPERLINK("https://klasma.github.io/Logging_2582/klagomålsmail/A 25805-2026 FSC-klagomål mail.docx", "A 25805-2026")</f>
        <v/>
      </c>
      <c r="AC152">
        <f>HYPERLINK("https://klasma.github.io/Logging_2582/tillsyn/A 25805-2026 tillsynsbegäran.docx", "A 25805-2026")</f>
        <v/>
      </c>
      <c r="AD152">
        <f>HYPERLINK("https://klasma.github.io/Logging_2582/tillsynsmail/A 25805-2026 tillsynsbegäran mail.docx", "A 25805-2026")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46276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25801-2026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46276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25801-2026 artfynd.xlsx", "A 25801-2026")</f>
        <v/>
      </c>
      <c r="X154">
        <f>HYPERLINK("https://klasma.github.io/Logging_2582/kartor/A 25801-2026 karta.png", "A 25801-2026")</f>
        <v/>
      </c>
      <c r="Y154">
        <f>HYPERLINK("https://klasma.github.io/Logging_2582/kartor_geotiff/A 25801-2026 georefererad karta.tif", "A 25801-2026")</f>
        <v/>
      </c>
      <c r="Z154">
        <f>HYPERLINK("https://klasma.github.io/Logging_2582/knärot/A 25801-2026 karta knärot.png", "A 25801-2026")</f>
        <v/>
      </c>
      <c r="AA154">
        <f>HYPERLINK("https://klasma.github.io/Logging_2582/klagomål/A 25801-2026 FSC-klagomål.docx", "A 25801-2026")</f>
        <v/>
      </c>
      <c r="AB154">
        <f>HYPERLINK("https://klasma.github.io/Logging_2582/klagomålsmail/A 25801-2026 FSC-klagomål mail.docx", "A 25801-2026")</f>
        <v/>
      </c>
      <c r="AC154">
        <f>HYPERLINK("https://klasma.github.io/Logging_2582/tillsyn/A 25801-2026 tillsynsbegäran.docx", "A 25801-2026")</f>
        <v/>
      </c>
      <c r="AD154">
        <f>HYPERLINK("https://klasma.github.io/Logging_2582/tillsynsmail/A 25801-2026 tillsynsbegäran mail.docx", "A 25801-2026")</f>
        <v/>
      </c>
    </row>
    <row r="155" ht="15" customHeight="1">
      <c r="A155" t="inlineStr">
        <is>
          <t>A 26438-2026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46276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Kolflarnlav</t>
        </is>
      </c>
      <c r="W155">
        <f>HYPERLINK("https://klasma.github.io/Logging_2582/artfynd/A 26438-2026 artfynd.xlsx", "A 26438-2026")</f>
        <v/>
      </c>
      <c r="X155">
        <f>HYPERLINK("https://klasma.github.io/Logging_2582/kartor/A 26438-2026 karta.png", "A 26438-2026")</f>
        <v/>
      </c>
      <c r="Y155">
        <f>HYPERLINK("https://klasma.github.io/Logging_2582/kartor_geotiff/A 26438-2026 georefererad karta.tif", "A 26438-2026")</f>
        <v/>
      </c>
      <c r="AA155">
        <f>HYPERLINK("https://klasma.github.io/Logging_2582/klagomål/A 26438-2026 FSC-klagomål.docx", "A 26438-2026")</f>
        <v/>
      </c>
      <c r="AB155">
        <f>HYPERLINK("https://klasma.github.io/Logging_2582/klagomålsmail/A 26438-2026 FSC-klagomål mail.docx", "A 26438-2026")</f>
        <v/>
      </c>
      <c r="AC155">
        <f>HYPERLINK("https://klasma.github.io/Logging_2582/tillsyn/A 26438-2026 tillsynsbegäran.docx", "A 26438-2026")</f>
        <v/>
      </c>
      <c r="AD155">
        <f>HYPERLINK("https://klasma.github.io/Logging_2582/tillsynsmail/A 26438-2026 tillsynsbegäran mail.docx", "A 26438-2026")</f>
        <v/>
      </c>
    </row>
    <row r="156" ht="15" customHeight="1">
      <c r="A156" t="inlineStr">
        <is>
          <t>A 26690-2026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46184</v>
      </c>
      <c r="E156" s="1" t="n">
        <v>46276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11.9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HYPERLINK("https://klasma.github.io/Logging_2582/artfynd/A 26690-2026 artfynd.xlsx", "A 26690-2026")</f>
        <v/>
      </c>
      <c r="X156">
        <f>HYPERLINK("https://klasma.github.io/Logging_2582/kartor/A 26690-2026 karta.png", "A 26690-2026")</f>
        <v/>
      </c>
      <c r="Y156">
        <f>HYPERLINK("https://klasma.github.io/Logging_2582/kartor_geotiff/A 26690-2026 georefererad karta.tif", "A 26690-2026")</f>
        <v/>
      </c>
      <c r="Z156">
        <f>HYPERLINK("https://klasma.github.io/Logging_2582/knärot/A 26690-2026 karta knärot.png", "A 26690-2026")</f>
        <v/>
      </c>
      <c r="AA156">
        <f>HYPERLINK("https://klasma.github.io/Logging_2582/klagomål/A 26690-2026 FSC-klagomål.docx", "A 26690-2026")</f>
        <v/>
      </c>
      <c r="AB156">
        <f>HYPERLINK("https://klasma.github.io/Logging_2582/klagomålsmail/A 26690-2026 FSC-klagomål mail.docx", "A 26690-2026")</f>
        <v/>
      </c>
      <c r="AC156">
        <f>HYPERLINK("https://klasma.github.io/Logging_2582/tillsyn/A 26690-2026 tillsynsbegäran.docx", "A 26690-2026")</f>
        <v/>
      </c>
      <c r="AD156">
        <f>HYPERLINK("https://klasma.github.io/Logging_2582/tillsynsmail/A 26690-2026 tillsynsbegäran mail.docx", "A 26690-2026")</f>
        <v/>
      </c>
    </row>
    <row r="157" ht="15" customHeight="1">
      <c r="A157" t="inlineStr">
        <is>
          <t>A 19396-2022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46276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13.1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HYPERLINK("https://klasma.github.io/Logging_2582/artfynd/A 19396-2022 artfynd.xlsx", "A 19396-2022")</f>
        <v/>
      </c>
      <c r="X157">
        <f>HYPERLINK("https://klasma.github.io/Logging_2582/kartor/A 19396-2022 karta.png", "A 19396-2022")</f>
        <v/>
      </c>
      <c r="Y157">
        <f>HYPERLINK("https://klasma.github.io/Logging_2582/kartor_geotiff/A 19396-2022 georefererad karta.tif", "A 19396-2022")</f>
        <v/>
      </c>
      <c r="AA157">
        <f>HYPERLINK("https://klasma.github.io/Logging_2582/klagomål/A 19396-2022 FSC-klagomål.docx", "A 19396-2022")</f>
        <v/>
      </c>
      <c r="AB157">
        <f>HYPERLINK("https://klasma.github.io/Logging_2582/klagomålsmail/A 19396-2022 FSC-klagomål mail.docx", "A 19396-2022")</f>
        <v/>
      </c>
      <c r="AC157">
        <f>HYPERLINK("https://klasma.github.io/Logging_2582/tillsyn/A 19396-2022 tillsynsbegäran.docx", "A 19396-2022")</f>
        <v/>
      </c>
      <c r="AD157">
        <f>HYPERLINK("https://klasma.github.io/Logging_2582/tillsynsmail/A 19396-2022 tillsynsbegäran mail.docx", "A 19396-2022")</f>
        <v/>
      </c>
    </row>
    <row r="158" ht="15" customHeight="1">
      <c r="A158" t="inlineStr">
        <is>
          <t>A 32159-2026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46236</v>
      </c>
      <c r="E158" s="1" t="n">
        <v>46276</v>
      </c>
      <c r="F158" t="inlineStr">
        <is>
          <t>NORRBOTTENS LÄN</t>
        </is>
      </c>
      <c r="G158" t="inlineStr">
        <is>
          <t>BODEN</t>
        </is>
      </c>
      <c r="I158" t="n">
        <v>5.8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Vanlig padda</t>
        </is>
      </c>
      <c r="W158">
        <f>HYPERLINK("https://klasma.github.io/Logging_2582/artfynd/A 32159-2026 artfynd.xlsx", "A 32159-2026")</f>
        <v/>
      </c>
      <c r="X158">
        <f>HYPERLINK("https://klasma.github.io/Logging_2582/kartor/A 32159-2026 karta.png", "A 32159-2026")</f>
        <v/>
      </c>
      <c r="Y158">
        <f>HYPERLINK("https://klasma.github.io/Logging_2582/kartor_geotiff/A 32159-2026 georefererad karta.tif", "A 32159-2026")</f>
        <v/>
      </c>
      <c r="AA158">
        <f>HYPERLINK("https://klasma.github.io/Logging_2582/klagomål/A 32159-2026 FSC-klagomål.docx", "A 32159-2026")</f>
        <v/>
      </c>
      <c r="AB158">
        <f>HYPERLINK("https://klasma.github.io/Logging_2582/klagomålsmail/A 32159-2026 FSC-klagomål mail.docx", "A 32159-2026")</f>
        <v/>
      </c>
      <c r="AC158">
        <f>HYPERLINK("https://klasma.github.io/Logging_2582/tillsyn/A 32159-2026 tillsynsbegäran.docx", "A 32159-2026")</f>
        <v/>
      </c>
      <c r="AD158">
        <f>HYPERLINK("https://klasma.github.io/Logging_2582/tillsynsmail/A 32159-2026 tillsynsbegäran mail.docx", "A 32159-2026")</f>
        <v/>
      </c>
    </row>
    <row r="159" ht="15" customHeight="1">
      <c r="A159" t="inlineStr">
        <is>
          <t>A 32708-2026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46241</v>
      </c>
      <c r="E159" s="1" t="n">
        <v>46276</v>
      </c>
      <c r="F159" t="inlineStr">
        <is>
          <t>NORRBOTTENS LÄN</t>
        </is>
      </c>
      <c r="G159" t="inlineStr">
        <is>
          <t>BODEN</t>
        </is>
      </c>
      <c r="H159" t="inlineStr">
        <is>
          <t>SCA</t>
        </is>
      </c>
      <c r="I159" t="n">
        <v>12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Lunglav</t>
        </is>
      </c>
      <c r="W159">
        <f>HYPERLINK("https://klasma.github.io/Logging_2582/artfynd/A 32708-2026 artfynd.xlsx", "A 32708-2026")</f>
        <v/>
      </c>
      <c r="X159">
        <f>HYPERLINK("https://klasma.github.io/Logging_2582/kartor/A 32708-2026 karta.png", "A 32708-2026")</f>
        <v/>
      </c>
      <c r="Y159">
        <f>HYPERLINK("https://klasma.github.io/Logging_2582/kartor_geotiff/A 32708-2026 georefererad karta.tif", "A 32708-2026")</f>
        <v/>
      </c>
      <c r="AA159">
        <f>HYPERLINK("https://klasma.github.io/Logging_2582/klagomål/A 32708-2026 FSC-klagomål.docx", "A 32708-2026")</f>
        <v/>
      </c>
      <c r="AB159">
        <f>HYPERLINK("https://klasma.github.io/Logging_2582/klagomålsmail/A 32708-2026 FSC-klagomål mail.docx", "A 32708-2026")</f>
        <v/>
      </c>
      <c r="AC159">
        <f>HYPERLINK("https://klasma.github.io/Logging_2582/tillsyn/A 32708-2026 tillsynsbegäran.docx", "A 32708-2026")</f>
        <v/>
      </c>
      <c r="AD159">
        <f>HYPERLINK("https://klasma.github.io/Logging_2582/tillsynsmail/A 32708-2026 tillsynsbegäran mail.docx", "A 32708-2026")</f>
        <v/>
      </c>
    </row>
    <row r="160" ht="15" customHeight="1">
      <c r="A160" t="inlineStr">
        <is>
          <t>A 29875-2026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46276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Tallticka</t>
        </is>
      </c>
      <c r="W160">
        <f>HYPERLINK("https://klasma.github.io/Logging_2582/artfynd/A 29875-2026 artfynd.xlsx", "A 29875-2026")</f>
        <v/>
      </c>
      <c r="X160">
        <f>HYPERLINK("https://klasma.github.io/Logging_2582/kartor/A 29875-2026 karta.png", "A 29875-2026")</f>
        <v/>
      </c>
      <c r="Y160">
        <f>HYPERLINK("https://klasma.github.io/Logging_2582/kartor_geotiff/A 29875-2026 georefererad karta.tif", "A 29875-2026")</f>
        <v/>
      </c>
      <c r="AA160">
        <f>HYPERLINK("https://klasma.github.io/Logging_2582/klagomål/A 29875-2026 FSC-klagomål.docx", "A 29875-2026")</f>
        <v/>
      </c>
      <c r="AB160">
        <f>HYPERLINK("https://klasma.github.io/Logging_2582/klagomålsmail/A 29875-2026 FSC-klagomål mail.docx", "A 29875-2026")</f>
        <v/>
      </c>
      <c r="AC160">
        <f>HYPERLINK("https://klasma.github.io/Logging_2582/tillsyn/A 29875-2026 tillsynsbegäran.docx", "A 29875-2026")</f>
        <v/>
      </c>
      <c r="AD160">
        <f>HYPERLINK("https://klasma.github.io/Logging_2582/tillsynsmail/A 29875-2026 tillsynsbegäran mail.docx", "A 29875-2026")</f>
        <v/>
      </c>
    </row>
    <row r="161" ht="15" customHeight="1">
      <c r="A161" t="inlineStr">
        <is>
          <t>A 33756-2026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46276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5.5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Bollvitmossa</t>
        </is>
      </c>
      <c r="W161">
        <f>HYPERLINK("https://klasma.github.io/Logging_2582/artfynd/A 33756-2026 artfynd.xlsx", "A 33756-2026")</f>
        <v/>
      </c>
      <c r="X161">
        <f>HYPERLINK("https://klasma.github.io/Logging_2582/kartor/A 33756-2026 karta.png", "A 33756-2026")</f>
        <v/>
      </c>
      <c r="Y161">
        <f>HYPERLINK("https://klasma.github.io/Logging_2582/kartor_geotiff/A 33756-2026 georefererad karta.tif", "A 33756-2026")</f>
        <v/>
      </c>
      <c r="AA161">
        <f>HYPERLINK("https://klasma.github.io/Logging_2582/klagomål/A 33756-2026 FSC-klagomål.docx", "A 33756-2026")</f>
        <v/>
      </c>
      <c r="AB161">
        <f>HYPERLINK("https://klasma.github.io/Logging_2582/klagomålsmail/A 33756-2026 FSC-klagomål mail.docx", "A 33756-2026")</f>
        <v/>
      </c>
      <c r="AC161">
        <f>HYPERLINK("https://klasma.github.io/Logging_2582/tillsyn/A 33756-2026 tillsynsbegäran.docx", "A 33756-2026")</f>
        <v/>
      </c>
      <c r="AD161">
        <f>HYPERLINK("https://klasma.github.io/Logging_2582/tillsynsmail/A 33756-2026 tillsynsbegäran mail.docx", "A 33756-2026")</f>
        <v/>
      </c>
    </row>
    <row r="162" ht="15" customHeight="1">
      <c r="A162" t="inlineStr">
        <is>
          <t>A 34512-2026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46255</v>
      </c>
      <c r="E162" s="1" t="n">
        <v>46276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9.300000000000001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Skarp dropptaggsvamp</t>
        </is>
      </c>
      <c r="W162">
        <f>HYPERLINK("https://klasma.github.io/Logging_2582/artfynd/A 34512-2026 artfynd.xlsx", "A 34512-2026")</f>
        <v/>
      </c>
      <c r="X162">
        <f>HYPERLINK("https://klasma.github.io/Logging_2582/kartor/A 34512-2026 karta.png", "A 34512-2026")</f>
        <v/>
      </c>
      <c r="Y162">
        <f>HYPERLINK("https://klasma.github.io/Logging_2582/kartor_geotiff/A 34512-2026 georefererad karta.tif", "A 34512-2026")</f>
        <v/>
      </c>
      <c r="AA162">
        <f>HYPERLINK("https://klasma.github.io/Logging_2582/klagomål/A 34512-2026 FSC-klagomål.docx", "A 34512-2026")</f>
        <v/>
      </c>
      <c r="AB162">
        <f>HYPERLINK("https://klasma.github.io/Logging_2582/klagomålsmail/A 34512-2026 FSC-klagomål mail.docx", "A 34512-2026")</f>
        <v/>
      </c>
      <c r="AC162">
        <f>HYPERLINK("https://klasma.github.io/Logging_2582/tillsyn/A 34512-2026 tillsynsbegäran.docx", "A 34512-2026")</f>
        <v/>
      </c>
      <c r="AD162">
        <f>HYPERLINK("https://klasma.github.io/Logging_2582/tillsynsmail/A 34512-2026 tillsynsbegäran mail.docx", "A 34512-2026")</f>
        <v/>
      </c>
    </row>
    <row r="163" ht="15" customHeight="1">
      <c r="A163" t="inlineStr">
        <is>
          <t>A 35292-2026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46276</v>
      </c>
      <c r="F163" t="inlineStr">
        <is>
          <t>NORRBOTTENS LÄN</t>
        </is>
      </c>
      <c r="G163" t="inlineStr">
        <is>
          <t>BODEN</t>
        </is>
      </c>
      <c r="I163" t="n">
        <v>4.9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Tretåig hackspett</t>
        </is>
      </c>
      <c r="W163">
        <f>HYPERLINK("https://klasma.github.io/Logging_2582/artfynd/A 35292-2026 artfynd.xlsx", "A 35292-2026")</f>
        <v/>
      </c>
      <c r="X163">
        <f>HYPERLINK("https://klasma.github.io/Logging_2582/kartor/A 35292-2026 karta.png", "A 35292-2026")</f>
        <v/>
      </c>
      <c r="Y163">
        <f>HYPERLINK("https://klasma.github.io/Logging_2582/kartor_geotiff/A 35292-2026 georefererad karta.tif", "A 35292-2026")</f>
        <v/>
      </c>
      <c r="AA163">
        <f>HYPERLINK("https://klasma.github.io/Logging_2582/klagomål/A 35292-2026 FSC-klagomål.docx", "A 35292-2026")</f>
        <v/>
      </c>
      <c r="AB163">
        <f>HYPERLINK("https://klasma.github.io/Logging_2582/klagomålsmail/A 35292-2026 FSC-klagomål mail.docx", "A 35292-2026")</f>
        <v/>
      </c>
      <c r="AC163">
        <f>HYPERLINK("https://klasma.github.io/Logging_2582/tillsyn/A 35292-2026 tillsynsbegäran.docx", "A 35292-2026")</f>
        <v/>
      </c>
      <c r="AD163">
        <f>HYPERLINK("https://klasma.github.io/Logging_2582/tillsynsmail/A 35292-2026 tillsynsbegäran mail.docx", "A 35292-2026")</f>
        <v/>
      </c>
      <c r="AE163">
        <f>HYPERLINK("https://klasma.github.io/Logging_2582/fåglar/A 35292-2026 prioriterade fågelarter.docx", "A 35292-2026")</f>
        <v/>
      </c>
    </row>
    <row r="164" ht="15" customHeight="1">
      <c r="A164" t="inlineStr">
        <is>
          <t>A 35410-2026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46276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9</v>
      </c>
      <c r="U164" t="n">
        <v>9</v>
      </c>
      <c r="V164" s="2" t="inlineStr">
        <is>
          <t>Knärot</t>
        </is>
      </c>
      <c r="W164">
        <f>HYPERLINK("https://klasma.github.io/Logging_2582/artfynd/A 35410-2026 artfynd.xlsx", "A 35410-2026")</f>
        <v/>
      </c>
      <c r="X164">
        <f>HYPERLINK("https://klasma.github.io/Logging_2582/kartor/A 35410-2026 karta.png", "A 35410-2026")</f>
        <v/>
      </c>
      <c r="Y164">
        <f>HYPERLINK("https://klasma.github.io/Logging_2582/kartor_geotiff/A 35410-2026 georefererad karta.tif", "A 35410-2026")</f>
        <v/>
      </c>
      <c r="Z164">
        <f>HYPERLINK("https://klasma.github.io/Logging_2582/knärot/A 35410-2026 karta knärot.png", "A 35410-2026")</f>
        <v/>
      </c>
      <c r="AA164">
        <f>HYPERLINK("https://klasma.github.io/Logging_2582/klagomål/A 35410-2026 FSC-klagomål.docx", "A 35410-2026")</f>
        <v/>
      </c>
      <c r="AB164">
        <f>HYPERLINK("https://klasma.github.io/Logging_2582/klagomålsmail/A 35410-2026 FSC-klagomål mail.docx", "A 35410-2026")</f>
        <v/>
      </c>
      <c r="AC164">
        <f>HYPERLINK("https://klasma.github.io/Logging_2582/tillsyn/A 35410-2026 tillsynsbegäran.docx", "A 35410-2026")</f>
        <v/>
      </c>
      <c r="AD164">
        <f>HYPERLINK("https://klasma.github.io/Logging_2582/tillsynsmail/A 35410-2026 tillsynsbegäran mail.docx", "A 35410-2026")</f>
        <v/>
      </c>
    </row>
    <row r="165" ht="15" customHeight="1">
      <c r="A165" t="inlineStr">
        <is>
          <t>A 2565-2026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46276</v>
      </c>
      <c r="F165" t="inlineStr">
        <is>
          <t>NORRBOTTENS LÄN</t>
        </is>
      </c>
      <c r="G165" t="inlineStr">
        <is>
          <t>BODEN</t>
        </is>
      </c>
      <c r="H165" t="inlineStr">
        <is>
          <t>Naturvårdsverket</t>
        </is>
      </c>
      <c r="I165" t="n">
        <v>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2</v>
      </c>
      <c r="U165" t="n">
        <v>2</v>
      </c>
      <c r="V165" s="2" t="inlineStr">
        <is>
          <t>Garnlav</t>
        </is>
      </c>
      <c r="W165">
        <f>HYPERLINK("https://klasma.github.io/Logging_2582/artfynd/A 2565-2026 artfynd.xlsx", "A 2565-2026")</f>
        <v/>
      </c>
      <c r="X165">
        <f>HYPERLINK("https://klasma.github.io/Logging_2582/kartor/A 2565-2026 karta.png", "A 2565-2026")</f>
        <v/>
      </c>
      <c r="Y165">
        <f>HYPERLINK("https://klasma.github.io/Logging_2582/kartor_geotiff/A 2565-2026 georefererad karta.tif", "A 2565-2026")</f>
        <v/>
      </c>
      <c r="AA165">
        <f>HYPERLINK("https://klasma.github.io/Logging_2582/klagomål/A 2565-2026 FSC-klagomål.docx", "A 2565-2026")</f>
        <v/>
      </c>
      <c r="AB165">
        <f>HYPERLINK("https://klasma.github.io/Logging_2582/klagomålsmail/A 2565-2026 FSC-klagomål mail.docx", "A 2565-2026")</f>
        <v/>
      </c>
      <c r="AC165">
        <f>HYPERLINK("https://klasma.github.io/Logging_2582/tillsyn/A 2565-2026 tillsynsbegäran.docx", "A 2565-2026")</f>
        <v/>
      </c>
      <c r="AD165">
        <f>HYPERLINK("https://klasma.github.io/Logging_2582/tillsynsmail/A 2565-2026 tillsynsbegäran mail.docx", "A 2565-2026")</f>
        <v/>
      </c>
    </row>
    <row r="166" ht="15" customHeight="1">
      <c r="A166" t="inlineStr">
        <is>
          <t>A 35299-2026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46276</v>
      </c>
      <c r="F166" t="inlineStr">
        <is>
          <t>NORRBOTTENS LÄN</t>
        </is>
      </c>
      <c r="G166" t="inlineStr">
        <is>
          <t>BODEN</t>
        </is>
      </c>
      <c r="I166" t="n">
        <v>3.3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Knärot</t>
        </is>
      </c>
      <c r="W166">
        <f>HYPERLINK("https://klasma.github.io/Logging_2582/artfynd/A 35299-2026 artfynd.xlsx", "A 35299-2026")</f>
        <v/>
      </c>
      <c r="X166">
        <f>HYPERLINK("https://klasma.github.io/Logging_2582/kartor/A 35299-2026 karta.png", "A 35299-2026")</f>
        <v/>
      </c>
      <c r="Y166">
        <f>HYPERLINK("https://klasma.github.io/Logging_2582/kartor_geotiff/A 35299-2026 georefererad karta.tif", "A 35299-2026")</f>
        <v/>
      </c>
      <c r="Z166">
        <f>HYPERLINK("https://klasma.github.io/Logging_2582/knärot/A 35299-2026 karta knärot.png", "A 35299-2026")</f>
        <v/>
      </c>
      <c r="AA166">
        <f>HYPERLINK("https://klasma.github.io/Logging_2582/klagomål/A 35299-2026 FSC-klagomål.docx", "A 35299-2026")</f>
        <v/>
      </c>
      <c r="AB166">
        <f>HYPERLINK("https://klasma.github.io/Logging_2582/klagomålsmail/A 35299-2026 FSC-klagomål mail.docx", "A 35299-2026")</f>
        <v/>
      </c>
      <c r="AC166">
        <f>HYPERLINK("https://klasma.github.io/Logging_2582/tillsyn/A 35299-2026 tillsynsbegäran.docx", "A 35299-2026")</f>
        <v/>
      </c>
      <c r="AD166">
        <f>HYPERLINK("https://klasma.github.io/Logging_2582/tillsynsmail/A 35299-2026 tillsynsbegäran mail.docx", "A 35299-2026")</f>
        <v/>
      </c>
    </row>
    <row r="167" ht="15" customHeight="1">
      <c r="A167" t="inlineStr">
        <is>
          <t>A 35415-2026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46261</v>
      </c>
      <c r="E167" s="1" t="n">
        <v>46276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2.6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Knärot</t>
        </is>
      </c>
      <c r="W167">
        <f>HYPERLINK("https://klasma.github.io/Logging_2582/artfynd/A 35415-2026 artfynd.xlsx", "A 35415-2026")</f>
        <v/>
      </c>
      <c r="X167">
        <f>HYPERLINK("https://klasma.github.io/Logging_2582/kartor/A 35415-2026 karta.png", "A 35415-2026")</f>
        <v/>
      </c>
      <c r="Y167">
        <f>HYPERLINK("https://klasma.github.io/Logging_2582/kartor_geotiff/A 35415-2026 georefererad karta.tif", "A 35415-2026")</f>
        <v/>
      </c>
      <c r="Z167">
        <f>HYPERLINK("https://klasma.github.io/Logging_2582/knärot/A 35415-2026 karta knärot.png", "A 35415-2026")</f>
        <v/>
      </c>
      <c r="AA167">
        <f>HYPERLINK("https://klasma.github.io/Logging_2582/klagomål/A 35415-2026 FSC-klagomål.docx", "A 35415-2026")</f>
        <v/>
      </c>
      <c r="AB167">
        <f>HYPERLINK("https://klasma.github.io/Logging_2582/klagomålsmail/A 35415-2026 FSC-klagomål mail.docx", "A 35415-2026")</f>
        <v/>
      </c>
      <c r="AC167">
        <f>HYPERLINK("https://klasma.github.io/Logging_2582/tillsyn/A 35415-2026 tillsynsbegäran.docx", "A 35415-2026")</f>
        <v/>
      </c>
      <c r="AD167">
        <f>HYPERLINK("https://klasma.github.io/Logging_2582/tillsynsmail/A 35415-2026 tillsynsbegäran mail.docx", "A 35415-2026")</f>
        <v/>
      </c>
    </row>
    <row r="168" ht="15" customHeight="1">
      <c r="A168" t="inlineStr">
        <is>
          <t>A 32664-2026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46276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4</v>
      </c>
      <c r="U168" t="n">
        <v>0</v>
      </c>
      <c r="V168" s="2" t="inlineStr">
        <is>
          <t>Lunglav</t>
        </is>
      </c>
      <c r="W168">
        <f>HYPERLINK("https://klasma.github.io/Logging_2582/artfynd/A 32664-2026 artfynd.xlsx", "A 32664-2026")</f>
        <v/>
      </c>
      <c r="X168">
        <f>HYPERLINK("https://klasma.github.io/Logging_2582/kartor/A 32664-2026 karta.png", "A 32664-2026")</f>
        <v/>
      </c>
      <c r="Y168">
        <f>HYPERLINK("https://klasma.github.io/Logging_2582/kartor_geotiff/A 32664-2026 georefererad karta.tif", "A 32664-2026")</f>
        <v/>
      </c>
      <c r="AA168">
        <f>HYPERLINK("https://klasma.github.io/Logging_2582/klagomål/A 32664-2026 FSC-klagomål.docx", "A 32664-2026")</f>
        <v/>
      </c>
      <c r="AB168">
        <f>HYPERLINK("https://klasma.github.io/Logging_2582/klagomålsmail/A 32664-2026 FSC-klagomål mail.docx", "A 32664-2026")</f>
        <v/>
      </c>
      <c r="AC168">
        <f>HYPERLINK("https://klasma.github.io/Logging_2582/tillsyn/A 32664-2026 tillsynsbegäran.docx", "A 32664-2026")</f>
        <v/>
      </c>
      <c r="AD168">
        <f>HYPERLINK("https://klasma.github.io/Logging_2582/tillsynsmail/A 32664-2026 tillsynsbegäran mail.docx", "A 32664-2026")</f>
        <v/>
      </c>
    </row>
    <row r="169" ht="15" customHeight="1">
      <c r="A169" t="inlineStr">
        <is>
          <t>A 36734-2026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46272</v>
      </c>
      <c r="E169" s="1" t="n">
        <v>46276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Fläcknycklar</t>
        </is>
      </c>
      <c r="W169">
        <f>HYPERLINK("https://klasma.github.io/Logging_2582/artfynd/A 36734-2026 artfynd.xlsx", "A 36734-2026")</f>
        <v/>
      </c>
      <c r="X169">
        <f>HYPERLINK("https://klasma.github.io/Logging_2582/kartor/A 36734-2026 karta.png", "A 36734-2026")</f>
        <v/>
      </c>
      <c r="Y169">
        <f>HYPERLINK("https://klasma.github.io/Logging_2582/kartor_geotiff/A 36734-2026 georefererad karta.tif", "A 36734-2026")</f>
        <v/>
      </c>
      <c r="AA169">
        <f>HYPERLINK("https://klasma.github.io/Logging_2582/klagomål/A 36734-2026 FSC-klagomål.docx", "A 36734-2026")</f>
        <v/>
      </c>
      <c r="AB169">
        <f>HYPERLINK("https://klasma.github.io/Logging_2582/klagomålsmail/A 36734-2026 FSC-klagomål mail.docx", "A 36734-2026")</f>
        <v/>
      </c>
      <c r="AC169">
        <f>HYPERLINK("https://klasma.github.io/Logging_2582/tillsyn/A 36734-2026 tillsynsbegäran.docx", "A 36734-2026")</f>
        <v/>
      </c>
      <c r="AD169">
        <f>HYPERLINK("https://klasma.github.io/Logging_2582/tillsynsmail/A 36734-2026 tillsynsbegäran mail.docx", "A 36734-2026")</f>
        <v/>
      </c>
    </row>
    <row r="170" ht="15" customHeight="1">
      <c r="A170" t="inlineStr">
        <is>
          <t>A 36749-2026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46276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0</v>
      </c>
      <c r="V170" s="2" t="inlineStr">
        <is>
          <t>Vedflamlav</t>
        </is>
      </c>
      <c r="W170">
        <f>HYPERLINK("https://klasma.github.io/Logging_2582/artfynd/A 36749-2026 artfynd.xlsx", "A 36749-2026")</f>
        <v/>
      </c>
      <c r="X170">
        <f>HYPERLINK("https://klasma.github.io/Logging_2582/kartor/A 36749-2026 karta.png", "A 36749-2026")</f>
        <v/>
      </c>
      <c r="Y170">
        <f>HYPERLINK("https://klasma.github.io/Logging_2582/kartor_geotiff/A 36749-2026 georefererad karta.tif", "A 36749-2026")</f>
        <v/>
      </c>
      <c r="AA170">
        <f>HYPERLINK("https://klasma.github.io/Logging_2582/klagomål/A 36749-2026 FSC-klagomål.docx", "A 36749-2026")</f>
        <v/>
      </c>
      <c r="AB170">
        <f>HYPERLINK("https://klasma.github.io/Logging_2582/klagomålsmail/A 36749-2026 FSC-klagomål mail.docx", "A 36749-2026")</f>
        <v/>
      </c>
      <c r="AC170">
        <f>HYPERLINK("https://klasma.github.io/Logging_2582/tillsyn/A 36749-2026 tillsynsbegäran.docx", "A 36749-2026")</f>
        <v/>
      </c>
      <c r="AD170">
        <f>HYPERLINK("https://klasma.github.io/Logging_2582/tillsynsmail/A 36749-2026 tillsynsbegäran mail.docx", "A 36749-2026")</f>
        <v/>
      </c>
    </row>
    <row r="171" ht="15" customHeight="1">
      <c r="A171" t="inlineStr">
        <is>
          <t>A 16217-2024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46276</v>
      </c>
      <c r="F171" t="inlineStr">
        <is>
          <t>NORRBOTTENS LÄN</t>
        </is>
      </c>
      <c r="G171" t="inlineStr">
        <is>
          <t>BODEN</t>
        </is>
      </c>
      <c r="I171" t="n">
        <v>7.2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Videsparv</t>
        </is>
      </c>
      <c r="W171">
        <f>HYPERLINK("https://klasma.github.io/Logging_2582/artfynd/A 16217-2024 artfynd.xlsx", "A 16217-2024")</f>
        <v/>
      </c>
      <c r="X171">
        <f>HYPERLINK("https://klasma.github.io/Logging_2582/kartor/A 16217-2024 karta.png", "A 16217-2024")</f>
        <v/>
      </c>
      <c r="Y171">
        <f>HYPERLINK("https://klasma.github.io/Logging_2582/kartor_geotiff/A 16217-2024 georefererad karta.tif", "A 16217-2024")</f>
        <v/>
      </c>
      <c r="AA171">
        <f>HYPERLINK("https://klasma.github.io/Logging_2582/klagomål/A 16217-2024 FSC-klagomål.docx", "A 16217-2024")</f>
        <v/>
      </c>
      <c r="AB171">
        <f>HYPERLINK("https://klasma.github.io/Logging_2582/klagomålsmail/A 16217-2024 FSC-klagomål mail.docx", "A 16217-2024")</f>
        <v/>
      </c>
      <c r="AC171">
        <f>HYPERLINK("https://klasma.github.io/Logging_2582/tillsyn/A 16217-2024 tillsynsbegäran.docx", "A 16217-2024")</f>
        <v/>
      </c>
      <c r="AD171">
        <f>HYPERLINK("https://klasma.github.io/Logging_2582/tillsynsmail/A 16217-2024 tillsynsbegäran mail.docx", "A 16217-2024")</f>
        <v/>
      </c>
      <c r="AE171">
        <f>HYPERLINK("https://klasma.github.io/Logging_2582/fåglar/A 16217-2024 prioriterade fågelarter.docx", "A 16217-2024")</f>
        <v/>
      </c>
    </row>
    <row r="172" ht="15" customHeight="1">
      <c r="A172" t="inlineStr">
        <is>
          <t>A 36130-2026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46267</v>
      </c>
      <c r="E172" s="1" t="n">
        <v>46276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3.8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Vedflamlav</t>
        </is>
      </c>
      <c r="W172">
        <f>HYPERLINK("https://klasma.github.io/Logging_2582/artfynd/A 36130-2026 artfynd.xlsx", "A 36130-2026")</f>
        <v/>
      </c>
      <c r="X172">
        <f>HYPERLINK("https://klasma.github.io/Logging_2582/kartor/A 36130-2026 karta.png", "A 36130-2026")</f>
        <v/>
      </c>
      <c r="Y172">
        <f>HYPERLINK("https://klasma.github.io/Logging_2582/kartor_geotiff/A 36130-2026 georefererad karta.tif", "A 36130-2026")</f>
        <v/>
      </c>
      <c r="AA172">
        <f>HYPERLINK("https://klasma.github.io/Logging_2582/klagomål/A 36130-2026 FSC-klagomål.docx", "A 36130-2026")</f>
        <v/>
      </c>
      <c r="AB172">
        <f>HYPERLINK("https://klasma.github.io/Logging_2582/klagomålsmail/A 36130-2026 FSC-klagomål mail.docx", "A 36130-2026")</f>
        <v/>
      </c>
      <c r="AC172">
        <f>HYPERLINK("https://klasma.github.io/Logging_2582/tillsyn/A 36130-2026 tillsynsbegäran.docx", "A 36130-2026")</f>
        <v/>
      </c>
      <c r="AD172">
        <f>HYPERLINK("https://klasma.github.io/Logging_2582/tillsynsmail/A 36130-2026 tillsynsbegäran mail.docx", "A 36130-2026")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46276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46276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46276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46276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46276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46276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46276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46276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46276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46276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46276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46276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46276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46276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46276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46276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46276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46276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46276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46276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46276</v>
      </c>
      <c r="F193" t="inlineStr">
        <is>
          <t>NORRBOTTENS LÄN</t>
        </is>
      </c>
      <c r="G193" t="inlineStr">
        <is>
          <t>BODEN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46276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46276</v>
      </c>
      <c r="F195" t="inlineStr">
        <is>
          <t>NORRBOTTENS LÄN</t>
        </is>
      </c>
      <c r="G195" t="inlineStr">
        <is>
          <t>BODEN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46276</v>
      </c>
      <c r="F196" t="inlineStr">
        <is>
          <t>NORRBOTTENS LÄN</t>
        </is>
      </c>
      <c r="G196" t="inlineStr">
        <is>
          <t>BODEN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46276</v>
      </c>
      <c r="F197" t="inlineStr">
        <is>
          <t>NORRBOTTENS LÄN</t>
        </is>
      </c>
      <c r="G197" t="inlineStr">
        <is>
          <t>BODEN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46276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46276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46276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46276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46276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46276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46276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46276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46276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46276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46276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46276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46276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56467-2021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46276</v>
      </c>
      <c r="F211" t="inlineStr">
        <is>
          <t>NORRBOTTENS LÄN</t>
        </is>
      </c>
      <c r="G211" t="inlineStr">
        <is>
          <t>BODEN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46276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46276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46276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46276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46276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46276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46276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46276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46276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46276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46276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46276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46276</v>
      </c>
      <c r="F224" t="inlineStr">
        <is>
          <t>NORRBOTTENS LÄN</t>
        </is>
      </c>
      <c r="G224" t="inlineStr">
        <is>
          <t>BODEN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46276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44565</v>
      </c>
      <c r="E226" s="1" t="n">
        <v>46276</v>
      </c>
      <c r="F226" t="inlineStr">
        <is>
          <t>NORRBOTTENS LÄN</t>
        </is>
      </c>
      <c r="G226" t="inlineStr">
        <is>
          <t>BODEN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46276</v>
      </c>
      <c r="F227" t="inlineStr">
        <is>
          <t>NORRBOTTENS LÄN</t>
        </is>
      </c>
      <c r="G227" t="inlineStr">
        <is>
          <t>BODEN</t>
        </is>
      </c>
      <c r="H227" t="inlineStr">
        <is>
          <t>Kyrkan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46276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46276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35069-2022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44797</v>
      </c>
      <c r="E230" s="1" t="n">
        <v>46276</v>
      </c>
      <c r="F230" t="inlineStr">
        <is>
          <t>NORRBOTTENS LÄN</t>
        </is>
      </c>
      <c r="G230" t="inlineStr">
        <is>
          <t>BODEN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44484</v>
      </c>
      <c r="E231" s="1" t="n">
        <v>46276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46276</v>
      </c>
      <c r="F232" t="inlineStr">
        <is>
          <t>NORRBOTTENS LÄN</t>
        </is>
      </c>
      <c r="G232" t="inlineStr">
        <is>
          <t>BODEN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46276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46276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46276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73910-2021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46276</v>
      </c>
      <c r="F236" t="inlineStr">
        <is>
          <t>NORRBOTTENS LÄN</t>
        </is>
      </c>
      <c r="G236" t="inlineStr">
        <is>
          <t>BODEN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45310</v>
      </c>
      <c r="E237" s="1" t="n">
        <v>46276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52075-2021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46276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45022</v>
      </c>
      <c r="E239" s="1" t="n">
        <v>46276</v>
      </c>
      <c r="F239" t="inlineStr">
        <is>
          <t>NORRBOTTENS LÄN</t>
        </is>
      </c>
      <c r="G239" t="inlineStr">
        <is>
          <t>BODEN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46276</v>
      </c>
      <c r="F240" t="inlineStr">
        <is>
          <t>NORRBOTTENS LÄN</t>
        </is>
      </c>
      <c r="G240" t="inlineStr">
        <is>
          <t>BODEN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44833</v>
      </c>
      <c r="E241" s="1" t="n">
        <v>46276</v>
      </c>
      <c r="F241" t="inlineStr">
        <is>
          <t>NORRBOTTENS LÄN</t>
        </is>
      </c>
      <c r="G241" t="inlineStr">
        <is>
          <t>BODEN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45762</v>
      </c>
      <c r="E242" s="1" t="n">
        <v>46276</v>
      </c>
      <c r="F242" t="inlineStr">
        <is>
          <t>NORRBOTTENS LÄN</t>
        </is>
      </c>
      <c r="G242" t="inlineStr">
        <is>
          <t>BODEN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46276</v>
      </c>
      <c r="F243" t="inlineStr">
        <is>
          <t>NORRBOTTENS LÄN</t>
        </is>
      </c>
      <c r="G243" t="inlineStr">
        <is>
          <t>BODEN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44609</v>
      </c>
      <c r="E244" s="1" t="n">
        <v>46276</v>
      </c>
      <c r="F244" t="inlineStr">
        <is>
          <t>NORRBOTTENS LÄN</t>
        </is>
      </c>
      <c r="G244" t="inlineStr">
        <is>
          <t>BODEN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44881</v>
      </c>
      <c r="E245" s="1" t="n">
        <v>46276</v>
      </c>
      <c r="F245" t="inlineStr">
        <is>
          <t>NORRBOTTENS LÄN</t>
        </is>
      </c>
      <c r="G245" t="inlineStr">
        <is>
          <t>BODEN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46276</v>
      </c>
      <c r="F246" t="inlineStr">
        <is>
          <t>NORRBOTTENS LÄN</t>
        </is>
      </c>
      <c r="G246" t="inlineStr">
        <is>
          <t>BODEN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46276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45125</v>
      </c>
      <c r="E248" s="1" t="n">
        <v>46276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46276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45635</v>
      </c>
      <c r="E250" s="1" t="n">
        <v>46276</v>
      </c>
      <c r="F250" t="inlineStr">
        <is>
          <t>NORRBOTTENS LÄN</t>
        </is>
      </c>
      <c r="G250" t="inlineStr">
        <is>
          <t>BODEN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46276</v>
      </c>
      <c r="F251" t="inlineStr">
        <is>
          <t>NORRBOTTENS LÄN</t>
        </is>
      </c>
      <c r="G251" t="inlineStr">
        <is>
          <t>BODEN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46276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44489</v>
      </c>
      <c r="E253" s="1" t="n">
        <v>46276</v>
      </c>
      <c r="F253" t="inlineStr">
        <is>
          <t>NORRBOTTENS LÄN</t>
        </is>
      </c>
      <c r="G253" t="inlineStr">
        <is>
          <t>BODEN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45600</v>
      </c>
      <c r="E254" s="1" t="n">
        <v>46276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46276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46276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45537</v>
      </c>
      <c r="E257" s="1" t="n">
        <v>46276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46276</v>
      </c>
      <c r="F258" t="inlineStr">
        <is>
          <t>NORRBOTTENS LÄN</t>
        </is>
      </c>
      <c r="G258" t="inlineStr">
        <is>
          <t>BODEN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45237</v>
      </c>
      <c r="E259" s="1" t="n">
        <v>46276</v>
      </c>
      <c r="F259" t="inlineStr">
        <is>
          <t>NORRBOTTENS LÄN</t>
        </is>
      </c>
      <c r="G259" t="inlineStr">
        <is>
          <t>BODEN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46276</v>
      </c>
      <c r="F260" t="inlineStr">
        <is>
          <t>NORRBOTTENS LÄN</t>
        </is>
      </c>
      <c r="G260" t="inlineStr">
        <is>
          <t>BODEN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7442-2024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45345</v>
      </c>
      <c r="E261" s="1" t="n">
        <v>46276</v>
      </c>
      <c r="F261" t="inlineStr">
        <is>
          <t>NORRBOTTENS LÄN</t>
        </is>
      </c>
      <c r="G261" t="inlineStr">
        <is>
          <t>BODEN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74264-2021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44558</v>
      </c>
      <c r="E262" s="1" t="n">
        <v>46276</v>
      </c>
      <c r="F262" t="inlineStr">
        <is>
          <t>NORRBOTTENS LÄN</t>
        </is>
      </c>
      <c r="G262" t="inlineStr">
        <is>
          <t>BODEN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46276</v>
      </c>
      <c r="F263" t="inlineStr">
        <is>
          <t>NORRBOTTENS LÄN</t>
        </is>
      </c>
      <c r="G263" t="inlineStr">
        <is>
          <t>BODEN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45766</v>
      </c>
      <c r="E264" s="1" t="n">
        <v>46276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46276</v>
      </c>
      <c r="F265" t="inlineStr">
        <is>
          <t>NORRBOTTENS LÄN</t>
        </is>
      </c>
      <c r="G265" t="inlineStr">
        <is>
          <t>BODEN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68565-2021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44529</v>
      </c>
      <c r="E266" s="1" t="n">
        <v>46276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46276</v>
      </c>
      <c r="F267" t="inlineStr">
        <is>
          <t>NORRBOTTENS LÄN</t>
        </is>
      </c>
      <c r="G267" t="inlineStr">
        <is>
          <t>BODEN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46276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45285</v>
      </c>
      <c r="E269" s="1" t="n">
        <v>46276</v>
      </c>
      <c r="F269" t="inlineStr">
        <is>
          <t>NORRBOTTENS LÄN</t>
        </is>
      </c>
      <c r="G269" t="inlineStr">
        <is>
          <t>BODEN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45799</v>
      </c>
      <c r="E270" s="1" t="n">
        <v>46276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46276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45604</v>
      </c>
      <c r="E272" s="1" t="n">
        <v>46276</v>
      </c>
      <c r="F272" t="inlineStr">
        <is>
          <t>NORRBOTTENS LÄN</t>
        </is>
      </c>
      <c r="G272" t="inlineStr">
        <is>
          <t>BODEN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46276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15.8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49806-2022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44862</v>
      </c>
      <c r="E274" s="1" t="n">
        <v>46276</v>
      </c>
      <c r="F274" t="inlineStr">
        <is>
          <t>NORRBOTTENS LÄN</t>
        </is>
      </c>
      <c r="G274" t="inlineStr">
        <is>
          <t>BODEN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46276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45397</v>
      </c>
      <c r="E276" s="1" t="n">
        <v>46276</v>
      </c>
      <c r="F276" t="inlineStr">
        <is>
          <t>NORRBOTTENS LÄN</t>
        </is>
      </c>
      <c r="G276" t="inlineStr">
        <is>
          <t>BODEN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45397</v>
      </c>
      <c r="E277" s="1" t="n">
        <v>46276</v>
      </c>
      <c r="F277" t="inlineStr">
        <is>
          <t>NORRBOTTENS LÄN</t>
        </is>
      </c>
      <c r="G277" t="inlineStr">
        <is>
          <t>BODEN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46276</v>
      </c>
      <c r="F278" t="inlineStr">
        <is>
          <t>NORRBOTTENS LÄN</t>
        </is>
      </c>
      <c r="G278" t="inlineStr">
        <is>
          <t>BODEN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46276</v>
      </c>
      <c r="F279" t="inlineStr">
        <is>
          <t>NORRBOTTENS LÄN</t>
        </is>
      </c>
      <c r="G279" t="inlineStr">
        <is>
          <t>BODEN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46020</v>
      </c>
      <c r="E280" s="1" t="n">
        <v>46276</v>
      </c>
      <c r="F280" t="inlineStr">
        <is>
          <t>NORRBOTTENS LÄN</t>
        </is>
      </c>
      <c r="G280" t="inlineStr">
        <is>
          <t>BODEN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60466-2024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45643</v>
      </c>
      <c r="E281" s="1" t="n">
        <v>46276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46276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46276</v>
      </c>
      <c r="F283" t="inlineStr">
        <is>
          <t>NORRBOTTENS LÄN</t>
        </is>
      </c>
      <c r="G283" t="inlineStr">
        <is>
          <t>BODEN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46276</v>
      </c>
      <c r="F284" t="inlineStr">
        <is>
          <t>NORRBOTTENS LÄN</t>
        </is>
      </c>
      <c r="G284" t="inlineStr">
        <is>
          <t>BODEN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46276</v>
      </c>
      <c r="F285" t="inlineStr">
        <is>
          <t>NORRBOTTENS LÄN</t>
        </is>
      </c>
      <c r="G285" t="inlineStr">
        <is>
          <t>BODEN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46276</v>
      </c>
      <c r="F286" t="inlineStr">
        <is>
          <t>NORRBOTTENS LÄN</t>
        </is>
      </c>
      <c r="G286" t="inlineStr">
        <is>
          <t>BODEN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44983</v>
      </c>
      <c r="E287" s="1" t="n">
        <v>46276</v>
      </c>
      <c r="F287" t="inlineStr">
        <is>
          <t>NORRBOTTENS LÄN</t>
        </is>
      </c>
      <c r="G287" t="inlineStr">
        <is>
          <t>BODEN</t>
        </is>
      </c>
      <c r="I287" t="n">
        <v>37.1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45590</v>
      </c>
      <c r="E288" s="1" t="n">
        <v>46276</v>
      </c>
      <c r="F288" t="inlineStr">
        <is>
          <t>NORRBOTTENS LÄN</t>
        </is>
      </c>
      <c r="G288" t="inlineStr">
        <is>
          <t>BODEN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46276</v>
      </c>
      <c r="F289" t="inlineStr">
        <is>
          <t>NORRBOTTENS LÄN</t>
        </is>
      </c>
      <c r="G289" t="inlineStr">
        <is>
          <t>BODEN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46276</v>
      </c>
      <c r="F290" t="inlineStr">
        <is>
          <t>NORRBOTTENS LÄN</t>
        </is>
      </c>
      <c r="G290" t="inlineStr">
        <is>
          <t>BODEN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45464</v>
      </c>
      <c r="E291" s="1" t="n">
        <v>46276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55080-2021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44474</v>
      </c>
      <c r="E292" s="1" t="n">
        <v>46276</v>
      </c>
      <c r="F292" t="inlineStr">
        <is>
          <t>NORRBOTTENS LÄN</t>
        </is>
      </c>
      <c r="G292" t="inlineStr">
        <is>
          <t>BODEN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46276</v>
      </c>
      <c r="F293" t="inlineStr">
        <is>
          <t>NORRBOTTENS LÄN</t>
        </is>
      </c>
      <c r="G293" t="inlineStr">
        <is>
          <t>BODEN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46276</v>
      </c>
      <c r="F294" t="inlineStr">
        <is>
          <t>NORRBOTTENS LÄN</t>
        </is>
      </c>
      <c r="G294" t="inlineStr">
        <is>
          <t>BODEN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46276</v>
      </c>
      <c r="F295" t="inlineStr">
        <is>
          <t>NORRBOTTENS LÄN</t>
        </is>
      </c>
      <c r="G295" t="inlineStr">
        <is>
          <t>BODEN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46276</v>
      </c>
      <c r="F296" t="inlineStr">
        <is>
          <t>NORRBOTTENS LÄN</t>
        </is>
      </c>
      <c r="G296" t="inlineStr">
        <is>
          <t>BODEN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46276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31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46276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45649</v>
      </c>
      <c r="E299" s="1" t="n">
        <v>46276</v>
      </c>
      <c r="F299" t="inlineStr">
        <is>
          <t>NORRBOTTENS LÄN</t>
        </is>
      </c>
      <c r="G299" t="inlineStr">
        <is>
          <t>BODEN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46276</v>
      </c>
      <c r="F300" t="inlineStr">
        <is>
          <t>NORRBOTTENS LÄN</t>
        </is>
      </c>
      <c r="G300" t="inlineStr">
        <is>
          <t>BODEN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46276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46276</v>
      </c>
      <c r="F302" t="inlineStr">
        <is>
          <t>NORRBOTTENS LÄN</t>
        </is>
      </c>
      <c r="G302" t="inlineStr">
        <is>
          <t>BODEN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46276</v>
      </c>
      <c r="F303" t="inlineStr">
        <is>
          <t>NORRBOTTENS LÄN</t>
        </is>
      </c>
      <c r="G303" t="inlineStr">
        <is>
          <t>BODEN</t>
        </is>
      </c>
      <c r="I303" t="n">
        <v>13.9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45813</v>
      </c>
      <c r="E304" s="1" t="n">
        <v>46276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46276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46276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46276</v>
      </c>
      <c r="F307" t="inlineStr">
        <is>
          <t>NORRBOTTENS LÄN</t>
        </is>
      </c>
      <c r="G307" t="inlineStr">
        <is>
          <t>BODEN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45481</v>
      </c>
      <c r="E308" s="1" t="n">
        <v>46276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45764</v>
      </c>
      <c r="E309" s="1" t="n">
        <v>46276</v>
      </c>
      <c r="F309" t="inlineStr">
        <is>
          <t>NORRBOTTENS LÄN</t>
        </is>
      </c>
      <c r="G309" t="inlineStr">
        <is>
          <t>BODEN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45766</v>
      </c>
      <c r="E310" s="1" t="n">
        <v>46276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46276</v>
      </c>
      <c r="F311" t="inlineStr">
        <is>
          <t>NORRBOTTENS LÄN</t>
        </is>
      </c>
      <c r="G311" t="inlineStr">
        <is>
          <t>BODEN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46276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46276</v>
      </c>
      <c r="F313" t="inlineStr">
        <is>
          <t>NORRBOTTENS LÄN</t>
        </is>
      </c>
      <c r="G313" t="inlineStr">
        <is>
          <t>BODEN</t>
        </is>
      </c>
      <c r="I313" t="n">
        <v>33.9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46276</v>
      </c>
      <c r="F314" t="inlineStr">
        <is>
          <t>NORRBOTTENS LÄN</t>
        </is>
      </c>
      <c r="G314" t="inlineStr">
        <is>
          <t>BODEN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46276</v>
      </c>
      <c r="F315" t="inlineStr">
        <is>
          <t>NORRBOTTENS LÄN</t>
        </is>
      </c>
      <c r="G315" t="inlineStr">
        <is>
          <t>BODEN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46276</v>
      </c>
      <c r="F316" t="inlineStr">
        <is>
          <t>NORRBOTTENS LÄN</t>
        </is>
      </c>
      <c r="G316" t="inlineStr">
        <is>
          <t>BODEN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57873-2021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44484</v>
      </c>
      <c r="E317" s="1" t="n">
        <v>46276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45818</v>
      </c>
      <c r="E318" s="1" t="n">
        <v>46276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46276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46276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28270-2025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45818</v>
      </c>
      <c r="E321" s="1" t="n">
        <v>46276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45264</v>
      </c>
      <c r="E322" s="1" t="n">
        <v>46276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45264</v>
      </c>
      <c r="E323" s="1" t="n">
        <v>46276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41601-2025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46276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41691-2025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45902</v>
      </c>
      <c r="E325" s="1" t="n">
        <v>46276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46276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46276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46276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44935</v>
      </c>
      <c r="E329" s="1" t="n">
        <v>46276</v>
      </c>
      <c r="F329" t="inlineStr">
        <is>
          <t>NORRBOTTENS LÄN</t>
        </is>
      </c>
      <c r="G329" t="inlineStr">
        <is>
          <t>BODEN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45589</v>
      </c>
      <c r="E330" s="1" t="n">
        <v>46276</v>
      </c>
      <c r="F330" t="inlineStr">
        <is>
          <t>NORRBOTTENS LÄN</t>
        </is>
      </c>
      <c r="G330" t="inlineStr">
        <is>
          <t>BODEN</t>
        </is>
      </c>
      <c r="H330" t="inlineStr">
        <is>
          <t>Naturvårdsverket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46276</v>
      </c>
      <c r="F331" t="inlineStr">
        <is>
          <t>NORRBOTTENS LÄN</t>
        </is>
      </c>
      <c r="G331" t="inlineStr">
        <is>
          <t>BODEN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46276</v>
      </c>
      <c r="F332" t="inlineStr">
        <is>
          <t>NORRBOTTENS LÄN</t>
        </is>
      </c>
      <c r="G332" t="inlineStr">
        <is>
          <t>BODEN</t>
        </is>
      </c>
      <c r="H332" t="inlineStr">
        <is>
          <t>Övriga Aktiebolag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42656-2025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45907</v>
      </c>
      <c r="E333" s="1" t="n">
        <v>46276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9.6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46276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Aktiebolag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46276</v>
      </c>
      <c r="F335" t="inlineStr">
        <is>
          <t>NORRBOTTENS LÄN</t>
        </is>
      </c>
      <c r="G335" t="inlineStr">
        <is>
          <t>BODEN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45835</v>
      </c>
      <c r="E336" s="1" t="n">
        <v>46276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45543</v>
      </c>
      <c r="E337" s="1" t="n">
        <v>46276</v>
      </c>
      <c r="F337" t="inlineStr">
        <is>
          <t>NORRBOTTENS LÄN</t>
        </is>
      </c>
      <c r="G337" t="inlineStr">
        <is>
          <t>BODEN</t>
        </is>
      </c>
      <c r="I337" t="n">
        <v>9.1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46276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46020</v>
      </c>
      <c r="E339" s="1" t="n">
        <v>46276</v>
      </c>
      <c r="F339" t="inlineStr">
        <is>
          <t>NORRBOTTENS LÄN</t>
        </is>
      </c>
      <c r="G339" t="inlineStr">
        <is>
          <t>BODEN</t>
        </is>
      </c>
      <c r="I339" t="n">
        <v>10.9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46276</v>
      </c>
      <c r="F340" t="inlineStr">
        <is>
          <t>NORRBOTTENS LÄN</t>
        </is>
      </c>
      <c r="G340" t="inlineStr">
        <is>
          <t>BODEN</t>
        </is>
      </c>
      <c r="H340" t="inlineStr">
        <is>
          <t>Övriga Aktiebolag</t>
        </is>
      </c>
      <c r="I340" t="n">
        <v>14.3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46276</v>
      </c>
      <c r="F341" t="inlineStr">
        <is>
          <t>NORRBOTTENS LÄN</t>
        </is>
      </c>
      <c r="G341" t="inlineStr">
        <is>
          <t>BODEN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41487-2024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45560</v>
      </c>
      <c r="E342" s="1" t="n">
        <v>46276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46276</v>
      </c>
      <c r="F343" t="inlineStr">
        <is>
          <t>NORRBOTTENS LÄN</t>
        </is>
      </c>
      <c r="G343" t="inlineStr">
        <is>
          <t>BODEN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33130-2025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45840</v>
      </c>
      <c r="E344" s="1" t="n">
        <v>46276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46276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45747</v>
      </c>
      <c r="E346" s="1" t="n">
        <v>46276</v>
      </c>
      <c r="F346" t="inlineStr">
        <is>
          <t>NORRBOTTENS LÄN</t>
        </is>
      </c>
      <c r="G346" t="inlineStr">
        <is>
          <t>BODEN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45843</v>
      </c>
      <c r="E347" s="1" t="n">
        <v>46276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46276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45910</v>
      </c>
      <c r="E349" s="1" t="n">
        <v>46276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56837-2023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46276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statliga verk och myndigheter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16020-2025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45748</v>
      </c>
      <c r="E351" s="1" t="n">
        <v>46276</v>
      </c>
      <c r="F351" t="inlineStr">
        <is>
          <t>NORRBOTTENS LÄN</t>
        </is>
      </c>
      <c r="G351" t="inlineStr">
        <is>
          <t>BODEN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46276</v>
      </c>
      <c r="F352" t="inlineStr">
        <is>
          <t>NORRBOTTENS LÄN</t>
        </is>
      </c>
      <c r="G352" t="inlineStr">
        <is>
          <t>BODEN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46276</v>
      </c>
      <c r="F353" t="inlineStr">
        <is>
          <t>NORRBOTTENS LÄN</t>
        </is>
      </c>
      <c r="G353" t="inlineStr">
        <is>
          <t>BODEN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46276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51280-2024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46276</v>
      </c>
      <c r="F355" t="inlineStr">
        <is>
          <t>NORRBOTTENS LÄN</t>
        </is>
      </c>
      <c r="G355" t="inlineStr">
        <is>
          <t>BODEN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45856</v>
      </c>
      <c r="E356" s="1" t="n">
        <v>46276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10.8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45796</v>
      </c>
      <c r="E357" s="1" t="n">
        <v>46276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45674</v>
      </c>
      <c r="E358" s="1" t="n">
        <v>46276</v>
      </c>
      <c r="F358" t="inlineStr">
        <is>
          <t>NORRBOTTENS LÄN</t>
        </is>
      </c>
      <c r="G358" t="inlineStr">
        <is>
          <t>BODEN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46276</v>
      </c>
      <c r="F359" t="inlineStr">
        <is>
          <t>NORRBOTTENS LÄN</t>
        </is>
      </c>
      <c r="G359" t="inlineStr">
        <is>
          <t>BODEN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49728-2024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46276</v>
      </c>
      <c r="F360" t="inlineStr">
        <is>
          <t>NORRBOTTENS LÄN</t>
        </is>
      </c>
      <c r="G360" t="inlineStr">
        <is>
          <t>BODEN</t>
        </is>
      </c>
      <c r="I360" t="n">
        <v>22.7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45863</v>
      </c>
      <c r="E361" s="1" t="n">
        <v>46276</v>
      </c>
      <c r="F361" t="inlineStr">
        <is>
          <t>NORRBOTTENS LÄN</t>
        </is>
      </c>
      <c r="G361" t="inlineStr">
        <is>
          <t>BODEN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45070</v>
      </c>
      <c r="E362" s="1" t="n">
        <v>46276</v>
      </c>
      <c r="F362" t="inlineStr">
        <is>
          <t>NORRBOTTENS LÄN</t>
        </is>
      </c>
      <c r="G362" t="inlineStr">
        <is>
          <t>BODEN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46276</v>
      </c>
      <c r="F363" t="inlineStr">
        <is>
          <t>NORRBOTTENS LÄN</t>
        </is>
      </c>
      <c r="G363" t="inlineStr">
        <is>
          <t>BODEN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46276</v>
      </c>
      <c r="F364" t="inlineStr">
        <is>
          <t>NORRBOTTENS LÄN</t>
        </is>
      </c>
      <c r="G364" t="inlineStr">
        <is>
          <t>BODEN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10730-2024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45369</v>
      </c>
      <c r="E365" s="1" t="n">
        <v>46276</v>
      </c>
      <c r="F365" t="inlineStr">
        <is>
          <t>NORRBOTTENS LÄN</t>
        </is>
      </c>
      <c r="G365" t="inlineStr">
        <is>
          <t>BODEN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46276</v>
      </c>
      <c r="F366" t="inlineStr">
        <is>
          <t>NORRBOTTENS LÄN</t>
        </is>
      </c>
      <c r="G366" t="inlineStr">
        <is>
          <t>BODEN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43838-2025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45912</v>
      </c>
      <c r="E367" s="1" t="n">
        <v>46276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46276</v>
      </c>
      <c r="F368" t="inlineStr">
        <is>
          <t>NORRBOTTENS LÄN</t>
        </is>
      </c>
      <c r="G368" t="inlineStr">
        <is>
          <t>BODEN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46276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46276</v>
      </c>
      <c r="F370" t="inlineStr">
        <is>
          <t>NORRBOTTENS LÄN</t>
        </is>
      </c>
      <c r="G370" t="inlineStr">
        <is>
          <t>BODEN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18871-2025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46276</v>
      </c>
      <c r="F371" t="inlineStr">
        <is>
          <t>NORRBOTTENS LÄN</t>
        </is>
      </c>
      <c r="G371" t="inlineStr">
        <is>
          <t>BODEN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46276</v>
      </c>
      <c r="F372" t="inlineStr">
        <is>
          <t>NORRBOTTENS LÄN</t>
        </is>
      </c>
      <c r="G372" t="inlineStr">
        <is>
          <t>BODEN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45912</v>
      </c>
      <c r="E373" s="1" t="n">
        <v>46276</v>
      </c>
      <c r="F373" t="inlineStr">
        <is>
          <t>NORRBOTTENS LÄN</t>
        </is>
      </c>
      <c r="G373" t="inlineStr">
        <is>
          <t>BODEN</t>
        </is>
      </c>
      <c r="I373" t="n">
        <v>10.1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46276</v>
      </c>
      <c r="F374" t="inlineStr">
        <is>
          <t>NORRBOTTENS LÄN</t>
        </is>
      </c>
      <c r="G374" t="inlineStr">
        <is>
          <t>BODEN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36310-2025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45868</v>
      </c>
      <c r="E375" s="1" t="n">
        <v>46276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46276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59890-2023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45254</v>
      </c>
      <c r="E377" s="1" t="n">
        <v>46276</v>
      </c>
      <c r="F377" t="inlineStr">
        <is>
          <t>NORRBOTTENS LÄN</t>
        </is>
      </c>
      <c r="G377" t="inlineStr">
        <is>
          <t>BODEN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45877</v>
      </c>
      <c r="E378" s="1" t="n">
        <v>46276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46276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46276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45211-2025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46276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45463</v>
      </c>
      <c r="E382" s="1" t="n">
        <v>46276</v>
      </c>
      <c r="F382" t="inlineStr">
        <is>
          <t>NORRBOTTENS LÄN</t>
        </is>
      </c>
      <c r="G382" t="inlineStr">
        <is>
          <t>BODEN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46276</v>
      </c>
      <c r="F383" t="inlineStr">
        <is>
          <t>NORRBOTTENS LÄN</t>
        </is>
      </c>
      <c r="G383" t="inlineStr">
        <is>
          <t>BODEN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45922</v>
      </c>
      <c r="E384" s="1" t="n">
        <v>46276</v>
      </c>
      <c r="F384" t="inlineStr">
        <is>
          <t>NORRBOTTENS LÄN</t>
        </is>
      </c>
      <c r="G384" t="inlineStr">
        <is>
          <t>BODEN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38286-2025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45882</v>
      </c>
      <c r="E385" s="1" t="n">
        <v>46276</v>
      </c>
      <c r="F385" t="inlineStr">
        <is>
          <t>NORRBOTTENS LÄN</t>
        </is>
      </c>
      <c r="G385" t="inlineStr">
        <is>
          <t>BODEN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45882</v>
      </c>
      <c r="E386" s="1" t="n">
        <v>46276</v>
      </c>
      <c r="F386" t="inlineStr">
        <is>
          <t>NORRBOTTENS LÄN</t>
        </is>
      </c>
      <c r="G386" t="inlineStr">
        <is>
          <t>BODEN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46276</v>
      </c>
      <c r="F387" t="inlineStr">
        <is>
          <t>NORRBOTTENS LÄN</t>
        </is>
      </c>
      <c r="G387" t="inlineStr">
        <is>
          <t>BODEN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45617-2025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46276</v>
      </c>
      <c r="F388" t="inlineStr">
        <is>
          <t>NORRBOTTENS LÄN</t>
        </is>
      </c>
      <c r="G388" t="inlineStr">
        <is>
          <t>BODEN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45667</v>
      </c>
      <c r="E389" s="1" t="n">
        <v>46276</v>
      </c>
      <c r="F389" t="inlineStr">
        <is>
          <t>NORRBOTTENS LÄN</t>
        </is>
      </c>
      <c r="G389" t="inlineStr">
        <is>
          <t>BODEN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45925</v>
      </c>
      <c r="E390" s="1" t="n">
        <v>46276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45925</v>
      </c>
      <c r="E391" s="1" t="n">
        <v>46276</v>
      </c>
      <c r="F391" t="inlineStr">
        <is>
          <t>NORRBOTTENS LÄN</t>
        </is>
      </c>
      <c r="G391" t="inlineStr">
        <is>
          <t>BODEN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46276</v>
      </c>
      <c r="F392" t="inlineStr">
        <is>
          <t>NORRBOTTENS LÄN</t>
        </is>
      </c>
      <c r="G392" t="inlineStr">
        <is>
          <t>BODEN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18900-2025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45764</v>
      </c>
      <c r="E393" s="1" t="n">
        <v>46276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45969-2025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45924</v>
      </c>
      <c r="E394" s="1" t="n">
        <v>46276</v>
      </c>
      <c r="F394" t="inlineStr">
        <is>
          <t>NORRBOTTENS LÄN</t>
        </is>
      </c>
      <c r="G394" t="inlineStr">
        <is>
          <t>BODEN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46276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45926</v>
      </c>
      <c r="E396" s="1" t="n">
        <v>46276</v>
      </c>
      <c r="F396" t="inlineStr">
        <is>
          <t>NORRBOTTENS LÄN</t>
        </is>
      </c>
      <c r="G396" t="inlineStr">
        <is>
          <t>BODEN</t>
        </is>
      </c>
      <c r="H396" t="inlineStr">
        <is>
          <t>Övriga Aktiebolag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46276</v>
      </c>
      <c r="F397" t="inlineStr">
        <is>
          <t>NORRBOTTENS LÄN</t>
        </is>
      </c>
      <c r="G397" t="inlineStr">
        <is>
          <t>BODEN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45926</v>
      </c>
      <c r="E398" s="1" t="n">
        <v>46276</v>
      </c>
      <c r="F398" t="inlineStr">
        <is>
          <t>NORRBOTTENS LÄN</t>
        </is>
      </c>
      <c r="G398" t="inlineStr">
        <is>
          <t>BODEN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38584-2025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46276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46276</v>
      </c>
      <c r="F400" t="inlineStr">
        <is>
          <t>NORRBOTTENS LÄN</t>
        </is>
      </c>
      <c r="G400" t="inlineStr">
        <is>
          <t>BODEN</t>
        </is>
      </c>
      <c r="I400" t="n">
        <v>9.800000000000001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46276</v>
      </c>
      <c r="F401" t="inlineStr">
        <is>
          <t>NORRBOTTENS LÄN</t>
        </is>
      </c>
      <c r="G401" t="inlineStr">
        <is>
          <t>BODEN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11092-2022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46276</v>
      </c>
      <c r="F402" t="inlineStr">
        <is>
          <t>NORRBOTTENS LÄN</t>
        </is>
      </c>
      <c r="G402" t="inlineStr">
        <is>
          <t>BODEN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46276</v>
      </c>
      <c r="F403" t="inlineStr">
        <is>
          <t>NORRBOTTENS LÄN</t>
        </is>
      </c>
      <c r="G403" t="inlineStr">
        <is>
          <t>BODEN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47595-2025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45931</v>
      </c>
      <c r="E404" s="1" t="n">
        <v>46276</v>
      </c>
      <c r="F404" t="inlineStr">
        <is>
          <t>NORRBOTTENS LÄN</t>
        </is>
      </c>
      <c r="G404" t="inlineStr">
        <is>
          <t>BODEN</t>
        </is>
      </c>
      <c r="H404" t="inlineStr">
        <is>
          <t>Övriga Aktiebolag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46276</v>
      </c>
      <c r="F405" t="inlineStr">
        <is>
          <t>NORRBOTTENS LÄN</t>
        </is>
      </c>
      <c r="G405" t="inlineStr">
        <is>
          <t>BODEN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46276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38371-2023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46276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46276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46276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45718</v>
      </c>
      <c r="E410" s="1" t="n">
        <v>46276</v>
      </c>
      <c r="F410" t="inlineStr">
        <is>
          <t>NORRBOTTENS LÄN</t>
        </is>
      </c>
      <c r="G410" t="inlineStr">
        <is>
          <t>BODEN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46276</v>
      </c>
      <c r="F411" t="inlineStr">
        <is>
          <t>NORRBOTTENS LÄN</t>
        </is>
      </c>
      <c r="G411" t="inlineStr">
        <is>
          <t>BODEN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48091-2025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45933</v>
      </c>
      <c r="E412" s="1" t="n">
        <v>46276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42653-2025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45906</v>
      </c>
      <c r="E413" s="1" t="n">
        <v>46276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57579-2023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46276</v>
      </c>
      <c r="F414" t="inlineStr">
        <is>
          <t>NORRBOTTENS LÄN</t>
        </is>
      </c>
      <c r="G414" t="inlineStr">
        <is>
          <t>BODEN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46276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48172-2025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45933</v>
      </c>
      <c r="E416" s="1" t="n">
        <v>46276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46276</v>
      </c>
      <c r="F417" t="inlineStr">
        <is>
          <t>NORRBOTTENS LÄN</t>
        </is>
      </c>
      <c r="G417" t="inlineStr">
        <is>
          <t>BODEN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45933</v>
      </c>
      <c r="E418" s="1" t="n">
        <v>46276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46276</v>
      </c>
      <c r="F419" t="inlineStr">
        <is>
          <t>NORRBOTTENS LÄN</t>
        </is>
      </c>
      <c r="G419" t="inlineStr">
        <is>
          <t>BODEN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22447-2024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45446</v>
      </c>
      <c r="E420" s="1" t="n">
        <v>46276</v>
      </c>
      <c r="F420" t="inlineStr">
        <is>
          <t>NORRBOTTENS LÄN</t>
        </is>
      </c>
      <c r="G420" t="inlineStr">
        <is>
          <t>BODEN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8782-2024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45356</v>
      </c>
      <c r="E421" s="1" t="n">
        <v>46276</v>
      </c>
      <c r="F421" t="inlineStr">
        <is>
          <t>NORRBOTTENS LÄN</t>
        </is>
      </c>
      <c r="G421" t="inlineStr">
        <is>
          <t>BODEN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46276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9.699999999999999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45936</v>
      </c>
      <c r="E423" s="1" t="n">
        <v>46276</v>
      </c>
      <c r="F423" t="inlineStr">
        <is>
          <t>NORRBOTTENS LÄN</t>
        </is>
      </c>
      <c r="G423" t="inlineStr">
        <is>
          <t>BODEN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45358</v>
      </c>
      <c r="E424" s="1" t="n">
        <v>46276</v>
      </c>
      <c r="F424" t="inlineStr">
        <is>
          <t>NORRBOTTENS LÄN</t>
        </is>
      </c>
      <c r="G424" t="inlineStr">
        <is>
          <t>BODEN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49357-2025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45938</v>
      </c>
      <c r="E425" s="1" t="n">
        <v>46276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45102</v>
      </c>
      <c r="E426" s="1" t="n">
        <v>46276</v>
      </c>
      <c r="F426" t="inlineStr">
        <is>
          <t>NORRBOTTENS LÄN</t>
        </is>
      </c>
      <c r="G426" t="inlineStr">
        <is>
          <t>BODEN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48805-2025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45937</v>
      </c>
      <c r="E427" s="1" t="n">
        <v>46276</v>
      </c>
      <c r="F427" t="inlineStr">
        <is>
          <t>NORRBOTTENS LÄN</t>
        </is>
      </c>
      <c r="G427" t="inlineStr">
        <is>
          <t>BODEN</t>
        </is>
      </c>
      <c r="I427" t="n">
        <v>10.2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46276</v>
      </c>
      <c r="F428" t="inlineStr">
        <is>
          <t>NORRBOTTENS LÄN</t>
        </is>
      </c>
      <c r="G428" t="inlineStr">
        <is>
          <t>BODEN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61771-2024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45649</v>
      </c>
      <c r="E429" s="1" t="n">
        <v>46276</v>
      </c>
      <c r="F429" t="inlineStr">
        <is>
          <t>NORRBOTTENS LÄN</t>
        </is>
      </c>
      <c r="G429" t="inlineStr">
        <is>
          <t>BODEN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46276</v>
      </c>
      <c r="F430" t="inlineStr">
        <is>
          <t>NORRBOTTENS LÄN</t>
        </is>
      </c>
      <c r="G430" t="inlineStr">
        <is>
          <t>BODEN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68611-2021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44529</v>
      </c>
      <c r="E431" s="1" t="n">
        <v>46276</v>
      </c>
      <c r="F431" t="inlineStr">
        <is>
          <t>NORRBOTTENS LÄN</t>
        </is>
      </c>
      <c r="G431" t="inlineStr">
        <is>
          <t>BODEN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46276</v>
      </c>
      <c r="F432" t="inlineStr">
        <is>
          <t>NORRBOTTENS LÄN</t>
        </is>
      </c>
      <c r="G432" t="inlineStr">
        <is>
          <t>BODEN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46276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45939</v>
      </c>
      <c r="E434" s="1" t="n">
        <v>46276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13556-2022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44648</v>
      </c>
      <c r="E435" s="1" t="n">
        <v>46276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50147-2025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45943</v>
      </c>
      <c r="E436" s="1" t="n">
        <v>46276</v>
      </c>
      <c r="F436" t="inlineStr">
        <is>
          <t>NORRBOTTENS LÄN</t>
        </is>
      </c>
      <c r="G436" t="inlineStr">
        <is>
          <t>BODEN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46078</v>
      </c>
      <c r="E437" s="1" t="n">
        <v>46276</v>
      </c>
      <c r="F437" t="inlineStr">
        <is>
          <t>NORRBOTTENS LÄN</t>
        </is>
      </c>
      <c r="G437" t="inlineStr">
        <is>
          <t>BODEN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51193-2023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46276</v>
      </c>
      <c r="F438" t="inlineStr">
        <is>
          <t>NORRBOTTENS LÄN</t>
        </is>
      </c>
      <c r="G438" t="inlineStr">
        <is>
          <t>BODEN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10251-2026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46276</v>
      </c>
      <c r="F439" t="inlineStr">
        <is>
          <t>NORRBOTTENS LÄN</t>
        </is>
      </c>
      <c r="G439" t="inlineStr">
        <is>
          <t>BODEN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10231-2026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46276</v>
      </c>
      <c r="F440" t="inlineStr">
        <is>
          <t>NORRBOTTENS LÄN</t>
        </is>
      </c>
      <c r="G440" t="inlineStr">
        <is>
          <t>BODEN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50449-2025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45945</v>
      </c>
      <c r="E441" s="1" t="n">
        <v>46276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50479-2025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45945</v>
      </c>
      <c r="E442" s="1" t="n">
        <v>46276</v>
      </c>
      <c r="F442" t="inlineStr">
        <is>
          <t>NORRBOTTENS LÄN</t>
        </is>
      </c>
      <c r="G442" t="inlineStr">
        <is>
          <t>BODEN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46276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50419-2025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45944</v>
      </c>
      <c r="E444" s="1" t="n">
        <v>46276</v>
      </c>
      <c r="F444" t="inlineStr">
        <is>
          <t>NORRBOTTENS LÄN</t>
        </is>
      </c>
      <c r="G444" t="inlineStr">
        <is>
          <t>BODEN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50390-2025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45944</v>
      </c>
      <c r="E445" s="1" t="n">
        <v>46276</v>
      </c>
      <c r="F445" t="inlineStr">
        <is>
          <t>NORRBOTTENS LÄN</t>
        </is>
      </c>
      <c r="G445" t="inlineStr">
        <is>
          <t>BODEN</t>
        </is>
      </c>
      <c r="H445" t="inlineStr">
        <is>
          <t>Sveaskog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46276</v>
      </c>
      <c r="F446" t="inlineStr">
        <is>
          <t>NORRBOTTENS LÄN</t>
        </is>
      </c>
      <c r="G446" t="inlineStr">
        <is>
          <t>BODEN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50410-2025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45944</v>
      </c>
      <c r="E447" s="1" t="n">
        <v>46276</v>
      </c>
      <c r="F447" t="inlineStr">
        <is>
          <t>NORRBOTTENS LÄN</t>
        </is>
      </c>
      <c r="G447" t="inlineStr">
        <is>
          <t>BODEN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50471-2025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45945</v>
      </c>
      <c r="E448" s="1" t="n">
        <v>46276</v>
      </c>
      <c r="F448" t="inlineStr">
        <is>
          <t>NORRBOTTENS LÄN</t>
        </is>
      </c>
      <c r="G448" t="inlineStr">
        <is>
          <t>BODEN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45944</v>
      </c>
      <c r="E449" s="1" t="n">
        <v>46276</v>
      </c>
      <c r="F449" t="inlineStr">
        <is>
          <t>NORRBOTTENS LÄN</t>
        </is>
      </c>
      <c r="G449" t="inlineStr">
        <is>
          <t>BODEN</t>
        </is>
      </c>
      <c r="H449" t="inlineStr">
        <is>
          <t>Sveaskog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28079-2024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45476</v>
      </c>
      <c r="E450" s="1" t="n">
        <v>46276</v>
      </c>
      <c r="F450" t="inlineStr">
        <is>
          <t>NORRBOTTENS LÄN</t>
        </is>
      </c>
      <c r="G450" t="inlineStr">
        <is>
          <t>BODEN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54935-2021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44474</v>
      </c>
      <c r="E451" s="1" t="n">
        <v>46276</v>
      </c>
      <c r="F451" t="inlineStr">
        <is>
          <t>NORRBOTTENS LÄN</t>
        </is>
      </c>
      <c r="G451" t="inlineStr">
        <is>
          <t>BODEN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708-2022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44566</v>
      </c>
      <c r="E452" s="1" t="n">
        <v>46276</v>
      </c>
      <c r="F452" t="inlineStr">
        <is>
          <t>NORRBOTTENS LÄN</t>
        </is>
      </c>
      <c r="G452" t="inlineStr">
        <is>
          <t>BODEN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39272-2024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45551</v>
      </c>
      <c r="E453" s="1" t="n">
        <v>46276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51061-2025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45947</v>
      </c>
      <c r="E454" s="1" t="n">
        <v>46276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46276</v>
      </c>
      <c r="F455" t="inlineStr">
        <is>
          <t>NORRBOTTENS LÄN</t>
        </is>
      </c>
      <c r="G455" t="inlineStr">
        <is>
          <t>BODEN</t>
        </is>
      </c>
      <c r="I455" t="n">
        <v>11.3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51460-2025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45950</v>
      </c>
      <c r="E456" s="1" t="n">
        <v>46276</v>
      </c>
      <c r="F456" t="inlineStr">
        <is>
          <t>NORRBOTTENS LÄN</t>
        </is>
      </c>
      <c r="G456" t="inlineStr">
        <is>
          <t>BODEN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46276</v>
      </c>
      <c r="F457" t="inlineStr">
        <is>
          <t>NORRBOTTENS LÄN</t>
        </is>
      </c>
      <c r="G457" t="inlineStr">
        <is>
          <t>BODEN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46084</v>
      </c>
      <c r="E458" s="1" t="n">
        <v>46276</v>
      </c>
      <c r="F458" t="inlineStr">
        <is>
          <t>NORRBOTTENS LÄN</t>
        </is>
      </c>
      <c r="G458" t="inlineStr">
        <is>
          <t>BODEN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56111-2021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44477</v>
      </c>
      <c r="E459" s="1" t="n">
        <v>46276</v>
      </c>
      <c r="F459" t="inlineStr">
        <is>
          <t>NORRBOTTENS LÄN</t>
        </is>
      </c>
      <c r="G459" t="inlineStr">
        <is>
          <t>BODEN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45132</v>
      </c>
      <c r="E460" s="1" t="n">
        <v>46276</v>
      </c>
      <c r="F460" t="inlineStr">
        <is>
          <t>NORRBOTTENS LÄN</t>
        </is>
      </c>
      <c r="G460" t="inlineStr">
        <is>
          <t>BODEN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59331-2021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44490</v>
      </c>
      <c r="E461" s="1" t="n">
        <v>46276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52169-2025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45953</v>
      </c>
      <c r="E462" s="1" t="n">
        <v>46276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52284-2025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45953</v>
      </c>
      <c r="E463" s="1" t="n">
        <v>46276</v>
      </c>
      <c r="F463" t="inlineStr">
        <is>
          <t>NORRBOTTENS LÄN</t>
        </is>
      </c>
      <c r="G463" t="inlineStr">
        <is>
          <t>BODEN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45953</v>
      </c>
      <c r="E464" s="1" t="n">
        <v>46276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61748-2024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45649</v>
      </c>
      <c r="E465" s="1" t="n">
        <v>46276</v>
      </c>
      <c r="F465" t="inlineStr">
        <is>
          <t>NORRBOTTENS LÄN</t>
        </is>
      </c>
      <c r="G465" t="inlineStr">
        <is>
          <t>BODEN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45649</v>
      </c>
      <c r="E466" s="1" t="n">
        <v>46276</v>
      </c>
      <c r="F466" t="inlineStr">
        <is>
          <t>NORRBOTTENS LÄN</t>
        </is>
      </c>
      <c r="G466" t="inlineStr">
        <is>
          <t>BODEN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46276</v>
      </c>
      <c r="F467" t="inlineStr">
        <is>
          <t>NORRBOTTENS LÄN</t>
        </is>
      </c>
      <c r="G467" t="inlineStr">
        <is>
          <t>BODEN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52763-2025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45957</v>
      </c>
      <c r="E468" s="1" t="n">
        <v>46276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11636-2026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46084</v>
      </c>
      <c r="E469" s="1" t="n">
        <v>46276</v>
      </c>
      <c r="F469" t="inlineStr">
        <is>
          <t>NORRBOTTENS LÄN</t>
        </is>
      </c>
      <c r="G469" t="inlineStr">
        <is>
          <t>BODEN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46276</v>
      </c>
      <c r="F470" t="inlineStr">
        <is>
          <t>NORRBOTTENS LÄN</t>
        </is>
      </c>
      <c r="G470" t="inlineStr">
        <is>
          <t>BODEN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46086</v>
      </c>
      <c r="E471" s="1" t="n">
        <v>46276</v>
      </c>
      <c r="F471" t="inlineStr">
        <is>
          <t>NORRBOTTENS LÄN</t>
        </is>
      </c>
      <c r="G471" t="inlineStr">
        <is>
          <t>BODEN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51525-2025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45950</v>
      </c>
      <c r="E472" s="1" t="n">
        <v>46276</v>
      </c>
      <c r="F472" t="inlineStr">
        <is>
          <t>NORRBOTTENS LÄN</t>
        </is>
      </c>
      <c r="G472" t="inlineStr">
        <is>
          <t>BODEN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52645-2025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45955</v>
      </c>
      <c r="E473" s="1" t="n">
        <v>46276</v>
      </c>
      <c r="F473" t="inlineStr">
        <is>
          <t>NORRBOTTENS LÄN</t>
        </is>
      </c>
      <c r="G473" t="inlineStr">
        <is>
          <t>BODEN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52646-2025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45955</v>
      </c>
      <c r="E474" s="1" t="n">
        <v>46276</v>
      </c>
      <c r="F474" t="inlineStr">
        <is>
          <t>NORRBOTTENS LÄN</t>
        </is>
      </c>
      <c r="G474" t="inlineStr">
        <is>
          <t>BODEN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45105</v>
      </c>
      <c r="E475" s="1" t="n">
        <v>46276</v>
      </c>
      <c r="F475" t="inlineStr">
        <is>
          <t>NORRBOTTENS LÄN</t>
        </is>
      </c>
      <c r="G475" t="inlineStr">
        <is>
          <t>BODEN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46087</v>
      </c>
      <c r="E476" s="1" t="n">
        <v>46276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6.4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47097-2023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45201</v>
      </c>
      <c r="E477" s="1" t="n">
        <v>46276</v>
      </c>
      <c r="F477" t="inlineStr">
        <is>
          <t>NORRBOTTENS LÄN</t>
        </is>
      </c>
      <c r="G477" t="inlineStr">
        <is>
          <t>BODEN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28359-2023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46276</v>
      </c>
      <c r="F478" t="inlineStr">
        <is>
          <t>NORRBOTTENS LÄN</t>
        </is>
      </c>
      <c r="G478" t="inlineStr">
        <is>
          <t>BODEN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53623-2025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45960</v>
      </c>
      <c r="E479" s="1" t="n">
        <v>46276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11.7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11647-2023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44994</v>
      </c>
      <c r="E480" s="1" t="n">
        <v>46276</v>
      </c>
      <c r="F480" t="inlineStr">
        <is>
          <t>NORRBOTTENS LÄN</t>
        </is>
      </c>
      <c r="G480" t="inlineStr">
        <is>
          <t>BODEN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57895-2021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44486</v>
      </c>
      <c r="E481" s="1" t="n">
        <v>46276</v>
      </c>
      <c r="F481" t="inlineStr">
        <is>
          <t>NORRBOTTENS LÄN</t>
        </is>
      </c>
      <c r="G481" t="inlineStr">
        <is>
          <t>BODEN</t>
        </is>
      </c>
      <c r="I481" t="n">
        <v>9.199999999999999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11865-2025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45728</v>
      </c>
      <c r="E482" s="1" t="n">
        <v>46276</v>
      </c>
      <c r="F482" t="inlineStr">
        <is>
          <t>NORRBOTTENS LÄN</t>
        </is>
      </c>
      <c r="G482" t="inlineStr">
        <is>
          <t>BODEN</t>
        </is>
      </c>
      <c r="H482" t="inlineStr">
        <is>
          <t>Övriga Aktiebolag</t>
        </is>
      </c>
      <c r="I482" t="n">
        <v>10.6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53893-2025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45961</v>
      </c>
      <c r="E483" s="1" t="n">
        <v>46276</v>
      </c>
      <c r="F483" t="inlineStr">
        <is>
          <t>NORRBOTTENS LÄN</t>
        </is>
      </c>
      <c r="G483" t="inlineStr">
        <is>
          <t>BODEN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54416-2025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46276</v>
      </c>
      <c r="F484" t="inlineStr">
        <is>
          <t>NORRBOTTENS LÄN</t>
        </is>
      </c>
      <c r="G484" t="inlineStr">
        <is>
          <t>BODEN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45965</v>
      </c>
      <c r="E485" s="1" t="n">
        <v>46276</v>
      </c>
      <c r="F485" t="inlineStr">
        <is>
          <t>NORRBOTTENS LÄN</t>
        </is>
      </c>
      <c r="G485" t="inlineStr">
        <is>
          <t>BODEN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45965</v>
      </c>
      <c r="E486" s="1" t="n">
        <v>46276</v>
      </c>
      <c r="F486" t="inlineStr">
        <is>
          <t>NORRBOTTENS LÄN</t>
        </is>
      </c>
      <c r="G486" t="inlineStr">
        <is>
          <t>BODEN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54523-2025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45965</v>
      </c>
      <c r="E487" s="1" t="n">
        <v>46276</v>
      </c>
      <c r="F487" t="inlineStr">
        <is>
          <t>NORRBOTTENS LÄN</t>
        </is>
      </c>
      <c r="G487" t="inlineStr">
        <is>
          <t>BODEN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46901-2024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45583</v>
      </c>
      <c r="E488" s="1" t="n">
        <v>46276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46276</v>
      </c>
      <c r="F489" t="inlineStr">
        <is>
          <t>NORRBOTTENS LÄN</t>
        </is>
      </c>
      <c r="G489" t="inlineStr">
        <is>
          <t>BODEN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54834-2025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45966</v>
      </c>
      <c r="E490" s="1" t="n">
        <v>46276</v>
      </c>
      <c r="F490" t="inlineStr">
        <is>
          <t>NORRBOTTENS LÄN</t>
        </is>
      </c>
      <c r="G490" t="inlineStr">
        <is>
          <t>BODEN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6638-2024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45341</v>
      </c>
      <c r="E491" s="1" t="n">
        <v>46276</v>
      </c>
      <c r="F491" t="inlineStr">
        <is>
          <t>NORRBOTTENS LÄN</t>
        </is>
      </c>
      <c r="G491" t="inlineStr">
        <is>
          <t>BODEN</t>
        </is>
      </c>
      <c r="H491" t="inlineStr">
        <is>
          <t>Övriga statliga verk och myndigheter</t>
        </is>
      </c>
      <c r="I491" t="n">
        <v>12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41957-2024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46276</v>
      </c>
      <c r="F492" t="inlineStr">
        <is>
          <t>NORRBOTTENS LÄN</t>
        </is>
      </c>
      <c r="G492" t="inlineStr">
        <is>
          <t>BODEN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46276</v>
      </c>
      <c r="F493" t="inlineStr">
        <is>
          <t>NORRBOTTENS LÄN</t>
        </is>
      </c>
      <c r="G493" t="inlineStr">
        <is>
          <t>BODEN</t>
        </is>
      </c>
      <c r="H493" t="inlineStr">
        <is>
          <t>SCA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55562-2025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46276</v>
      </c>
      <c r="F494" t="inlineStr">
        <is>
          <t>NORRBOTTENS LÄN</t>
        </is>
      </c>
      <c r="G494" t="inlineStr">
        <is>
          <t>BODEN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45257</v>
      </c>
      <c r="E495" s="1" t="n">
        <v>46276</v>
      </c>
      <c r="F495" t="inlineStr">
        <is>
          <t>NORRBOTTENS LÄN</t>
        </is>
      </c>
      <c r="G495" t="inlineStr">
        <is>
          <t>BODEN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67068-2021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44522</v>
      </c>
      <c r="E496" s="1" t="n">
        <v>46276</v>
      </c>
      <c r="F496" t="inlineStr">
        <is>
          <t>NORRBOTTENS LÄN</t>
        </is>
      </c>
      <c r="G496" t="inlineStr">
        <is>
          <t>BODEN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55676-2025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45972</v>
      </c>
      <c r="E497" s="1" t="n">
        <v>46276</v>
      </c>
      <c r="F497" t="inlineStr">
        <is>
          <t>NORRBOTTENS LÄN</t>
        </is>
      </c>
      <c r="G497" t="inlineStr">
        <is>
          <t>BODEN</t>
        </is>
      </c>
      <c r="I497" t="n">
        <v>11.9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49730-2024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45596</v>
      </c>
      <c r="E498" s="1" t="n">
        <v>46276</v>
      </c>
      <c r="F498" t="inlineStr">
        <is>
          <t>NORRBOTTENS LÄN</t>
        </is>
      </c>
      <c r="G498" t="inlineStr">
        <is>
          <t>BODEN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45587</v>
      </c>
      <c r="E499" s="1" t="n">
        <v>46276</v>
      </c>
      <c r="F499" t="inlineStr">
        <is>
          <t>NORRBOTTENS LÄN</t>
        </is>
      </c>
      <c r="G499" t="inlineStr">
        <is>
          <t>BODEN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45975</v>
      </c>
      <c r="E500" s="1" t="n">
        <v>46276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45975</v>
      </c>
      <c r="E501" s="1" t="n">
        <v>46276</v>
      </c>
      <c r="F501" t="inlineStr">
        <is>
          <t>NORRBOTTENS LÄN</t>
        </is>
      </c>
      <c r="G501" t="inlineStr">
        <is>
          <t>BODEN</t>
        </is>
      </c>
      <c r="H501" t="inlineStr">
        <is>
          <t>Naturvårdsverket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56440-2025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45975</v>
      </c>
      <c r="E502" s="1" t="n">
        <v>46276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45685</v>
      </c>
      <c r="E503" s="1" t="n">
        <v>46276</v>
      </c>
      <c r="F503" t="inlineStr">
        <is>
          <t>NORRBOTTENS LÄN</t>
        </is>
      </c>
      <c r="G503" t="inlineStr">
        <is>
          <t>BODEN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45978</v>
      </c>
      <c r="E504" s="1" t="n">
        <v>46276</v>
      </c>
      <c r="F504" t="inlineStr">
        <is>
          <t>NORRBOTTENS LÄN</t>
        </is>
      </c>
      <c r="G504" t="inlineStr">
        <is>
          <t>BODEN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13717-2026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46276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45978</v>
      </c>
      <c r="E506" s="1" t="n">
        <v>46276</v>
      </c>
      <c r="F506" t="inlineStr">
        <is>
          <t>NORRBOTTENS LÄN</t>
        </is>
      </c>
      <c r="G506" t="inlineStr">
        <is>
          <t>BODEN</t>
        </is>
      </c>
      <c r="H506" t="inlineStr">
        <is>
          <t>Naturvårdsverket</t>
        </is>
      </c>
      <c r="I506" t="n">
        <v>10.4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57777-2025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45981</v>
      </c>
      <c r="E507" s="1" t="n">
        <v>46276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57778-2025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45981</v>
      </c>
      <c r="E508" s="1" t="n">
        <v>46276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44994</v>
      </c>
      <c r="E509" s="1" t="n">
        <v>46276</v>
      </c>
      <c r="F509" t="inlineStr">
        <is>
          <t>NORRBOTTENS LÄN</t>
        </is>
      </c>
      <c r="G509" t="inlineStr">
        <is>
          <t>BODEN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45376-2025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45922</v>
      </c>
      <c r="E510" s="1" t="n">
        <v>46276</v>
      </c>
      <c r="F510" t="inlineStr">
        <is>
          <t>NORRBOTTENS LÄN</t>
        </is>
      </c>
      <c r="G510" t="inlineStr">
        <is>
          <t>BODEN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14325-2026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46100</v>
      </c>
      <c r="E511" s="1" t="n">
        <v>46276</v>
      </c>
      <c r="F511" t="inlineStr">
        <is>
          <t>NORRBOTTENS LÄN</t>
        </is>
      </c>
      <c r="G511" t="inlineStr">
        <is>
          <t>BODEN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45761</v>
      </c>
      <c r="E512" s="1" t="n">
        <v>46276</v>
      </c>
      <c r="F512" t="inlineStr">
        <is>
          <t>NORRBOTTENS LÄN</t>
        </is>
      </c>
      <c r="G512" t="inlineStr">
        <is>
          <t>BODEN</t>
        </is>
      </c>
      <c r="H512" t="inlineStr">
        <is>
          <t>Övriga statliga verk och myndigheter</t>
        </is>
      </c>
      <c r="I512" t="n">
        <v>11.5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14245-2026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46099</v>
      </c>
      <c r="E513" s="1" t="n">
        <v>46276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58203-2025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45984</v>
      </c>
      <c r="E514" s="1" t="n">
        <v>46276</v>
      </c>
      <c r="F514" t="inlineStr">
        <is>
          <t>NORRBOTTENS LÄN</t>
        </is>
      </c>
      <c r="G514" t="inlineStr">
        <is>
          <t>BODEN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46276</v>
      </c>
      <c r="F515" t="inlineStr">
        <is>
          <t>NORRBOTTENS LÄN</t>
        </is>
      </c>
      <c r="G515" t="inlineStr">
        <is>
          <t>BODEN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58294-2025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46276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32276-2024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45512</v>
      </c>
      <c r="E517" s="1" t="n">
        <v>46276</v>
      </c>
      <c r="F517" t="inlineStr">
        <is>
          <t>NORRBOTTENS LÄN</t>
        </is>
      </c>
      <c r="G517" t="inlineStr">
        <is>
          <t>BODEN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56163-2022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44889</v>
      </c>
      <c r="E518" s="1" t="n">
        <v>46276</v>
      </c>
      <c r="F518" t="inlineStr">
        <is>
          <t>NORRBOTTENS LÄN</t>
        </is>
      </c>
      <c r="G518" t="inlineStr">
        <is>
          <t>BODEN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46276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45988</v>
      </c>
      <c r="E520" s="1" t="n">
        <v>46276</v>
      </c>
      <c r="F520" t="inlineStr">
        <is>
          <t>NORRBOTTENS LÄN</t>
        </is>
      </c>
      <c r="G520" t="inlineStr">
        <is>
          <t>BODEN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45988</v>
      </c>
      <c r="E521" s="1" t="n">
        <v>46276</v>
      </c>
      <c r="F521" t="inlineStr">
        <is>
          <t>NORRBOTTENS LÄN</t>
        </is>
      </c>
      <c r="G521" t="inlineStr">
        <is>
          <t>BODEN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45406</v>
      </c>
      <c r="E522" s="1" t="n">
        <v>46276</v>
      </c>
      <c r="F522" t="inlineStr">
        <is>
          <t>NORRBOTTENS LÄN</t>
        </is>
      </c>
      <c r="G522" t="inlineStr">
        <is>
          <t>BODEN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45988</v>
      </c>
      <c r="E523" s="1" t="n">
        <v>46276</v>
      </c>
      <c r="F523" t="inlineStr">
        <is>
          <t>NORRBOTTENS LÄN</t>
        </is>
      </c>
      <c r="G523" t="inlineStr">
        <is>
          <t>BODEN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45988</v>
      </c>
      <c r="E524" s="1" t="n">
        <v>46276</v>
      </c>
      <c r="F524" t="inlineStr">
        <is>
          <t>NORRBOTTENS LÄN</t>
        </is>
      </c>
      <c r="G524" t="inlineStr">
        <is>
          <t>BODEN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45771</v>
      </c>
      <c r="E525" s="1" t="n">
        <v>46276</v>
      </c>
      <c r="F525" t="inlineStr">
        <is>
          <t>NORRBOTTENS LÄN</t>
        </is>
      </c>
      <c r="G525" t="inlineStr">
        <is>
          <t>BODEN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46276</v>
      </c>
      <c r="F526" t="inlineStr">
        <is>
          <t>NORRBOTTENS LÄN</t>
        </is>
      </c>
      <c r="G526" t="inlineStr">
        <is>
          <t>BODEN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54104-2022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44881</v>
      </c>
      <c r="E527" s="1" t="n">
        <v>46276</v>
      </c>
      <c r="F527" t="inlineStr">
        <is>
          <t>NORRBOTTENS LÄN</t>
        </is>
      </c>
      <c r="G527" t="inlineStr">
        <is>
          <t>BODEN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45995</v>
      </c>
      <c r="E528" s="1" t="n">
        <v>46276</v>
      </c>
      <c r="F528" t="inlineStr">
        <is>
          <t>NORRBOTTENS LÄN</t>
        </is>
      </c>
      <c r="G528" t="inlineStr">
        <is>
          <t>BODEN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60397-2025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46276</v>
      </c>
      <c r="F529" t="inlineStr">
        <is>
          <t>NORRBOTTENS LÄN</t>
        </is>
      </c>
      <c r="G529" t="inlineStr">
        <is>
          <t>BODEN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45994</v>
      </c>
      <c r="E530" s="1" t="n">
        <v>46276</v>
      </c>
      <c r="F530" t="inlineStr">
        <is>
          <t>NORRBOTTENS LÄN</t>
        </is>
      </c>
      <c r="G530" t="inlineStr">
        <is>
          <t>BODEN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45994</v>
      </c>
      <c r="E531" s="1" t="n">
        <v>46276</v>
      </c>
      <c r="F531" t="inlineStr">
        <is>
          <t>NORRBOTTENS LÄN</t>
        </is>
      </c>
      <c r="G531" t="inlineStr">
        <is>
          <t>BODEN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60395-2025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45995</v>
      </c>
      <c r="E532" s="1" t="n">
        <v>46276</v>
      </c>
      <c r="F532" t="inlineStr">
        <is>
          <t>NORRBOTTENS LÄN</t>
        </is>
      </c>
      <c r="G532" t="inlineStr">
        <is>
          <t>BODEN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47423-2024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45587</v>
      </c>
      <c r="E533" s="1" t="n">
        <v>46276</v>
      </c>
      <c r="F533" t="inlineStr">
        <is>
          <t>NORRBOTTENS LÄN</t>
        </is>
      </c>
      <c r="G533" t="inlineStr">
        <is>
          <t>BODEN</t>
        </is>
      </c>
      <c r="I533" t="n">
        <v>17.2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60423-2025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45995</v>
      </c>
      <c r="E534" s="1" t="n">
        <v>46276</v>
      </c>
      <c r="F534" t="inlineStr">
        <is>
          <t>NORRBOTTENS LÄN</t>
        </is>
      </c>
      <c r="G534" t="inlineStr">
        <is>
          <t>BODEN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46276</v>
      </c>
      <c r="F535" t="inlineStr">
        <is>
          <t>NORRBOTTENS LÄN</t>
        </is>
      </c>
      <c r="G535" t="inlineStr">
        <is>
          <t>BODEN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45248</v>
      </c>
      <c r="E536" s="1" t="n">
        <v>46276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45994</v>
      </c>
      <c r="E537" s="1" t="n">
        <v>46276</v>
      </c>
      <c r="F537" t="inlineStr">
        <is>
          <t>NORRBOTTENS LÄN</t>
        </is>
      </c>
      <c r="G537" t="inlineStr">
        <is>
          <t>BODEN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60225-2025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46276</v>
      </c>
      <c r="F538" t="inlineStr">
        <is>
          <t>NORRBOTTENS LÄN</t>
        </is>
      </c>
      <c r="G538" t="inlineStr">
        <is>
          <t>BODEN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60236-2025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45994</v>
      </c>
      <c r="E539" s="1" t="n">
        <v>46276</v>
      </c>
      <c r="F539" t="inlineStr">
        <is>
          <t>NORRBOTTENS LÄN</t>
        </is>
      </c>
      <c r="G539" t="inlineStr">
        <is>
          <t>BODEN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60613-2025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45996</v>
      </c>
      <c r="E540" s="1" t="n">
        <v>46276</v>
      </c>
      <c r="F540" t="inlineStr">
        <is>
          <t>NORRBOTTENS LÄN</t>
        </is>
      </c>
      <c r="G540" t="inlineStr">
        <is>
          <t>BODEN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46276</v>
      </c>
      <c r="F541" t="inlineStr">
        <is>
          <t>NORRBOTTENS LÄN</t>
        </is>
      </c>
      <c r="G541" t="inlineStr">
        <is>
          <t>BODEN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45999</v>
      </c>
      <c r="E542" s="1" t="n">
        <v>46276</v>
      </c>
      <c r="F542" t="inlineStr">
        <is>
          <t>NORRBOTTENS LÄN</t>
        </is>
      </c>
      <c r="G542" t="inlineStr">
        <is>
          <t>BODEN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42652-2025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45906</v>
      </c>
      <c r="E543" s="1" t="n">
        <v>46276</v>
      </c>
      <c r="F543" t="inlineStr">
        <is>
          <t>NORRBOTTENS LÄN</t>
        </is>
      </c>
      <c r="G543" t="inlineStr">
        <is>
          <t>BODEN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45691</v>
      </c>
      <c r="E544" s="1" t="n">
        <v>46276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46276</v>
      </c>
      <c r="F545" t="inlineStr">
        <is>
          <t>NORRBOTTENS LÄN</t>
        </is>
      </c>
      <c r="G545" t="inlineStr">
        <is>
          <t>BODEN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61384-2025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46001</v>
      </c>
      <c r="E546" s="1" t="n">
        <v>46276</v>
      </c>
      <c r="F546" t="inlineStr">
        <is>
          <t>NORRBOTTENS LÄN</t>
        </is>
      </c>
      <c r="G546" t="inlineStr">
        <is>
          <t>BODEN</t>
        </is>
      </c>
      <c r="I546" t="n">
        <v>17.1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13714-2022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44648</v>
      </c>
      <c r="E547" s="1" t="n">
        <v>46276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46001</v>
      </c>
      <c r="E548" s="1" t="n">
        <v>46276</v>
      </c>
      <c r="F548" t="inlineStr">
        <is>
          <t>NORRBOTTENS LÄN</t>
        </is>
      </c>
      <c r="G548" t="inlineStr">
        <is>
          <t>BODEN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467-2022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44565</v>
      </c>
      <c r="E549" s="1" t="n">
        <v>46276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61959-2025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46003</v>
      </c>
      <c r="E550" s="1" t="n">
        <v>46276</v>
      </c>
      <c r="F550" t="inlineStr">
        <is>
          <t>NORRBOTTENS LÄN</t>
        </is>
      </c>
      <c r="G550" t="inlineStr">
        <is>
          <t>BODEN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46276</v>
      </c>
      <c r="F551" t="inlineStr">
        <is>
          <t>NORRBOTTENS LÄN</t>
        </is>
      </c>
      <c r="G551" t="inlineStr">
        <is>
          <t>BODEN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46001</v>
      </c>
      <c r="E552" s="1" t="n">
        <v>46276</v>
      </c>
      <c r="F552" t="inlineStr">
        <is>
          <t>NORRBOTTENS LÄN</t>
        </is>
      </c>
      <c r="G552" t="inlineStr">
        <is>
          <t>BODEN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61743-2024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45649</v>
      </c>
      <c r="E553" s="1" t="n">
        <v>46276</v>
      </c>
      <c r="F553" t="inlineStr">
        <is>
          <t>NORRBOTTENS LÄN</t>
        </is>
      </c>
      <c r="G553" t="inlineStr">
        <is>
          <t>BODEN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44553-2024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46276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63329-2025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46009</v>
      </c>
      <c r="E555" s="1" t="n">
        <v>46276</v>
      </c>
      <c r="F555" t="inlineStr">
        <is>
          <t>NORRBOTTENS LÄN</t>
        </is>
      </c>
      <c r="G555" t="inlineStr">
        <is>
          <t>BODEN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46009</v>
      </c>
      <c r="E556" s="1" t="n">
        <v>46276</v>
      </c>
      <c r="F556" t="inlineStr">
        <is>
          <t>NORRBOTTENS LÄN</t>
        </is>
      </c>
      <c r="G556" t="inlineStr">
        <is>
          <t>BODEN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62687-2025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46008</v>
      </c>
      <c r="E557" s="1" t="n">
        <v>46276</v>
      </c>
      <c r="F557" t="inlineStr">
        <is>
          <t>NORRBOTTENS LÄN</t>
        </is>
      </c>
      <c r="G557" t="inlineStr">
        <is>
          <t>BODEN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60237-2025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45994</v>
      </c>
      <c r="E558" s="1" t="n">
        <v>46276</v>
      </c>
      <c r="F558" t="inlineStr">
        <is>
          <t>NORRBOTTENS LÄN</t>
        </is>
      </c>
      <c r="G558" t="inlineStr">
        <is>
          <t>BODEN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45301</v>
      </c>
      <c r="E559" s="1" t="n">
        <v>46276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18173-2025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45761</v>
      </c>
      <c r="E560" s="1" t="n">
        <v>46276</v>
      </c>
      <c r="F560" t="inlineStr">
        <is>
          <t>NORRBOTTENS LÄN</t>
        </is>
      </c>
      <c r="G560" t="inlineStr">
        <is>
          <t>BODEN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62992-2025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46009</v>
      </c>
      <c r="E561" s="1" t="n">
        <v>46276</v>
      </c>
      <c r="F561" t="inlineStr">
        <is>
          <t>NORRBOTTENS LÄN</t>
        </is>
      </c>
      <c r="G561" t="inlineStr">
        <is>
          <t>BODEN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45750</v>
      </c>
      <c r="E562" s="1" t="n">
        <v>46276</v>
      </c>
      <c r="F562" t="inlineStr">
        <is>
          <t>NORRBOTTENS LÄN</t>
        </is>
      </c>
      <c r="G562" t="inlineStr">
        <is>
          <t>BODEN</t>
        </is>
      </c>
      <c r="H562" t="inlineStr">
        <is>
          <t>Övriga Aktiebolag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45902</v>
      </c>
      <c r="E563" s="1" t="n">
        <v>46276</v>
      </c>
      <c r="F563" t="inlineStr">
        <is>
          <t>NORRBOTTENS LÄN</t>
        </is>
      </c>
      <c r="G563" t="inlineStr">
        <is>
          <t>BODEN</t>
        </is>
      </c>
      <c r="H563" t="inlineStr">
        <is>
          <t>Övriga statliga verk och myndigheter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63399-2025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46012</v>
      </c>
      <c r="E564" s="1" t="n">
        <v>46276</v>
      </c>
      <c r="F564" t="inlineStr">
        <is>
          <t>NORRBOTTENS LÄN</t>
        </is>
      </c>
      <c r="G564" t="inlineStr">
        <is>
          <t>BODEN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63400-2025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46012</v>
      </c>
      <c r="E565" s="1" t="n">
        <v>46276</v>
      </c>
      <c r="F565" t="inlineStr">
        <is>
          <t>NORRBOTTENS LÄN</t>
        </is>
      </c>
      <c r="G565" t="inlineStr">
        <is>
          <t>BODEN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63398-2025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46012</v>
      </c>
      <c r="E566" s="1" t="n">
        <v>46276</v>
      </c>
      <c r="F566" t="inlineStr">
        <is>
          <t>NORRBOTTENS LÄN</t>
        </is>
      </c>
      <c r="G566" t="inlineStr">
        <is>
          <t>BODEN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46276</v>
      </c>
      <c r="F567" t="inlineStr">
        <is>
          <t>NORRBOTTENS LÄN</t>
        </is>
      </c>
      <c r="G567" t="inlineStr">
        <is>
          <t>BODEN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45692</v>
      </c>
      <c r="E568" s="1" t="n">
        <v>46276</v>
      </c>
      <c r="F568" t="inlineStr">
        <is>
          <t>NORRBOTTENS LÄN</t>
        </is>
      </c>
      <c r="G568" t="inlineStr">
        <is>
          <t>BODEN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57575-2025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46276</v>
      </c>
      <c r="F569" t="inlineStr">
        <is>
          <t>NORRBOTTENS LÄN</t>
        </is>
      </c>
      <c r="G569" t="inlineStr">
        <is>
          <t>BODEN</t>
        </is>
      </c>
      <c r="I569" t="n">
        <v>19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59029-2022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44903</v>
      </c>
      <c r="E570" s="1" t="n">
        <v>46276</v>
      </c>
      <c r="F570" t="inlineStr">
        <is>
          <t>NORRBOTTENS LÄN</t>
        </is>
      </c>
      <c r="G570" t="inlineStr">
        <is>
          <t>BODEN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46276</v>
      </c>
      <c r="F571" t="inlineStr">
        <is>
          <t>NORRBOTTENS LÄN</t>
        </is>
      </c>
      <c r="G571" t="inlineStr">
        <is>
          <t>BODEN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46122</v>
      </c>
      <c r="E572" s="1" t="n">
        <v>46276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46276</v>
      </c>
      <c r="F573" t="inlineStr">
        <is>
          <t>NORRBOTTENS LÄN</t>
        </is>
      </c>
      <c r="G573" t="inlineStr">
        <is>
          <t>BODEN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45672</v>
      </c>
      <c r="E574" s="1" t="n">
        <v>46276</v>
      </c>
      <c r="F574" t="inlineStr">
        <is>
          <t>NORRBOTTENS LÄN</t>
        </is>
      </c>
      <c r="G574" t="inlineStr">
        <is>
          <t>BODEN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18221-2026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46126</v>
      </c>
      <c r="E575" s="1" t="n">
        <v>46276</v>
      </c>
      <c r="F575" t="inlineStr">
        <is>
          <t>NORRBOTTENS LÄN</t>
        </is>
      </c>
      <c r="G575" t="inlineStr">
        <is>
          <t>BODEN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45590</v>
      </c>
      <c r="E576" s="1" t="n">
        <v>46276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45591</v>
      </c>
      <c r="E577" s="1" t="n">
        <v>46276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48472-2024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45591</v>
      </c>
      <c r="E578" s="1" t="n">
        <v>46276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18401-2026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46276</v>
      </c>
      <c r="F579" t="inlineStr">
        <is>
          <t>NORRBOTTENS LÄN</t>
        </is>
      </c>
      <c r="G579" t="inlineStr">
        <is>
          <t>BODEN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18569-2024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45425</v>
      </c>
      <c r="E580" s="1" t="n">
        <v>46276</v>
      </c>
      <c r="F580" t="inlineStr">
        <is>
          <t>NORRBOTTENS LÄN</t>
        </is>
      </c>
      <c r="G580" t="inlineStr">
        <is>
          <t>BODEN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18448-2026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46127</v>
      </c>
      <c r="E581" s="1" t="n">
        <v>46276</v>
      </c>
      <c r="F581" t="inlineStr">
        <is>
          <t>NORRBOTTENS LÄN</t>
        </is>
      </c>
      <c r="G581" t="inlineStr">
        <is>
          <t>BODEN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15017-2022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44657</v>
      </c>
      <c r="E582" s="1" t="n">
        <v>46276</v>
      </c>
      <c r="F582" t="inlineStr">
        <is>
          <t>NORRBOTTENS LÄN</t>
        </is>
      </c>
      <c r="G582" t="inlineStr">
        <is>
          <t>BODEN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19050-2026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46276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46276</v>
      </c>
      <c r="F584" t="inlineStr">
        <is>
          <t>NORRBOTTENS LÄN</t>
        </is>
      </c>
      <c r="G584" t="inlineStr">
        <is>
          <t>BODEN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46276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46276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46564-2022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44847</v>
      </c>
      <c r="E587" s="1" t="n">
        <v>46276</v>
      </c>
      <c r="F587" t="inlineStr">
        <is>
          <t>NORRBOTTENS LÄN</t>
        </is>
      </c>
      <c r="G587" t="inlineStr">
        <is>
          <t>BODEN</t>
        </is>
      </c>
      <c r="I587" t="n">
        <v>28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45210</v>
      </c>
      <c r="E588" s="1" t="n">
        <v>46276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62589-2025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46007</v>
      </c>
      <c r="E589" s="1" t="n">
        <v>46276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1497-2022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44573</v>
      </c>
      <c r="E590" s="1" t="n">
        <v>46276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statliga verk och myndigheter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48950-2022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44859</v>
      </c>
      <c r="E591" s="1" t="n">
        <v>46276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45544</v>
      </c>
      <c r="E592" s="1" t="n">
        <v>46276</v>
      </c>
      <c r="F592" t="inlineStr">
        <is>
          <t>NORRBOTTENS LÄN</t>
        </is>
      </c>
      <c r="G592" t="inlineStr">
        <is>
          <t>BODEN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45314</v>
      </c>
      <c r="E593" s="1" t="n">
        <v>46276</v>
      </c>
      <c r="F593" t="inlineStr">
        <is>
          <t>NORRBOTTENS LÄN</t>
        </is>
      </c>
      <c r="G593" t="inlineStr">
        <is>
          <t>BODEN</t>
        </is>
      </c>
      <c r="I593" t="n">
        <v>17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46136</v>
      </c>
      <c r="E594" s="1" t="n">
        <v>46276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19563-2024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45429</v>
      </c>
      <c r="E595" s="1" t="n">
        <v>46276</v>
      </c>
      <c r="F595" t="inlineStr">
        <is>
          <t>NORRBOTTENS LÄN</t>
        </is>
      </c>
      <c r="G595" t="inlineStr">
        <is>
          <t>BODEN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46276</v>
      </c>
      <c r="F596" t="inlineStr">
        <is>
          <t>NORRBOTTENS LÄN</t>
        </is>
      </c>
      <c r="G596" t="inlineStr">
        <is>
          <t>BODEN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46003</v>
      </c>
      <c r="E597" s="1" t="n">
        <v>46276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57600-2021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44484</v>
      </c>
      <c r="E598" s="1" t="n">
        <v>46276</v>
      </c>
      <c r="F598" t="inlineStr">
        <is>
          <t>NORRBOTTENS LÄN</t>
        </is>
      </c>
      <c r="G598" t="inlineStr">
        <is>
          <t>BODEN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672-2026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46276</v>
      </c>
      <c r="F599" t="inlineStr">
        <is>
          <t>NORRBOTTENS LÄN</t>
        </is>
      </c>
      <c r="G599" t="inlineStr">
        <is>
          <t>BODEN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44963</v>
      </c>
      <c r="E600" s="1" t="n">
        <v>46276</v>
      </c>
      <c r="F600" t="inlineStr">
        <is>
          <t>NORRBOTTENS LÄN</t>
        </is>
      </c>
      <c r="G600" t="inlineStr">
        <is>
          <t>BODEN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45505</v>
      </c>
      <c r="E601" s="1" t="n">
        <v>46276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60776-2025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45999</v>
      </c>
      <c r="E602" s="1" t="n">
        <v>46276</v>
      </c>
      <c r="F602" t="inlineStr">
        <is>
          <t>NORRBOTTENS LÄN</t>
        </is>
      </c>
      <c r="G602" t="inlineStr">
        <is>
          <t>BODEN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9969-2023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44979</v>
      </c>
      <c r="E603" s="1" t="n">
        <v>46276</v>
      </c>
      <c r="F603" t="inlineStr">
        <is>
          <t>NORRBOTTENS LÄN</t>
        </is>
      </c>
      <c r="G603" t="inlineStr">
        <is>
          <t>BODEN</t>
        </is>
      </c>
      <c r="H603" t="inlineStr">
        <is>
          <t>Övriga statliga verk och myndigheter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61988-2025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46003</v>
      </c>
      <c r="E604" s="1" t="n">
        <v>46276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26806-2024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46276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Aktiebolag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45408</v>
      </c>
      <c r="E606" s="1" t="n">
        <v>46276</v>
      </c>
      <c r="F606" t="inlineStr">
        <is>
          <t>NORRBOTTENS LÄN</t>
        </is>
      </c>
      <c r="G606" t="inlineStr">
        <is>
          <t>BODEN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50561-2025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45944</v>
      </c>
      <c r="E607" s="1" t="n">
        <v>46276</v>
      </c>
      <c r="F607" t="inlineStr">
        <is>
          <t>NORRBOTTENS LÄN</t>
        </is>
      </c>
      <c r="G607" t="inlineStr">
        <is>
          <t>BODEN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68591-2021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44529</v>
      </c>
      <c r="E608" s="1" t="n">
        <v>46276</v>
      </c>
      <c r="F608" t="inlineStr">
        <is>
          <t>NORRBOTTENS LÄN</t>
        </is>
      </c>
      <c r="G608" t="inlineStr">
        <is>
          <t>BODEN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45860</v>
      </c>
      <c r="E609" s="1" t="n">
        <v>46276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44567-2024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45574</v>
      </c>
      <c r="E610" s="1" t="n">
        <v>46276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19051-2025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46276</v>
      </c>
      <c r="F611" t="inlineStr">
        <is>
          <t>NORRBOTTENS LÄN</t>
        </is>
      </c>
      <c r="G611" t="inlineStr">
        <is>
          <t>BODEN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48459-2025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45935</v>
      </c>
      <c r="E612" s="1" t="n">
        <v>46276</v>
      </c>
      <c r="F612" t="inlineStr">
        <is>
          <t>NORRBOTTENS LÄN</t>
        </is>
      </c>
      <c r="G612" t="inlineStr">
        <is>
          <t>BODEN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14757-2023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46276</v>
      </c>
      <c r="F613" t="inlineStr">
        <is>
          <t>NORRBOTTENS LÄN</t>
        </is>
      </c>
      <c r="G613" t="inlineStr">
        <is>
          <t>BODEN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32775-2025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45839</v>
      </c>
      <c r="E614" s="1" t="n">
        <v>46276</v>
      </c>
      <c r="F614" t="inlineStr">
        <is>
          <t>NORRBOTTENS LÄN</t>
        </is>
      </c>
      <c r="G614" t="inlineStr">
        <is>
          <t>BODEN</t>
        </is>
      </c>
      <c r="I614" t="n">
        <v>13.6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46276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46029</v>
      </c>
      <c r="E616" s="1" t="n">
        <v>46276</v>
      </c>
      <c r="F616" t="inlineStr">
        <is>
          <t>NORRBOTTENS LÄN</t>
        </is>
      </c>
      <c r="G616" t="inlineStr">
        <is>
          <t>BODEN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19624-2025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45770</v>
      </c>
      <c r="E617" s="1" t="n">
        <v>46276</v>
      </c>
      <c r="F617" t="inlineStr">
        <is>
          <t>NORRBOTTENS LÄN</t>
        </is>
      </c>
      <c r="G617" t="inlineStr">
        <is>
          <t>BODEN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59893-2023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45254</v>
      </c>
      <c r="E618" s="1" t="n">
        <v>46276</v>
      </c>
      <c r="F618" t="inlineStr">
        <is>
          <t>NORRBOTTENS LÄN</t>
        </is>
      </c>
      <c r="G618" t="inlineStr">
        <is>
          <t>BODEN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47024-2024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45586</v>
      </c>
      <c r="E619" s="1" t="n">
        <v>46276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12.8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35040-2022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44796</v>
      </c>
      <c r="E620" s="1" t="n">
        <v>46276</v>
      </c>
      <c r="F620" t="inlineStr">
        <is>
          <t>NORRBOTTENS LÄN</t>
        </is>
      </c>
      <c r="G620" t="inlineStr">
        <is>
          <t>BODEN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45694</v>
      </c>
      <c r="E621" s="1" t="n">
        <v>46276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33915-2024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45523</v>
      </c>
      <c r="E622" s="1" t="n">
        <v>46276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46276</v>
      </c>
      <c r="F623" t="inlineStr">
        <is>
          <t>NORRBOTTENS LÄN</t>
        </is>
      </c>
      <c r="G623" t="inlineStr">
        <is>
          <t>BODEN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36112-2023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45149</v>
      </c>
      <c r="E624" s="1" t="n">
        <v>46276</v>
      </c>
      <c r="F624" t="inlineStr">
        <is>
          <t>NORRBOTTENS LÄN</t>
        </is>
      </c>
      <c r="G624" t="inlineStr">
        <is>
          <t>BODEN</t>
        </is>
      </c>
      <c r="I624" t="n">
        <v>16.1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20505-2023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45054</v>
      </c>
      <c r="E625" s="1" t="n">
        <v>46276</v>
      </c>
      <c r="F625" t="inlineStr">
        <is>
          <t>NORRBOTTENS LÄN</t>
        </is>
      </c>
      <c r="G625" t="inlineStr">
        <is>
          <t>BODEN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46276</v>
      </c>
      <c r="F626" t="inlineStr">
        <is>
          <t>NORRBOTTENS LÄN</t>
        </is>
      </c>
      <c r="G626" t="inlineStr">
        <is>
          <t>BODEN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21335-2024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45429</v>
      </c>
      <c r="E627" s="1" t="n">
        <v>46276</v>
      </c>
      <c r="F627" t="inlineStr">
        <is>
          <t>NORRBOTTENS LÄN</t>
        </is>
      </c>
      <c r="G627" t="inlineStr">
        <is>
          <t>BODEN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31195-2025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45832</v>
      </c>
      <c r="E628" s="1" t="n">
        <v>46276</v>
      </c>
      <c r="F628" t="inlineStr">
        <is>
          <t>NORRBOTTENS LÄN</t>
        </is>
      </c>
      <c r="G628" t="inlineStr">
        <is>
          <t>BODEN</t>
        </is>
      </c>
      <c r="I628" t="n">
        <v>8.9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28248-2025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45818</v>
      </c>
      <c r="E629" s="1" t="n">
        <v>46276</v>
      </c>
      <c r="F629" t="inlineStr">
        <is>
          <t>NORRBOTTENS LÄN</t>
        </is>
      </c>
      <c r="G629" t="inlineStr">
        <is>
          <t>BODEN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61214-2024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46276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45085</v>
      </c>
      <c r="E631" s="1" t="n">
        <v>46276</v>
      </c>
      <c r="F631" t="inlineStr">
        <is>
          <t>NORRBOTTENS LÄN</t>
        </is>
      </c>
      <c r="G631" t="inlineStr">
        <is>
          <t>BODEN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64649-2023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45281</v>
      </c>
      <c r="E632" s="1" t="n">
        <v>46276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21279-2026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46147</v>
      </c>
      <c r="E633" s="1" t="n">
        <v>46276</v>
      </c>
      <c r="F633" t="inlineStr">
        <is>
          <t>NORRBOTTENS LÄN</t>
        </is>
      </c>
      <c r="G633" t="inlineStr">
        <is>
          <t>BODEN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45893</v>
      </c>
      <c r="E634" s="1" t="n">
        <v>46276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statliga verk och myndigheter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33511-2025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45841</v>
      </c>
      <c r="E635" s="1" t="n">
        <v>46276</v>
      </c>
      <c r="F635" t="inlineStr">
        <is>
          <t>NORRBOTTENS LÄN</t>
        </is>
      </c>
      <c r="G635" t="inlineStr">
        <is>
          <t>BODEN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46148</v>
      </c>
      <c r="E636" s="1" t="n">
        <v>46276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46149</v>
      </c>
      <c r="E637" s="1" t="n">
        <v>46276</v>
      </c>
      <c r="F637" t="inlineStr">
        <is>
          <t>NORRBOTTENS LÄN</t>
        </is>
      </c>
      <c r="G637" t="inlineStr">
        <is>
          <t>BODEN</t>
        </is>
      </c>
      <c r="I637" t="n">
        <v>11.6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59028-2022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44903</v>
      </c>
      <c r="E638" s="1" t="n">
        <v>46276</v>
      </c>
      <c r="F638" t="inlineStr">
        <is>
          <t>NORRBOTTENS LÄN</t>
        </is>
      </c>
      <c r="G638" t="inlineStr">
        <is>
          <t>BODEN</t>
        </is>
      </c>
      <c r="I638" t="n">
        <v>16.1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21610-2026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46149</v>
      </c>
      <c r="E639" s="1" t="n">
        <v>46276</v>
      </c>
      <c r="F639" t="inlineStr">
        <is>
          <t>NORRBOTTENS LÄN</t>
        </is>
      </c>
      <c r="G639" t="inlineStr">
        <is>
          <t>BODEN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46149</v>
      </c>
      <c r="E640" s="1" t="n">
        <v>46276</v>
      </c>
      <c r="F640" t="inlineStr">
        <is>
          <t>NORRBOTTENS LÄN</t>
        </is>
      </c>
      <c r="G640" t="inlineStr">
        <is>
          <t>BODEN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49127-2023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45210</v>
      </c>
      <c r="E641" s="1" t="n">
        <v>46276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46276</v>
      </c>
      <c r="F642" t="inlineStr">
        <is>
          <t>NORRBOTTENS LÄN</t>
        </is>
      </c>
      <c r="G642" t="inlineStr">
        <is>
          <t>BODEN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46276</v>
      </c>
      <c r="F643" t="inlineStr">
        <is>
          <t>NORRBOTTENS LÄN</t>
        </is>
      </c>
      <c r="G643" t="inlineStr">
        <is>
          <t>BODEN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67438-2021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44524</v>
      </c>
      <c r="E644" s="1" t="n">
        <v>46276</v>
      </c>
      <c r="F644" t="inlineStr">
        <is>
          <t>NORRBOTTENS LÄN</t>
        </is>
      </c>
      <c r="G644" t="inlineStr">
        <is>
          <t>BODEN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21784-2026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46276</v>
      </c>
      <c r="F645" t="inlineStr">
        <is>
          <t>NORRBOTTENS LÄN</t>
        </is>
      </c>
      <c r="G645" t="inlineStr">
        <is>
          <t>BODEN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16699-2024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45408</v>
      </c>
      <c r="E646" s="1" t="n">
        <v>46276</v>
      </c>
      <c r="F646" t="inlineStr">
        <is>
          <t>NORRBOTTENS LÄN</t>
        </is>
      </c>
      <c r="G646" t="inlineStr">
        <is>
          <t>BODEN</t>
        </is>
      </c>
      <c r="I646" t="n">
        <v>14.9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49859-2023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45212</v>
      </c>
      <c r="E647" s="1" t="n">
        <v>46276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46154</v>
      </c>
      <c r="E648" s="1" t="n">
        <v>46276</v>
      </c>
      <c r="F648" t="inlineStr">
        <is>
          <t>NORRBOTTENS LÄN</t>
        </is>
      </c>
      <c r="G648" t="inlineStr">
        <is>
          <t>BODEN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61587-2024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45646</v>
      </c>
      <c r="E649" s="1" t="n">
        <v>46276</v>
      </c>
      <c r="F649" t="inlineStr">
        <is>
          <t>NORRBOTTENS LÄN</t>
        </is>
      </c>
      <c r="G649" t="inlineStr">
        <is>
          <t>BODEN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22560-2026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46276</v>
      </c>
      <c r="F650" t="inlineStr">
        <is>
          <t>NORRBOTTENS LÄN</t>
        </is>
      </c>
      <c r="G650" t="inlineStr">
        <is>
          <t>BODEN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45639</v>
      </c>
      <c r="E651" s="1" t="n">
        <v>46276</v>
      </c>
      <c r="F651" t="inlineStr">
        <is>
          <t>NORRBOTTENS LÄN</t>
        </is>
      </c>
      <c r="G651" t="inlineStr">
        <is>
          <t>BODEN</t>
        </is>
      </c>
      <c r="I651" t="n">
        <v>9.5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46154</v>
      </c>
      <c r="E652" s="1" t="n">
        <v>46276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21421-2022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44706</v>
      </c>
      <c r="E653" s="1" t="n">
        <v>46276</v>
      </c>
      <c r="F653" t="inlineStr">
        <is>
          <t>NORRBOTTENS LÄN</t>
        </is>
      </c>
      <c r="G653" t="inlineStr">
        <is>
          <t>BODEN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28432-2022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44747</v>
      </c>
      <c r="E654" s="1" t="n">
        <v>46276</v>
      </c>
      <c r="F654" t="inlineStr">
        <is>
          <t>NORRBOTTENS LÄN</t>
        </is>
      </c>
      <c r="G654" t="inlineStr">
        <is>
          <t>BODEN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59035-2025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45988</v>
      </c>
      <c r="E655" s="1" t="n">
        <v>46276</v>
      </c>
      <c r="F655" t="inlineStr">
        <is>
          <t>NORRBOTTENS LÄN</t>
        </is>
      </c>
      <c r="G655" t="inlineStr">
        <is>
          <t>BODEN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16741-2022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44673</v>
      </c>
      <c r="E656" s="1" t="n">
        <v>46276</v>
      </c>
      <c r="F656" t="inlineStr">
        <is>
          <t>NORRBOTTENS LÄN</t>
        </is>
      </c>
      <c r="G656" t="inlineStr">
        <is>
          <t>BODEN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19068-2024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45427</v>
      </c>
      <c r="E657" s="1" t="n">
        <v>46276</v>
      </c>
      <c r="F657" t="inlineStr">
        <is>
          <t>NORRBOTTENS LÄN</t>
        </is>
      </c>
      <c r="G657" t="inlineStr">
        <is>
          <t>BODEN</t>
        </is>
      </c>
      <c r="I657" t="n">
        <v>22.1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21329-2024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45440</v>
      </c>
      <c r="E658" s="1" t="n">
        <v>46276</v>
      </c>
      <c r="F658" t="inlineStr">
        <is>
          <t>NORRBOTTENS LÄN</t>
        </is>
      </c>
      <c r="G658" t="inlineStr">
        <is>
          <t>BODEN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38994-2024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45548</v>
      </c>
      <c r="E659" s="1" t="n">
        <v>46276</v>
      </c>
      <c r="F659" t="inlineStr">
        <is>
          <t>NORRBOTTENS LÄN</t>
        </is>
      </c>
      <c r="G659" t="inlineStr">
        <is>
          <t>BODEN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14995-2022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44657</v>
      </c>
      <c r="E660" s="1" t="n">
        <v>46276</v>
      </c>
      <c r="F660" t="inlineStr">
        <is>
          <t>NORRBOTTENS LÄN</t>
        </is>
      </c>
      <c r="G660" t="inlineStr">
        <is>
          <t>BODEN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15000-2022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44657</v>
      </c>
      <c r="E661" s="1" t="n">
        <v>46276</v>
      </c>
      <c r="F661" t="inlineStr">
        <is>
          <t>NORRBOTTENS LÄN</t>
        </is>
      </c>
      <c r="G661" t="inlineStr">
        <is>
          <t>BODEN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28139-2025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45818</v>
      </c>
      <c r="E662" s="1" t="n">
        <v>46276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11.3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15157-2025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45744</v>
      </c>
      <c r="E663" s="1" t="n">
        <v>46276</v>
      </c>
      <c r="F663" t="inlineStr">
        <is>
          <t>NORRBOTTENS LÄN</t>
        </is>
      </c>
      <c r="G663" t="inlineStr">
        <is>
          <t>BODEN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5129-2025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45691</v>
      </c>
      <c r="E664" s="1" t="n">
        <v>46276</v>
      </c>
      <c r="F664" t="inlineStr">
        <is>
          <t>NORRBOTTENS LÄN</t>
        </is>
      </c>
      <c r="G664" t="inlineStr">
        <is>
          <t>BODEN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6776-2023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44966</v>
      </c>
      <c r="E665" s="1" t="n">
        <v>46276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37212-2025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45875</v>
      </c>
      <c r="E666" s="1" t="n">
        <v>46276</v>
      </c>
      <c r="F666" t="inlineStr">
        <is>
          <t>NORRBOTTENS LÄN</t>
        </is>
      </c>
      <c r="G666" t="inlineStr">
        <is>
          <t>BODEN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48592-2024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45593</v>
      </c>
      <c r="E667" s="1" t="n">
        <v>46276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2547-2025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45674</v>
      </c>
      <c r="E668" s="1" t="n">
        <v>46276</v>
      </c>
      <c r="F668" t="inlineStr">
        <is>
          <t>NORRBOTTENS LÄN</t>
        </is>
      </c>
      <c r="G668" t="inlineStr">
        <is>
          <t>BODEN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40157-2025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45894</v>
      </c>
      <c r="E669" s="1" t="n">
        <v>46276</v>
      </c>
      <c r="F669" t="inlineStr">
        <is>
          <t>NORRBOTTENS LÄN</t>
        </is>
      </c>
      <c r="G669" t="inlineStr">
        <is>
          <t>BODEN</t>
        </is>
      </c>
      <c r="H669" t="inlineStr">
        <is>
          <t>Övriga statliga verk och myndigheter</t>
        </is>
      </c>
      <c r="I669" t="n">
        <v>17.6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23790-2026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46276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46276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19528-2024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45429</v>
      </c>
      <c r="E672" s="1" t="n">
        <v>46276</v>
      </c>
      <c r="F672" t="inlineStr">
        <is>
          <t>NORRBOTTENS LÄN</t>
        </is>
      </c>
      <c r="G672" t="inlineStr">
        <is>
          <t>BODEN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19533-2024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45429</v>
      </c>
      <c r="E673" s="1" t="n">
        <v>46276</v>
      </c>
      <c r="F673" t="inlineStr">
        <is>
          <t>NORRBOTTENS LÄN</t>
        </is>
      </c>
      <c r="G673" t="inlineStr">
        <is>
          <t>BODEN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46276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25920-2023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45085</v>
      </c>
      <c r="E675" s="1" t="n">
        <v>46276</v>
      </c>
      <c r="F675" t="inlineStr">
        <is>
          <t>NORRBOTTENS LÄN</t>
        </is>
      </c>
      <c r="G675" t="inlineStr">
        <is>
          <t>BODEN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46276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24431-2026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46276</v>
      </c>
      <c r="F677" t="inlineStr">
        <is>
          <t>NORRBOTTENS LÄN</t>
        </is>
      </c>
      <c r="G677" t="inlineStr">
        <is>
          <t>BODEN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46276</v>
      </c>
      <c r="F678" t="inlineStr">
        <is>
          <t>NORRBOTTENS LÄN</t>
        </is>
      </c>
      <c r="G678" t="inlineStr">
        <is>
          <t>BODEN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24430-2026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46276</v>
      </c>
      <c r="F679" t="inlineStr">
        <is>
          <t>NORRBOTTENS LÄN</t>
        </is>
      </c>
      <c r="G679" t="inlineStr">
        <is>
          <t>BODEN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24234-2026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46276</v>
      </c>
      <c r="F680" t="inlineStr">
        <is>
          <t>NORRBOTTENS LÄN</t>
        </is>
      </c>
      <c r="G680" t="inlineStr">
        <is>
          <t>BODEN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46276</v>
      </c>
      <c r="F681" t="inlineStr">
        <is>
          <t>NORRBOTTENS LÄN</t>
        </is>
      </c>
      <c r="G681" t="inlineStr">
        <is>
          <t>BODEN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45483</v>
      </c>
      <c r="E682" s="1" t="n">
        <v>46276</v>
      </c>
      <c r="F682" t="inlineStr">
        <is>
          <t>NORRBOTTENS LÄN</t>
        </is>
      </c>
      <c r="G682" t="inlineStr">
        <is>
          <t>BODEN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45153</v>
      </c>
      <c r="E683" s="1" t="n">
        <v>46276</v>
      </c>
      <c r="F683" t="inlineStr">
        <is>
          <t>NORRBOTTENS LÄN</t>
        </is>
      </c>
      <c r="G683" t="inlineStr">
        <is>
          <t>BODEN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31754-2024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45509</v>
      </c>
      <c r="E684" s="1" t="n">
        <v>46276</v>
      </c>
      <c r="F684" t="inlineStr">
        <is>
          <t>NORRBOTTENS LÄN</t>
        </is>
      </c>
      <c r="G684" t="inlineStr">
        <is>
          <t>BODEN</t>
        </is>
      </c>
      <c r="I684" t="n">
        <v>11.1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24805-2026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46172</v>
      </c>
      <c r="E685" s="1" t="n">
        <v>46276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45256</v>
      </c>
      <c r="E686" s="1" t="n">
        <v>46276</v>
      </c>
      <c r="F686" t="inlineStr">
        <is>
          <t>NORRBOTTENS LÄN</t>
        </is>
      </c>
      <c r="G686" t="inlineStr">
        <is>
          <t>BODEN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42196-2024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45562</v>
      </c>
      <c r="E687" s="1" t="n">
        <v>46276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61932-2024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45653</v>
      </c>
      <c r="E688" s="1" t="n">
        <v>46276</v>
      </c>
      <c r="F688" t="inlineStr">
        <is>
          <t>NORRBOTTENS LÄN</t>
        </is>
      </c>
      <c r="G688" t="inlineStr">
        <is>
          <t>BODEN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24717-2026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46276</v>
      </c>
      <c r="F689" t="inlineStr">
        <is>
          <t>NORRBOTTENS LÄN</t>
        </is>
      </c>
      <c r="G689" t="inlineStr">
        <is>
          <t>BODEN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25042-2026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46174</v>
      </c>
      <c r="E690" s="1" t="n">
        <v>46276</v>
      </c>
      <c r="F690" t="inlineStr">
        <is>
          <t>NORRBOTTENS LÄN</t>
        </is>
      </c>
      <c r="G690" t="inlineStr">
        <is>
          <t>BODEN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57968-2023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45247</v>
      </c>
      <c r="E691" s="1" t="n">
        <v>46276</v>
      </c>
      <c r="F691" t="inlineStr">
        <is>
          <t>NORRBOTTENS LÄN</t>
        </is>
      </c>
      <c r="G691" t="inlineStr">
        <is>
          <t>BODEN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31007-2024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45499</v>
      </c>
      <c r="E692" s="1" t="n">
        <v>46276</v>
      </c>
      <c r="F692" t="inlineStr">
        <is>
          <t>NORRBOTTENS LÄN</t>
        </is>
      </c>
      <c r="G692" t="inlineStr">
        <is>
          <t>BODEN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37384-2023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45156</v>
      </c>
      <c r="E693" s="1" t="n">
        <v>46276</v>
      </c>
      <c r="F693" t="inlineStr">
        <is>
          <t>NORRBOTTENS LÄN</t>
        </is>
      </c>
      <c r="G693" t="inlineStr">
        <is>
          <t>BODEN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46175</v>
      </c>
      <c r="E694" s="1" t="n">
        <v>46276</v>
      </c>
      <c r="F694" t="inlineStr">
        <is>
          <t>NORRBOTTENS LÄN</t>
        </is>
      </c>
      <c r="G694" t="inlineStr">
        <is>
          <t>BODEN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44642</v>
      </c>
      <c r="E695" s="1" t="n">
        <v>46276</v>
      </c>
      <c r="F695" t="inlineStr">
        <is>
          <t>NORRBOTTENS LÄN</t>
        </is>
      </c>
      <c r="G695" t="inlineStr">
        <is>
          <t>BODEN</t>
        </is>
      </c>
      <c r="H695" t="inlineStr">
        <is>
          <t>Övriga statliga verk och myndigheter</t>
        </is>
      </c>
      <c r="I695" t="n">
        <v>15.8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22458-2023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45070</v>
      </c>
      <c r="E696" s="1" t="n">
        <v>46276</v>
      </c>
      <c r="F696" t="inlineStr">
        <is>
          <t>NORRBOTTENS LÄN</t>
        </is>
      </c>
      <c r="G696" t="inlineStr">
        <is>
          <t>BODEN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58373-2022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44901</v>
      </c>
      <c r="E697" s="1" t="n">
        <v>46276</v>
      </c>
      <c r="F697" t="inlineStr">
        <is>
          <t>NORRBOTTENS LÄN</t>
        </is>
      </c>
      <c r="G697" t="inlineStr">
        <is>
          <t>BODEN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46178</v>
      </c>
      <c r="E698" s="1" t="n">
        <v>46276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7.5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8869-2024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45356</v>
      </c>
      <c r="E699" s="1" t="n">
        <v>46276</v>
      </c>
      <c r="F699" t="inlineStr">
        <is>
          <t>NORRBOTTENS LÄN</t>
        </is>
      </c>
      <c r="G699" t="inlineStr">
        <is>
          <t>BODEN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25536-2026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46276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45929-2023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45195</v>
      </c>
      <c r="E701" s="1" t="n">
        <v>46276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25571-2026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46276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46276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61750-2024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45649</v>
      </c>
      <c r="E704" s="1" t="n">
        <v>46276</v>
      </c>
      <c r="F704" t="inlineStr">
        <is>
          <t>NORRBOTTENS LÄN</t>
        </is>
      </c>
      <c r="G704" t="inlineStr">
        <is>
          <t>BODEN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26122-2026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46181</v>
      </c>
      <c r="E705" s="1" t="n">
        <v>46276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26182-2026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46182</v>
      </c>
      <c r="E706" s="1" t="n">
        <v>46276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8.5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47922-2024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45589</v>
      </c>
      <c r="E707" s="1" t="n">
        <v>46276</v>
      </c>
      <c r="F707" t="inlineStr">
        <is>
          <t>NORRBOTTENS LÄN</t>
        </is>
      </c>
      <c r="G707" t="inlineStr">
        <is>
          <t>BODEN</t>
        </is>
      </c>
      <c r="H707" t="inlineStr">
        <is>
          <t>Naturvårdsverket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47924-2024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45589</v>
      </c>
      <c r="E708" s="1" t="n">
        <v>46276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26056-2026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46181</v>
      </c>
      <c r="E709" s="1" t="n">
        <v>46276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26448-2026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46183</v>
      </c>
      <c r="E710" s="1" t="n">
        <v>46276</v>
      </c>
      <c r="F710" t="inlineStr">
        <is>
          <t>NORRBOTTENS LÄN</t>
        </is>
      </c>
      <c r="G710" t="inlineStr">
        <is>
          <t>BODEN</t>
        </is>
      </c>
      <c r="I710" t="n">
        <v>7.7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24744-2024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45460</v>
      </c>
      <c r="E711" s="1" t="n">
        <v>46276</v>
      </c>
      <c r="F711" t="inlineStr">
        <is>
          <t>NORRBOTTENS LÄN</t>
        </is>
      </c>
      <c r="G711" t="inlineStr">
        <is>
          <t>BODEN</t>
        </is>
      </c>
      <c r="H711" t="inlineStr">
        <is>
          <t>Övriga Aktiebolag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26714-2026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46184</v>
      </c>
      <c r="E712" s="1" t="n">
        <v>46276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7.2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26776-2026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46276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  <c r="Z713">
        <f>HYPERLINK("https://klasma.github.io/Logging_2582/knärot/A 26776-2026 karta knärot.png", "A 26776-2026")</f>
        <v/>
      </c>
      <c r="AA713">
        <f>HYPERLINK("https://klasma.github.io/Logging_2582/klagomål/A 26776-2026 FSC-klagomål.docx", "A 26776-2026")</f>
        <v/>
      </c>
      <c r="AB713">
        <f>HYPERLINK("https://klasma.github.io/Logging_2582/klagomålsmail/A 26776-2026 FSC-klagomål mail.docx", "A 26776-2026")</f>
        <v/>
      </c>
      <c r="AC713">
        <f>HYPERLINK("https://klasma.github.io/Logging_2582/tillsyn/A 26776-2026 tillsynsbegäran.docx", "A 26776-2026")</f>
        <v/>
      </c>
      <c r="AD713">
        <f>HYPERLINK("https://klasma.github.io/Logging_2582/tillsynsmail/A 26776-2026 tillsynsbegäran mail.docx", "A 26776-2026")</f>
        <v/>
      </c>
    </row>
    <row r="714" ht="15" customHeight="1">
      <c r="A714" t="inlineStr">
        <is>
          <t>A 26375-2026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46183</v>
      </c>
      <c r="E714" s="1" t="n">
        <v>46276</v>
      </c>
      <c r="F714" t="inlineStr">
        <is>
          <t>NORRBOTTENS LÄN</t>
        </is>
      </c>
      <c r="G714" t="inlineStr">
        <is>
          <t>BODEN</t>
        </is>
      </c>
      <c r="I714" t="n">
        <v>18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26386-2026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46276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26662-2026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46184</v>
      </c>
      <c r="E716" s="1" t="n">
        <v>46276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42.2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8028-2024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45350</v>
      </c>
      <c r="E717" s="1" t="n">
        <v>46276</v>
      </c>
      <c r="F717" t="inlineStr">
        <is>
          <t>NORRBOTTENS LÄN</t>
        </is>
      </c>
      <c r="G717" t="inlineStr">
        <is>
          <t>BODEN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44732</v>
      </c>
      <c r="E718" s="1" t="n">
        <v>46276</v>
      </c>
      <c r="F718" t="inlineStr">
        <is>
          <t>NORRBOTTENS LÄN</t>
        </is>
      </c>
      <c r="G718" t="inlineStr">
        <is>
          <t>BODEN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45677</v>
      </c>
      <c r="E719" s="1" t="n">
        <v>46276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61107-2022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46276</v>
      </c>
      <c r="F720" t="inlineStr">
        <is>
          <t>NORRBOTTENS LÄN</t>
        </is>
      </c>
      <c r="G720" t="inlineStr">
        <is>
          <t>BODEN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50327-2023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45216</v>
      </c>
      <c r="E721" s="1" t="n">
        <v>46276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24400-2022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44726</v>
      </c>
      <c r="E722" s="1" t="n">
        <v>46276</v>
      </c>
      <c r="F722" t="inlineStr">
        <is>
          <t>NORRBOTTENS LÄN</t>
        </is>
      </c>
      <c r="G722" t="inlineStr">
        <is>
          <t>BODEN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706-2022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44566</v>
      </c>
      <c r="E723" s="1" t="n">
        <v>46276</v>
      </c>
      <c r="F723" t="inlineStr">
        <is>
          <t>NORRBOTTENS LÄN</t>
        </is>
      </c>
      <c r="G723" t="inlineStr">
        <is>
          <t>BODEN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26996-2026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46276</v>
      </c>
      <c r="F724" t="inlineStr">
        <is>
          <t>NORRBOTTENS LÄN</t>
        </is>
      </c>
      <c r="G724" t="inlineStr">
        <is>
          <t>BODEN</t>
        </is>
      </c>
      <c r="I724" t="n">
        <v>5.8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45035-2022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44841</v>
      </c>
      <c r="E725" s="1" t="n">
        <v>46276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8873-2024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45356</v>
      </c>
      <c r="E726" s="1" t="n">
        <v>46276</v>
      </c>
      <c r="F726" t="inlineStr">
        <is>
          <t>NORRBOTTENS LÄN</t>
        </is>
      </c>
      <c r="G726" t="inlineStr">
        <is>
          <t>BODEN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46234</v>
      </c>
      <c r="E727" s="1" t="n">
        <v>46276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26022-2022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44734</v>
      </c>
      <c r="E728" s="1" t="n">
        <v>46276</v>
      </c>
      <c r="F728" t="inlineStr">
        <is>
          <t>NORRBOTTENS LÄN</t>
        </is>
      </c>
      <c r="G728" t="inlineStr">
        <is>
          <t>BODEN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61969-2024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45653</v>
      </c>
      <c r="E729" s="1" t="n">
        <v>46276</v>
      </c>
      <c r="F729" t="inlineStr">
        <is>
          <t>NORRBOTTENS LÄN</t>
        </is>
      </c>
      <c r="G729" t="inlineStr">
        <is>
          <t>BODEN</t>
        </is>
      </c>
      <c r="I729" t="n">
        <v>9.699999999999999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32088-2026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46234</v>
      </c>
      <c r="E730" s="1" t="n">
        <v>46276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19584-2025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45770</v>
      </c>
      <c r="E731" s="1" t="n">
        <v>46276</v>
      </c>
      <c r="F731" t="inlineStr">
        <is>
          <t>NORRBOTTENS LÄN</t>
        </is>
      </c>
      <c r="G731" t="inlineStr">
        <is>
          <t>BODEN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46234</v>
      </c>
      <c r="E732" s="1" t="n">
        <v>46276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37866-2024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45544</v>
      </c>
      <c r="E733" s="1" t="n">
        <v>46276</v>
      </c>
      <c r="F733" t="inlineStr">
        <is>
          <t>NORRBOTTENS LÄN</t>
        </is>
      </c>
      <c r="G733" t="inlineStr">
        <is>
          <t>BODEN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27749-2026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46191</v>
      </c>
      <c r="E734" s="1" t="n">
        <v>46276</v>
      </c>
      <c r="F734" t="inlineStr">
        <is>
          <t>NORRBOTTENS LÄN</t>
        </is>
      </c>
      <c r="G734" t="inlineStr">
        <is>
          <t>BODEN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32426-2026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46238</v>
      </c>
      <c r="E735" s="1" t="n">
        <v>46276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32427-2026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46238</v>
      </c>
      <c r="E736" s="1" t="n">
        <v>46276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34760-2022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44795</v>
      </c>
      <c r="E737" s="1" t="n">
        <v>46276</v>
      </c>
      <c r="F737" t="inlineStr">
        <is>
          <t>NORRBOTTENS LÄN</t>
        </is>
      </c>
      <c r="G737" t="inlineStr">
        <is>
          <t>BODEN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28241-2026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46276</v>
      </c>
      <c r="F738" t="inlineStr">
        <is>
          <t>NORRBOTTENS LÄN</t>
        </is>
      </c>
      <c r="G738" t="inlineStr">
        <is>
          <t>BODEN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32562-2026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46276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26.6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38874-2023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45161</v>
      </c>
      <c r="E740" s="1" t="n">
        <v>46276</v>
      </c>
      <c r="F740" t="inlineStr">
        <is>
          <t>NORRBOTTENS LÄN</t>
        </is>
      </c>
      <c r="G740" t="inlineStr">
        <is>
          <t>BODEN</t>
        </is>
      </c>
      <c r="I740" t="n">
        <v>15.5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60337-2024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45643</v>
      </c>
      <c r="E741" s="1" t="n">
        <v>46276</v>
      </c>
      <c r="F741" t="inlineStr">
        <is>
          <t>NORRBOTTENS LÄN</t>
        </is>
      </c>
      <c r="G741" t="inlineStr">
        <is>
          <t>BODEN</t>
        </is>
      </c>
      <c r="I741" t="n">
        <v>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28566-2026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46276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45448-2023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45194</v>
      </c>
      <c r="E743" s="1" t="n">
        <v>46276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46276</v>
      </c>
      <c r="F744" t="inlineStr">
        <is>
          <t>NORRBOTTENS LÄN</t>
        </is>
      </c>
      <c r="G744" t="inlineStr">
        <is>
          <t>BODEN</t>
        </is>
      </c>
      <c r="I744" t="n">
        <v>14.5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61103-2022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44908</v>
      </c>
      <c r="E745" s="1" t="n">
        <v>46276</v>
      </c>
      <c r="F745" t="inlineStr">
        <is>
          <t>NORRBOTTENS LÄN</t>
        </is>
      </c>
      <c r="G745" t="inlineStr">
        <is>
          <t>BODEN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28509-2026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46197</v>
      </c>
      <c r="E746" s="1" t="n">
        <v>46276</v>
      </c>
      <c r="F746" t="inlineStr">
        <is>
          <t>NORRBOTTENS LÄN</t>
        </is>
      </c>
      <c r="G746" t="inlineStr">
        <is>
          <t>BODEN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9319-2024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45358</v>
      </c>
      <c r="E747" s="1" t="n">
        <v>46276</v>
      </c>
      <c r="F747" t="inlineStr">
        <is>
          <t>NORRBOTTENS LÄN</t>
        </is>
      </c>
      <c r="G747" t="inlineStr">
        <is>
          <t>BODEN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46240</v>
      </c>
      <c r="E748" s="1" t="n">
        <v>46276</v>
      </c>
      <c r="F748" t="inlineStr">
        <is>
          <t>NORRBOTTENS LÄN</t>
        </is>
      </c>
      <c r="G748" t="inlineStr">
        <is>
          <t>BODEN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28490-2026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46197</v>
      </c>
      <c r="E749" s="1" t="n">
        <v>46276</v>
      </c>
      <c r="F749" t="inlineStr">
        <is>
          <t>NORRBOTTENS LÄN</t>
        </is>
      </c>
      <c r="G749" t="inlineStr">
        <is>
          <t>BODEN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32678-2026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46240</v>
      </c>
      <c r="E750" s="1" t="n">
        <v>46276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28512-2026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46197</v>
      </c>
      <c r="E751" s="1" t="n">
        <v>46276</v>
      </c>
      <c r="F751" t="inlineStr">
        <is>
          <t>NORRBOTTENS LÄN</t>
        </is>
      </c>
      <c r="G751" t="inlineStr">
        <is>
          <t>BODEN</t>
        </is>
      </c>
      <c r="I751" t="n">
        <v>10.8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28496-2026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46197</v>
      </c>
      <c r="E752" s="1" t="n">
        <v>46276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45680</v>
      </c>
      <c r="E753" s="1" t="n">
        <v>46276</v>
      </c>
      <c r="F753" t="inlineStr">
        <is>
          <t>NORRBOTTENS LÄN</t>
        </is>
      </c>
      <c r="G753" t="inlineStr">
        <is>
          <t>BODEN</t>
        </is>
      </c>
      <c r="H753" t="inlineStr">
        <is>
          <t>Naturvårdsverket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28615-2026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46197</v>
      </c>
      <c r="E754" s="1" t="n">
        <v>46276</v>
      </c>
      <c r="F754" t="inlineStr">
        <is>
          <t>NORRBOTTENS LÄN</t>
        </is>
      </c>
      <c r="G754" t="inlineStr">
        <is>
          <t>BODEN</t>
        </is>
      </c>
      <c r="I754" t="n">
        <v>6.1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43648-2023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45187</v>
      </c>
      <c r="E755" s="1" t="n">
        <v>46276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55540-2022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44887</v>
      </c>
      <c r="E756" s="1" t="n">
        <v>46276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39463-2023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45166</v>
      </c>
      <c r="E757" s="1" t="n">
        <v>46276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29152-2026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46202</v>
      </c>
      <c r="E758" s="1" t="n">
        <v>46276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29155-2026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46202</v>
      </c>
      <c r="E759" s="1" t="n">
        <v>46276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61921-2024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45653</v>
      </c>
      <c r="E760" s="1" t="n">
        <v>46276</v>
      </c>
      <c r="F760" t="inlineStr">
        <is>
          <t>NORRBOTTENS LÄN</t>
        </is>
      </c>
      <c r="G760" t="inlineStr">
        <is>
          <t>BODEN</t>
        </is>
      </c>
      <c r="I760" t="n">
        <v>47.3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41212-2023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45174</v>
      </c>
      <c r="E761" s="1" t="n">
        <v>46276</v>
      </c>
      <c r="F761" t="inlineStr">
        <is>
          <t>NORRBOTTENS LÄN</t>
        </is>
      </c>
      <c r="G761" t="inlineStr">
        <is>
          <t>BODEN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29183-2026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46202</v>
      </c>
      <c r="E762" s="1" t="n">
        <v>46276</v>
      </c>
      <c r="F762" t="inlineStr">
        <is>
          <t>NORRBOTTENS LÄN</t>
        </is>
      </c>
      <c r="G762" t="inlineStr">
        <is>
          <t>BODEN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45323</v>
      </c>
      <c r="E763" s="1" t="n">
        <v>46276</v>
      </c>
      <c r="F763" t="inlineStr">
        <is>
          <t>NORRBOTTENS LÄN</t>
        </is>
      </c>
      <c r="G763" t="inlineStr">
        <is>
          <t>BODEN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29147-2026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46202</v>
      </c>
      <c r="E764" s="1" t="n">
        <v>46276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877-2023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44931</v>
      </c>
      <c r="E765" s="1" t="n">
        <v>46276</v>
      </c>
      <c r="F765" t="inlineStr">
        <is>
          <t>NORRBOTTENS LÄN</t>
        </is>
      </c>
      <c r="G765" t="inlineStr">
        <is>
          <t>BODEN</t>
        </is>
      </c>
      <c r="I765" t="n">
        <v>8.699999999999999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12801-2023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45001</v>
      </c>
      <c r="E766" s="1" t="n">
        <v>46276</v>
      </c>
      <c r="F766" t="inlineStr">
        <is>
          <t>NORRBOTTENS LÄN</t>
        </is>
      </c>
      <c r="G766" t="inlineStr">
        <is>
          <t>BODEN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20041-2025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45772</v>
      </c>
      <c r="E767" s="1" t="n">
        <v>46276</v>
      </c>
      <c r="F767" t="inlineStr">
        <is>
          <t>NORRBOTTENS LÄN</t>
        </is>
      </c>
      <c r="G767" t="inlineStr">
        <is>
          <t>BODEN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29393-2026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46276</v>
      </c>
      <c r="F768" t="inlineStr">
        <is>
          <t>NORRBOTTENS LÄN</t>
        </is>
      </c>
      <c r="G768" t="inlineStr">
        <is>
          <t>BODEN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19582-2025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46276</v>
      </c>
      <c r="F769" t="inlineStr">
        <is>
          <t>NORRBOTTENS LÄN</t>
        </is>
      </c>
      <c r="G769" t="inlineStr">
        <is>
          <t>BODEN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45708</v>
      </c>
      <c r="E770" s="1" t="n">
        <v>46276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Aktiebolag</t>
        </is>
      </c>
      <c r="I770" t="n">
        <v>15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29568-2026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46276</v>
      </c>
      <c r="F771" t="inlineStr">
        <is>
          <t>NORRBOTTENS LÄN</t>
        </is>
      </c>
      <c r="G771" t="inlineStr">
        <is>
          <t>BODEN</t>
        </is>
      </c>
      <c r="I771" t="n">
        <v>12.2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29394-2026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46276</v>
      </c>
      <c r="F772" t="inlineStr">
        <is>
          <t>NORRBOTTENS LÄN</t>
        </is>
      </c>
      <c r="G772" t="inlineStr">
        <is>
          <t>BODEN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33326-2026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46246</v>
      </c>
      <c r="E773" s="1" t="n">
        <v>46276</v>
      </c>
      <c r="F773" t="inlineStr">
        <is>
          <t>NORRBOTTENS LÄN</t>
        </is>
      </c>
      <c r="G773" t="inlineStr">
        <is>
          <t>BODEN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6242-2023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44964</v>
      </c>
      <c r="E774" s="1" t="n">
        <v>46276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29759-2026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46276</v>
      </c>
      <c r="F775" t="inlineStr">
        <is>
          <t>NORRBOTTENS LÄN</t>
        </is>
      </c>
      <c r="G775" t="inlineStr">
        <is>
          <t>BODEN</t>
        </is>
      </c>
      <c r="I775" t="n">
        <v>38.7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29555-2026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46276</v>
      </c>
      <c r="F776" t="inlineStr">
        <is>
          <t>NORRBOTTENS LÄN</t>
        </is>
      </c>
      <c r="G776" t="inlineStr">
        <is>
          <t>BODEN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17417-2023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45035</v>
      </c>
      <c r="E777" s="1" t="n">
        <v>46276</v>
      </c>
      <c r="F777" t="inlineStr">
        <is>
          <t>NORRBOTTENS LÄN</t>
        </is>
      </c>
      <c r="G777" t="inlineStr">
        <is>
          <t>BODEN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28074-2024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45476</v>
      </c>
      <c r="E778" s="1" t="n">
        <v>46276</v>
      </c>
      <c r="F778" t="inlineStr">
        <is>
          <t>NORRBOTTENS LÄN</t>
        </is>
      </c>
      <c r="G778" t="inlineStr">
        <is>
          <t>BODEN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26964-2023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45093</v>
      </c>
      <c r="E779" s="1" t="n">
        <v>46276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54590-2022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44883</v>
      </c>
      <c r="E780" s="1" t="n">
        <v>46276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35115-2024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45529</v>
      </c>
      <c r="E781" s="1" t="n">
        <v>46276</v>
      </c>
      <c r="F781" t="inlineStr">
        <is>
          <t>NORRBOTTENS LÄN</t>
        </is>
      </c>
      <c r="G781" t="inlineStr">
        <is>
          <t>BODEN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30105-2023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45099</v>
      </c>
      <c r="E782" s="1" t="n">
        <v>46276</v>
      </c>
      <c r="F782" t="inlineStr">
        <is>
          <t>NORRBOTTENS LÄN</t>
        </is>
      </c>
      <c r="G782" t="inlineStr">
        <is>
          <t>BODEN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57604-2021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44484</v>
      </c>
      <c r="E783" s="1" t="n">
        <v>46276</v>
      </c>
      <c r="F783" t="inlineStr">
        <is>
          <t>NORRBOTTENS LÄN</t>
        </is>
      </c>
      <c r="G783" t="inlineStr">
        <is>
          <t>BODEN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46251</v>
      </c>
      <c r="E784" s="1" t="n">
        <v>46276</v>
      </c>
      <c r="F784" t="inlineStr">
        <is>
          <t>NORRBOTTENS LÄN</t>
        </is>
      </c>
      <c r="G784" t="inlineStr">
        <is>
          <t>BODEN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30077-2026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46206</v>
      </c>
      <c r="E785" s="1" t="n">
        <v>46276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23706-2024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45454</v>
      </c>
      <c r="E786" s="1" t="n">
        <v>46276</v>
      </c>
      <c r="F786" t="inlineStr">
        <is>
          <t>NORRBOTTENS LÄN</t>
        </is>
      </c>
      <c r="G786" t="inlineStr">
        <is>
          <t>BODEN</t>
        </is>
      </c>
      <c r="I786" t="n">
        <v>10.9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8776-2022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44614</v>
      </c>
      <c r="E787" s="1" t="n">
        <v>46276</v>
      </c>
      <c r="F787" t="inlineStr">
        <is>
          <t>NORRBOTTENS LÄN</t>
        </is>
      </c>
      <c r="G787" t="inlineStr">
        <is>
          <t>BODEN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25387-2023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45079</v>
      </c>
      <c r="E788" s="1" t="n">
        <v>46276</v>
      </c>
      <c r="F788" t="inlineStr">
        <is>
          <t>NORRBOTTENS LÄN</t>
        </is>
      </c>
      <c r="G788" t="inlineStr">
        <is>
          <t>BODEN</t>
        </is>
      </c>
      <c r="I788" t="n">
        <v>6.7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18428-2025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46276</v>
      </c>
      <c r="F789" t="inlineStr">
        <is>
          <t>NORRBOTTENS LÄN</t>
        </is>
      </c>
      <c r="G789" t="inlineStr">
        <is>
          <t>BODEN</t>
        </is>
      </c>
      <c r="I789" t="n">
        <v>5.8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33790-2026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46251</v>
      </c>
      <c r="E790" s="1" t="n">
        <v>46276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30025-2026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46276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62140-2024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46276</v>
      </c>
      <c r="F792" t="inlineStr">
        <is>
          <t>NORRBOTTENS LÄN</t>
        </is>
      </c>
      <c r="G792" t="inlineStr">
        <is>
          <t>BODEN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48129-2023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45205</v>
      </c>
      <c r="E793" s="1" t="n">
        <v>46276</v>
      </c>
      <c r="F793" t="inlineStr">
        <is>
          <t>NORRBOTTENS LÄN</t>
        </is>
      </c>
      <c r="G793" t="inlineStr">
        <is>
          <t>BODEN</t>
        </is>
      </c>
      <c r="I793" t="n">
        <v>7.1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54616-2023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45233</v>
      </c>
      <c r="E794" s="1" t="n">
        <v>46276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30332-2026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46208</v>
      </c>
      <c r="E795" s="1" t="n">
        <v>46276</v>
      </c>
      <c r="F795" t="inlineStr">
        <is>
          <t>NORRBOTTENS LÄN</t>
        </is>
      </c>
      <c r="G795" t="inlineStr">
        <is>
          <t>BODEN</t>
        </is>
      </c>
      <c r="I795" t="n">
        <v>9.800000000000001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33671-2026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46248</v>
      </c>
      <c r="E796" s="1" t="n">
        <v>46276</v>
      </c>
      <c r="F796" t="inlineStr">
        <is>
          <t>NORRBOTTENS LÄN</t>
        </is>
      </c>
      <c r="G796" t="inlineStr">
        <is>
          <t>BODEN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30023-2026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46276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15.2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30745-2026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46211</v>
      </c>
      <c r="E798" s="1" t="n">
        <v>46276</v>
      </c>
      <c r="F798" t="inlineStr">
        <is>
          <t>NORRBOTTENS LÄN</t>
        </is>
      </c>
      <c r="G798" t="inlineStr">
        <is>
          <t>BODEN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12562-2024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45379</v>
      </c>
      <c r="E799" s="1" t="n">
        <v>46276</v>
      </c>
      <c r="F799" t="inlineStr">
        <is>
          <t>NORRBOTTENS LÄN</t>
        </is>
      </c>
      <c r="G799" t="inlineStr">
        <is>
          <t>BODEN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34022-2026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46252</v>
      </c>
      <c r="E800" s="1" t="n">
        <v>46276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19.5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30426-2026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46209</v>
      </c>
      <c r="E801" s="1" t="n">
        <v>46276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30430-2026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46209</v>
      </c>
      <c r="E802" s="1" t="n">
        <v>46276</v>
      </c>
      <c r="F802" t="inlineStr">
        <is>
          <t>NORRBOTTENS LÄN</t>
        </is>
      </c>
      <c r="G802" t="inlineStr">
        <is>
          <t>BODEN</t>
        </is>
      </c>
      <c r="H802" t="inlineStr">
        <is>
          <t>Kommuner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20260-2025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45773</v>
      </c>
      <c r="E803" s="1" t="n">
        <v>46276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11651-2023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44994</v>
      </c>
      <c r="E804" s="1" t="n">
        <v>46276</v>
      </c>
      <c r="F804" t="inlineStr">
        <is>
          <t>NORRBOTTENS LÄN</t>
        </is>
      </c>
      <c r="G804" t="inlineStr">
        <is>
          <t>BODEN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34158-2026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46253</v>
      </c>
      <c r="E805" s="1" t="n">
        <v>46276</v>
      </c>
      <c r="F805" t="inlineStr">
        <is>
          <t>NORRBOTTENS LÄN</t>
        </is>
      </c>
      <c r="G805" t="inlineStr">
        <is>
          <t>BODEN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718-2022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44568</v>
      </c>
      <c r="E806" s="1" t="n">
        <v>46276</v>
      </c>
      <c r="F806" t="inlineStr">
        <is>
          <t>NORRBOTTENS LÄN</t>
        </is>
      </c>
      <c r="G806" t="inlineStr">
        <is>
          <t>BODEN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30432-2026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46209</v>
      </c>
      <c r="E807" s="1" t="n">
        <v>46276</v>
      </c>
      <c r="F807" t="inlineStr">
        <is>
          <t>NORRBOTTENS LÄN</t>
        </is>
      </c>
      <c r="G807" t="inlineStr">
        <is>
          <t>BODEN</t>
        </is>
      </c>
      <c r="H807" t="inlineStr">
        <is>
          <t>Kommuner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43969-2024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45572</v>
      </c>
      <c r="E808" s="1" t="n">
        <v>46276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19048-2025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45764</v>
      </c>
      <c r="E809" s="1" t="n">
        <v>46276</v>
      </c>
      <c r="F809" t="inlineStr">
        <is>
          <t>NORRBOTTENS LÄN</t>
        </is>
      </c>
      <c r="G809" t="inlineStr">
        <is>
          <t>BODEN</t>
        </is>
      </c>
      <c r="I809" t="n">
        <v>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19050-2025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45764</v>
      </c>
      <c r="E810" s="1" t="n">
        <v>46276</v>
      </c>
      <c r="F810" t="inlineStr">
        <is>
          <t>NORRBOTTENS LÄN</t>
        </is>
      </c>
      <c r="G810" t="inlineStr">
        <is>
          <t>BODEN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54718-2024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45618</v>
      </c>
      <c r="E811" s="1" t="n">
        <v>46276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46254</v>
      </c>
      <c r="E812" s="1" t="n">
        <v>46276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18.5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28357-2023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45099</v>
      </c>
      <c r="E813" s="1" t="n">
        <v>46276</v>
      </c>
      <c r="F813" t="inlineStr">
        <is>
          <t>NORRBOTTENS LÄN</t>
        </is>
      </c>
      <c r="G813" t="inlineStr">
        <is>
          <t>BODEN</t>
        </is>
      </c>
      <c r="I813" t="n">
        <v>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34463-2026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46254</v>
      </c>
      <c r="E814" s="1" t="n">
        <v>46276</v>
      </c>
      <c r="F814" t="inlineStr">
        <is>
          <t>NORRBOTTENS LÄN</t>
        </is>
      </c>
      <c r="G814" t="inlineStr">
        <is>
          <t>BODEN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34462-2026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46254</v>
      </c>
      <c r="E815" s="1" t="n">
        <v>46276</v>
      </c>
      <c r="F815" t="inlineStr">
        <is>
          <t>NORRBOTTENS LÄN</t>
        </is>
      </c>
      <c r="G815" t="inlineStr">
        <is>
          <t>BODEN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38219-2022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44812</v>
      </c>
      <c r="E816" s="1" t="n">
        <v>46276</v>
      </c>
      <c r="F816" t="inlineStr">
        <is>
          <t>NORRBOTTENS LÄN</t>
        </is>
      </c>
      <c r="G816" t="inlineStr">
        <is>
          <t>BODEN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40624-2022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44823</v>
      </c>
      <c r="E817" s="1" t="n">
        <v>46276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34517-2026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46255</v>
      </c>
      <c r="E818" s="1" t="n">
        <v>46276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5.1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56457-2024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45625</v>
      </c>
      <c r="E819" s="1" t="n">
        <v>46276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48107-2022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44856</v>
      </c>
      <c r="E820" s="1" t="n">
        <v>46276</v>
      </c>
      <c r="F820" t="inlineStr">
        <is>
          <t>NORRBOTTENS LÄN</t>
        </is>
      </c>
      <c r="G820" t="inlineStr">
        <is>
          <t>BODEN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14743-2023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45013</v>
      </c>
      <c r="E821" s="1" t="n">
        <v>46276</v>
      </c>
      <c r="F821" t="inlineStr">
        <is>
          <t>NORRBOTTENS LÄN</t>
        </is>
      </c>
      <c r="G821" t="inlineStr">
        <is>
          <t>BODEN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3462-2022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44585</v>
      </c>
      <c r="E822" s="1" t="n">
        <v>46276</v>
      </c>
      <c r="F822" t="inlineStr">
        <is>
          <t>NORRBOTTENS LÄN</t>
        </is>
      </c>
      <c r="G822" t="inlineStr">
        <is>
          <t>BODEN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34898-2026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46259</v>
      </c>
      <c r="E823" s="1" t="n">
        <v>46276</v>
      </c>
      <c r="F823" t="inlineStr">
        <is>
          <t>NORRBOTTENS LÄN</t>
        </is>
      </c>
      <c r="G823" t="inlineStr">
        <is>
          <t>BODEN</t>
        </is>
      </c>
      <c r="H823" t="inlineStr">
        <is>
          <t>Naturvårdsverket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34897-2026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46259</v>
      </c>
      <c r="E824" s="1" t="n">
        <v>46276</v>
      </c>
      <c r="F824" t="inlineStr">
        <is>
          <t>NORRBOTTENS LÄN</t>
        </is>
      </c>
      <c r="G824" t="inlineStr">
        <is>
          <t>BODEN</t>
        </is>
      </c>
      <c r="H824" t="inlineStr">
        <is>
          <t>Naturvårdsverket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46259</v>
      </c>
      <c r="E825" s="1" t="n">
        <v>46276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44.8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49113-2023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45204</v>
      </c>
      <c r="E826" s="1" t="n">
        <v>46276</v>
      </c>
      <c r="F826" t="inlineStr">
        <is>
          <t>NORRBOTTENS LÄN</t>
        </is>
      </c>
      <c r="G826" t="inlineStr">
        <is>
          <t>BODEN</t>
        </is>
      </c>
      <c r="I826" t="n">
        <v>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4630-2025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46276</v>
      </c>
      <c r="F827" t="inlineStr">
        <is>
          <t>NORRBOTTENS LÄN</t>
        </is>
      </c>
      <c r="G827" t="inlineStr">
        <is>
          <t>BODEN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46029</v>
      </c>
      <c r="E828" s="1" t="n">
        <v>46276</v>
      </c>
      <c r="F828" t="inlineStr">
        <is>
          <t>NORRBOTTENS LÄN</t>
        </is>
      </c>
      <c r="G828" t="inlineStr">
        <is>
          <t>BODEN</t>
        </is>
      </c>
      <c r="H828" t="inlineStr">
        <is>
          <t>Naturvårdsverket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35407-2026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46276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46052-2025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46276</v>
      </c>
      <c r="F830" t="inlineStr">
        <is>
          <t>NORRBOTTENS LÄN</t>
        </is>
      </c>
      <c r="G830" t="inlineStr">
        <is>
          <t>BODEN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46276</v>
      </c>
      <c r="F831" t="inlineStr">
        <is>
          <t>NORRBOTTENS LÄN</t>
        </is>
      </c>
      <c r="G831" t="inlineStr">
        <is>
          <t>BODEN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46276</v>
      </c>
      <c r="F832" t="inlineStr">
        <is>
          <t>NORRBOTTENS LÄN</t>
        </is>
      </c>
      <c r="G832" t="inlineStr">
        <is>
          <t>BODEN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46276</v>
      </c>
      <c r="F833" t="inlineStr">
        <is>
          <t>NORRBOTTENS LÄN</t>
        </is>
      </c>
      <c r="G833" t="inlineStr">
        <is>
          <t>BODEN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31226-2026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46217</v>
      </c>
      <c r="E834" s="1" t="n">
        <v>46276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40117-2025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45894</v>
      </c>
      <c r="E835" s="1" t="n">
        <v>46276</v>
      </c>
      <c r="F835" t="inlineStr">
        <is>
          <t>NORRBOTTENS LÄN</t>
        </is>
      </c>
      <c r="G835" t="inlineStr">
        <is>
          <t>BODEN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1023-2023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44935</v>
      </c>
      <c r="E836" s="1" t="n">
        <v>46276</v>
      </c>
      <c r="F836" t="inlineStr">
        <is>
          <t>NORRBOTTENS LÄN</t>
        </is>
      </c>
      <c r="G836" t="inlineStr">
        <is>
          <t>BODEN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46276</v>
      </c>
      <c r="F837" t="inlineStr">
        <is>
          <t>NORRBOTTENS LÄN</t>
        </is>
      </c>
      <c r="G837" t="inlineStr">
        <is>
          <t>BODEN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  <c r="Z837">
        <f>HYPERLINK("https://klasma.github.io/Logging_2582/knärot/A 35295-2026 karta knärot.png", "A 35295-2026")</f>
        <v/>
      </c>
      <c r="AA837">
        <f>HYPERLINK("https://klasma.github.io/Logging_2582/klagomål/A 35295-2026 FSC-klagomål.docx", "A 35295-2026")</f>
        <v/>
      </c>
      <c r="AB837">
        <f>HYPERLINK("https://klasma.github.io/Logging_2582/klagomålsmail/A 35295-2026 FSC-klagomål mail.docx", "A 35295-2026")</f>
        <v/>
      </c>
      <c r="AC837">
        <f>HYPERLINK("https://klasma.github.io/Logging_2582/tillsyn/A 35295-2026 tillsynsbegäran.docx", "A 35295-2026")</f>
        <v/>
      </c>
      <c r="AD837">
        <f>HYPERLINK("https://klasma.github.io/Logging_2582/tillsynsmail/A 35295-2026 tillsynsbegäran mail.docx", "A 35295-2026")</f>
        <v/>
      </c>
    </row>
    <row r="838" ht="15" customHeight="1">
      <c r="A838" t="inlineStr">
        <is>
          <t>A 31209-2026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46217</v>
      </c>
      <c r="E838" s="1" t="n">
        <v>46276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8.800000000000001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31211-2026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46217</v>
      </c>
      <c r="E839" s="1" t="n">
        <v>46276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23232-2024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45453</v>
      </c>
      <c r="E840" s="1" t="n">
        <v>46276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45646</v>
      </c>
      <c r="E841" s="1" t="n">
        <v>46276</v>
      </c>
      <c r="F841" t="inlineStr">
        <is>
          <t>NORRBOTTENS LÄN</t>
        </is>
      </c>
      <c r="G841" t="inlineStr">
        <is>
          <t>BODEN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31217-2026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46217</v>
      </c>
      <c r="E842" s="1" t="n">
        <v>46276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28758-2024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45478</v>
      </c>
      <c r="E843" s="1" t="n">
        <v>46276</v>
      </c>
      <c r="F843" t="inlineStr">
        <is>
          <t>NORRBOTTENS LÄN</t>
        </is>
      </c>
      <c r="G843" t="inlineStr">
        <is>
          <t>BODEN</t>
        </is>
      </c>
      <c r="I843" t="n">
        <v>7.5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13925-2024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45391</v>
      </c>
      <c r="E844" s="1" t="n">
        <v>46276</v>
      </c>
      <c r="F844" t="inlineStr">
        <is>
          <t>NORRBOTTENS LÄN</t>
        </is>
      </c>
      <c r="G844" t="inlineStr">
        <is>
          <t>BODEN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24225-2026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46168</v>
      </c>
      <c r="E845" s="1" t="n">
        <v>46276</v>
      </c>
      <c r="F845" t="inlineStr">
        <is>
          <t>NORRBOTTENS LÄN</t>
        </is>
      </c>
      <c r="G845" t="inlineStr">
        <is>
          <t>BODEN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21128-2025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45778</v>
      </c>
      <c r="E846" s="1" t="n">
        <v>46276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21349-2025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45782</v>
      </c>
      <c r="E847" s="1" t="n">
        <v>46276</v>
      </c>
      <c r="F847" t="inlineStr">
        <is>
          <t>NORRBOTTENS LÄN</t>
        </is>
      </c>
      <c r="G847" t="inlineStr">
        <is>
          <t>BODEN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35902-2026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46266</v>
      </c>
      <c r="E848" s="1" t="n">
        <v>46276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12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36187-2026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46267</v>
      </c>
      <c r="E849" s="1" t="n">
        <v>46276</v>
      </c>
      <c r="F849" t="inlineStr">
        <is>
          <t>NORRBOTTENS LÄN</t>
        </is>
      </c>
      <c r="G849" t="inlineStr">
        <is>
          <t>BODEN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36162-2026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46267</v>
      </c>
      <c r="E850" s="1" t="n">
        <v>46276</v>
      </c>
      <c r="F850" t="inlineStr">
        <is>
          <t>NORRBOTTENS LÄN</t>
        </is>
      </c>
      <c r="G850" t="inlineStr">
        <is>
          <t>BODEN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36163-2026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46267</v>
      </c>
      <c r="E851" s="1" t="n">
        <v>46276</v>
      </c>
      <c r="F851" t="inlineStr">
        <is>
          <t>NORRBOTTENS LÄN</t>
        </is>
      </c>
      <c r="G851" t="inlineStr">
        <is>
          <t>BODEN</t>
        </is>
      </c>
      <c r="I851" t="n">
        <v>7.2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36115-2023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45149</v>
      </c>
      <c r="E852" s="1" t="n">
        <v>46276</v>
      </c>
      <c r="F852" t="inlineStr">
        <is>
          <t>NORRBOTTENS LÄN</t>
        </is>
      </c>
      <c r="G852" t="inlineStr">
        <is>
          <t>BODEN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22372-2025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45786</v>
      </c>
      <c r="E853" s="1" t="n">
        <v>46276</v>
      </c>
      <c r="F853" t="inlineStr">
        <is>
          <t>NORRBOTTENS LÄN</t>
        </is>
      </c>
      <c r="G853" t="inlineStr">
        <is>
          <t>BODEN</t>
        </is>
      </c>
      <c r="H853" t="inlineStr">
        <is>
          <t>Kommuner</t>
        </is>
      </c>
      <c r="I853" t="n">
        <v>16.3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36430-2026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46269</v>
      </c>
      <c r="E854" s="1" t="n">
        <v>46276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36406-2026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46268</v>
      </c>
      <c r="E855" s="1" t="n">
        <v>46276</v>
      </c>
      <c r="F855" t="inlineStr">
        <is>
          <t>NORRBOTTENS LÄN</t>
        </is>
      </c>
      <c r="G855" t="inlineStr">
        <is>
          <t>BODEN</t>
        </is>
      </c>
      <c r="I855" t="n">
        <v>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31652-2026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46225</v>
      </c>
      <c r="E856" s="1" t="n">
        <v>46276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36398-2026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46268</v>
      </c>
      <c r="E857" s="1" t="n">
        <v>46276</v>
      </c>
      <c r="F857" t="inlineStr">
        <is>
          <t>NORRBOTTENS LÄN</t>
        </is>
      </c>
      <c r="G857" t="inlineStr">
        <is>
          <t>BODEN</t>
        </is>
      </c>
      <c r="H857" t="inlineStr">
        <is>
          <t>Kommuner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23321-2025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45791</v>
      </c>
      <c r="E858" s="1" t="n">
        <v>46276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10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12558-2024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45379</v>
      </c>
      <c r="E859" s="1" t="n">
        <v>46276</v>
      </c>
      <c r="F859" t="inlineStr">
        <is>
          <t>NORRBOTTENS LÄN</t>
        </is>
      </c>
      <c r="G859" t="inlineStr">
        <is>
          <t>BODEN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46029</v>
      </c>
      <c r="E860" s="1" t="n">
        <v>46276</v>
      </c>
      <c r="F860" t="inlineStr">
        <is>
          <t>NORRBOTTENS LÄN</t>
        </is>
      </c>
      <c r="G860" t="inlineStr">
        <is>
          <t>BODEN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36792-2026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46272</v>
      </c>
      <c r="E861" s="1" t="n">
        <v>46276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23761-2025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45793</v>
      </c>
      <c r="E862" s="1" t="n">
        <v>46276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23763-2025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45793</v>
      </c>
      <c r="E863" s="1" t="n">
        <v>46276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23724-2025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45793</v>
      </c>
      <c r="E864" s="1" t="n">
        <v>46276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37029-2026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46273</v>
      </c>
      <c r="E865" s="1" t="n">
        <v>46276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36241-2026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46268</v>
      </c>
      <c r="E866" s="1" t="n">
        <v>46276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48420-2024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45590</v>
      </c>
      <c r="E867" s="1" t="n">
        <v>46276</v>
      </c>
      <c r="F867" t="inlineStr">
        <is>
          <t>NORRBOTTENS LÄN</t>
        </is>
      </c>
      <c r="G867" t="inlineStr">
        <is>
          <t>BODEN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48427-2024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45590</v>
      </c>
      <c r="E868" s="1" t="n">
        <v>46276</v>
      </c>
      <c r="F868" t="inlineStr">
        <is>
          <t>NORRBOTTENS LÄN</t>
        </is>
      </c>
      <c r="G868" t="inlineStr">
        <is>
          <t>BODEN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36623-2026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46270</v>
      </c>
      <c r="E869" s="1" t="n">
        <v>46276</v>
      </c>
      <c r="F869" t="inlineStr">
        <is>
          <t>NORRBOTTENS LÄN</t>
        </is>
      </c>
      <c r="G869" t="inlineStr">
        <is>
          <t>BODEN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37101-2026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46274</v>
      </c>
      <c r="E870" s="1" t="n">
        <v>46276</v>
      </c>
      <c r="F870" t="inlineStr">
        <is>
          <t>NORRBOTTENS LÄN</t>
        </is>
      </c>
      <c r="G870" t="inlineStr">
        <is>
          <t>BODEN</t>
        </is>
      </c>
      <c r="I870" t="n">
        <v>9.800000000000001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37119-2026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46274</v>
      </c>
      <c r="E871" s="1" t="n">
        <v>46276</v>
      </c>
      <c r="F871" t="inlineStr">
        <is>
          <t>NORRBOTTENS LÄN</t>
        </is>
      </c>
      <c r="G871" t="inlineStr">
        <is>
          <t>BODEN</t>
        </is>
      </c>
      <c r="I871" t="n">
        <v>12.3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37436-2026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46275</v>
      </c>
      <c r="E872" s="1" t="n">
        <v>46276</v>
      </c>
      <c r="F872" t="inlineStr">
        <is>
          <t>NORRBOTTENS LÄN</t>
        </is>
      </c>
      <c r="G872" t="inlineStr">
        <is>
          <t>BODEN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37472-2026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46275</v>
      </c>
      <c r="E873" s="1" t="n">
        <v>46276</v>
      </c>
      <c r="F873" t="inlineStr">
        <is>
          <t>NORRBOTTENS LÄN</t>
        </is>
      </c>
      <c r="G873" t="inlineStr">
        <is>
          <t>BODEN</t>
        </is>
      </c>
      <c r="I873" t="n">
        <v>6.5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46274</v>
      </c>
      <c r="E874" s="1" t="n">
        <v>46276</v>
      </c>
      <c r="F874" t="inlineStr">
        <is>
          <t>NORRBOTTENS LÄN</t>
        </is>
      </c>
      <c r="G874" t="inlineStr">
        <is>
          <t>BODEN</t>
        </is>
      </c>
      <c r="I874" t="n">
        <v>6.4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46274</v>
      </c>
      <c r="E875" s="1" t="n">
        <v>46276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37478-2026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46275</v>
      </c>
      <c r="E876" s="1" t="n">
        <v>46276</v>
      </c>
      <c r="F876" t="inlineStr">
        <is>
          <t>NORRBOTTENS LÄN</t>
        </is>
      </c>
      <c r="G876" t="inlineStr">
        <is>
          <t>BODEN</t>
        </is>
      </c>
      <c r="H876" t="inlineStr">
        <is>
          <t>SCA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37459-2026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46275</v>
      </c>
      <c r="E877" s="1" t="n">
        <v>46276</v>
      </c>
      <c r="F877" t="inlineStr">
        <is>
          <t>NORRBOTTENS LÄN</t>
        </is>
      </c>
      <c r="G877" t="inlineStr">
        <is>
          <t>BODEN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37475-2026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46275</v>
      </c>
      <c r="E878" s="1" t="n">
        <v>46276</v>
      </c>
      <c r="F878" t="inlineStr">
        <is>
          <t>NORRBOTTENS LÄN</t>
        </is>
      </c>
      <c r="G878" t="inlineStr">
        <is>
          <t>BODEN</t>
        </is>
      </c>
      <c r="I878" t="n">
        <v>23.1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885-2024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45376</v>
      </c>
      <c r="E879" s="1" t="n">
        <v>46276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1063-2023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45013</v>
      </c>
      <c r="E880" s="1" t="n">
        <v>46276</v>
      </c>
      <c r="F880" t="inlineStr">
        <is>
          <t>NORRBOTTENS LÄN</t>
        </is>
      </c>
      <c r="G880" t="inlineStr">
        <is>
          <t>BODEN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883-2024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45376</v>
      </c>
      <c r="E881" s="1" t="n">
        <v>46276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52-2025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45667</v>
      </c>
      <c r="E882" s="1" t="n">
        <v>46276</v>
      </c>
      <c r="F882" t="inlineStr">
        <is>
          <t>NORRBOTTENS LÄN</t>
        </is>
      </c>
      <c r="G882" t="inlineStr">
        <is>
          <t>BODEN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190-2023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44945</v>
      </c>
      <c r="E883" s="1" t="n">
        <v>46276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6.8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977-2025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46276</v>
      </c>
      <c r="F884" t="inlineStr">
        <is>
          <t>NORRBOTTENS LÄN</t>
        </is>
      </c>
      <c r="G884" t="inlineStr">
        <is>
          <t>BODEN</t>
        </is>
      </c>
      <c r="I884" t="n">
        <v>11.1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978-2025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45743</v>
      </c>
      <c r="E885" s="1" t="n">
        <v>46276</v>
      </c>
      <c r="F885" t="inlineStr">
        <is>
          <t>NORRBOTTENS LÄN</t>
        </is>
      </c>
      <c r="G885" t="inlineStr">
        <is>
          <t>BODEN</t>
        </is>
      </c>
      <c r="I885" t="n">
        <v>19.5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1498-2025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45789</v>
      </c>
      <c r="E886" s="1" t="n">
        <v>46276</v>
      </c>
      <c r="F886" t="inlineStr">
        <is>
          <t>NORRBOTTENS LÄN</t>
        </is>
      </c>
      <c r="G886" t="inlineStr">
        <is>
          <t>BODEN</t>
        </is>
      </c>
      <c r="H886" t="inlineStr">
        <is>
          <t>Övriga Aktiebolag</t>
        </is>
      </c>
      <c r="I886" t="n">
        <v>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1572-2025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45792</v>
      </c>
      <c r="E887" s="1" t="n">
        <v>46276</v>
      </c>
      <c r="F887" t="inlineStr">
        <is>
          <t>NORRBOTTENS LÄN</t>
        </is>
      </c>
      <c r="G887" t="inlineStr">
        <is>
          <t>BODEN</t>
        </is>
      </c>
      <c r="I887" t="n">
        <v>8.6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1631-2025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46276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1633-2025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46276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1632-2025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45799</v>
      </c>
      <c r="E890" s="1" t="n">
        <v>46276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1734-2025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45810</v>
      </c>
      <c r="E891" s="1" t="n">
        <v>46276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1811-2025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45818</v>
      </c>
      <c r="E892" s="1" t="n">
        <v>46276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2072-2025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45840</v>
      </c>
      <c r="E893" s="1" t="n">
        <v>46276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3580-2025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46018</v>
      </c>
      <c r="E894" s="1" t="n">
        <v>46276</v>
      </c>
      <c r="F894" t="inlineStr">
        <is>
          <t>NORRBOTTENS LÄN</t>
        </is>
      </c>
      <c r="G894" t="inlineStr">
        <is>
          <t>BODEN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46276</v>
      </c>
      <c r="F895" t="inlineStr">
        <is>
          <t>NORRBOTTENS LÄN</t>
        </is>
      </c>
      <c r="G895" t="inlineStr">
        <is>
          <t>BODEN</t>
        </is>
      </c>
      <c r="I895" t="n">
        <v>57.4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1261-2026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46276</v>
      </c>
      <c r="F896" t="inlineStr">
        <is>
          <t>NORRBOTTENS LÄN</t>
        </is>
      </c>
      <c r="G896" t="inlineStr">
        <is>
          <t>BODEN</t>
        </is>
      </c>
      <c r="I896" t="n">
        <v>16.9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1262-2026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46147</v>
      </c>
      <c r="E897" s="1" t="n">
        <v>46276</v>
      </c>
      <c r="F897" t="inlineStr">
        <is>
          <t>NORRBOTTENS LÄN</t>
        </is>
      </c>
      <c r="G897" t="inlineStr">
        <is>
          <t>BODEN</t>
        </is>
      </c>
      <c r="H897" t="inlineStr">
        <is>
          <t>Kommuner</t>
        </is>
      </c>
      <c r="I897" t="n">
        <v>16.2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1356-2026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46276</v>
      </c>
      <c r="F898" t="inlineStr">
        <is>
          <t>NORRBOTTENS LÄN</t>
        </is>
      </c>
      <c r="G898" t="inlineStr">
        <is>
          <t>BODEN</t>
        </is>
      </c>
      <c r="I898" t="n">
        <v>124.7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1357-2026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46152</v>
      </c>
      <c r="E899" s="1" t="n">
        <v>46276</v>
      </c>
      <c r="F899" t="inlineStr">
        <is>
          <t>NORRBOTTENS LÄN</t>
        </is>
      </c>
      <c r="G899" t="inlineStr">
        <is>
          <t>BODEN</t>
        </is>
      </c>
      <c r="I899" t="n">
        <v>38.2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>
      <c r="A900" t="inlineStr">
        <is>
          <t>S 1297-2026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46148</v>
      </c>
      <c r="E900" s="1" t="n">
        <v>46276</v>
      </c>
      <c r="F900" t="inlineStr">
        <is>
          <t>NORRBOTTENS LÄN</t>
        </is>
      </c>
      <c r="G900" t="inlineStr">
        <is>
          <t>BODEN</t>
        </is>
      </c>
      <c r="I900" t="n">
        <v>20.5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2026-09-11T02:13:17Z</dcterms:created>
  <dcterms:modified xmlns:dcterms="http://purl.org/dc/terms/" xmlns:xsi="http://www.w3.org/2001/XMLSchema-instance" xsi:type="dcterms:W3CDTF">2026-09-11T02:13:18Z</dcterms:modified>
</cp:coreProperties>
</file>