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46297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46297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46297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46297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46297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46297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46297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46297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46297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46297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46297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46297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46297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46297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46297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46297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46297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46297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46297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46297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46297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46297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46297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46297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46297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46297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46297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46297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46297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46297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46297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46297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46297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46297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46297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46297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46297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46297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46297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46297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46297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46297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29797-2022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44755</v>
      </c>
      <c r="E63" s="1" t="n">
        <v>46297</v>
      </c>
      <c r="F63" t="inlineStr">
        <is>
          <t>NORRBOTTENS LÄN</t>
        </is>
      </c>
      <c r="G63" t="inlineStr">
        <is>
          <t>BODEN</t>
        </is>
      </c>
      <c r="H63" t="inlineStr">
        <is>
          <t>Kyrkan</t>
        </is>
      </c>
      <c r="I63" t="n">
        <v>29.2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Vanlig groda
Vanlig padda
Revlummer</t>
        </is>
      </c>
      <c r="W63">
        <f>HYPERLINK("https://klasma.github.io/Logging_2582/artfynd/A 29797-2022 artfynd.xlsx", "A 29797-2022")</f>
        <v/>
      </c>
      <c r="X63">
        <f>HYPERLINK("https://klasma.github.io/Logging_2582/kartor/A 29797-2022 karta.png", "A 29797-2022")</f>
        <v/>
      </c>
      <c r="Y63">
        <f>HYPERLINK("https://klasma.github.io/Logging_2582/kartor_geotiff/A 29797-2022 georefererad karta.tif", "A 29797-2022")</f>
        <v/>
      </c>
      <c r="AA63">
        <f>HYPERLINK("https://klasma.github.io/Logging_2582/klagomål/A 29797-2022 FSC-klagomål.docx", "A 29797-2022")</f>
        <v/>
      </c>
      <c r="AB63">
        <f>HYPERLINK("https://klasma.github.io/Logging_2582/klagomålsmail/A 29797-2022 FSC-klagomål mail.docx", "A 29797-2022")</f>
        <v/>
      </c>
      <c r="AC63">
        <f>HYPERLINK("https://klasma.github.io/Logging_2582/tillsyn/A 29797-2022 tillsynsbegäran.docx", "A 29797-2022")</f>
        <v/>
      </c>
      <c r="AD63">
        <f>HYPERLINK("https://klasma.github.io/Logging_2582/tillsynsmail/A 29797-2022 tillsynsbegäran mail.docx", "A 29797-2022")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46297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46297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46297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46297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46297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46297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46297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46297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46297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46297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46297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46297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46297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46297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46297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46297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46297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46297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28867-2025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46297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8.199999999999999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12</v>
      </c>
      <c r="U85" t="n">
        <v>12</v>
      </c>
      <c r="V85" s="2" t="inlineStr">
        <is>
          <t>Knärot
Fläcknycklar</t>
        </is>
      </c>
      <c r="W85">
        <f>HYPERLINK("https://klasma.github.io/Logging_2582/artfynd/A 28867-2025 artfynd.xlsx", "A 28867-2025")</f>
        <v/>
      </c>
      <c r="X85">
        <f>HYPERLINK("https://klasma.github.io/Logging_2582/kartor/A 28867-2025 karta.png", "A 28867-2025")</f>
        <v/>
      </c>
      <c r="Y85">
        <f>HYPERLINK("https://klasma.github.io/Logging_2582/kartor_geotiff/A 28867-2025 georefererad karta.tif", "A 28867-2025")</f>
        <v/>
      </c>
      <c r="Z85">
        <f>HYPERLINK("https://klasma.github.io/Logging_2582/knärot/A 28867-2025 karta knärot.png", "A 28867-2025")</f>
        <v/>
      </c>
      <c r="AA85">
        <f>HYPERLINK("https://klasma.github.io/Logging_2582/klagomål/A 28867-2025 FSC-klagomål.docx", "A 28867-2025")</f>
        <v/>
      </c>
      <c r="AB85">
        <f>HYPERLINK("https://klasma.github.io/Logging_2582/klagomålsmail/A 28867-2025 FSC-klagomål mail.docx", "A 28867-2025")</f>
        <v/>
      </c>
      <c r="AC85">
        <f>HYPERLINK("https://klasma.github.io/Logging_2582/tillsyn/A 28867-2025 tillsynsbegäran.docx", "A 28867-2025")</f>
        <v/>
      </c>
      <c r="AD85">
        <f>HYPERLINK("https://klasma.github.io/Logging_2582/tillsynsmail/A 28867-2025 tillsynsbegäran mail.docx", "A 28867-2025")</f>
        <v/>
      </c>
    </row>
    <row r="86" ht="15" customHeight="1">
      <c r="A86" t="inlineStr">
        <is>
          <t>A 34164-2023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45137</v>
      </c>
      <c r="E86" s="1" t="n">
        <v>46297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2.2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Tretåig hackspett</t>
        </is>
      </c>
      <c r="W86">
        <f>HYPERLINK("https://klasma.github.io/Logging_2582/artfynd/A 34164-2023 artfynd.xlsx", "A 34164-2023")</f>
        <v/>
      </c>
      <c r="X86">
        <f>HYPERLINK("https://klasma.github.io/Logging_2582/kartor/A 34164-2023 karta.png", "A 34164-2023")</f>
        <v/>
      </c>
      <c r="Y86">
        <f>HYPERLINK("https://klasma.github.io/Logging_2582/kartor_geotiff/A 34164-2023 georefererad karta.tif", "A 34164-2023")</f>
        <v/>
      </c>
      <c r="AA86">
        <f>HYPERLINK("https://klasma.github.io/Logging_2582/klagomål/A 34164-2023 FSC-klagomål.docx", "A 34164-2023")</f>
        <v/>
      </c>
      <c r="AB86">
        <f>HYPERLINK("https://klasma.github.io/Logging_2582/klagomålsmail/A 34164-2023 FSC-klagomål mail.docx", "A 34164-2023")</f>
        <v/>
      </c>
      <c r="AC86">
        <f>HYPERLINK("https://klasma.github.io/Logging_2582/tillsyn/A 34164-2023 tillsynsbegäran.docx", "A 34164-2023")</f>
        <v/>
      </c>
      <c r="AD86">
        <f>HYPERLINK("https://klasma.github.io/Logging_2582/tillsynsmail/A 34164-2023 tillsynsbegäran mail.docx", "A 34164-2023")</f>
        <v/>
      </c>
      <c r="AE86">
        <f>HYPERLINK("https://klasma.github.io/Logging_2582/fåglar/A 34164-2023 prioriterade fågelarter.docx", "A 34164-2023")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46297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46297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37086-2025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46297</v>
      </c>
      <c r="F89" t="inlineStr">
        <is>
          <t>NORRBOTTENS LÄN</t>
        </is>
      </c>
      <c r="G89" t="inlineStr">
        <is>
          <t>BODEN</t>
        </is>
      </c>
      <c r="H89" t="inlineStr">
        <is>
          <t>Övriga Aktiebolag</t>
        </is>
      </c>
      <c r="I89" t="n">
        <v>22.8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Stuplav</t>
        </is>
      </c>
      <c r="W89">
        <f>HYPERLINK("https://klasma.github.io/Logging_2582/artfynd/A 37086-2025 artfynd.xlsx", "A 37086-2025")</f>
        <v/>
      </c>
      <c r="X89">
        <f>HYPERLINK("https://klasma.github.io/Logging_2582/kartor/A 37086-2025 karta.png", "A 37086-2025")</f>
        <v/>
      </c>
      <c r="Y89">
        <f>HYPERLINK("https://klasma.github.io/Logging_2582/kartor_geotiff/A 37086-2025 georefererad karta.tif", "A 37086-2025")</f>
        <v/>
      </c>
      <c r="AA89">
        <f>HYPERLINK("https://klasma.github.io/Logging_2582/klagomål/A 37086-2025 FSC-klagomål.docx", "A 37086-2025")</f>
        <v/>
      </c>
      <c r="AB89">
        <f>HYPERLINK("https://klasma.github.io/Logging_2582/klagomålsmail/A 37086-2025 FSC-klagomål mail.docx", "A 37086-2025")</f>
        <v/>
      </c>
      <c r="AC89">
        <f>HYPERLINK("https://klasma.github.io/Logging_2582/tillsyn/A 37086-2025 tillsynsbegäran.docx", "A 37086-2025")</f>
        <v/>
      </c>
      <c r="AD89">
        <f>HYPERLINK("https://klasma.github.io/Logging_2582/tillsynsmail/A 37086-2025 tillsynsbegäran mail.docx", "A 37086-2025")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46297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17292-2022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44678</v>
      </c>
      <c r="E92" s="1" t="n">
        <v>46297</v>
      </c>
      <c r="F92" t="inlineStr">
        <is>
          <t>NORRBOTTENS LÄN</t>
        </is>
      </c>
      <c r="G92" t="inlineStr">
        <is>
          <t>BODEN</t>
        </is>
      </c>
      <c r="H92" t="inlineStr">
        <is>
          <t>Kyrkan</t>
        </is>
      </c>
      <c r="I92" t="n">
        <v>0.8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Revlummer</t>
        </is>
      </c>
      <c r="W92">
        <f>HYPERLINK("https://klasma.github.io/Logging_2582/artfynd/A 17292-2022 artfynd.xlsx", "A 17292-2022")</f>
        <v/>
      </c>
      <c r="X92">
        <f>HYPERLINK("https://klasma.github.io/Logging_2582/kartor/A 17292-2022 karta.png", "A 17292-2022")</f>
        <v/>
      </c>
      <c r="Y92">
        <f>HYPERLINK("https://klasma.github.io/Logging_2582/kartor_geotiff/A 17292-2022 georefererad karta.tif", "A 17292-2022")</f>
        <v/>
      </c>
      <c r="AA92">
        <f>HYPERLINK("https://klasma.github.io/Logging_2582/klagomål/A 17292-2022 FSC-klagomål.docx", "A 17292-2022")</f>
        <v/>
      </c>
      <c r="AB92">
        <f>HYPERLINK("https://klasma.github.io/Logging_2582/klagomålsmail/A 17292-2022 FSC-klagomål mail.docx", "A 17292-2022")</f>
        <v/>
      </c>
      <c r="AC92">
        <f>HYPERLINK("https://klasma.github.io/Logging_2582/tillsyn/A 17292-2022 tillsynsbegäran.docx", "A 17292-2022")</f>
        <v/>
      </c>
      <c r="AD92">
        <f>HYPERLINK("https://klasma.github.io/Logging_2582/tillsynsmail/A 17292-2022 tillsynsbegäran mail.docx", "A 17292-2022")</f>
        <v/>
      </c>
    </row>
    <row r="93" ht="15" customHeight="1">
      <c r="A93" t="inlineStr">
        <is>
          <t>A 61210-2024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46297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0</v>
      </c>
      <c r="V93" s="2" t="inlineStr">
        <is>
          <t>Skrovlig taggsvamp
Blå taggsvamp</t>
        </is>
      </c>
      <c r="W93">
        <f>HYPERLINK("https://klasma.github.io/Logging_2582/artfynd/A 61210-2024 artfynd.xlsx", "A 61210-2024")</f>
        <v/>
      </c>
      <c r="X93">
        <f>HYPERLINK("https://klasma.github.io/Logging_2582/kartor/A 61210-2024 karta.png", "A 61210-2024")</f>
        <v/>
      </c>
      <c r="Y93">
        <f>HYPERLINK("https://klasma.github.io/Logging_2582/kartor_geotiff/A 61210-2024 georefererad karta.tif", "A 61210-2024")</f>
        <v/>
      </c>
      <c r="AA93">
        <f>HYPERLINK("https://klasma.github.io/Logging_2582/klagomål/A 61210-2024 FSC-klagomål.docx", "A 61210-2024")</f>
        <v/>
      </c>
      <c r="AB93">
        <f>HYPERLINK("https://klasma.github.io/Logging_2582/klagomålsmail/A 61210-2024 FSC-klagomål mail.docx", "A 61210-2024")</f>
        <v/>
      </c>
      <c r="AC93">
        <f>HYPERLINK("https://klasma.github.io/Logging_2582/tillsyn/A 61210-2024 tillsynsbegäran.docx", "A 61210-2024")</f>
        <v/>
      </c>
      <c r="AD93">
        <f>HYPERLINK("https://klasma.github.io/Logging_2582/tillsynsmail/A 61210-2024 tillsynsbegäran mail.docx", "A 61210-2024")</f>
        <v/>
      </c>
    </row>
    <row r="94" ht="15" customHeight="1">
      <c r="A94" t="inlineStr">
        <is>
          <t>A 1507-2022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46297</v>
      </c>
      <c r="F94" t="inlineStr">
        <is>
          <t>NORRBOTTENS LÄN</t>
        </is>
      </c>
      <c r="G94" t="inlineStr">
        <is>
          <t>BODEN</t>
        </is>
      </c>
      <c r="H94" t="inlineStr">
        <is>
          <t>Övriga statliga verk och myndigheter</t>
        </is>
      </c>
      <c r="I94" t="n">
        <v>15.4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Talltita
Gråspett</t>
        </is>
      </c>
      <c r="W94">
        <f>HYPERLINK("https://klasma.github.io/Logging_2582/artfynd/A 1507-2022 artfynd.xlsx", "A 1507-2022")</f>
        <v/>
      </c>
      <c r="X94">
        <f>HYPERLINK("https://klasma.github.io/Logging_2582/kartor/A 1507-2022 karta.png", "A 1507-2022")</f>
        <v/>
      </c>
      <c r="Y94">
        <f>HYPERLINK("https://klasma.github.io/Logging_2582/kartor_geotiff/A 1507-2022 georefererad karta.tif", "A 1507-2022")</f>
        <v/>
      </c>
      <c r="AA94">
        <f>HYPERLINK("https://klasma.github.io/Logging_2582/klagomål/A 1507-2022 FSC-klagomål.docx", "A 1507-2022")</f>
        <v/>
      </c>
      <c r="AB94">
        <f>HYPERLINK("https://klasma.github.io/Logging_2582/klagomålsmail/A 1507-2022 FSC-klagomål mail.docx", "A 1507-2022")</f>
        <v/>
      </c>
      <c r="AC94">
        <f>HYPERLINK("https://klasma.github.io/Logging_2582/tillsyn/A 1507-2022 tillsynsbegäran.docx", "A 1507-2022")</f>
        <v/>
      </c>
      <c r="AD94">
        <f>HYPERLINK("https://klasma.github.io/Logging_2582/tillsynsmail/A 1507-2022 tillsynsbegäran mail.docx", "A 1507-2022")</f>
        <v/>
      </c>
      <c r="AE94">
        <f>HYPERLINK("https://klasma.github.io/Logging_2582/fåglar/A 1507-2022 prioriterade fågelarter.docx", "A 1507-2022")</f>
        <v/>
      </c>
    </row>
    <row r="95" ht="15" customHeight="1">
      <c r="A95" t="inlineStr">
        <is>
          <t>A 32971-2024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45517</v>
      </c>
      <c r="E95" s="1" t="n">
        <v>46297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10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5</v>
      </c>
      <c r="U95" t="n">
        <v>4</v>
      </c>
      <c r="V95" s="2" t="inlineStr">
        <is>
          <t>Lunglav
Fläcknycklar</t>
        </is>
      </c>
      <c r="W95">
        <f>HYPERLINK("https://klasma.github.io/Logging_2582/artfynd/A 32971-2024 artfynd.xlsx", "A 32971-2024")</f>
        <v/>
      </c>
      <c r="X95">
        <f>HYPERLINK("https://klasma.github.io/Logging_2582/kartor/A 32971-2024 karta.png", "A 32971-2024")</f>
        <v/>
      </c>
      <c r="Y95">
        <f>HYPERLINK("https://klasma.github.io/Logging_2582/kartor_geotiff/A 32971-2024 georefererad karta.tif", "A 32971-2024")</f>
        <v/>
      </c>
      <c r="AA95">
        <f>HYPERLINK("https://klasma.github.io/Logging_2582/klagomål/A 32971-2024 FSC-klagomål.docx", "A 32971-2024")</f>
        <v/>
      </c>
      <c r="AB95">
        <f>HYPERLINK("https://klasma.github.io/Logging_2582/klagomålsmail/A 32971-2024 FSC-klagomål mail.docx", "A 32971-2024")</f>
        <v/>
      </c>
      <c r="AC95">
        <f>HYPERLINK("https://klasma.github.io/Logging_2582/tillsyn/A 32971-2024 tillsynsbegäran.docx", "A 32971-2024")</f>
        <v/>
      </c>
      <c r="AD95">
        <f>HYPERLINK("https://klasma.github.io/Logging_2582/tillsynsmail/A 32971-2024 tillsynsbegäran mail.docx", "A 32971-2024")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46297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46297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46297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46297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46297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46297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46297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46297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46297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36622-2026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46270</v>
      </c>
      <c r="E108" s="1" t="n">
        <v>46297</v>
      </c>
      <c r="F108" t="inlineStr">
        <is>
          <t>NORRBOTTENS LÄN</t>
        </is>
      </c>
      <c r="G108" t="inlineStr">
        <is>
          <t>BODEN</t>
        </is>
      </c>
      <c r="I108" t="n">
        <v>11.7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Dropptaggsvamp
Revlummer</t>
        </is>
      </c>
      <c r="W108">
        <f>HYPERLINK("https://klasma.github.io/Logging_2582/artfynd/A 36622-2026 artfynd.xlsx", "A 36622-2026")</f>
        <v/>
      </c>
      <c r="X108">
        <f>HYPERLINK("https://klasma.github.io/Logging_2582/kartor/A 36622-2026 karta.png", "A 36622-2026")</f>
        <v/>
      </c>
      <c r="Y108">
        <f>HYPERLINK("https://klasma.github.io/Logging_2582/kartor_geotiff/A 36622-2026 georefererad karta.tif", "A 36622-2026")</f>
        <v/>
      </c>
      <c r="AA108">
        <f>HYPERLINK("https://klasma.github.io/Logging_2582/klagomål/A 36622-2026 FSC-klagomål.docx", "A 36622-2026")</f>
        <v/>
      </c>
      <c r="AB108">
        <f>HYPERLINK("https://klasma.github.io/Logging_2582/klagomålsmail/A 36622-2026 FSC-klagomål mail.docx", "A 36622-2026")</f>
        <v/>
      </c>
      <c r="AC108">
        <f>HYPERLINK("https://klasma.github.io/Logging_2582/tillsyn/A 36622-2026 tillsynsbegäran.docx", "A 36622-2026")</f>
        <v/>
      </c>
      <c r="AD108">
        <f>HYPERLINK("https://klasma.github.io/Logging_2582/tillsynsmail/A 36622-2026 tillsynsbegäran mail.docx", "A 36622-2026")</f>
        <v/>
      </c>
    </row>
    <row r="109" ht="15" customHeight="1">
      <c r="A109" t="inlineStr">
        <is>
          <t>A 38870-2026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46286</v>
      </c>
      <c r="E109" s="1" t="n">
        <v>46297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4.8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Fläcknycklar
Revlummer</t>
        </is>
      </c>
      <c r="W109">
        <f>HYPERLINK("https://klasma.github.io/Logging_2582/artfynd/A 38870-2026 artfynd.xlsx", "A 38870-2026")</f>
        <v/>
      </c>
      <c r="X109">
        <f>HYPERLINK("https://klasma.github.io/Logging_2582/kartor/A 38870-2026 karta.png", "A 38870-2026")</f>
        <v/>
      </c>
      <c r="Y109">
        <f>HYPERLINK("https://klasma.github.io/Logging_2582/kartor_geotiff/A 38870-2026 georefererad karta.tif", "A 38870-2026")</f>
        <v/>
      </c>
      <c r="AA109">
        <f>HYPERLINK("https://klasma.github.io/Logging_2582/klagomål/A 38870-2026 FSC-klagomål.docx", "A 38870-2026")</f>
        <v/>
      </c>
      <c r="AB109">
        <f>HYPERLINK("https://klasma.github.io/Logging_2582/klagomålsmail/A 38870-2026 FSC-klagomål mail.docx", "A 38870-2026")</f>
        <v/>
      </c>
      <c r="AC109">
        <f>HYPERLINK("https://klasma.github.io/Logging_2582/tillsyn/A 38870-2026 tillsynsbegäran.docx", "A 38870-2026")</f>
        <v/>
      </c>
      <c r="AD109">
        <f>HYPERLINK("https://klasma.github.io/Logging_2582/tillsynsmail/A 38870-2026 tillsynsbegäran mail.docx", "A 38870-2026")</f>
        <v/>
      </c>
    </row>
    <row r="110" ht="15" customHeight="1">
      <c r="A110" t="inlineStr">
        <is>
          <t>A 33096-2026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46297</v>
      </c>
      <c r="F110" t="inlineStr">
        <is>
          <t>NORRBOTTENS LÄN</t>
        </is>
      </c>
      <c r="G110" t="inlineStr">
        <is>
          <t>BODEN</t>
        </is>
      </c>
      <c r="I110" t="n">
        <v>36.6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HYPERLINK("https://klasma.github.io/Logging_2582/artfynd/A 33096-2026 artfynd.xlsx", "A 33096-2026")</f>
        <v/>
      </c>
      <c r="X110">
        <f>HYPERLINK("https://klasma.github.io/Logging_2582/kartor/A 33096-2026 karta.png", "A 33096-2026")</f>
        <v/>
      </c>
      <c r="Y110">
        <f>HYPERLINK("https://klasma.github.io/Logging_2582/kartor_geotiff/A 33096-2026 georefererad karta.tif", "A 33096-2026")</f>
        <v/>
      </c>
      <c r="AA110">
        <f>HYPERLINK("https://klasma.github.io/Logging_2582/klagomål/A 33096-2026 FSC-klagomål.docx", "A 33096-2026")</f>
        <v/>
      </c>
      <c r="AB110">
        <f>HYPERLINK("https://klasma.github.io/Logging_2582/klagomålsmail/A 33096-2026 FSC-klagomål mail.docx", "A 33096-2026")</f>
        <v/>
      </c>
      <c r="AC110">
        <f>HYPERLINK("https://klasma.github.io/Logging_2582/tillsyn/A 33096-2026 tillsynsbegäran.docx", "A 33096-2026")</f>
        <v/>
      </c>
      <c r="AD110">
        <f>HYPERLINK("https://klasma.github.io/Logging_2582/tillsynsmail/A 33096-2026 tillsynsbegäran mail.docx", "A 33096-2026")</f>
        <v/>
      </c>
    </row>
    <row r="111" ht="15" customHeight="1">
      <c r="A111" t="inlineStr">
        <is>
          <t>A 33416-2026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46297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Plattlummer</t>
        </is>
      </c>
      <c r="W111">
        <f>HYPERLINK("https://klasma.github.io/Logging_2582/artfynd/A 33416-2026 artfynd.xlsx", "A 33416-2026")</f>
        <v/>
      </c>
      <c r="X111">
        <f>HYPERLINK("https://klasma.github.io/Logging_2582/kartor/A 33416-2026 karta.png", "A 33416-2026")</f>
        <v/>
      </c>
      <c r="Y111">
        <f>HYPERLINK("https://klasma.github.io/Logging_2582/kartor_geotiff/A 33416-2026 georefererad karta.tif", "A 33416-2026")</f>
        <v/>
      </c>
      <c r="AA111">
        <f>HYPERLINK("https://klasma.github.io/Logging_2582/klagomål/A 33416-2026 FSC-klagomål.docx", "A 33416-2026")</f>
        <v/>
      </c>
      <c r="AB111">
        <f>HYPERLINK("https://klasma.github.io/Logging_2582/klagomålsmail/A 33416-2026 FSC-klagomål mail.docx", "A 33416-2026")</f>
        <v/>
      </c>
      <c r="AC111">
        <f>HYPERLINK("https://klasma.github.io/Logging_2582/tillsyn/A 33416-2026 tillsynsbegäran.docx", "A 33416-2026")</f>
        <v/>
      </c>
      <c r="AD111">
        <f>HYPERLINK("https://klasma.github.io/Logging_2582/tillsynsmail/A 33416-2026 tillsynsbegäran mail.docx", "A 33416-2026")</f>
        <v/>
      </c>
    </row>
    <row r="112" ht="15" customHeight="1">
      <c r="A112" t="inlineStr">
        <is>
          <t>A 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46297</v>
      </c>
      <c r="F112" t="inlineStr">
        <is>
          <t>NORRBOTTENS LÄN</t>
        </is>
      </c>
      <c r="G112" t="inlineStr">
        <is>
          <t>BODEN</t>
        </is>
      </c>
      <c r="I112" t="n">
        <v>5.2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Revlummer</t>
        </is>
      </c>
      <c r="W112">
        <f>HYPERLINK("https://klasma.github.io/Logging_2582/artfynd/A 900-2024 artfynd.xlsx", "A 900-2024")</f>
        <v/>
      </c>
      <c r="X112">
        <f>HYPERLINK("https://klasma.github.io/Logging_2582/kartor/A 900-2024 karta.png", "A 900-2024")</f>
        <v/>
      </c>
      <c r="Y112">
        <f>HYPERLINK("https://klasma.github.io/Logging_2582/kartor_geotiff/A 900-2024 georefererad karta.tif", "A 900-2024")</f>
        <v/>
      </c>
      <c r="Z112">
        <f>HYPERLINK("https://klasma.github.io/Logging_2582/knärot/A 900-2024 karta knärot.png", "A 900-2024")</f>
        <v/>
      </c>
      <c r="AA112">
        <f>HYPERLINK("https://klasma.github.io/Logging_2582/klagomål/A 900-2024 FSC-klagomål.docx", "A 900-2024")</f>
        <v/>
      </c>
      <c r="AB112">
        <f>HYPERLINK("https://klasma.github.io/Logging_2582/klagomålsmail/A 900-2024 FSC-klagomål mail.docx", "A 900-2024")</f>
        <v/>
      </c>
      <c r="AC112">
        <f>HYPERLINK("https://klasma.github.io/Logging_2582/tillsyn/A 900-2024 tillsynsbegäran.docx", "A 900-2024")</f>
        <v/>
      </c>
      <c r="AD112">
        <f>HYPERLINK("https://klasma.github.io/Logging_2582/tillsynsmail/A 900-2024 tillsynsbegäran mail.docx", "A 900-2024")</f>
        <v/>
      </c>
    </row>
    <row r="113" ht="15" customHeight="1">
      <c r="A113" t="inlineStr">
        <is>
          <t>A 42233-2022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44830</v>
      </c>
      <c r="E113" s="1" t="n">
        <v>46297</v>
      </c>
      <c r="F113" t="inlineStr">
        <is>
          <t>NORRBOTTENS LÄN</t>
        </is>
      </c>
      <c r="G113" t="inlineStr">
        <is>
          <t>BODEN</t>
        </is>
      </c>
      <c r="I113" t="n">
        <v>3.6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Enkelbeckasin
Svartvit flugsnappare</t>
        </is>
      </c>
      <c r="W113">
        <f>HYPERLINK("https://klasma.github.io/Logging_2582/artfynd/A 42233-2022 artfynd.xlsx", "A 42233-2022")</f>
        <v/>
      </c>
      <c r="X113">
        <f>HYPERLINK("https://klasma.github.io/Logging_2582/kartor/A 42233-2022 karta.png", "A 42233-2022")</f>
        <v/>
      </c>
      <c r="Y113">
        <f>HYPERLINK("https://klasma.github.io/Logging_2582/kartor_geotiff/A 42233-2022 georefererad karta.tif", "A 42233-2022")</f>
        <v/>
      </c>
      <c r="AA113">
        <f>HYPERLINK("https://klasma.github.io/Logging_2582/klagomål/A 42233-2022 FSC-klagomål.docx", "A 42233-2022")</f>
        <v/>
      </c>
      <c r="AB113">
        <f>HYPERLINK("https://klasma.github.io/Logging_2582/klagomålsmail/A 42233-2022 FSC-klagomål mail.docx", "A 42233-2022")</f>
        <v/>
      </c>
      <c r="AC113">
        <f>HYPERLINK("https://klasma.github.io/Logging_2582/tillsyn/A 42233-2022 tillsynsbegäran.docx", "A 42233-2022")</f>
        <v/>
      </c>
      <c r="AD113">
        <f>HYPERLINK("https://klasma.github.io/Logging_2582/tillsynsmail/A 42233-2022 tillsynsbegäran mail.docx", "A 42233-2022")</f>
        <v/>
      </c>
      <c r="AE113">
        <f>HYPERLINK("https://klasma.github.io/Logging_2582/fåglar/A 42233-2022 prioriterade fågelarter.docx", "A 42233-2022")</f>
        <v/>
      </c>
    </row>
    <row r="114" ht="15" customHeight="1">
      <c r="A114" t="inlineStr">
        <is>
          <t>A 22906-2023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45072</v>
      </c>
      <c r="E114" s="1" t="n">
        <v>46297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3.5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Utter</t>
        </is>
      </c>
      <c r="W114">
        <f>HYPERLINK("https://klasma.github.io/Logging_2582/artfynd/A 22906-2023 artfynd.xlsx", "A 22906-2023")</f>
        <v/>
      </c>
      <c r="X114">
        <f>HYPERLINK("https://klasma.github.io/Logging_2582/kartor/A 22906-2023 karta.png", "A 22906-2023")</f>
        <v/>
      </c>
      <c r="Y114">
        <f>HYPERLINK("https://klasma.github.io/Logging_2582/kartor_geotiff/A 22906-2023 georefererad karta.tif", "A 22906-2023")</f>
        <v/>
      </c>
      <c r="AA114">
        <f>HYPERLINK("https://klasma.github.io/Logging_2582/klagomål/A 22906-2023 FSC-klagomål.docx", "A 22906-2023")</f>
        <v/>
      </c>
      <c r="AB114">
        <f>HYPERLINK("https://klasma.github.io/Logging_2582/klagomålsmail/A 22906-2023 FSC-klagomål mail.docx", "A 22906-2023")</f>
        <v/>
      </c>
      <c r="AC114">
        <f>HYPERLINK("https://klasma.github.io/Logging_2582/tillsyn/A 22906-2023 tillsynsbegäran.docx", "A 22906-2023")</f>
        <v/>
      </c>
      <c r="AD114">
        <f>HYPERLINK("https://klasma.github.io/Logging_2582/tillsynsmail/A 22906-2023 tillsynsbegäran mail.docx", "A 22906-2023")</f>
        <v/>
      </c>
      <c r="AE114">
        <f>HYPERLINK("https://klasma.github.io/Logging_2582/fåglar/A 22906-2023 prioriterade fågelarter.docx", "A 22906-2023")</f>
        <v/>
      </c>
    </row>
    <row r="115" ht="15" customHeight="1">
      <c r="A115" t="inlineStr">
        <is>
          <t>A 6639-2024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45341</v>
      </c>
      <c r="E115" s="1" t="n">
        <v>46297</v>
      </c>
      <c r="F115" t="inlineStr">
        <is>
          <t>NORRBOTTENS LÄN</t>
        </is>
      </c>
      <c r="G115" t="inlineStr">
        <is>
          <t>BODEN</t>
        </is>
      </c>
      <c r="H115" t="inlineStr">
        <is>
          <t>Övriga statliga verk och myndigheter</t>
        </is>
      </c>
      <c r="I115" t="n">
        <v>23.8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Kungsfågel</t>
        </is>
      </c>
      <c r="W115">
        <f>HYPERLINK("https://klasma.github.io/Logging_2582/artfynd/A 6639-2024 artfynd.xlsx", "A 6639-2024")</f>
        <v/>
      </c>
      <c r="X115">
        <f>HYPERLINK("https://klasma.github.io/Logging_2582/kartor/A 6639-2024 karta.png", "A 6639-2024")</f>
        <v/>
      </c>
      <c r="Y115">
        <f>HYPERLINK("https://klasma.github.io/Logging_2582/kartor_geotiff/A 6639-2024 georefererad karta.tif", "A 6639-2024")</f>
        <v/>
      </c>
      <c r="AA115">
        <f>HYPERLINK("https://klasma.github.io/Logging_2582/klagomål/A 6639-2024 FSC-klagomål.docx", "A 6639-2024")</f>
        <v/>
      </c>
      <c r="AB115">
        <f>HYPERLINK("https://klasma.github.io/Logging_2582/klagomålsmail/A 6639-2024 FSC-klagomål mail.docx", "A 6639-2024")</f>
        <v/>
      </c>
      <c r="AC115">
        <f>HYPERLINK("https://klasma.github.io/Logging_2582/tillsyn/A 6639-2024 tillsynsbegäran.docx", "A 6639-2024")</f>
        <v/>
      </c>
      <c r="AD115">
        <f>HYPERLINK("https://klasma.github.io/Logging_2582/tillsynsmail/A 6639-2024 tillsynsbegäran mail.docx", "A 6639-2024")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46297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46297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46297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46297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46297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4878-2026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46297</v>
      </c>
      <c r="F122" t="inlineStr">
        <is>
          <t>NORRBOTTENS LÄN</t>
        </is>
      </c>
      <c r="G122" t="inlineStr">
        <is>
          <t>BODEN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padda</t>
        </is>
      </c>
      <c r="W122">
        <f>HYPERLINK("https://klasma.github.io/Logging_2582/artfynd/A 4878-2026 artfynd.xlsx", "A 4878-2026")</f>
        <v/>
      </c>
      <c r="X122">
        <f>HYPERLINK("https://klasma.github.io/Logging_2582/kartor/A 4878-2026 karta.png", "A 4878-2026")</f>
        <v/>
      </c>
      <c r="Y122">
        <f>HYPERLINK("https://klasma.github.io/Logging_2582/kartor_geotiff/A 4878-2026 georefererad karta.tif", "A 4878-2026")</f>
        <v/>
      </c>
      <c r="AA122">
        <f>HYPERLINK("https://klasma.github.io/Logging_2582/klagomål/A 4878-2026 FSC-klagomål.docx", "A 4878-2026")</f>
        <v/>
      </c>
      <c r="AB122">
        <f>HYPERLINK("https://klasma.github.io/Logging_2582/klagomålsmail/A 4878-2026 FSC-klagomål mail.docx", "A 4878-2026")</f>
        <v/>
      </c>
      <c r="AC122">
        <f>HYPERLINK("https://klasma.github.io/Logging_2582/tillsyn/A 4878-2026 tillsynsbegäran.docx", "A 4878-2026")</f>
        <v/>
      </c>
      <c r="AD122">
        <f>HYPERLINK("https://klasma.github.io/Logging_2582/tillsynsmail/A 4878-2026 tillsynsbegäran mail.docx", "A 4878-2026")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46297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42436-2025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46297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42436-2025 artfynd.xlsx", "A 42436-2025")</f>
        <v/>
      </c>
      <c r="X124">
        <f>HYPERLINK("https://klasma.github.io/Logging_2582/kartor/A 42436-2025 karta.png", "A 42436-2025")</f>
        <v/>
      </c>
      <c r="Y124">
        <f>HYPERLINK("https://klasma.github.io/Logging_2582/kartor_geotiff/A 42436-2025 georefererad karta.tif", "A 42436-2025")</f>
        <v/>
      </c>
      <c r="AA124">
        <f>HYPERLINK("https://klasma.github.io/Logging_2582/klagomål/A 42436-2025 FSC-klagomål.docx", "A 42436-2025")</f>
        <v/>
      </c>
      <c r="AB124">
        <f>HYPERLINK("https://klasma.github.io/Logging_2582/klagomålsmail/A 42436-2025 FSC-klagomål mail.docx", "A 42436-2025")</f>
        <v/>
      </c>
      <c r="AC124">
        <f>HYPERLINK("https://klasma.github.io/Logging_2582/tillsyn/A 42436-2025 tillsynsbegäran.docx", "A 42436-2025")</f>
        <v/>
      </c>
      <c r="AD124">
        <f>HYPERLINK("https://klasma.github.io/Logging_2582/tillsynsmail/A 42436-2025 tillsynsbegäran mail.docx", "A 42436-2025")</f>
        <v/>
      </c>
    </row>
    <row r="125" ht="15" customHeight="1">
      <c r="A125" t="inlineStr">
        <is>
          <t>A 38511-2025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46297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5.3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Knärot</t>
        </is>
      </c>
      <c r="W125">
        <f>HYPERLINK("https://klasma.github.io/Logging_2582/artfynd/A 38511-2025 artfynd.xlsx", "A 38511-2025")</f>
        <v/>
      </c>
      <c r="X125">
        <f>HYPERLINK("https://klasma.github.io/Logging_2582/kartor/A 38511-2025 karta.png", "A 38511-2025")</f>
        <v/>
      </c>
      <c r="Y125">
        <f>HYPERLINK("https://klasma.github.io/Logging_2582/kartor_geotiff/A 38511-2025 georefererad karta.tif", "A 38511-2025")</f>
        <v/>
      </c>
      <c r="Z125">
        <f>HYPERLINK("https://klasma.github.io/Logging_2582/knärot/A 38511-2025 karta knärot.png", "A 38511-2025")</f>
        <v/>
      </c>
      <c r="AA125">
        <f>HYPERLINK("https://klasma.github.io/Logging_2582/klagomål/A 38511-2025 FSC-klagomål.docx", "A 38511-2025")</f>
        <v/>
      </c>
      <c r="AB125">
        <f>HYPERLINK("https://klasma.github.io/Logging_2582/klagomålsmail/A 38511-2025 FSC-klagomål mail.docx", "A 38511-2025")</f>
        <v/>
      </c>
      <c r="AC125">
        <f>HYPERLINK("https://klasma.github.io/Logging_2582/tillsyn/A 38511-2025 tillsynsbegäran.docx", "A 38511-2025")</f>
        <v/>
      </c>
      <c r="AD125">
        <f>HYPERLINK("https://klasma.github.io/Logging_2582/tillsynsmail/A 38511-2025 tillsynsbegäran mail.docx", "A 38511-2025")</f>
        <v/>
      </c>
    </row>
    <row r="126" ht="15" customHeight="1">
      <c r="A126" t="inlineStr">
        <is>
          <t>A 22892-2024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46297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0.8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Bollvitmossa</t>
        </is>
      </c>
      <c r="W126">
        <f>HYPERLINK("https://klasma.github.io/Logging_2582/artfynd/A 22892-2024 artfynd.xlsx", "A 22892-2024")</f>
        <v/>
      </c>
      <c r="X126">
        <f>HYPERLINK("https://klasma.github.io/Logging_2582/kartor/A 22892-2024 karta.png", "A 22892-2024")</f>
        <v/>
      </c>
      <c r="Y126">
        <f>HYPERLINK("https://klasma.github.io/Logging_2582/kartor_geotiff/A 22892-2024 georefererad karta.tif", "A 22892-2024")</f>
        <v/>
      </c>
      <c r="AA126">
        <f>HYPERLINK("https://klasma.github.io/Logging_2582/klagomål/A 22892-2024 FSC-klagomål.docx", "A 22892-2024")</f>
        <v/>
      </c>
      <c r="AB126">
        <f>HYPERLINK("https://klasma.github.io/Logging_2582/klagomålsmail/A 22892-2024 FSC-klagomål mail.docx", "A 22892-2024")</f>
        <v/>
      </c>
      <c r="AC126">
        <f>HYPERLINK("https://klasma.github.io/Logging_2582/tillsyn/A 22892-2024 tillsynsbegäran.docx", "A 22892-2024")</f>
        <v/>
      </c>
      <c r="AD126">
        <f>HYPERLINK("https://klasma.github.io/Logging_2582/tillsynsmail/A 22892-2024 tillsynsbegäran mail.docx", "A 22892-2024")</f>
        <v/>
      </c>
    </row>
    <row r="127" ht="15" customHeight="1">
      <c r="A127" t="inlineStr">
        <is>
          <t>A 13568-2022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46297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1.5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Lavskrika</t>
        </is>
      </c>
      <c r="W127">
        <f>HYPERLINK("https://klasma.github.io/Logging_2582/artfynd/A 13568-2022 artfynd.xlsx", "A 13568-2022")</f>
        <v/>
      </c>
      <c r="X127">
        <f>HYPERLINK("https://klasma.github.io/Logging_2582/kartor/A 13568-2022 karta.png", "A 13568-2022")</f>
        <v/>
      </c>
      <c r="Y127">
        <f>HYPERLINK("https://klasma.github.io/Logging_2582/kartor_geotiff/A 13568-2022 georefererad karta.tif", "A 13568-2022")</f>
        <v/>
      </c>
      <c r="AA127">
        <f>HYPERLINK("https://klasma.github.io/Logging_2582/klagomål/A 13568-2022 FSC-klagomål.docx", "A 13568-2022")</f>
        <v/>
      </c>
      <c r="AB127">
        <f>HYPERLINK("https://klasma.github.io/Logging_2582/klagomålsmail/A 13568-2022 FSC-klagomål mail.docx", "A 13568-2022")</f>
        <v/>
      </c>
      <c r="AC127">
        <f>HYPERLINK("https://klasma.github.io/Logging_2582/tillsyn/A 13568-2022 tillsynsbegäran.docx", "A 13568-2022")</f>
        <v/>
      </c>
      <c r="AD127">
        <f>HYPERLINK("https://klasma.github.io/Logging_2582/tillsynsmail/A 13568-2022 tillsynsbegäran mail.docx", "A 13568-2022")</f>
        <v/>
      </c>
      <c r="AE127">
        <f>HYPERLINK("https://klasma.github.io/Logging_2582/fåglar/A 13568-2022 prioriterade fågelarter.docx", "A 13568-2022")</f>
        <v/>
      </c>
    </row>
    <row r="128" ht="15" customHeight="1">
      <c r="A128" t="inlineStr">
        <is>
          <t>A 68560-2021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46297</v>
      </c>
      <c r="F128" t="inlineStr">
        <is>
          <t>NORRBOTTENS LÄN</t>
        </is>
      </c>
      <c r="G128" t="inlineStr">
        <is>
          <t>BODEN</t>
        </is>
      </c>
      <c r="I128" t="n">
        <v>3.5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4</v>
      </c>
      <c r="U128" t="n">
        <v>4</v>
      </c>
      <c r="V128" s="2" t="inlineStr">
        <is>
          <t>Småflikig brosklav</t>
        </is>
      </c>
      <c r="W128">
        <f>HYPERLINK("https://klasma.github.io/Logging_2582/artfynd/A 68560-2021 artfynd.xlsx", "A 68560-2021")</f>
        <v/>
      </c>
      <c r="X128">
        <f>HYPERLINK("https://klasma.github.io/Logging_2582/kartor/A 68560-2021 karta.png", "A 68560-2021")</f>
        <v/>
      </c>
      <c r="Y128">
        <f>HYPERLINK("https://klasma.github.io/Logging_2582/kartor_geotiff/A 68560-2021 georefererad karta.tif", "A 68560-2021")</f>
        <v/>
      </c>
      <c r="AA128">
        <f>HYPERLINK("https://klasma.github.io/Logging_2582/klagomål/A 68560-2021 FSC-klagomål.docx", "A 68560-2021")</f>
        <v/>
      </c>
      <c r="AB128">
        <f>HYPERLINK("https://klasma.github.io/Logging_2582/klagomålsmail/A 68560-2021 FSC-klagomål mail.docx", "A 68560-2021")</f>
        <v/>
      </c>
      <c r="AC128">
        <f>HYPERLINK("https://klasma.github.io/Logging_2582/tillsyn/A 68560-2021 tillsynsbegäran.docx", "A 68560-2021")</f>
        <v/>
      </c>
      <c r="AD128">
        <f>HYPERLINK("https://klasma.github.io/Logging_2582/tillsynsmail/A 68560-2021 tillsynsbegäran mail.docx", "A 68560-2021")</f>
        <v/>
      </c>
    </row>
    <row r="129" ht="15" customHeight="1">
      <c r="A129" t="inlineStr">
        <is>
          <t>A 41087-2024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45559</v>
      </c>
      <c r="E129" s="1" t="n">
        <v>46297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HYPERLINK("https://klasma.github.io/Logging_2582/artfynd/A 41087-2024 artfynd.xlsx", "A 41087-2024")</f>
        <v/>
      </c>
      <c r="X129">
        <f>HYPERLINK("https://klasma.github.io/Logging_2582/kartor/A 41087-2024 karta.png", "A 41087-2024")</f>
        <v/>
      </c>
      <c r="Y129">
        <f>HYPERLINK("https://klasma.github.io/Logging_2582/kartor_geotiff/A 41087-2024 georefererad karta.tif", "A 41087-2024")</f>
        <v/>
      </c>
      <c r="AA129">
        <f>HYPERLINK("https://klasma.github.io/Logging_2582/klagomål/A 41087-2024 FSC-klagomål.docx", "A 41087-2024")</f>
        <v/>
      </c>
      <c r="AB129">
        <f>HYPERLINK("https://klasma.github.io/Logging_2582/klagomålsmail/A 41087-2024 FSC-klagomål mail.docx", "A 41087-2024")</f>
        <v/>
      </c>
      <c r="AC129">
        <f>HYPERLINK("https://klasma.github.io/Logging_2582/tillsyn/A 41087-2024 tillsynsbegäran.docx", "A 41087-2024")</f>
        <v/>
      </c>
      <c r="AD129">
        <f>HYPERLINK("https://klasma.github.io/Logging_2582/tillsynsmail/A 41087-2024 tillsynsbegäran mail.docx", "A 41087-2024")</f>
        <v/>
      </c>
    </row>
    <row r="130" ht="15" customHeight="1">
      <c r="A130" t="inlineStr">
        <is>
          <t>A 48549-2025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46297</v>
      </c>
      <c r="F130" t="inlineStr">
        <is>
          <t>NORRBOTTENS LÄN</t>
        </is>
      </c>
      <c r="G130" t="inlineStr">
        <is>
          <t>BODEN</t>
        </is>
      </c>
      <c r="I130" t="n">
        <v>4.1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Gråspett</t>
        </is>
      </c>
      <c r="W130">
        <f>HYPERLINK("https://klasma.github.io/Logging_2582/artfynd/A 48549-2025 artfynd.xlsx", "A 48549-2025")</f>
        <v/>
      </c>
      <c r="X130">
        <f>HYPERLINK("https://klasma.github.io/Logging_2582/kartor/A 48549-2025 karta.png", "A 48549-2025")</f>
        <v/>
      </c>
      <c r="Y130">
        <f>HYPERLINK("https://klasma.github.io/Logging_2582/kartor_geotiff/A 48549-2025 georefererad karta.tif", "A 48549-2025")</f>
        <v/>
      </c>
      <c r="AA130">
        <f>HYPERLINK("https://klasma.github.io/Logging_2582/klagomål/A 48549-2025 FSC-klagomål.docx", "A 48549-2025")</f>
        <v/>
      </c>
      <c r="AB130">
        <f>HYPERLINK("https://klasma.github.io/Logging_2582/klagomålsmail/A 48549-2025 FSC-klagomål mail.docx", "A 48549-2025")</f>
        <v/>
      </c>
      <c r="AC130">
        <f>HYPERLINK("https://klasma.github.io/Logging_2582/tillsyn/A 48549-2025 tillsynsbegäran.docx", "A 48549-2025")</f>
        <v/>
      </c>
      <c r="AD130">
        <f>HYPERLINK("https://klasma.github.io/Logging_2582/tillsynsmail/A 48549-2025 tillsynsbegäran mail.docx", "A 48549-2025")</f>
        <v/>
      </c>
      <c r="AE130">
        <f>HYPERLINK("https://klasma.github.io/Logging_2582/fåglar/A 48549-2025 prioriterade fågelarter.docx", "A 48549-2025")</f>
        <v/>
      </c>
    </row>
    <row r="131" ht="15" customHeight="1">
      <c r="A131" t="inlineStr">
        <is>
          <t>A 32600-2024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45513</v>
      </c>
      <c r="E131" s="1" t="n">
        <v>46297</v>
      </c>
      <c r="F131" t="inlineStr">
        <is>
          <t>NORRBOTTENS LÄN</t>
        </is>
      </c>
      <c r="G131" t="inlineStr">
        <is>
          <t>BODEN</t>
        </is>
      </c>
      <c r="I131" t="n">
        <v>2.5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32600-2024 artfynd.xlsx", "A 32600-2024")</f>
        <v/>
      </c>
      <c r="X131">
        <f>HYPERLINK("https://klasma.github.io/Logging_2582/kartor/A 32600-2024 karta.png", "A 32600-2024")</f>
        <v/>
      </c>
      <c r="Y131">
        <f>HYPERLINK("https://klasma.github.io/Logging_2582/kartor_geotiff/A 32600-2024 georefererad karta.tif", "A 32600-2024")</f>
        <v/>
      </c>
      <c r="AA131">
        <f>HYPERLINK("https://klasma.github.io/Logging_2582/klagomål/A 32600-2024 FSC-klagomål.docx", "A 32600-2024")</f>
        <v/>
      </c>
      <c r="AB131">
        <f>HYPERLINK("https://klasma.github.io/Logging_2582/klagomålsmail/A 32600-2024 FSC-klagomål mail.docx", "A 32600-2024")</f>
        <v/>
      </c>
      <c r="AC131">
        <f>HYPERLINK("https://klasma.github.io/Logging_2582/tillsyn/A 32600-2024 tillsynsbegäran.docx", "A 32600-2024")</f>
        <v/>
      </c>
      <c r="AD131">
        <f>HYPERLINK("https://klasma.github.io/Logging_2582/tillsynsmail/A 32600-2024 tillsynsbegäran mail.docx", "A 32600-2024")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46297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46297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46297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46297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51874-2025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45952</v>
      </c>
      <c r="E136" s="1" t="n">
        <v>46297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HYPERLINK("https://klasma.github.io/Logging_2582/artfynd/A 51874-2025 artfynd.xlsx", "A 51874-2025")</f>
        <v/>
      </c>
      <c r="X136">
        <f>HYPERLINK("https://klasma.github.io/Logging_2582/kartor/A 51874-2025 karta.png", "A 51874-2025")</f>
        <v/>
      </c>
      <c r="Y136">
        <f>HYPERLINK("https://klasma.github.io/Logging_2582/kartor_geotiff/A 51874-2025 georefererad karta.tif", "A 51874-2025")</f>
        <v/>
      </c>
      <c r="AA136">
        <f>HYPERLINK("https://klasma.github.io/Logging_2582/klagomål/A 51874-2025 FSC-klagomål.docx", "A 51874-2025")</f>
        <v/>
      </c>
      <c r="AB136">
        <f>HYPERLINK("https://klasma.github.io/Logging_2582/klagomålsmail/A 51874-2025 FSC-klagomål mail.docx", "A 51874-2025")</f>
        <v/>
      </c>
      <c r="AC136">
        <f>HYPERLINK("https://klasma.github.io/Logging_2582/tillsyn/A 51874-2025 tillsynsbegäran.docx", "A 51874-2025")</f>
        <v/>
      </c>
      <c r="AD136">
        <f>HYPERLINK("https://klasma.github.io/Logging_2582/tillsynsmail/A 51874-2025 tillsynsbegäran mail.docx", "A 51874-2025")</f>
        <v/>
      </c>
    </row>
    <row r="137" ht="15" customHeight="1">
      <c r="A137" t="inlineStr">
        <is>
          <t>A 14329-2026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46297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HYPERLINK("https://klasma.github.io/Logging_2582/artfynd/A 14329-2026 artfynd.xlsx", "A 14329-2026")</f>
        <v/>
      </c>
      <c r="X137">
        <f>HYPERLINK("https://klasma.github.io/Logging_2582/kartor/A 14329-2026 karta.png", "A 14329-2026")</f>
        <v/>
      </c>
      <c r="Y137">
        <f>HYPERLINK("https://klasma.github.io/Logging_2582/kartor_geotiff/A 14329-2026 georefererad karta.tif", "A 14329-2026")</f>
        <v/>
      </c>
      <c r="AA137">
        <f>HYPERLINK("https://klasma.github.io/Logging_2582/klagomål/A 14329-2026 FSC-klagomål.docx", "A 14329-2026")</f>
        <v/>
      </c>
      <c r="AB137">
        <f>HYPERLINK("https://klasma.github.io/Logging_2582/klagomålsmail/A 14329-2026 FSC-klagomål mail.docx", "A 14329-2026")</f>
        <v/>
      </c>
      <c r="AC137">
        <f>HYPERLINK("https://klasma.github.io/Logging_2582/tillsyn/A 14329-2026 tillsynsbegäran.docx", "A 14329-2026")</f>
        <v/>
      </c>
      <c r="AD137">
        <f>HYPERLINK("https://klasma.github.io/Logging_2582/tillsynsmail/A 14329-2026 tillsynsbegäran mail.docx", "A 14329-2026")</f>
        <v/>
      </c>
      <c r="AE137">
        <f>HYPERLINK("https://klasma.github.io/Logging_2582/fåglar/A 14329-2026 prioriterade fågelarter.docx", "A 14329-2026")</f>
        <v/>
      </c>
    </row>
    <row r="138" ht="15" customHeight="1">
      <c r="A138" t="inlineStr">
        <is>
          <t>A 53180-2025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46297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13.2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Lunglav</t>
        </is>
      </c>
      <c r="W138">
        <f>HYPERLINK("https://klasma.github.io/Logging_2582/artfynd/A 53180-2025 artfynd.xlsx", "A 53180-2025")</f>
        <v/>
      </c>
      <c r="X138">
        <f>HYPERLINK("https://klasma.github.io/Logging_2582/kartor/A 53180-2025 karta.png", "A 53180-2025")</f>
        <v/>
      </c>
      <c r="Y138">
        <f>HYPERLINK("https://klasma.github.io/Logging_2582/kartor_geotiff/A 53180-2025 georefererad karta.tif", "A 53180-2025")</f>
        <v/>
      </c>
      <c r="AA138">
        <f>HYPERLINK("https://klasma.github.io/Logging_2582/klagomål/A 53180-2025 FSC-klagomål.docx", "A 53180-2025")</f>
        <v/>
      </c>
      <c r="AB138">
        <f>HYPERLINK("https://klasma.github.io/Logging_2582/klagomålsmail/A 53180-2025 FSC-klagomål mail.docx", "A 53180-2025")</f>
        <v/>
      </c>
      <c r="AC138">
        <f>HYPERLINK("https://klasma.github.io/Logging_2582/tillsyn/A 53180-2025 tillsynsbegäran.docx", "A 53180-2025")</f>
        <v/>
      </c>
      <c r="AD138">
        <f>HYPERLINK("https://klasma.github.io/Logging_2582/tillsynsmail/A 53180-2025 tillsynsbegäran mail.docx", "A 53180-2025")</f>
        <v/>
      </c>
    </row>
    <row r="139" ht="15" customHeight="1">
      <c r="A139" t="inlineStr">
        <is>
          <t>A 53590-2025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45960</v>
      </c>
      <c r="E139" s="1" t="n">
        <v>46297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Gulskölding</t>
        </is>
      </c>
      <c r="W139">
        <f>HYPERLINK("https://klasma.github.io/Logging_2582/artfynd/A 53590-2025 artfynd.xlsx", "A 53590-2025")</f>
        <v/>
      </c>
      <c r="X139">
        <f>HYPERLINK("https://klasma.github.io/Logging_2582/kartor/A 53590-2025 karta.png", "A 53590-2025")</f>
        <v/>
      </c>
      <c r="Y139">
        <f>HYPERLINK("https://klasma.github.io/Logging_2582/kartor_geotiff/A 53590-2025 georefererad karta.tif", "A 53590-2025")</f>
        <v/>
      </c>
      <c r="AA139">
        <f>HYPERLINK("https://klasma.github.io/Logging_2582/klagomål/A 53590-2025 FSC-klagomål.docx", "A 53590-2025")</f>
        <v/>
      </c>
      <c r="AB139">
        <f>HYPERLINK("https://klasma.github.io/Logging_2582/klagomålsmail/A 53590-2025 FSC-klagomål mail.docx", "A 53590-2025")</f>
        <v/>
      </c>
      <c r="AC139">
        <f>HYPERLINK("https://klasma.github.io/Logging_2582/tillsyn/A 53590-2025 tillsynsbegäran.docx", "A 53590-2025")</f>
        <v/>
      </c>
      <c r="AD139">
        <f>HYPERLINK("https://klasma.github.io/Logging_2582/tillsynsmail/A 53590-2025 tillsynsbegäran mail.docx", "A 53590-2025")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46297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46297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46297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46297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12832-2022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46297</v>
      </c>
      <c r="F144" t="inlineStr">
        <is>
          <t>NORRBOTTENS LÄN</t>
        </is>
      </c>
      <c r="G144" t="inlineStr">
        <is>
          <t>BODEN</t>
        </is>
      </c>
      <c r="I144" t="n">
        <v>6.6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Doftticka</t>
        </is>
      </c>
      <c r="W144">
        <f>HYPERLINK("https://klasma.github.io/Logging_2582/artfynd/A 12832-2022 artfynd.xlsx", "A 12832-2022")</f>
        <v/>
      </c>
      <c r="X144">
        <f>HYPERLINK("https://klasma.github.io/Logging_2582/kartor/A 12832-2022 karta.png", "A 12832-2022")</f>
        <v/>
      </c>
      <c r="Y144">
        <f>HYPERLINK("https://klasma.github.io/Logging_2582/kartor_geotiff/A 12832-2022 georefererad karta.tif", "A 12832-2022")</f>
        <v/>
      </c>
      <c r="AA144">
        <f>HYPERLINK("https://klasma.github.io/Logging_2582/klagomål/A 12832-2022 FSC-klagomål.docx", "A 12832-2022")</f>
        <v/>
      </c>
      <c r="AB144">
        <f>HYPERLINK("https://klasma.github.io/Logging_2582/klagomålsmail/A 12832-2022 FSC-klagomål mail.docx", "A 12832-2022")</f>
        <v/>
      </c>
      <c r="AC144">
        <f>HYPERLINK("https://klasma.github.io/Logging_2582/tillsyn/A 12832-2022 tillsynsbegäran.docx", "A 12832-2022")</f>
        <v/>
      </c>
      <c r="AD144">
        <f>HYPERLINK("https://klasma.github.io/Logging_2582/tillsynsmail/A 12832-2022 tillsynsbegäran mail.docx", "A 12832-2022")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46297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46297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46297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25801-2026 artfynd.xlsx", "A 25801-2026")</f>
        <v/>
      </c>
      <c r="X148">
        <f>HYPERLINK("https://klasma.github.io/Logging_2582/kartor/A 25801-2026 karta.png", "A 25801-2026")</f>
        <v/>
      </c>
      <c r="Y148">
        <f>HYPERLINK("https://klasma.github.io/Logging_2582/kartor_geotiff/A 25801-2026 georefererad karta.tif", "A 25801-2026")</f>
        <v/>
      </c>
      <c r="Z148">
        <f>HYPERLINK("https://klasma.github.io/Logging_2582/knärot/A 25801-2026 karta knärot.png", "A 25801-2026")</f>
        <v/>
      </c>
      <c r="AA148">
        <f>HYPERLINK("https://klasma.github.io/Logging_2582/klagomål/A 25801-2026 FSC-klagomål.docx", "A 25801-2026")</f>
        <v/>
      </c>
      <c r="AB148">
        <f>HYPERLINK("https://klasma.github.io/Logging_2582/klagomålsmail/A 25801-2026 FSC-klagomål mail.docx", "A 25801-2026")</f>
        <v/>
      </c>
      <c r="AC148">
        <f>HYPERLINK("https://klasma.github.io/Logging_2582/tillsyn/A 25801-2026 tillsynsbegäran.docx", "A 25801-2026")</f>
        <v/>
      </c>
      <c r="AD148">
        <f>HYPERLINK("https://klasma.github.io/Logging_2582/tillsynsmail/A 25801-2026 tillsynsbegäran mail.docx", "A 25801-2026")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46297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26438-2026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46297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Kolflarnlav</t>
        </is>
      </c>
      <c r="W150">
        <f>HYPERLINK("https://klasma.github.io/Logging_2582/artfynd/A 26438-2026 artfynd.xlsx", "A 26438-2026")</f>
        <v/>
      </c>
      <c r="X150">
        <f>HYPERLINK("https://klasma.github.io/Logging_2582/kartor/A 26438-2026 karta.png", "A 26438-2026")</f>
        <v/>
      </c>
      <c r="Y150">
        <f>HYPERLINK("https://klasma.github.io/Logging_2582/kartor_geotiff/A 26438-2026 georefererad karta.tif", "A 26438-2026")</f>
        <v/>
      </c>
      <c r="AA150">
        <f>HYPERLINK("https://klasma.github.io/Logging_2582/klagomål/A 26438-2026 FSC-klagomål.docx", "A 26438-2026")</f>
        <v/>
      </c>
      <c r="AB150">
        <f>HYPERLINK("https://klasma.github.io/Logging_2582/klagomålsmail/A 26438-2026 FSC-klagomål mail.docx", "A 26438-2026")</f>
        <v/>
      </c>
      <c r="AC150">
        <f>HYPERLINK("https://klasma.github.io/Logging_2582/tillsyn/A 26438-2026 tillsynsbegäran.docx", "A 26438-2026")</f>
        <v/>
      </c>
      <c r="AD150">
        <f>HYPERLINK("https://klasma.github.io/Logging_2582/tillsynsmail/A 26438-2026 tillsynsbegäran mail.docx", "A 26438-2026")</f>
        <v/>
      </c>
    </row>
    <row r="151" ht="15" customHeight="1">
      <c r="A151" t="inlineStr">
        <is>
          <t>A 26690-2026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46184</v>
      </c>
      <c r="E151" s="1" t="n">
        <v>46297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26690-2026 artfynd.xlsx", "A 26690-2026")</f>
        <v/>
      </c>
      <c r="X151">
        <f>HYPERLINK("https://klasma.github.io/Logging_2582/kartor/A 26690-2026 karta.png", "A 26690-2026")</f>
        <v/>
      </c>
      <c r="Y151">
        <f>HYPERLINK("https://klasma.github.io/Logging_2582/kartor_geotiff/A 26690-2026 georefererad karta.tif", "A 26690-2026")</f>
        <v/>
      </c>
      <c r="Z151">
        <f>HYPERLINK("https://klasma.github.io/Logging_2582/knärot/A 26690-2026 karta knärot.png", "A 26690-2026")</f>
        <v/>
      </c>
      <c r="AA151">
        <f>HYPERLINK("https://klasma.github.io/Logging_2582/klagomål/A 26690-2026 FSC-klagomål.docx", "A 26690-2026")</f>
        <v/>
      </c>
      <c r="AB151">
        <f>HYPERLINK("https://klasma.github.io/Logging_2582/klagomålsmail/A 26690-2026 FSC-klagomål mail.docx", "A 26690-2026")</f>
        <v/>
      </c>
      <c r="AC151">
        <f>HYPERLINK("https://klasma.github.io/Logging_2582/tillsyn/A 26690-2026 tillsynsbegäran.docx", "A 26690-2026")</f>
        <v/>
      </c>
      <c r="AD151">
        <f>HYPERLINK("https://klasma.github.io/Logging_2582/tillsynsmail/A 26690-2026 tillsynsbegäran mail.docx", "A 26690-2026")</f>
        <v/>
      </c>
    </row>
    <row r="152" ht="15" customHeight="1">
      <c r="A152" t="inlineStr">
        <is>
          <t>A 29875-2026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46205</v>
      </c>
      <c r="E152" s="1" t="n">
        <v>46297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Tallticka</t>
        </is>
      </c>
      <c r="W152">
        <f>HYPERLINK("https://klasma.github.io/Logging_2582/artfynd/A 29875-2026 artfynd.xlsx", "A 29875-2026")</f>
        <v/>
      </c>
      <c r="X152">
        <f>HYPERLINK("https://klasma.github.io/Logging_2582/kartor/A 29875-2026 karta.png", "A 29875-2026")</f>
        <v/>
      </c>
      <c r="Y152">
        <f>HYPERLINK("https://klasma.github.io/Logging_2582/kartor_geotiff/A 29875-2026 georefererad karta.tif", "A 29875-2026")</f>
        <v/>
      </c>
      <c r="AA152">
        <f>HYPERLINK("https://klasma.github.io/Logging_2582/klagomål/A 29875-2026 FSC-klagomål.docx", "A 29875-2026")</f>
        <v/>
      </c>
      <c r="AB152">
        <f>HYPERLINK("https://klasma.github.io/Logging_2582/klagomålsmail/A 29875-2026 FSC-klagomål mail.docx", "A 29875-2026")</f>
        <v/>
      </c>
      <c r="AC152">
        <f>HYPERLINK("https://klasma.github.io/Logging_2582/tillsyn/A 29875-2026 tillsynsbegäran.docx", "A 29875-2026")</f>
        <v/>
      </c>
      <c r="AD152">
        <f>HYPERLINK("https://klasma.github.io/Logging_2582/tillsynsmail/A 29875-2026 tillsynsbegäran mail.docx", "A 29875-2026")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46297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19396-2022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46297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HYPERLINK("https://klasma.github.io/Logging_2582/artfynd/A 19396-2022 artfynd.xlsx", "A 19396-2022")</f>
        <v/>
      </c>
      <c r="X154">
        <f>HYPERLINK("https://klasma.github.io/Logging_2582/kartor/A 19396-2022 karta.png", "A 19396-2022")</f>
        <v/>
      </c>
      <c r="Y154">
        <f>HYPERLINK("https://klasma.github.io/Logging_2582/kartor_geotiff/A 19396-2022 georefererad karta.tif", "A 19396-2022")</f>
        <v/>
      </c>
      <c r="AA154">
        <f>HYPERLINK("https://klasma.github.io/Logging_2582/klagomål/A 19396-2022 FSC-klagomål.docx", "A 19396-2022")</f>
        <v/>
      </c>
      <c r="AB154">
        <f>HYPERLINK("https://klasma.github.io/Logging_2582/klagomålsmail/A 19396-2022 FSC-klagomål mail.docx", "A 19396-2022")</f>
        <v/>
      </c>
      <c r="AC154">
        <f>HYPERLINK("https://klasma.github.io/Logging_2582/tillsyn/A 19396-2022 tillsynsbegäran.docx", "A 19396-2022")</f>
        <v/>
      </c>
      <c r="AD154">
        <f>HYPERLINK("https://klasma.github.io/Logging_2582/tillsynsmail/A 19396-2022 tillsynsbegäran mail.docx", "A 19396-2022")</f>
        <v/>
      </c>
    </row>
    <row r="155" ht="15" customHeight="1">
      <c r="A155" t="inlineStr">
        <is>
          <t>A 35415-2026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46297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2.6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2</v>
      </c>
      <c r="V155" s="2" t="inlineStr">
        <is>
          <t>Knärot</t>
        </is>
      </c>
      <c r="W155">
        <f>HYPERLINK("https://klasma.github.io/Logging_2582/artfynd/A 35415-2026 artfynd.xlsx", "A 35415-2026")</f>
        <v/>
      </c>
      <c r="X155">
        <f>HYPERLINK("https://klasma.github.io/Logging_2582/kartor/A 35415-2026 karta.png", "A 35415-2026")</f>
        <v/>
      </c>
      <c r="Y155">
        <f>HYPERLINK("https://klasma.github.io/Logging_2582/kartor_geotiff/A 35415-2026 georefererad karta.tif", "A 35415-2026")</f>
        <v/>
      </c>
      <c r="Z155">
        <f>HYPERLINK("https://klasma.github.io/Logging_2582/knärot/A 35415-2026 karta knärot.png", "A 35415-2026")</f>
        <v/>
      </c>
      <c r="AA155">
        <f>HYPERLINK("https://klasma.github.io/Logging_2582/klagomål/A 35415-2026 FSC-klagomål.docx", "A 35415-2026")</f>
        <v/>
      </c>
      <c r="AB155">
        <f>HYPERLINK("https://klasma.github.io/Logging_2582/klagomålsmail/A 35415-2026 FSC-klagomål mail.docx", "A 35415-2026")</f>
        <v/>
      </c>
      <c r="AC155">
        <f>HYPERLINK("https://klasma.github.io/Logging_2582/tillsyn/A 35415-2026 tillsynsbegäran.docx", "A 35415-2026")</f>
        <v/>
      </c>
      <c r="AD155">
        <f>HYPERLINK("https://klasma.github.io/Logging_2582/tillsynsmail/A 35415-2026 tillsynsbegäran mail.docx", "A 35415-2026")</f>
        <v/>
      </c>
    </row>
    <row r="156" ht="15" customHeight="1">
      <c r="A156" t="inlineStr">
        <is>
          <t>A 35410-2026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9</v>
      </c>
      <c r="U156" t="n">
        <v>9</v>
      </c>
      <c r="V156" s="2" t="inlineStr">
        <is>
          <t>Knärot</t>
        </is>
      </c>
      <c r="W156">
        <f>HYPERLINK("https://klasma.github.io/Logging_2582/artfynd/A 35410-2026 artfynd.xlsx", "A 35410-2026")</f>
        <v/>
      </c>
      <c r="X156">
        <f>HYPERLINK("https://klasma.github.io/Logging_2582/kartor/A 35410-2026 karta.png", "A 35410-2026")</f>
        <v/>
      </c>
      <c r="Y156">
        <f>HYPERLINK("https://klasma.github.io/Logging_2582/kartor_geotiff/A 35410-2026 georefererad karta.tif", "A 35410-2026")</f>
        <v/>
      </c>
      <c r="Z156">
        <f>HYPERLINK("https://klasma.github.io/Logging_2582/knärot/A 35410-2026 karta knärot.png", "A 35410-2026")</f>
        <v/>
      </c>
      <c r="AA156">
        <f>HYPERLINK("https://klasma.github.io/Logging_2582/klagomål/A 35410-2026 FSC-klagomål.docx", "A 35410-2026")</f>
        <v/>
      </c>
      <c r="AB156">
        <f>HYPERLINK("https://klasma.github.io/Logging_2582/klagomålsmail/A 35410-2026 FSC-klagomål mail.docx", "A 35410-2026")</f>
        <v/>
      </c>
      <c r="AC156">
        <f>HYPERLINK("https://klasma.github.io/Logging_2582/tillsyn/A 35410-2026 tillsynsbegäran.docx", "A 35410-2026")</f>
        <v/>
      </c>
      <c r="AD156">
        <f>HYPERLINK("https://klasma.github.io/Logging_2582/tillsynsmail/A 35410-2026 tillsynsbegäran mail.docx", "A 35410-2026")</f>
        <v/>
      </c>
    </row>
    <row r="157" ht="15" customHeight="1">
      <c r="A157" t="inlineStr">
        <is>
          <t>A 35292-2026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46297</v>
      </c>
      <c r="F157" t="inlineStr">
        <is>
          <t>NORRBOTTENS LÄN</t>
        </is>
      </c>
      <c r="G157" t="inlineStr">
        <is>
          <t>BODEN</t>
        </is>
      </c>
      <c r="I157" t="n">
        <v>4.9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HYPERLINK("https://klasma.github.io/Logging_2582/artfynd/A 35292-2026 artfynd.xlsx", "A 35292-2026")</f>
        <v/>
      </c>
      <c r="X157">
        <f>HYPERLINK("https://klasma.github.io/Logging_2582/kartor/A 35292-2026 karta.png", "A 35292-2026")</f>
        <v/>
      </c>
      <c r="Y157">
        <f>HYPERLINK("https://klasma.github.io/Logging_2582/kartor_geotiff/A 35292-2026 georefererad karta.tif", "A 35292-2026")</f>
        <v/>
      </c>
      <c r="AA157">
        <f>HYPERLINK("https://klasma.github.io/Logging_2582/klagomål/A 35292-2026 FSC-klagomål.docx", "A 35292-2026")</f>
        <v/>
      </c>
      <c r="AB157">
        <f>HYPERLINK("https://klasma.github.io/Logging_2582/klagomålsmail/A 35292-2026 FSC-klagomål mail.docx", "A 35292-2026")</f>
        <v/>
      </c>
      <c r="AC157">
        <f>HYPERLINK("https://klasma.github.io/Logging_2582/tillsyn/A 35292-2026 tillsynsbegäran.docx", "A 35292-2026")</f>
        <v/>
      </c>
      <c r="AD157">
        <f>HYPERLINK("https://klasma.github.io/Logging_2582/tillsynsmail/A 35292-2026 tillsynsbegäran mail.docx", "A 35292-2026")</f>
        <v/>
      </c>
      <c r="AE157">
        <f>HYPERLINK("https://klasma.github.io/Logging_2582/fåglar/A 35292-2026 prioriterade fågelarter.docx", "A 35292-2026")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46297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36734-2026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46297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Fläcknycklar</t>
        </is>
      </c>
      <c r="W159">
        <f>HYPERLINK("https://klasma.github.io/Logging_2582/artfynd/A 36734-2026 artfynd.xlsx", "A 36734-2026")</f>
        <v/>
      </c>
      <c r="X159">
        <f>HYPERLINK("https://klasma.github.io/Logging_2582/kartor/A 36734-2026 karta.png", "A 36734-2026")</f>
        <v/>
      </c>
      <c r="Y159">
        <f>HYPERLINK("https://klasma.github.io/Logging_2582/kartor_geotiff/A 36734-2026 georefererad karta.tif", "A 36734-2026")</f>
        <v/>
      </c>
      <c r="AA159">
        <f>HYPERLINK("https://klasma.github.io/Logging_2582/klagomål/A 36734-2026 FSC-klagomål.docx", "A 36734-2026")</f>
        <v/>
      </c>
      <c r="AB159">
        <f>HYPERLINK("https://klasma.github.io/Logging_2582/klagomålsmail/A 36734-2026 FSC-klagomål mail.docx", "A 36734-2026")</f>
        <v/>
      </c>
      <c r="AC159">
        <f>HYPERLINK("https://klasma.github.io/Logging_2582/tillsyn/A 36734-2026 tillsynsbegäran.docx", "A 36734-2026")</f>
        <v/>
      </c>
      <c r="AD159">
        <f>HYPERLINK("https://klasma.github.io/Logging_2582/tillsynsmail/A 36734-2026 tillsynsbegäran mail.docx", "A 36734-2026")</f>
        <v/>
      </c>
    </row>
    <row r="160" ht="15" customHeight="1">
      <c r="A160" t="inlineStr">
        <is>
          <t>A 36130-2026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46297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Vedflamlav</t>
        </is>
      </c>
      <c r="W160">
        <f>HYPERLINK("https://klasma.github.io/Logging_2582/artfynd/A 36130-2026 artfynd.xlsx", "A 36130-2026")</f>
        <v/>
      </c>
      <c r="X160">
        <f>HYPERLINK("https://klasma.github.io/Logging_2582/kartor/A 36130-2026 karta.png", "A 36130-2026")</f>
        <v/>
      </c>
      <c r="Y160">
        <f>HYPERLINK("https://klasma.github.io/Logging_2582/kartor_geotiff/A 36130-2026 georefererad karta.tif", "A 36130-2026")</f>
        <v/>
      </c>
      <c r="AA160">
        <f>HYPERLINK("https://klasma.github.io/Logging_2582/klagomål/A 36130-2026 FSC-klagomål.docx", "A 36130-2026")</f>
        <v/>
      </c>
      <c r="AB160">
        <f>HYPERLINK("https://klasma.github.io/Logging_2582/klagomålsmail/A 36130-2026 FSC-klagomål mail.docx", "A 36130-2026")</f>
        <v/>
      </c>
      <c r="AC160">
        <f>HYPERLINK("https://klasma.github.io/Logging_2582/tillsyn/A 36130-2026 tillsynsbegäran.docx", "A 36130-2026")</f>
        <v/>
      </c>
      <c r="AD160">
        <f>HYPERLINK("https://klasma.github.io/Logging_2582/tillsynsmail/A 36130-2026 tillsynsbegäran mail.docx", "A 36130-2026")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32159-2026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46236</v>
      </c>
      <c r="E162" s="1" t="n">
        <v>46297</v>
      </c>
      <c r="F162" t="inlineStr">
        <is>
          <t>NORRBOTTENS LÄN</t>
        </is>
      </c>
      <c r="G162" t="inlineStr">
        <is>
          <t>BODEN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HYPERLINK("https://klasma.github.io/Logging_2582/artfynd/A 32159-2026 artfynd.xlsx", "A 32159-2026")</f>
        <v/>
      </c>
      <c r="X162">
        <f>HYPERLINK("https://klasma.github.io/Logging_2582/kartor/A 32159-2026 karta.png", "A 32159-2026")</f>
        <v/>
      </c>
      <c r="Y162">
        <f>HYPERLINK("https://klasma.github.io/Logging_2582/kartor_geotiff/A 32159-2026 georefererad karta.tif", "A 32159-2026")</f>
        <v/>
      </c>
      <c r="AA162">
        <f>HYPERLINK("https://klasma.github.io/Logging_2582/klagomål/A 32159-2026 FSC-klagomål.docx", "A 32159-2026")</f>
        <v/>
      </c>
      <c r="AB162">
        <f>HYPERLINK("https://klasma.github.io/Logging_2582/klagomålsmail/A 32159-2026 FSC-klagomål mail.docx", "A 32159-2026")</f>
        <v/>
      </c>
      <c r="AC162">
        <f>HYPERLINK("https://klasma.github.io/Logging_2582/tillsyn/A 32159-2026 tillsynsbegäran.docx", "A 32159-2026")</f>
        <v/>
      </c>
      <c r="AD162">
        <f>HYPERLINK("https://klasma.github.io/Logging_2582/tillsynsmail/A 32159-2026 tillsynsbegäran mail.docx", "A 32159-2026")</f>
        <v/>
      </c>
    </row>
    <row r="163" ht="15" customHeight="1">
      <c r="A163" t="inlineStr">
        <is>
          <t>A 665-2023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44925</v>
      </c>
      <c r="E163" s="1" t="n">
        <v>46297</v>
      </c>
      <c r="F163" t="inlineStr">
        <is>
          <t>NORRBOTTENS LÄN</t>
        </is>
      </c>
      <c r="G163" t="inlineStr">
        <is>
          <t>BODEN</t>
        </is>
      </c>
      <c r="I163" t="n">
        <v>0.9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Duvhök</t>
        </is>
      </c>
      <c r="W163">
        <f>HYPERLINK("https://klasma.github.io/Logging_2582/artfynd/A 665-2023 artfynd.xlsx", "A 665-2023")</f>
        <v/>
      </c>
      <c r="X163">
        <f>HYPERLINK("https://klasma.github.io/Logging_2582/kartor/A 665-2023 karta.png", "A 665-2023")</f>
        <v/>
      </c>
      <c r="Y163">
        <f>HYPERLINK("https://klasma.github.io/Logging_2582/kartor_geotiff/A 665-2023 georefererad karta.tif", "A 665-2023")</f>
        <v/>
      </c>
      <c r="AA163">
        <f>HYPERLINK("https://klasma.github.io/Logging_2582/klagomål/A 665-2023 FSC-klagomål.docx", "A 665-2023")</f>
        <v/>
      </c>
      <c r="AB163">
        <f>HYPERLINK("https://klasma.github.io/Logging_2582/klagomålsmail/A 665-2023 FSC-klagomål mail.docx", "A 665-2023")</f>
        <v/>
      </c>
      <c r="AC163">
        <f>HYPERLINK("https://klasma.github.io/Logging_2582/tillsyn/A 665-2023 tillsynsbegäran.docx", "A 665-2023")</f>
        <v/>
      </c>
      <c r="AD163">
        <f>HYPERLINK("https://klasma.github.io/Logging_2582/tillsynsmail/A 665-2023 tillsynsbegäran mail.docx", "A 665-2023")</f>
        <v/>
      </c>
      <c r="AE163">
        <f>HYPERLINK("https://klasma.github.io/Logging_2582/fåglar/A 665-2023 prioriterade fågelarter.docx", "A 665-2023")</f>
        <v/>
      </c>
    </row>
    <row r="164" ht="15" customHeight="1">
      <c r="A164" t="inlineStr">
        <is>
          <t>A 2568-2024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46297</v>
      </c>
      <c r="F164" t="inlineStr">
        <is>
          <t>NORRBOTTENS LÄN</t>
        </is>
      </c>
      <c r="G164" t="inlineStr">
        <is>
          <t>BODEN</t>
        </is>
      </c>
      <c r="I164" t="n">
        <v>1.6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Blå taggsvamp</t>
        </is>
      </c>
      <c r="W164">
        <f>HYPERLINK("https://klasma.github.io/Logging_2582/artfynd/A 2568-2024 artfynd.xlsx", "A 2568-2024")</f>
        <v/>
      </c>
      <c r="X164">
        <f>HYPERLINK("https://klasma.github.io/Logging_2582/kartor/A 2568-2024 karta.png", "A 2568-2024")</f>
        <v/>
      </c>
      <c r="Y164">
        <f>HYPERLINK("https://klasma.github.io/Logging_2582/kartor_geotiff/A 2568-2024 georefererad karta.tif", "A 2568-2024")</f>
        <v/>
      </c>
      <c r="AA164">
        <f>HYPERLINK("https://klasma.github.io/Logging_2582/klagomål/A 2568-2024 FSC-klagomål.docx", "A 2568-2024")</f>
        <v/>
      </c>
      <c r="AB164">
        <f>HYPERLINK("https://klasma.github.io/Logging_2582/klagomålsmail/A 2568-2024 FSC-klagomål mail.docx", "A 2568-2024")</f>
        <v/>
      </c>
      <c r="AC164">
        <f>HYPERLINK("https://klasma.github.io/Logging_2582/tillsyn/A 2568-2024 tillsynsbegäran.docx", "A 2568-2024")</f>
        <v/>
      </c>
      <c r="AD164">
        <f>HYPERLINK("https://klasma.github.io/Logging_2582/tillsynsmail/A 2568-2024 tillsynsbegäran mail.docx", "A 2568-2024")</f>
        <v/>
      </c>
    </row>
    <row r="165" ht="15" customHeight="1">
      <c r="A165" t="inlineStr">
        <is>
          <t>A 38395-2026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46297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8.699999999999999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HYPERLINK("https://klasma.github.io/Logging_2582/artfynd/A 38395-2026 artfynd.xlsx", "A 38395-2026")</f>
        <v/>
      </c>
      <c r="X165">
        <f>HYPERLINK("https://klasma.github.io/Logging_2582/kartor/A 38395-2026 karta.png", "A 38395-2026")</f>
        <v/>
      </c>
      <c r="Y165">
        <f>HYPERLINK("https://klasma.github.io/Logging_2582/kartor_geotiff/A 38395-2026 georefererad karta.tif", "A 38395-2026")</f>
        <v/>
      </c>
      <c r="AA165">
        <f>HYPERLINK("https://klasma.github.io/Logging_2582/klagomål/A 38395-2026 FSC-klagomål.docx", "A 38395-2026")</f>
        <v/>
      </c>
      <c r="AB165">
        <f>HYPERLINK("https://klasma.github.io/Logging_2582/klagomålsmail/A 38395-2026 FSC-klagomål mail.docx", "A 38395-2026")</f>
        <v/>
      </c>
      <c r="AC165">
        <f>HYPERLINK("https://klasma.github.io/Logging_2582/tillsyn/A 38395-2026 tillsynsbegäran.docx", "A 38395-2026")</f>
        <v/>
      </c>
      <c r="AD165">
        <f>HYPERLINK("https://klasma.github.io/Logging_2582/tillsynsmail/A 38395-2026 tillsynsbegäran mail.docx", "A 38395-2026")</f>
        <v/>
      </c>
    </row>
    <row r="166" ht="15" customHeight="1">
      <c r="A166" t="inlineStr">
        <is>
          <t>A 32664-2026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46240</v>
      </c>
      <c r="E166" s="1" t="n">
        <v>46297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14.3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4</v>
      </c>
      <c r="U166" t="n">
        <v>0</v>
      </c>
      <c r="V166" s="2" t="inlineStr">
        <is>
          <t>Lunglav</t>
        </is>
      </c>
      <c r="W166">
        <f>HYPERLINK("https://klasma.github.io/Logging_2582/artfynd/A 32664-2026 artfynd.xlsx", "A 32664-2026")</f>
        <v/>
      </c>
      <c r="X166">
        <f>HYPERLINK("https://klasma.github.io/Logging_2582/kartor/A 32664-2026 karta.png", "A 32664-2026")</f>
        <v/>
      </c>
      <c r="Y166">
        <f>HYPERLINK("https://klasma.github.io/Logging_2582/kartor_geotiff/A 32664-2026 georefererad karta.tif", "A 32664-2026")</f>
        <v/>
      </c>
      <c r="AA166">
        <f>HYPERLINK("https://klasma.github.io/Logging_2582/klagomål/A 32664-2026 FSC-klagomål.docx", "A 32664-2026")</f>
        <v/>
      </c>
      <c r="AB166">
        <f>HYPERLINK("https://klasma.github.io/Logging_2582/klagomålsmail/A 32664-2026 FSC-klagomål mail.docx", "A 32664-2026")</f>
        <v/>
      </c>
      <c r="AC166">
        <f>HYPERLINK("https://klasma.github.io/Logging_2582/tillsyn/A 32664-2026 tillsynsbegäran.docx", "A 32664-2026")</f>
        <v/>
      </c>
      <c r="AD166">
        <f>HYPERLINK("https://klasma.github.io/Logging_2582/tillsynsmail/A 32664-2026 tillsynsbegäran mail.docx", "A 32664-2026")</f>
        <v/>
      </c>
    </row>
    <row r="167" ht="15" customHeight="1">
      <c r="A167" t="inlineStr">
        <is>
          <t>A 54833-2025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46297</v>
      </c>
      <c r="F167" t="inlineStr">
        <is>
          <t>NORRBOTTENS LÄN</t>
        </is>
      </c>
      <c r="G167" t="inlineStr">
        <is>
          <t>BODEN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Utter</t>
        </is>
      </c>
      <c r="W167">
        <f>HYPERLINK("https://klasma.github.io/Logging_2582/artfynd/A 54833-2025 artfynd.xlsx", "A 54833-2025")</f>
        <v/>
      </c>
      <c r="X167">
        <f>HYPERLINK("https://klasma.github.io/Logging_2582/kartor/A 54833-2025 karta.png", "A 54833-2025")</f>
        <v/>
      </c>
      <c r="Y167">
        <f>HYPERLINK("https://klasma.github.io/Logging_2582/kartor_geotiff/A 54833-2025 georefererad karta.tif", "A 54833-2025")</f>
        <v/>
      </c>
      <c r="AA167">
        <f>HYPERLINK("https://klasma.github.io/Logging_2582/klagomål/A 54833-2025 FSC-klagomål.docx", "A 54833-2025")</f>
        <v/>
      </c>
      <c r="AB167">
        <f>HYPERLINK("https://klasma.github.io/Logging_2582/klagomålsmail/A 54833-2025 FSC-klagomål mail.docx", "A 54833-2025")</f>
        <v/>
      </c>
      <c r="AC167">
        <f>HYPERLINK("https://klasma.github.io/Logging_2582/tillsyn/A 54833-2025 tillsynsbegäran.docx", "A 54833-2025")</f>
        <v/>
      </c>
      <c r="AD167">
        <f>HYPERLINK("https://klasma.github.io/Logging_2582/tillsynsmail/A 54833-2025 tillsynsbegäran mail.docx", "A 54833-2025")</f>
        <v/>
      </c>
    </row>
    <row r="168" ht="15" customHeight="1">
      <c r="A168" t="inlineStr">
        <is>
          <t>A 32708-2026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46241</v>
      </c>
      <c r="E168" s="1" t="n">
        <v>46297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0</v>
      </c>
      <c r="V168" s="2" t="inlineStr">
        <is>
          <t>Lunglav</t>
        </is>
      </c>
      <c r="W168">
        <f>HYPERLINK("https://klasma.github.io/Logging_2582/artfynd/A 32708-2026 artfynd.xlsx", "A 32708-2026")</f>
        <v/>
      </c>
      <c r="X168">
        <f>HYPERLINK("https://klasma.github.io/Logging_2582/kartor/A 32708-2026 karta.png", "A 32708-2026")</f>
        <v/>
      </c>
      <c r="Y168">
        <f>HYPERLINK("https://klasma.github.io/Logging_2582/kartor_geotiff/A 32708-2026 georefererad karta.tif", "A 32708-2026")</f>
        <v/>
      </c>
      <c r="AA168">
        <f>HYPERLINK("https://klasma.github.io/Logging_2582/klagomål/A 32708-2026 FSC-klagomål.docx", "A 32708-2026")</f>
        <v/>
      </c>
      <c r="AB168">
        <f>HYPERLINK("https://klasma.github.io/Logging_2582/klagomålsmail/A 32708-2026 FSC-klagomål mail.docx", "A 32708-2026")</f>
        <v/>
      </c>
      <c r="AC168">
        <f>HYPERLINK("https://klasma.github.io/Logging_2582/tillsyn/A 32708-2026 tillsynsbegäran.docx", "A 32708-2026")</f>
        <v/>
      </c>
      <c r="AD168">
        <f>HYPERLINK("https://klasma.github.io/Logging_2582/tillsynsmail/A 32708-2026 tillsynsbegäran mail.docx", "A 32708-2026")</f>
        <v/>
      </c>
    </row>
    <row r="169" ht="15" customHeight="1">
      <c r="A169" t="inlineStr">
        <is>
          <t>A 36743-2024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46297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HYPERLINK("https://klasma.github.io/Logging_2582/artfynd/A 36743-2024 artfynd.xlsx", "A 36743-2024")</f>
        <v/>
      </c>
      <c r="X169">
        <f>HYPERLINK("https://klasma.github.io/Logging_2582/kartor/A 36743-2024 karta.png", "A 36743-2024")</f>
        <v/>
      </c>
      <c r="Y169">
        <f>HYPERLINK("https://klasma.github.io/Logging_2582/kartor_geotiff/A 36743-2024 georefererad karta.tif", "A 36743-2024")</f>
        <v/>
      </c>
      <c r="AA169">
        <f>HYPERLINK("https://klasma.github.io/Logging_2582/klagomål/A 36743-2024 FSC-klagomål.docx", "A 36743-2024")</f>
        <v/>
      </c>
      <c r="AB169">
        <f>HYPERLINK("https://klasma.github.io/Logging_2582/klagomålsmail/A 36743-2024 FSC-klagomål mail.docx", "A 36743-2024")</f>
        <v/>
      </c>
      <c r="AC169">
        <f>HYPERLINK("https://klasma.github.io/Logging_2582/tillsyn/A 36743-2024 tillsynsbegäran.docx", "A 36743-2024")</f>
        <v/>
      </c>
      <c r="AD169">
        <f>HYPERLINK("https://klasma.github.io/Logging_2582/tillsynsmail/A 36743-2024 tillsynsbegäran mail.docx", "A 36743-2024")</f>
        <v/>
      </c>
    </row>
    <row r="170" ht="15" customHeight="1">
      <c r="A170" t="inlineStr">
        <is>
          <t>A 19580-2026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46297</v>
      </c>
      <c r="F170" t="inlineStr">
        <is>
          <t>NORRBOTTENS LÄN</t>
        </is>
      </c>
      <c r="G170" t="inlineStr">
        <is>
          <t>BODEN</t>
        </is>
      </c>
      <c r="I170" t="n">
        <v>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Dropptaggsvamp</t>
        </is>
      </c>
      <c r="W170">
        <f>HYPERLINK("https://klasma.github.io/Logging_2582/artfynd/A 19580-2026 artfynd.xlsx", "A 19580-2026")</f>
        <v/>
      </c>
      <c r="X170">
        <f>HYPERLINK("https://klasma.github.io/Logging_2582/kartor/A 19580-2026 karta.png", "A 19580-2026")</f>
        <v/>
      </c>
      <c r="Y170">
        <f>HYPERLINK("https://klasma.github.io/Logging_2582/kartor_geotiff/A 19580-2026 georefererad karta.tif", "A 19580-2026")</f>
        <v/>
      </c>
      <c r="AA170">
        <f>HYPERLINK("https://klasma.github.io/Logging_2582/klagomål/A 19580-2026 FSC-klagomål.docx", "A 19580-2026")</f>
        <v/>
      </c>
      <c r="AB170">
        <f>HYPERLINK("https://klasma.github.io/Logging_2582/klagomålsmail/A 19580-2026 FSC-klagomål mail.docx", "A 19580-2026")</f>
        <v/>
      </c>
      <c r="AC170">
        <f>HYPERLINK("https://klasma.github.io/Logging_2582/tillsyn/A 19580-2026 tillsynsbegäran.docx", "A 19580-2026")</f>
        <v/>
      </c>
      <c r="AD170">
        <f>HYPERLINK("https://klasma.github.io/Logging_2582/tillsynsmail/A 19580-2026 tillsynsbegäran mail.docx", "A 19580-2026")</f>
        <v/>
      </c>
    </row>
    <row r="171" ht="15" customHeight="1">
      <c r="A171" t="inlineStr">
        <is>
          <t>A 68514-2021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44529</v>
      </c>
      <c r="E171" s="1" t="n">
        <v>46297</v>
      </c>
      <c r="F171" t="inlineStr">
        <is>
          <t>NORRBOTTENS LÄN</t>
        </is>
      </c>
      <c r="G171" t="inlineStr">
        <is>
          <t>BODEN</t>
        </is>
      </c>
      <c r="I171" t="n">
        <v>6.2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Spillkråka</t>
        </is>
      </c>
      <c r="W171">
        <f>HYPERLINK("https://klasma.github.io/Logging_2582/artfynd/A 68514-2021 artfynd.xlsx", "A 68514-2021")</f>
        <v/>
      </c>
      <c r="X171">
        <f>HYPERLINK("https://klasma.github.io/Logging_2582/kartor/A 68514-2021 karta.png", "A 68514-2021")</f>
        <v/>
      </c>
      <c r="Y171">
        <f>HYPERLINK("https://klasma.github.io/Logging_2582/kartor_geotiff/A 68514-2021 georefererad karta.tif", "A 68514-2021")</f>
        <v/>
      </c>
      <c r="Z171">
        <f>HYPERLINK("https://klasma.github.io/Logging_2582/knärot/A 68514-2021 karta knärot.png", "A 68514-2021")</f>
        <v/>
      </c>
      <c r="AA171">
        <f>HYPERLINK("https://klasma.github.io/Logging_2582/klagomål/A 68514-2021 FSC-klagomål.docx", "A 68514-2021")</f>
        <v/>
      </c>
      <c r="AB171">
        <f>HYPERLINK("https://klasma.github.io/Logging_2582/klagomålsmail/A 68514-2021 FSC-klagomål mail.docx", "A 68514-2021")</f>
        <v/>
      </c>
      <c r="AC171">
        <f>HYPERLINK("https://klasma.github.io/Logging_2582/tillsyn/A 68514-2021 tillsynsbegäran.docx", "A 68514-2021")</f>
        <v/>
      </c>
      <c r="AD171">
        <f>HYPERLINK("https://klasma.github.io/Logging_2582/tillsynsmail/A 68514-2021 tillsynsbegäran mail.docx", "A 68514-2021")</f>
        <v/>
      </c>
      <c r="AE171">
        <f>HYPERLINK("https://klasma.github.io/Logging_2582/fåglar/A 68514-2021 prioriterade fågelarter.docx", "A 68514-2021")</f>
        <v/>
      </c>
    </row>
    <row r="172" ht="15" customHeight="1">
      <c r="A172" t="inlineStr">
        <is>
          <t>A 33756-2026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46297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5.5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Bollvitmossa</t>
        </is>
      </c>
      <c r="W172">
        <f>HYPERLINK("https://klasma.github.io/Logging_2582/artfynd/A 33756-2026 artfynd.xlsx", "A 33756-2026")</f>
        <v/>
      </c>
      <c r="X172">
        <f>HYPERLINK("https://klasma.github.io/Logging_2582/kartor/A 33756-2026 karta.png", "A 33756-2026")</f>
        <v/>
      </c>
      <c r="Y172">
        <f>HYPERLINK("https://klasma.github.io/Logging_2582/kartor_geotiff/A 33756-2026 georefererad karta.tif", "A 33756-2026")</f>
        <v/>
      </c>
      <c r="AA172">
        <f>HYPERLINK("https://klasma.github.io/Logging_2582/klagomål/A 33756-2026 FSC-klagomål.docx", "A 33756-2026")</f>
        <v/>
      </c>
      <c r="AB172">
        <f>HYPERLINK("https://klasma.github.io/Logging_2582/klagomålsmail/A 33756-2026 FSC-klagomål mail.docx", "A 33756-2026")</f>
        <v/>
      </c>
      <c r="AC172">
        <f>HYPERLINK("https://klasma.github.io/Logging_2582/tillsyn/A 33756-2026 tillsynsbegäran.docx", "A 33756-2026")</f>
        <v/>
      </c>
      <c r="AD172">
        <f>HYPERLINK("https://klasma.github.io/Logging_2582/tillsynsmail/A 33756-2026 tillsynsbegäran mail.docx", "A 33756-2026")</f>
        <v/>
      </c>
    </row>
    <row r="173" ht="15" customHeight="1">
      <c r="A173" t="inlineStr">
        <is>
          <t>A 2565-2026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46297</v>
      </c>
      <c r="F173" t="inlineStr">
        <is>
          <t>NORRBOTTENS LÄN</t>
        </is>
      </c>
      <c r="G173" t="inlineStr">
        <is>
          <t>BODEN</t>
        </is>
      </c>
      <c r="H173" t="inlineStr">
        <is>
          <t>Naturvårdsverket</t>
        </is>
      </c>
      <c r="I173" t="n">
        <v>4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Garnlav</t>
        </is>
      </c>
      <c r="W173">
        <f>HYPERLINK("https://klasma.github.io/Logging_2582/artfynd/A 2565-2026 artfynd.xlsx", "A 2565-2026")</f>
        <v/>
      </c>
      <c r="X173">
        <f>HYPERLINK("https://klasma.github.io/Logging_2582/kartor/A 2565-2026 karta.png", "A 2565-2026")</f>
        <v/>
      </c>
      <c r="Y173">
        <f>HYPERLINK("https://klasma.github.io/Logging_2582/kartor_geotiff/A 2565-2026 georefererad karta.tif", "A 2565-2026")</f>
        <v/>
      </c>
      <c r="AA173">
        <f>HYPERLINK("https://klasma.github.io/Logging_2582/klagomål/A 2565-2026 FSC-klagomål.docx", "A 2565-2026")</f>
        <v/>
      </c>
      <c r="AB173">
        <f>HYPERLINK("https://klasma.github.io/Logging_2582/klagomålsmail/A 2565-2026 FSC-klagomål mail.docx", "A 2565-2026")</f>
        <v/>
      </c>
      <c r="AC173">
        <f>HYPERLINK("https://klasma.github.io/Logging_2582/tillsyn/A 2565-2026 tillsynsbegäran.docx", "A 2565-2026")</f>
        <v/>
      </c>
      <c r="AD173">
        <f>HYPERLINK("https://klasma.github.io/Logging_2582/tillsynsmail/A 2565-2026 tillsynsbegäran mail.docx", "A 2565-2026")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46297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46297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46297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46297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46297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46297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46297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46297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46297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46297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46297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46297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46297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46297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46297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46297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46297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46297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46297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46297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46297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46297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46297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46297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46297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46297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46297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46297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46297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46297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46297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46297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46297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29119-2022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44749</v>
      </c>
      <c r="E207" s="1" t="n">
        <v>46297</v>
      </c>
      <c r="F207" t="inlineStr">
        <is>
          <t>NORRBOTTENS LÄN</t>
        </is>
      </c>
      <c r="G207" t="inlineStr">
        <is>
          <t>BODEN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46297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46297</v>
      </c>
      <c r="F209" t="inlineStr">
        <is>
          <t>NORRBOTTENS LÄN</t>
        </is>
      </c>
      <c r="G209" t="inlineStr">
        <is>
          <t>BODEN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46297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46297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46297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46297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46297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46297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46297</v>
      </c>
      <c r="F216" t="inlineStr">
        <is>
          <t>NORRBOTTENS LÄN</t>
        </is>
      </c>
      <c r="G216" t="inlineStr">
        <is>
          <t>BODEN</t>
        </is>
      </c>
      <c r="H216" t="inlineStr">
        <is>
          <t>Övriga statliga verk och myndigheter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46297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46297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46297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46297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46297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46297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46297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46297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46297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46297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46297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46297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46297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46297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46297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46297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45572</v>
      </c>
      <c r="E233" s="1" t="n">
        <v>46297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46297</v>
      </c>
      <c r="F234" t="inlineStr">
        <is>
          <t>NORRBOTTENS LÄN</t>
        </is>
      </c>
      <c r="G234" t="inlineStr">
        <is>
          <t>BODEN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46297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46297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46297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46297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46297</v>
      </c>
      <c r="F239" t="inlineStr">
        <is>
          <t>NORRBOTTENS LÄN</t>
        </is>
      </c>
      <c r="G239" t="inlineStr">
        <is>
          <t>BODEN</t>
        </is>
      </c>
      <c r="H239" t="inlineStr">
        <is>
          <t>Övriga statliga verk och myndigheter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46297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46297</v>
      </c>
      <c r="F241" t="inlineStr">
        <is>
          <t>NORRBOTTENS LÄN</t>
        </is>
      </c>
      <c r="G241" t="inlineStr">
        <is>
          <t>BODEN</t>
        </is>
      </c>
      <c r="H241" t="inlineStr">
        <is>
          <t>Sveaskog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46297</v>
      </c>
      <c r="F242" t="inlineStr">
        <is>
          <t>NORRBOTTENS LÄN</t>
        </is>
      </c>
      <c r="G242" t="inlineStr">
        <is>
          <t>BODEN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44477</v>
      </c>
      <c r="E243" s="1" t="n">
        <v>46297</v>
      </c>
      <c r="F243" t="inlineStr">
        <is>
          <t>NORRBOTTENS LÄN</t>
        </is>
      </c>
      <c r="G243" t="inlineStr">
        <is>
          <t>BODEN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46297</v>
      </c>
      <c r="F244" t="inlineStr">
        <is>
          <t>NORRBOTTENS LÄN</t>
        </is>
      </c>
      <c r="G244" t="inlineStr">
        <is>
          <t>BODEN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46297</v>
      </c>
      <c r="F245" t="inlineStr">
        <is>
          <t>NORRBOTTENS LÄN</t>
        </is>
      </c>
      <c r="G245" t="inlineStr">
        <is>
          <t>BODEN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46012</v>
      </c>
      <c r="E246" s="1" t="n">
        <v>46297</v>
      </c>
      <c r="F246" t="inlineStr">
        <is>
          <t>NORRBOTTENS LÄN</t>
        </is>
      </c>
      <c r="G246" t="inlineStr">
        <is>
          <t>BODEN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46012</v>
      </c>
      <c r="E247" s="1" t="n">
        <v>46297</v>
      </c>
      <c r="F247" t="inlineStr">
        <is>
          <t>NORRBOTTENS LÄN</t>
        </is>
      </c>
      <c r="G247" t="inlineStr">
        <is>
          <t>BODEN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74264-2021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44558</v>
      </c>
      <c r="E248" s="1" t="n">
        <v>46297</v>
      </c>
      <c r="F248" t="inlineStr">
        <is>
          <t>NORRBOTTENS LÄN</t>
        </is>
      </c>
      <c r="G248" t="inlineStr">
        <is>
          <t>BODEN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46297</v>
      </c>
      <c r="F249" t="inlineStr">
        <is>
          <t>NORRBOTTENS LÄN</t>
        </is>
      </c>
      <c r="G249" t="inlineStr">
        <is>
          <t>BODEN</t>
        </is>
      </c>
      <c r="H249" t="inlineStr">
        <is>
          <t>Övriga statliga verk och myndigheter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46297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45379</v>
      </c>
      <c r="E251" s="1" t="n">
        <v>46297</v>
      </c>
      <c r="F251" t="inlineStr">
        <is>
          <t>NORRBOTTENS LÄN</t>
        </is>
      </c>
      <c r="G251" t="inlineStr">
        <is>
          <t>BODEN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46297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46020</v>
      </c>
      <c r="E253" s="1" t="n">
        <v>46297</v>
      </c>
      <c r="F253" t="inlineStr">
        <is>
          <t>NORRBOTTENS LÄN</t>
        </is>
      </c>
      <c r="G253" t="inlineStr">
        <is>
          <t>BODEN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46297</v>
      </c>
      <c r="F254" t="inlineStr">
        <is>
          <t>NORRBOTTENS LÄN</t>
        </is>
      </c>
      <c r="G254" t="inlineStr">
        <is>
          <t>BODEN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46297</v>
      </c>
      <c r="F255" t="inlineStr">
        <is>
          <t>NORRBOTTENS LÄN</t>
        </is>
      </c>
      <c r="G255" t="inlineStr">
        <is>
          <t>BODEN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54590-2022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44883</v>
      </c>
      <c r="E256" s="1" t="n">
        <v>46297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46297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31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46297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46297</v>
      </c>
      <c r="F259" t="inlineStr">
        <is>
          <t>NORRBOTTENS LÄN</t>
        </is>
      </c>
      <c r="G259" t="inlineStr">
        <is>
          <t>BODEN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46297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46020</v>
      </c>
      <c r="E261" s="1" t="n">
        <v>46297</v>
      </c>
      <c r="F261" t="inlineStr">
        <is>
          <t>NORRBOTTENS LÄN</t>
        </is>
      </c>
      <c r="G261" t="inlineStr">
        <is>
          <t>BODEN</t>
        </is>
      </c>
      <c r="I261" t="n">
        <v>10.9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46297</v>
      </c>
      <c r="F262" t="inlineStr">
        <is>
          <t>NORRBOTTENS LÄN</t>
        </is>
      </c>
      <c r="G262" t="inlineStr">
        <is>
          <t>BODEN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45793</v>
      </c>
      <c r="E263" s="1" t="n">
        <v>46297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45590</v>
      </c>
      <c r="E264" s="1" t="n">
        <v>46297</v>
      </c>
      <c r="F264" t="inlineStr">
        <is>
          <t>NORRBOTTENS LÄN</t>
        </is>
      </c>
      <c r="G264" t="inlineStr">
        <is>
          <t>BODEN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46297</v>
      </c>
      <c r="F265" t="inlineStr">
        <is>
          <t>NORRBOTTENS LÄN</t>
        </is>
      </c>
      <c r="G265" t="inlineStr">
        <is>
          <t>BODEN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46297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46297</v>
      </c>
      <c r="F267" t="inlineStr">
        <is>
          <t>NORRBOTTENS LÄN</t>
        </is>
      </c>
      <c r="G267" t="inlineStr">
        <is>
          <t>BODEN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45516</v>
      </c>
      <c r="E268" s="1" t="n">
        <v>46297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45516</v>
      </c>
      <c r="E269" s="1" t="n">
        <v>46297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45649</v>
      </c>
      <c r="E270" s="1" t="n">
        <v>46297</v>
      </c>
      <c r="F270" t="inlineStr">
        <is>
          <t>NORRBOTTENS LÄN</t>
        </is>
      </c>
      <c r="G270" t="inlineStr">
        <is>
          <t>BODEN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46297</v>
      </c>
      <c r="F271" t="inlineStr">
        <is>
          <t>NORRBOTTENS LÄN</t>
        </is>
      </c>
      <c r="G271" t="inlineStr">
        <is>
          <t>BODEN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60466-2024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45643</v>
      </c>
      <c r="E272" s="1" t="n">
        <v>46297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46297</v>
      </c>
      <c r="F273" t="inlineStr">
        <is>
          <t>NORRBOTTENS LÄN</t>
        </is>
      </c>
      <c r="G273" t="inlineStr">
        <is>
          <t>BODEN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46297</v>
      </c>
      <c r="F274" t="inlineStr">
        <is>
          <t>NORRBOTTENS LÄN</t>
        </is>
      </c>
      <c r="G274" t="inlineStr">
        <is>
          <t>BODEN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45764</v>
      </c>
      <c r="E275" s="1" t="n">
        <v>46297</v>
      </c>
      <c r="F275" t="inlineStr">
        <is>
          <t>NORRBOTTENS LÄN</t>
        </is>
      </c>
      <c r="G275" t="inlineStr">
        <is>
          <t>BODEN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46297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46297</v>
      </c>
      <c r="F277" t="inlineStr">
        <is>
          <t>NORRBOTTENS LÄN</t>
        </is>
      </c>
      <c r="G277" t="inlineStr">
        <is>
          <t>BODEN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46297</v>
      </c>
      <c r="F278" t="inlineStr">
        <is>
          <t>NORRBOTTENS LÄN</t>
        </is>
      </c>
      <c r="G278" t="inlineStr">
        <is>
          <t>BODEN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46297</v>
      </c>
      <c r="F279" t="inlineStr">
        <is>
          <t>NORRBOTTENS LÄN</t>
        </is>
      </c>
      <c r="G279" t="inlineStr">
        <is>
          <t>BODEN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46297</v>
      </c>
      <c r="F280" t="inlineStr">
        <is>
          <t>NORRBOTTENS LÄN</t>
        </is>
      </c>
      <c r="G280" t="inlineStr">
        <is>
          <t>BODEN</t>
        </is>
      </c>
      <c r="H280" t="inlineStr">
        <is>
          <t>Naturvårdsverket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46297</v>
      </c>
      <c r="F281" t="inlineStr">
        <is>
          <t>NORRBOTTENS LÄN</t>
        </is>
      </c>
      <c r="G281" t="inlineStr">
        <is>
          <t>BODEN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45798</v>
      </c>
      <c r="E282" s="1" t="n">
        <v>46297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46297</v>
      </c>
      <c r="F283" t="inlineStr">
        <is>
          <t>NORRBOTTENS LÄN</t>
        </is>
      </c>
      <c r="G283" t="inlineStr">
        <is>
          <t>BODEN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46297</v>
      </c>
      <c r="F284" t="inlineStr">
        <is>
          <t>NORRBOTTENS LÄN</t>
        </is>
      </c>
      <c r="G284" t="inlineStr">
        <is>
          <t>BODEN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41691-2025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45902</v>
      </c>
      <c r="E285" s="1" t="n">
        <v>46297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46297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46297</v>
      </c>
      <c r="F287" t="inlineStr">
        <is>
          <t>NORRBOTTENS LÄN</t>
        </is>
      </c>
      <c r="G287" t="inlineStr">
        <is>
          <t>BODEN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45798</v>
      </c>
      <c r="E288" s="1" t="n">
        <v>46297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15.8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45797</v>
      </c>
      <c r="E289" s="1" t="n">
        <v>46297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46297</v>
      </c>
      <c r="F290" t="inlineStr">
        <is>
          <t>NORRBOTTENS LÄN</t>
        </is>
      </c>
      <c r="G290" t="inlineStr">
        <is>
          <t>BODEN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45907</v>
      </c>
      <c r="E291" s="1" t="n">
        <v>46297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9.6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46297</v>
      </c>
      <c r="F292" t="inlineStr">
        <is>
          <t>NORRBOTTENS LÄN</t>
        </is>
      </c>
      <c r="G292" t="inlineStr">
        <is>
          <t>BODEN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46297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46297</v>
      </c>
      <c r="F294" t="inlineStr">
        <is>
          <t>NORRBOTTENS LÄN</t>
        </is>
      </c>
      <c r="G294" t="inlineStr">
        <is>
          <t>BODEN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45910</v>
      </c>
      <c r="E295" s="1" t="n">
        <v>46297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46057</v>
      </c>
      <c r="E296" s="1" t="n">
        <v>46297</v>
      </c>
      <c r="F296" t="inlineStr">
        <is>
          <t>NORRBOTTENS LÄN</t>
        </is>
      </c>
      <c r="G296" t="inlineStr">
        <is>
          <t>BODEN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46297</v>
      </c>
      <c r="F297" t="inlineStr">
        <is>
          <t>NORRBOTTENS LÄN</t>
        </is>
      </c>
      <c r="G297" t="inlineStr">
        <is>
          <t>BODEN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44908</v>
      </c>
      <c r="E298" s="1" t="n">
        <v>46297</v>
      </c>
      <c r="F298" t="inlineStr">
        <is>
          <t>NORRBOTTENS LÄN</t>
        </is>
      </c>
      <c r="G298" t="inlineStr">
        <is>
          <t>BODEN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46297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46297</v>
      </c>
      <c r="F300" t="inlineStr">
        <is>
          <t>NORRBOTTENS LÄN</t>
        </is>
      </c>
      <c r="G300" t="inlineStr">
        <is>
          <t>BODEN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43710-2025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45912</v>
      </c>
      <c r="E301" s="1" t="n">
        <v>46297</v>
      </c>
      <c r="F301" t="inlineStr">
        <is>
          <t>NORRBOTTENS LÄN</t>
        </is>
      </c>
      <c r="G301" t="inlineStr">
        <is>
          <t>BODEN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46062</v>
      </c>
      <c r="E302" s="1" t="n">
        <v>46297</v>
      </c>
      <c r="F302" t="inlineStr">
        <is>
          <t>NORRBOTTENS LÄN</t>
        </is>
      </c>
      <c r="G302" t="inlineStr">
        <is>
          <t>BODEN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46297</v>
      </c>
      <c r="F303" t="inlineStr">
        <is>
          <t>NORRBOTTENS LÄN</t>
        </is>
      </c>
      <c r="G303" t="inlineStr">
        <is>
          <t>BODEN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46297</v>
      </c>
      <c r="F304" t="inlineStr">
        <is>
          <t>NORRBOTTENS LÄN</t>
        </is>
      </c>
      <c r="G304" t="inlineStr">
        <is>
          <t>BODEN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46297</v>
      </c>
      <c r="F305" t="inlineStr">
        <is>
          <t>NORRBOTTENS LÄN</t>
        </is>
      </c>
      <c r="G305" t="inlineStr">
        <is>
          <t>BODEN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46297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46297</v>
      </c>
      <c r="F307" t="inlineStr">
        <is>
          <t>NORRBOTTENS LÄN</t>
        </is>
      </c>
      <c r="G307" t="inlineStr">
        <is>
          <t>BODEN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46297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46297</v>
      </c>
      <c r="F309" t="inlineStr">
        <is>
          <t>NORRBOTTENS LÄN</t>
        </is>
      </c>
      <c r="G309" t="inlineStr">
        <is>
          <t>BODEN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46297</v>
      </c>
      <c r="F310" t="inlineStr">
        <is>
          <t>NORRBOTTENS LÄN</t>
        </is>
      </c>
      <c r="G310" t="inlineStr">
        <is>
          <t>BODEN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46297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11651-2023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44994</v>
      </c>
      <c r="E312" s="1" t="n">
        <v>46297</v>
      </c>
      <c r="F312" t="inlineStr">
        <is>
          <t>NORRBOTTENS LÄN</t>
        </is>
      </c>
      <c r="G312" t="inlineStr">
        <is>
          <t>BODEN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46297</v>
      </c>
      <c r="F313" t="inlineStr">
        <is>
          <t>NORRBOTTENS LÄN</t>
        </is>
      </c>
      <c r="G313" t="inlineStr">
        <is>
          <t>BODEN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46297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46297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46297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46297</v>
      </c>
      <c r="F317" t="inlineStr">
        <is>
          <t>NORRBOTTENS LÄN</t>
        </is>
      </c>
      <c r="G317" t="inlineStr">
        <is>
          <t>BODEN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45919</v>
      </c>
      <c r="E318" s="1" t="n">
        <v>46297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46297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45204</v>
      </c>
      <c r="E320" s="1" t="n">
        <v>46297</v>
      </c>
      <c r="F320" t="inlineStr">
        <is>
          <t>NORRBOTTENS LÄN</t>
        </is>
      </c>
      <c r="G320" t="inlineStr">
        <is>
          <t>BODEN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45616-2025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46297</v>
      </c>
      <c r="F321" t="inlineStr">
        <is>
          <t>NORRBOTTENS LÄN</t>
        </is>
      </c>
      <c r="G321" t="inlineStr">
        <is>
          <t>BODEN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46297</v>
      </c>
      <c r="F322" t="inlineStr">
        <is>
          <t>NORRBOTTENS LÄN</t>
        </is>
      </c>
      <c r="G322" t="inlineStr">
        <is>
          <t>BODEN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46297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56163-2022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46297</v>
      </c>
      <c r="F324" t="inlineStr">
        <is>
          <t>NORRBOTTENS LÄN</t>
        </is>
      </c>
      <c r="G324" t="inlineStr">
        <is>
          <t>BODEN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58373-2022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46297</v>
      </c>
      <c r="F325" t="inlineStr">
        <is>
          <t>NORRBOTTENS LÄN</t>
        </is>
      </c>
      <c r="G325" t="inlineStr">
        <is>
          <t>BODEN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45969-2025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45924</v>
      </c>
      <c r="E326" s="1" t="n">
        <v>46297</v>
      </c>
      <c r="F326" t="inlineStr">
        <is>
          <t>NORRBOTTENS LÄN</t>
        </is>
      </c>
      <c r="G326" t="inlineStr">
        <is>
          <t>BODEN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46297</v>
      </c>
      <c r="F327" t="inlineStr">
        <is>
          <t>NORRBOTTENS LÄN</t>
        </is>
      </c>
      <c r="G327" t="inlineStr">
        <is>
          <t>BODEN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46297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46585-2025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46297</v>
      </c>
      <c r="F329" t="inlineStr">
        <is>
          <t>NORRBOTTENS LÄN</t>
        </is>
      </c>
      <c r="G329" t="inlineStr">
        <is>
          <t>BODEN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46297</v>
      </c>
      <c r="F330" t="inlineStr">
        <is>
          <t>NORRBOTTENS LÄN</t>
        </is>
      </c>
      <c r="G330" t="inlineStr">
        <is>
          <t>BODEN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68565-2021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44529</v>
      </c>
      <c r="E331" s="1" t="n">
        <v>46297</v>
      </c>
      <c r="F331" t="inlineStr">
        <is>
          <t>NORRBOTTENS LÄN</t>
        </is>
      </c>
      <c r="G331" t="inlineStr">
        <is>
          <t>BODEN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46297</v>
      </c>
      <c r="F332" t="inlineStr">
        <is>
          <t>NORRBOTTENS LÄN</t>
        </is>
      </c>
      <c r="G332" t="inlineStr">
        <is>
          <t>BODEN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46297</v>
      </c>
      <c r="F333" t="inlineStr">
        <is>
          <t>NORRBOTTENS LÄN</t>
        </is>
      </c>
      <c r="G333" t="inlineStr">
        <is>
          <t>BODEN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46297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46297</v>
      </c>
      <c r="F335" t="inlineStr">
        <is>
          <t>NORRBOTTENS LÄN</t>
        </is>
      </c>
      <c r="G335" t="inlineStr">
        <is>
          <t>BODEN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45590</v>
      </c>
      <c r="E336" s="1" t="n">
        <v>46297</v>
      </c>
      <c r="F336" t="inlineStr">
        <is>
          <t>NORRBOTTENS LÄN</t>
        </is>
      </c>
      <c r="G336" t="inlineStr">
        <is>
          <t>BODEN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46297</v>
      </c>
      <c r="F337" t="inlineStr">
        <is>
          <t>NORRBOTTENS LÄN</t>
        </is>
      </c>
      <c r="G337" t="inlineStr">
        <is>
          <t>BODEN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45930</v>
      </c>
      <c r="E338" s="1" t="n">
        <v>46297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46297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46297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45608</v>
      </c>
      <c r="E341" s="1" t="n">
        <v>46297</v>
      </c>
      <c r="F341" t="inlineStr">
        <is>
          <t>NORRBOTTENS LÄN</t>
        </is>
      </c>
      <c r="G341" t="inlineStr">
        <is>
          <t>BODEN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44881</v>
      </c>
      <c r="E342" s="1" t="n">
        <v>46297</v>
      </c>
      <c r="F342" t="inlineStr">
        <is>
          <t>NORRBOTTENS LÄN</t>
        </is>
      </c>
      <c r="G342" t="inlineStr">
        <is>
          <t>BODEN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46297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10694-2026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46297</v>
      </c>
      <c r="F344" t="inlineStr">
        <is>
          <t>NORRBOTTENS LÄN</t>
        </is>
      </c>
      <c r="G344" t="inlineStr">
        <is>
          <t>BODEN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46297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46297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Aktiebolag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45750</v>
      </c>
      <c r="E347" s="1" t="n">
        <v>46297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Aktiebolag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46297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45906</v>
      </c>
      <c r="E349" s="1" t="n">
        <v>46297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45132</v>
      </c>
      <c r="E350" s="1" t="n">
        <v>46297</v>
      </c>
      <c r="F350" t="inlineStr">
        <is>
          <t>NORRBOTTENS LÄN</t>
        </is>
      </c>
      <c r="G350" t="inlineStr">
        <is>
          <t>BODEN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46297</v>
      </c>
      <c r="F351" t="inlineStr">
        <is>
          <t>NORRBOTTENS LÄN</t>
        </is>
      </c>
      <c r="G351" t="inlineStr">
        <is>
          <t>BODEN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46297</v>
      </c>
      <c r="F352" t="inlineStr">
        <is>
          <t>NORRBOTTENS LÄN</t>
        </is>
      </c>
      <c r="G352" t="inlineStr">
        <is>
          <t>BODEN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46297</v>
      </c>
      <c r="F353" t="inlineStr">
        <is>
          <t>NORRBOTTENS LÄN</t>
        </is>
      </c>
      <c r="G353" t="inlineStr">
        <is>
          <t>BODEN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46297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46297</v>
      </c>
      <c r="F355" t="inlineStr">
        <is>
          <t>NORRBOTTENS LÄN</t>
        </is>
      </c>
      <c r="G355" t="inlineStr">
        <is>
          <t>BODEN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46297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48091-2025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45933</v>
      </c>
      <c r="E357" s="1" t="n">
        <v>46297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11569-2026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46297</v>
      </c>
      <c r="F358" t="inlineStr">
        <is>
          <t>NORRBOTTENS LÄN</t>
        </is>
      </c>
      <c r="G358" t="inlineStr">
        <is>
          <t>BODEN</t>
        </is>
      </c>
      <c r="I358" t="n">
        <v>9.199999999999999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46297</v>
      </c>
      <c r="F359" t="inlineStr">
        <is>
          <t>NORRBOTTENS LÄN</t>
        </is>
      </c>
      <c r="G359" t="inlineStr">
        <is>
          <t>BODEN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46086</v>
      </c>
      <c r="E360" s="1" t="n">
        <v>46297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46297</v>
      </c>
      <c r="F361" t="inlineStr">
        <is>
          <t>NORRBOTTENS LÄN</t>
        </is>
      </c>
      <c r="G361" t="inlineStr">
        <is>
          <t>BODEN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46297</v>
      </c>
      <c r="F362" t="inlineStr">
        <is>
          <t>NORRBOTTENS LÄN</t>
        </is>
      </c>
      <c r="G362" t="inlineStr">
        <is>
          <t>BODEN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46297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46297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46297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8170-2025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45708</v>
      </c>
      <c r="E366" s="1" t="n">
        <v>46297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46297</v>
      </c>
      <c r="F367" t="inlineStr">
        <is>
          <t>NORRBOTTENS LÄN</t>
        </is>
      </c>
      <c r="G367" t="inlineStr">
        <is>
          <t>BODEN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45653</v>
      </c>
      <c r="E368" s="1" t="n">
        <v>46297</v>
      </c>
      <c r="F368" t="inlineStr">
        <is>
          <t>NORRBOTTENS LÄN</t>
        </is>
      </c>
      <c r="G368" t="inlineStr">
        <is>
          <t>BODEN</t>
        </is>
      </c>
      <c r="I368" t="n">
        <v>47.3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46297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46297</v>
      </c>
      <c r="F370" t="inlineStr">
        <is>
          <t>NORRBOTTENS LÄN</t>
        </is>
      </c>
      <c r="G370" t="inlineStr">
        <is>
          <t>BODEN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46297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46297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46297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46297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46297</v>
      </c>
      <c r="F375" t="inlineStr">
        <is>
          <t>NORRBOTTENS LÄN</t>
        </is>
      </c>
      <c r="G375" t="inlineStr">
        <is>
          <t>BODEN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45944</v>
      </c>
      <c r="E376" s="1" t="n">
        <v>46297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46297</v>
      </c>
      <c r="F377" t="inlineStr">
        <is>
          <t>NORRBOTTENS LÄN</t>
        </is>
      </c>
      <c r="G377" t="inlineStr">
        <is>
          <t>BODEN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45546</v>
      </c>
      <c r="E378" s="1" t="n">
        <v>46297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45464</v>
      </c>
      <c r="E379" s="1" t="n">
        <v>46297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47424-2024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45587</v>
      </c>
      <c r="E380" s="1" t="n">
        <v>46297</v>
      </c>
      <c r="F380" t="inlineStr">
        <is>
          <t>NORRBOTTENS LÄN</t>
        </is>
      </c>
      <c r="G380" t="inlineStr">
        <is>
          <t>BODEN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46297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46297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46297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56474-2023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46297</v>
      </c>
      <c r="F384" t="inlineStr">
        <is>
          <t>NORRBOTTENS LÄN</t>
        </is>
      </c>
      <c r="G384" t="inlineStr">
        <is>
          <t>BODEN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45922</v>
      </c>
      <c r="E385" s="1" t="n">
        <v>46297</v>
      </c>
      <c r="F385" t="inlineStr">
        <is>
          <t>NORRBOTTENS LÄN</t>
        </is>
      </c>
      <c r="G385" t="inlineStr">
        <is>
          <t>BODEN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46297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51460-2025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45950</v>
      </c>
      <c r="E387" s="1" t="n">
        <v>46297</v>
      </c>
      <c r="F387" t="inlineStr">
        <is>
          <t>NORRBOTTENS LÄN</t>
        </is>
      </c>
      <c r="G387" t="inlineStr">
        <is>
          <t>BODEN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45649</v>
      </c>
      <c r="E388" s="1" t="n">
        <v>46297</v>
      </c>
      <c r="F388" t="inlineStr">
        <is>
          <t>NORRBOTTENS LÄN</t>
        </is>
      </c>
      <c r="G388" t="inlineStr">
        <is>
          <t>BODEN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45649</v>
      </c>
      <c r="E389" s="1" t="n">
        <v>46297</v>
      </c>
      <c r="F389" t="inlineStr">
        <is>
          <t>NORRBOTTENS LÄN</t>
        </is>
      </c>
      <c r="G389" t="inlineStr">
        <is>
          <t>BODEN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14245-2026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46099</v>
      </c>
      <c r="E390" s="1" t="n">
        <v>46297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61031-2024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46297</v>
      </c>
      <c r="F391" t="inlineStr">
        <is>
          <t>NORRBOTTENS LÄN</t>
        </is>
      </c>
      <c r="G391" t="inlineStr">
        <is>
          <t>BODEN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19564-2024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46297</v>
      </c>
      <c r="F392" t="inlineStr">
        <is>
          <t>NORRBOTTENS LÄN</t>
        </is>
      </c>
      <c r="G392" t="inlineStr">
        <is>
          <t>BODEN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45947</v>
      </c>
      <c r="E393" s="1" t="n">
        <v>46297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45761</v>
      </c>
      <c r="E394" s="1" t="n">
        <v>46297</v>
      </c>
      <c r="F394" t="inlineStr">
        <is>
          <t>NORRBOTTENS LÄN</t>
        </is>
      </c>
      <c r="G394" t="inlineStr">
        <is>
          <t>BODEN</t>
        </is>
      </c>
      <c r="H394" t="inlineStr">
        <is>
          <t>Övriga statliga verk och myndigheter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59331-2021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44490</v>
      </c>
      <c r="E395" s="1" t="n">
        <v>46297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24400-2022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44726</v>
      </c>
      <c r="E396" s="1" t="n">
        <v>46297</v>
      </c>
      <c r="F396" t="inlineStr">
        <is>
          <t>NORRBOTTENS LÄN</t>
        </is>
      </c>
      <c r="G396" t="inlineStr">
        <is>
          <t>BODEN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46297</v>
      </c>
      <c r="F397" t="inlineStr">
        <is>
          <t>NORRBOTTENS LÄN</t>
        </is>
      </c>
      <c r="G397" t="inlineStr">
        <is>
          <t>BODEN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46297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46297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51525-2025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45950</v>
      </c>
      <c r="E400" s="1" t="n">
        <v>46297</v>
      </c>
      <c r="F400" t="inlineStr">
        <is>
          <t>NORRBOTTENS LÄN</t>
        </is>
      </c>
      <c r="G400" t="inlineStr">
        <is>
          <t>BODEN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46100</v>
      </c>
      <c r="E401" s="1" t="n">
        <v>46297</v>
      </c>
      <c r="F401" t="inlineStr">
        <is>
          <t>NORRBOTTENS LÄN</t>
        </is>
      </c>
      <c r="G401" t="inlineStr">
        <is>
          <t>BODEN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46297</v>
      </c>
      <c r="F402" t="inlineStr">
        <is>
          <t>NORRBOTTENS LÄN</t>
        </is>
      </c>
      <c r="G402" t="inlineStr">
        <is>
          <t>BODEN</t>
        </is>
      </c>
      <c r="H402" t="inlineStr">
        <is>
          <t>Övriga statliga verk och myndigheter</t>
        </is>
      </c>
      <c r="I402" t="n">
        <v>15.8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45548</v>
      </c>
      <c r="E403" s="1" t="n">
        <v>46297</v>
      </c>
      <c r="F403" t="inlineStr">
        <is>
          <t>NORRBOTTENS LÄN</t>
        </is>
      </c>
      <c r="G403" t="inlineStr">
        <is>
          <t>BODEN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46297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46297</v>
      </c>
      <c r="F405" t="inlineStr">
        <is>
          <t>NORRBOTTENS LÄN</t>
        </is>
      </c>
      <c r="G405" t="inlineStr">
        <is>
          <t>BODEN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46297</v>
      </c>
      <c r="F406" t="inlineStr">
        <is>
          <t>NORRBOTTENS LÄN</t>
        </is>
      </c>
      <c r="G406" t="inlineStr">
        <is>
          <t>BODEN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45955</v>
      </c>
      <c r="E407" s="1" t="n">
        <v>46297</v>
      </c>
      <c r="F407" t="inlineStr">
        <is>
          <t>NORRBOTTENS LÄN</t>
        </is>
      </c>
      <c r="G407" t="inlineStr">
        <is>
          <t>BODEN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45955</v>
      </c>
      <c r="E408" s="1" t="n">
        <v>46297</v>
      </c>
      <c r="F408" t="inlineStr">
        <is>
          <t>NORRBOTTENS LÄN</t>
        </is>
      </c>
      <c r="G408" t="inlineStr">
        <is>
          <t>BODEN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46297</v>
      </c>
      <c r="F409" t="inlineStr">
        <is>
          <t>NORRBOTTENS LÄN</t>
        </is>
      </c>
      <c r="G409" t="inlineStr">
        <is>
          <t>BODEN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46104</v>
      </c>
      <c r="E410" s="1" t="n">
        <v>46297</v>
      </c>
      <c r="F410" t="inlineStr">
        <is>
          <t>NORRBOTTENS LÄN</t>
        </is>
      </c>
      <c r="G410" t="inlineStr">
        <is>
          <t>BODEN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53623-2025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45960</v>
      </c>
      <c r="E411" s="1" t="n">
        <v>46297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11.7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45961</v>
      </c>
      <c r="E412" s="1" t="n">
        <v>46297</v>
      </c>
      <c r="F412" t="inlineStr">
        <is>
          <t>NORRBOTTENS LÄN</t>
        </is>
      </c>
      <c r="G412" t="inlineStr">
        <is>
          <t>BODEN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46297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45813</v>
      </c>
      <c r="E414" s="1" t="n">
        <v>46297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13.9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46297</v>
      </c>
      <c r="F415" t="inlineStr">
        <is>
          <t>NORRBOTTENS LÄN</t>
        </is>
      </c>
      <c r="G415" t="inlineStr">
        <is>
          <t>BODEN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46297</v>
      </c>
      <c r="F416" t="inlineStr">
        <is>
          <t>NORRBOTTENS LÄN</t>
        </is>
      </c>
      <c r="G416" t="inlineStr">
        <is>
          <t>BODEN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45764</v>
      </c>
      <c r="E417" s="1" t="n">
        <v>46297</v>
      </c>
      <c r="F417" t="inlineStr">
        <is>
          <t>NORRBOTTENS LÄN</t>
        </is>
      </c>
      <c r="G417" t="inlineStr">
        <is>
          <t>BODEN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54417-2025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45965</v>
      </c>
      <c r="E418" s="1" t="n">
        <v>46297</v>
      </c>
      <c r="F418" t="inlineStr">
        <is>
          <t>NORRBOTTENS LÄN</t>
        </is>
      </c>
      <c r="G418" t="inlineStr">
        <is>
          <t>BODEN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46297</v>
      </c>
      <c r="F419" t="inlineStr">
        <is>
          <t>NORRBOTTENS LÄN</t>
        </is>
      </c>
      <c r="G419" t="inlineStr">
        <is>
          <t>BODEN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46297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54834-2025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45966</v>
      </c>
      <c r="E421" s="1" t="n">
        <v>46297</v>
      </c>
      <c r="F421" t="inlineStr">
        <is>
          <t>NORRBOTTENS LÄN</t>
        </is>
      </c>
      <c r="G421" t="inlineStr">
        <is>
          <t>BODEN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46297</v>
      </c>
      <c r="F422" t="inlineStr">
        <is>
          <t>NORRBOTTENS LÄN</t>
        </is>
      </c>
      <c r="G422" t="inlineStr">
        <is>
          <t>BODEN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54416-2025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46297</v>
      </c>
      <c r="F423" t="inlineStr">
        <is>
          <t>NORRBOTTENS LÄN</t>
        </is>
      </c>
      <c r="G423" t="inlineStr">
        <is>
          <t>BODEN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44657</v>
      </c>
      <c r="E424" s="1" t="n">
        <v>46297</v>
      </c>
      <c r="F424" t="inlineStr">
        <is>
          <t>NORRBOTTENS LÄN</t>
        </is>
      </c>
      <c r="G424" t="inlineStr">
        <is>
          <t>BODEN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15000-2022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44657</v>
      </c>
      <c r="E425" s="1" t="n">
        <v>46297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11647-2023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44994</v>
      </c>
      <c r="E426" s="1" t="n">
        <v>46297</v>
      </c>
      <c r="F426" t="inlineStr">
        <is>
          <t>NORRBOTTENS LÄN</t>
        </is>
      </c>
      <c r="G426" t="inlineStr">
        <is>
          <t>BODEN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44673</v>
      </c>
      <c r="E427" s="1" t="n">
        <v>46297</v>
      </c>
      <c r="F427" t="inlineStr">
        <is>
          <t>NORRBOTTENS LÄN</t>
        </is>
      </c>
      <c r="G427" t="inlineStr">
        <is>
          <t>BODEN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46297</v>
      </c>
      <c r="F428" t="inlineStr">
        <is>
          <t>NORRBOTTENS LÄN</t>
        </is>
      </c>
      <c r="G428" t="inlineStr">
        <is>
          <t>BODEN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42196-2024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45562</v>
      </c>
      <c r="E429" s="1" t="n">
        <v>46297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19080-2025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45766</v>
      </c>
      <c r="E430" s="1" t="n">
        <v>46297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46297</v>
      </c>
      <c r="F431" t="inlineStr">
        <is>
          <t>NORRBOTTENS LÄN</t>
        </is>
      </c>
      <c r="G431" t="inlineStr">
        <is>
          <t>BODEN</t>
        </is>
      </c>
      <c r="H431" t="inlineStr">
        <is>
          <t>Naturvårdsverket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46297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46297</v>
      </c>
      <c r="F433" t="inlineStr">
        <is>
          <t>NORRBOTTENS LÄN</t>
        </is>
      </c>
      <c r="G433" t="inlineStr">
        <is>
          <t>BODEN</t>
        </is>
      </c>
      <c r="I433" t="n">
        <v>19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46297</v>
      </c>
      <c r="F434" t="inlineStr">
        <is>
          <t>NORRBOTTENS LÄN</t>
        </is>
      </c>
      <c r="G434" t="inlineStr">
        <is>
          <t>BODEN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45818</v>
      </c>
      <c r="E435" s="1" t="n">
        <v>46297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45818</v>
      </c>
      <c r="E436" s="1" t="n">
        <v>46297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45972</v>
      </c>
      <c r="E437" s="1" t="n">
        <v>46297</v>
      </c>
      <c r="F437" t="inlineStr">
        <is>
          <t>NORRBOTTENS LÄN</t>
        </is>
      </c>
      <c r="G437" t="inlineStr">
        <is>
          <t>BODEN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17909-2026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46297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46297</v>
      </c>
      <c r="F439" t="inlineStr">
        <is>
          <t>NORRBOTTENS LÄN</t>
        </is>
      </c>
      <c r="G439" t="inlineStr">
        <is>
          <t>BODEN</t>
        </is>
      </c>
      <c r="H439" t="inlineStr">
        <is>
          <t>Naturvårdsverket</t>
        </is>
      </c>
      <c r="I439" t="n">
        <v>9.800000000000001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46297</v>
      </c>
      <c r="F440" t="inlineStr">
        <is>
          <t>NORRBOTTENS LÄN</t>
        </is>
      </c>
      <c r="G440" t="inlineStr">
        <is>
          <t>BODEN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46297</v>
      </c>
      <c r="F441" t="inlineStr">
        <is>
          <t>NORRBOTTENS LÄN</t>
        </is>
      </c>
      <c r="G441" t="inlineStr">
        <is>
          <t>BODEN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19060-2024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45427</v>
      </c>
      <c r="E442" s="1" t="n">
        <v>46297</v>
      </c>
      <c r="F442" t="inlineStr">
        <is>
          <t>NORRBOTTENS LÄN</t>
        </is>
      </c>
      <c r="G442" t="inlineStr">
        <is>
          <t>BODEN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46297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56440-2025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46297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46297</v>
      </c>
      <c r="F445" t="inlineStr">
        <is>
          <t>NORRBOTTENS LÄN</t>
        </is>
      </c>
      <c r="G445" t="inlineStr">
        <is>
          <t>BODEN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46297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46297</v>
      </c>
      <c r="F447" t="inlineStr">
        <is>
          <t>NORRBOTTENS LÄN</t>
        </is>
      </c>
      <c r="G447" t="inlineStr">
        <is>
          <t>BODEN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44625-2024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46297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45481</v>
      </c>
      <c r="E449" s="1" t="n">
        <v>46297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46297</v>
      </c>
      <c r="F450" t="inlineStr">
        <is>
          <t>NORRBOTTENS LÄN</t>
        </is>
      </c>
      <c r="G450" t="inlineStr">
        <is>
          <t>BODEN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46297</v>
      </c>
      <c r="F451" t="inlineStr">
        <is>
          <t>NORRBOTTENS LÄN</t>
        </is>
      </c>
      <c r="G451" t="inlineStr">
        <is>
          <t>BODEN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46297</v>
      </c>
      <c r="F452" t="inlineStr">
        <is>
          <t>NORRBOTTENS LÄN</t>
        </is>
      </c>
      <c r="G452" t="inlineStr">
        <is>
          <t>BODEN</t>
        </is>
      </c>
      <c r="I452" t="n">
        <v>11.7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46297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46297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28270-2025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45818</v>
      </c>
      <c r="E455" s="1" t="n">
        <v>46297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46297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46297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46297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59029-2022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46297</v>
      </c>
      <c r="F459" t="inlineStr">
        <is>
          <t>NORRBOTTENS LÄN</t>
        </is>
      </c>
      <c r="G459" t="inlineStr">
        <is>
          <t>BODEN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46297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46297</v>
      </c>
      <c r="F461" t="inlineStr">
        <is>
          <t>NORRBOTTENS LÄN</t>
        </is>
      </c>
      <c r="G461" t="inlineStr">
        <is>
          <t>BODEN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46297</v>
      </c>
      <c r="F462" t="inlineStr">
        <is>
          <t>NORRBOTTENS LÄN</t>
        </is>
      </c>
      <c r="G462" t="inlineStr">
        <is>
          <t>BODEN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46297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51193-2023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45212</v>
      </c>
      <c r="E464" s="1" t="n">
        <v>46297</v>
      </c>
      <c r="F464" t="inlineStr">
        <is>
          <t>NORRBOTTENS LÄN</t>
        </is>
      </c>
      <c r="G464" t="inlineStr">
        <is>
          <t>BODEN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46297</v>
      </c>
      <c r="F465" t="inlineStr">
        <is>
          <t>NORRBOTTENS LÄN</t>
        </is>
      </c>
      <c r="G465" t="inlineStr">
        <is>
          <t>BODEN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46297</v>
      </c>
      <c r="F466" t="inlineStr">
        <is>
          <t>NORRBOTTENS LÄN</t>
        </is>
      </c>
      <c r="G466" t="inlineStr">
        <is>
          <t>BODEN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46297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46297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44994</v>
      </c>
      <c r="E469" s="1" t="n">
        <v>46297</v>
      </c>
      <c r="F469" t="inlineStr">
        <is>
          <t>NORRBOTTENS LÄN</t>
        </is>
      </c>
      <c r="G469" t="inlineStr">
        <is>
          <t>BODEN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62589-2025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46297</v>
      </c>
      <c r="F470" t="inlineStr">
        <is>
          <t>NORRBOTTENS LÄN</t>
        </is>
      </c>
      <c r="G470" t="inlineStr">
        <is>
          <t>BODEN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45195</v>
      </c>
      <c r="E471" s="1" t="n">
        <v>46297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46297</v>
      </c>
      <c r="F472" t="inlineStr">
        <is>
          <t>NORRBOTTENS LÄN</t>
        </is>
      </c>
      <c r="G472" t="inlineStr">
        <is>
          <t>BODEN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46297</v>
      </c>
      <c r="F473" t="inlineStr">
        <is>
          <t>NORRBOTTENS LÄN</t>
        </is>
      </c>
      <c r="G473" t="inlineStr">
        <is>
          <t>BODEN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45994</v>
      </c>
      <c r="E474" s="1" t="n">
        <v>46297</v>
      </c>
      <c r="F474" t="inlineStr">
        <is>
          <t>NORRBOTTENS LÄN</t>
        </is>
      </c>
      <c r="G474" t="inlineStr">
        <is>
          <t>BODEN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44796</v>
      </c>
      <c r="E475" s="1" t="n">
        <v>46297</v>
      </c>
      <c r="F475" t="inlineStr">
        <is>
          <t>NORRBOTTENS LÄN</t>
        </is>
      </c>
      <c r="G475" t="inlineStr">
        <is>
          <t>BODEN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46297</v>
      </c>
      <c r="F476" t="inlineStr">
        <is>
          <t>NORRBOTTENS LÄN</t>
        </is>
      </c>
      <c r="G476" t="inlineStr">
        <is>
          <t>BODEN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46297</v>
      </c>
      <c r="F477" t="inlineStr">
        <is>
          <t>NORRBOTTENS LÄN</t>
        </is>
      </c>
      <c r="G477" t="inlineStr">
        <is>
          <t>BODEN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46297</v>
      </c>
      <c r="F478" t="inlineStr">
        <is>
          <t>NORRBOTTENS LÄN</t>
        </is>
      </c>
      <c r="G478" t="inlineStr">
        <is>
          <t>BODEN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60395-2025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46297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44484</v>
      </c>
      <c r="E480" s="1" t="n">
        <v>46297</v>
      </c>
      <c r="F480" t="inlineStr">
        <is>
          <t>NORRBOTTENS LÄN</t>
        </is>
      </c>
      <c r="G480" t="inlineStr">
        <is>
          <t>BODEN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60423-2025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46297</v>
      </c>
      <c r="F481" t="inlineStr">
        <is>
          <t>NORRBOTTENS LÄN</t>
        </is>
      </c>
      <c r="G481" t="inlineStr">
        <is>
          <t>BODEN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46297</v>
      </c>
      <c r="F482" t="inlineStr">
        <is>
          <t>NORRBOTTENS LÄN</t>
        </is>
      </c>
      <c r="G482" t="inlineStr">
        <is>
          <t>BODEN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45996</v>
      </c>
      <c r="E483" s="1" t="n">
        <v>46297</v>
      </c>
      <c r="F483" t="inlineStr">
        <is>
          <t>NORRBOTTENS LÄN</t>
        </is>
      </c>
      <c r="G483" t="inlineStr">
        <is>
          <t>BODEN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46297</v>
      </c>
      <c r="F484" t="inlineStr">
        <is>
          <t>NORRBOTTENS LÄN</t>
        </is>
      </c>
      <c r="G484" t="inlineStr">
        <is>
          <t>BODEN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45085</v>
      </c>
      <c r="E485" s="1" t="n">
        <v>46297</v>
      </c>
      <c r="F485" t="inlineStr">
        <is>
          <t>NORRBOTTENS LÄN</t>
        </is>
      </c>
      <c r="G485" t="inlineStr">
        <is>
          <t>BODEN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45906</v>
      </c>
      <c r="E486" s="1" t="n">
        <v>46297</v>
      </c>
      <c r="F486" t="inlineStr">
        <is>
          <t>NORRBOTTENS LÄN</t>
        </is>
      </c>
      <c r="G486" t="inlineStr">
        <is>
          <t>BODEN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46297</v>
      </c>
      <c r="F487" t="inlineStr">
        <is>
          <t>NORRBOTTENS LÄN</t>
        </is>
      </c>
      <c r="G487" t="inlineStr">
        <is>
          <t>BODEN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45935</v>
      </c>
      <c r="E488" s="1" t="n">
        <v>46297</v>
      </c>
      <c r="F488" t="inlineStr">
        <is>
          <t>NORRBOTTENS LÄN</t>
        </is>
      </c>
      <c r="G488" t="inlineStr">
        <is>
          <t>BODEN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46297</v>
      </c>
      <c r="F489" t="inlineStr">
        <is>
          <t>NORRBOTTENS LÄN</t>
        </is>
      </c>
      <c r="G489" t="inlineStr">
        <is>
          <t>BODEN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46297</v>
      </c>
      <c r="F490" t="inlineStr">
        <is>
          <t>NORRBOTTENS LÄN</t>
        </is>
      </c>
      <c r="G490" t="inlineStr">
        <is>
          <t>BODEN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46297</v>
      </c>
      <c r="F491" t="inlineStr">
        <is>
          <t>NORRBOTTENS LÄN</t>
        </is>
      </c>
      <c r="G491" t="inlineStr">
        <is>
          <t>BODEN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45826</v>
      </c>
      <c r="E492" s="1" t="n">
        <v>46297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61750-2024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45649</v>
      </c>
      <c r="E493" s="1" t="n">
        <v>46297</v>
      </c>
      <c r="F493" t="inlineStr">
        <is>
          <t>NORRBOTTENS LÄN</t>
        </is>
      </c>
      <c r="G493" t="inlineStr">
        <is>
          <t>BODEN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46001</v>
      </c>
      <c r="E494" s="1" t="n">
        <v>46297</v>
      </c>
      <c r="F494" t="inlineStr">
        <is>
          <t>NORRBOTTENS LÄN</t>
        </is>
      </c>
      <c r="G494" t="inlineStr">
        <is>
          <t>BODEN</t>
        </is>
      </c>
      <c r="I494" t="n">
        <v>17.1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47024-2024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45586</v>
      </c>
      <c r="E495" s="1" t="n">
        <v>46297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45149</v>
      </c>
      <c r="E496" s="1" t="n">
        <v>46297</v>
      </c>
      <c r="F496" t="inlineStr">
        <is>
          <t>NORRBOTTENS LÄN</t>
        </is>
      </c>
      <c r="G496" t="inlineStr">
        <is>
          <t>BODEN</t>
        </is>
      </c>
      <c r="I496" t="n">
        <v>16.1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61560-2025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46297</v>
      </c>
      <c r="F497" t="inlineStr">
        <is>
          <t>NORRBOTTENS LÄN</t>
        </is>
      </c>
      <c r="G497" t="inlineStr">
        <is>
          <t>BODEN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46297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46297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20069-2026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46136</v>
      </c>
      <c r="E500" s="1" t="n">
        <v>46297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45944</v>
      </c>
      <c r="E501" s="1" t="n">
        <v>46297</v>
      </c>
      <c r="F501" t="inlineStr">
        <is>
          <t>NORRBOTTENS LÄN</t>
        </is>
      </c>
      <c r="G501" t="inlineStr">
        <is>
          <t>BODEN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45832</v>
      </c>
      <c r="E502" s="1" t="n">
        <v>46297</v>
      </c>
      <c r="F502" t="inlineStr">
        <is>
          <t>NORRBOTTENS LÄN</t>
        </is>
      </c>
      <c r="G502" t="inlineStr">
        <is>
          <t>BODEN</t>
        </is>
      </c>
      <c r="I502" t="n">
        <v>8.9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48107-2022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44856</v>
      </c>
      <c r="E503" s="1" t="n">
        <v>46297</v>
      </c>
      <c r="F503" t="inlineStr">
        <is>
          <t>NORRBOTTENS LÄN</t>
        </is>
      </c>
      <c r="G503" t="inlineStr">
        <is>
          <t>BODEN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46297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28745-2023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45103</v>
      </c>
      <c r="E505" s="1" t="n">
        <v>46297</v>
      </c>
      <c r="F505" t="inlineStr">
        <is>
          <t>NORRBOTTENS LÄN</t>
        </is>
      </c>
      <c r="G505" t="inlineStr">
        <is>
          <t>BODEN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40624-2022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44823</v>
      </c>
      <c r="E506" s="1" t="n">
        <v>46297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61949-2025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46297</v>
      </c>
      <c r="F507" t="inlineStr">
        <is>
          <t>NORRBOTTENS LÄN</t>
        </is>
      </c>
      <c r="G507" t="inlineStr">
        <is>
          <t>BODEN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718-2022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44568</v>
      </c>
      <c r="E508" s="1" t="n">
        <v>46297</v>
      </c>
      <c r="F508" t="inlineStr">
        <is>
          <t>NORRBOTTENS LÄN</t>
        </is>
      </c>
      <c r="G508" t="inlineStr">
        <is>
          <t>BODEN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46297</v>
      </c>
      <c r="F509" t="inlineStr">
        <is>
          <t>NORRBOTTENS LÄN</t>
        </is>
      </c>
      <c r="G509" t="inlineStr">
        <is>
          <t>BODEN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45667</v>
      </c>
      <c r="E510" s="1" t="n">
        <v>46297</v>
      </c>
      <c r="F510" t="inlineStr">
        <is>
          <t>NORRBOTTENS LÄN</t>
        </is>
      </c>
      <c r="G510" t="inlineStr">
        <is>
          <t>BODEN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32775-2025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45839</v>
      </c>
      <c r="E511" s="1" t="n">
        <v>46297</v>
      </c>
      <c r="F511" t="inlineStr">
        <is>
          <t>NORRBOTTENS LÄN</t>
        </is>
      </c>
      <c r="G511" t="inlineStr">
        <is>
          <t>BODEN</t>
        </is>
      </c>
      <c r="I511" t="n">
        <v>13.6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13714-2022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44648</v>
      </c>
      <c r="E512" s="1" t="n">
        <v>46297</v>
      </c>
      <c r="F512" t="inlineStr">
        <is>
          <t>NORRBOTTENS LÄN</t>
        </is>
      </c>
      <c r="G512" t="inlineStr">
        <is>
          <t>BODEN</t>
        </is>
      </c>
      <c r="H512" t="inlineStr">
        <is>
          <t>Sveaskog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63329-2025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46297</v>
      </c>
      <c r="F513" t="inlineStr">
        <is>
          <t>NORRBOTTENS LÄN</t>
        </is>
      </c>
      <c r="G513" t="inlineStr">
        <is>
          <t>BODEN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46297</v>
      </c>
      <c r="F514" t="inlineStr">
        <is>
          <t>NORRBOTTENS LÄN</t>
        </is>
      </c>
      <c r="G514" t="inlineStr">
        <is>
          <t>BODEN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46297</v>
      </c>
      <c r="F515" t="inlineStr">
        <is>
          <t>NORRBOTTENS LÄN</t>
        </is>
      </c>
      <c r="G515" t="inlineStr">
        <is>
          <t>BODEN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45833</v>
      </c>
      <c r="E516" s="1" t="n">
        <v>46297</v>
      </c>
      <c r="F516" t="inlineStr">
        <is>
          <t>NORRBOTTENS LÄN</t>
        </is>
      </c>
      <c r="G516" t="inlineStr">
        <is>
          <t>BODEN</t>
        </is>
      </c>
      <c r="H516" t="inlineStr">
        <is>
          <t>Övriga Aktiebolag</t>
        </is>
      </c>
      <c r="I516" t="n">
        <v>9.800000000000001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46297</v>
      </c>
      <c r="F517" t="inlineStr">
        <is>
          <t>NORRBOTTENS LÄN</t>
        </is>
      </c>
      <c r="G517" t="inlineStr">
        <is>
          <t>BODEN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46297</v>
      </c>
      <c r="F518" t="inlineStr">
        <is>
          <t>NORRBOTTENS LÄN</t>
        </is>
      </c>
      <c r="G518" t="inlineStr">
        <is>
          <t>BODEN</t>
        </is>
      </c>
      <c r="H518" t="inlineStr">
        <is>
          <t>Övriga Aktiebolag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46297</v>
      </c>
      <c r="F519" t="inlineStr">
        <is>
          <t>NORRBOTTENS LÄN</t>
        </is>
      </c>
      <c r="G519" t="inlineStr">
        <is>
          <t>BODEN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45835</v>
      </c>
      <c r="E520" s="1" t="n">
        <v>46297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45860</v>
      </c>
      <c r="E521" s="1" t="n">
        <v>46297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45499</v>
      </c>
      <c r="E522" s="1" t="n">
        <v>46297</v>
      </c>
      <c r="F522" t="inlineStr">
        <is>
          <t>NORRBOTTENS LÄN</t>
        </is>
      </c>
      <c r="G522" t="inlineStr">
        <is>
          <t>BODEN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33276-2025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45840</v>
      </c>
      <c r="E523" s="1" t="n">
        <v>46297</v>
      </c>
      <c r="F523" t="inlineStr">
        <is>
          <t>NORRBOTTENS LÄN</t>
        </is>
      </c>
      <c r="G523" t="inlineStr">
        <is>
          <t>BODEN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45747</v>
      </c>
      <c r="E524" s="1" t="n">
        <v>46297</v>
      </c>
      <c r="F524" t="inlineStr">
        <is>
          <t>NORRBOTTENS LÄN</t>
        </is>
      </c>
      <c r="G524" t="inlineStr">
        <is>
          <t>BODEN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33130-2025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45840</v>
      </c>
      <c r="E525" s="1" t="n">
        <v>46297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45818</v>
      </c>
      <c r="E526" s="1" t="n">
        <v>46297</v>
      </c>
      <c r="F526" t="inlineStr">
        <is>
          <t>NORRBOTTENS LÄN</t>
        </is>
      </c>
      <c r="G526" t="inlineStr">
        <is>
          <t>BODEN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45446-2023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45194</v>
      </c>
      <c r="E527" s="1" t="n">
        <v>46297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33981-2025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45843</v>
      </c>
      <c r="E528" s="1" t="n">
        <v>46297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60776-2025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46297</v>
      </c>
      <c r="F529" t="inlineStr">
        <is>
          <t>NORRBOTTENS LÄN</t>
        </is>
      </c>
      <c r="G529" t="inlineStr">
        <is>
          <t>BODEN</t>
        </is>
      </c>
      <c r="I529" t="n">
        <v>9.6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61743-2024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45649</v>
      </c>
      <c r="E530" s="1" t="n">
        <v>46297</v>
      </c>
      <c r="F530" t="inlineStr">
        <is>
          <t>NORRBOTTENS LÄN</t>
        </is>
      </c>
      <c r="G530" t="inlineStr">
        <is>
          <t>BODEN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51280-2024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45603</v>
      </c>
      <c r="E531" s="1" t="n">
        <v>46297</v>
      </c>
      <c r="F531" t="inlineStr">
        <is>
          <t>NORRBOTTENS LÄN</t>
        </is>
      </c>
      <c r="G531" t="inlineStr">
        <is>
          <t>BODEN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8571-2025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46297</v>
      </c>
      <c r="F532" t="inlineStr">
        <is>
          <t>NORRBOTTENS LÄN</t>
        </is>
      </c>
      <c r="G532" t="inlineStr">
        <is>
          <t>BODEN</t>
        </is>
      </c>
      <c r="H532" t="inlineStr">
        <is>
          <t>Övriga Aktiebolag</t>
        </is>
      </c>
      <c r="I532" t="n">
        <v>14.3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18871-2025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45764</v>
      </c>
      <c r="E533" s="1" t="n">
        <v>46297</v>
      </c>
      <c r="F533" t="inlineStr">
        <is>
          <t>NORRBOTTENS LÄN</t>
        </is>
      </c>
      <c r="G533" t="inlineStr">
        <is>
          <t>BODEN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46297</v>
      </c>
      <c r="F534" t="inlineStr">
        <is>
          <t>NORRBOTTENS LÄN</t>
        </is>
      </c>
      <c r="G534" t="inlineStr">
        <is>
          <t>BODEN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20260-2025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45773</v>
      </c>
      <c r="E535" s="1" t="n">
        <v>46297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61214-2024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46297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2601-2025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45674</v>
      </c>
      <c r="E537" s="1" t="n">
        <v>46297</v>
      </c>
      <c r="F537" t="inlineStr">
        <is>
          <t>NORRBOTTENS LÄN</t>
        </is>
      </c>
      <c r="G537" t="inlineStr">
        <is>
          <t>BODEN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49728-2024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45596</v>
      </c>
      <c r="E538" s="1" t="n">
        <v>46297</v>
      </c>
      <c r="F538" t="inlineStr">
        <is>
          <t>NORRBOTTENS LÄN</t>
        </is>
      </c>
      <c r="G538" t="inlineStr">
        <is>
          <t>BODEN</t>
        </is>
      </c>
      <c r="I538" t="n">
        <v>22.7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24058-2025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45796</v>
      </c>
      <c r="E539" s="1" t="n">
        <v>46297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45863</v>
      </c>
      <c r="E540" s="1" t="n">
        <v>46297</v>
      </c>
      <c r="F540" t="inlineStr">
        <is>
          <t>NORRBOTTENS LÄN</t>
        </is>
      </c>
      <c r="G540" t="inlineStr">
        <is>
          <t>BODEN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45838</v>
      </c>
      <c r="E541" s="1" t="n">
        <v>46297</v>
      </c>
      <c r="F541" t="inlineStr">
        <is>
          <t>NORRBOTTENS LÄN</t>
        </is>
      </c>
      <c r="G541" t="inlineStr">
        <is>
          <t>BODEN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46297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46297</v>
      </c>
      <c r="F543" t="inlineStr">
        <is>
          <t>NORRBOTTENS LÄN</t>
        </is>
      </c>
      <c r="G543" t="inlineStr">
        <is>
          <t>BODEN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45672</v>
      </c>
      <c r="E544" s="1" t="n">
        <v>46297</v>
      </c>
      <c r="F544" t="inlineStr">
        <is>
          <t>NORRBOTTENS LÄN</t>
        </is>
      </c>
      <c r="G544" t="inlineStr">
        <is>
          <t>BODEN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55080-2021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44474</v>
      </c>
      <c r="E545" s="1" t="n">
        <v>46297</v>
      </c>
      <c r="F545" t="inlineStr">
        <is>
          <t>NORRBOTTENS LÄN</t>
        </is>
      </c>
      <c r="G545" t="inlineStr">
        <is>
          <t>BODEN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45408</v>
      </c>
      <c r="E546" s="1" t="n">
        <v>46297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10730-2024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45369</v>
      </c>
      <c r="E547" s="1" t="n">
        <v>46297</v>
      </c>
      <c r="F547" t="inlineStr">
        <is>
          <t>NORRBOTTENS LÄN</t>
        </is>
      </c>
      <c r="G547" t="inlineStr">
        <is>
          <t>BODEN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46297</v>
      </c>
      <c r="F548" t="inlineStr">
        <is>
          <t>NORRBOTTENS LÄN</t>
        </is>
      </c>
      <c r="G548" t="inlineStr">
        <is>
          <t>BODEN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46297</v>
      </c>
      <c r="F549" t="inlineStr">
        <is>
          <t>NORRBOTTENS LÄN</t>
        </is>
      </c>
      <c r="G549" t="inlineStr">
        <is>
          <t>BODEN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36310-2025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45868</v>
      </c>
      <c r="E550" s="1" t="n">
        <v>46297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16020-2025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45748</v>
      </c>
      <c r="E551" s="1" t="n">
        <v>46297</v>
      </c>
      <c r="F551" t="inlineStr">
        <is>
          <t>NORRBOTTENS LÄN</t>
        </is>
      </c>
      <c r="G551" t="inlineStr">
        <is>
          <t>BODEN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67438-2021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44524</v>
      </c>
      <c r="E552" s="1" t="n">
        <v>46297</v>
      </c>
      <c r="F552" t="inlineStr">
        <is>
          <t>NORRBOTTENS LÄN</t>
        </is>
      </c>
      <c r="G552" t="inlineStr">
        <is>
          <t>BODEN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45761</v>
      </c>
      <c r="E553" s="1" t="n">
        <v>46297</v>
      </c>
      <c r="F553" t="inlineStr">
        <is>
          <t>NORRBOTTENS LÄN</t>
        </is>
      </c>
      <c r="G553" t="inlineStr">
        <is>
          <t>BODEN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54104-2022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44881</v>
      </c>
      <c r="E554" s="1" t="n">
        <v>46297</v>
      </c>
      <c r="F554" t="inlineStr">
        <is>
          <t>NORRBOTTENS LÄN</t>
        </is>
      </c>
      <c r="G554" t="inlineStr">
        <is>
          <t>BODEN</t>
        </is>
      </c>
      <c r="H554" t="inlineStr">
        <is>
          <t>Sveaskog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46297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58099-2023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45248</v>
      </c>
      <c r="E556" s="1" t="n">
        <v>46297</v>
      </c>
      <c r="F556" t="inlineStr">
        <is>
          <t>NORRBOTTENS LÄN</t>
        </is>
      </c>
      <c r="G556" t="inlineStr">
        <is>
          <t>BODEN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37653-2025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46297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45881</v>
      </c>
      <c r="E558" s="1" t="n">
        <v>46297</v>
      </c>
      <c r="F558" t="inlineStr">
        <is>
          <t>NORRBOTTENS LÄN</t>
        </is>
      </c>
      <c r="G558" t="inlineStr">
        <is>
          <t>BODEN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38286-2025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45882</v>
      </c>
      <c r="E559" s="1" t="n">
        <v>46297</v>
      </c>
      <c r="F559" t="inlineStr">
        <is>
          <t>NORRBOTTENS LÄN</t>
        </is>
      </c>
      <c r="G559" t="inlineStr">
        <is>
          <t>BODEN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45882</v>
      </c>
      <c r="E560" s="1" t="n">
        <v>46297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46297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49127-2023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45210</v>
      </c>
      <c r="E562" s="1" t="n">
        <v>46297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55540-2022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44887</v>
      </c>
      <c r="E563" s="1" t="n">
        <v>46297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467-2022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44565</v>
      </c>
      <c r="E564" s="1" t="n">
        <v>46297</v>
      </c>
      <c r="F564" t="inlineStr">
        <is>
          <t>NORRBOTTENS LÄN</t>
        </is>
      </c>
      <c r="G564" t="inlineStr">
        <is>
          <t>BODEN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46297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46297</v>
      </c>
      <c r="F566" t="inlineStr">
        <is>
          <t>NORRBOTTENS LÄN</t>
        </is>
      </c>
      <c r="G566" t="inlineStr">
        <is>
          <t>BODEN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40115-2025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45893</v>
      </c>
      <c r="E567" s="1" t="n">
        <v>46297</v>
      </c>
      <c r="F567" t="inlineStr">
        <is>
          <t>NORRBOTTENS LÄN</t>
        </is>
      </c>
      <c r="G567" t="inlineStr">
        <is>
          <t>BODEN</t>
        </is>
      </c>
      <c r="H567" t="inlineStr">
        <is>
          <t>Övriga statliga verk och myndigheter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46297</v>
      </c>
      <c r="F568" t="inlineStr">
        <is>
          <t>NORRBOTTENS LÄN</t>
        </is>
      </c>
      <c r="G568" t="inlineStr">
        <is>
          <t>BODEN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68591-2021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44529</v>
      </c>
      <c r="E569" s="1" t="n">
        <v>46297</v>
      </c>
      <c r="F569" t="inlineStr">
        <is>
          <t>NORRBOTTENS LÄN</t>
        </is>
      </c>
      <c r="G569" t="inlineStr">
        <is>
          <t>BODEN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45884</v>
      </c>
      <c r="E570" s="1" t="n">
        <v>46297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45446</v>
      </c>
      <c r="E571" s="1" t="n">
        <v>46297</v>
      </c>
      <c r="F571" t="inlineStr">
        <is>
          <t>NORRBOTTENS LÄN</t>
        </is>
      </c>
      <c r="G571" t="inlineStr">
        <is>
          <t>BODEN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22458-2023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45070</v>
      </c>
      <c r="E572" s="1" t="n">
        <v>46297</v>
      </c>
      <c r="F572" t="inlineStr">
        <is>
          <t>NORRBOTTENS LÄN</t>
        </is>
      </c>
      <c r="G572" t="inlineStr">
        <is>
          <t>BODEN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33511-2025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46297</v>
      </c>
      <c r="F573" t="inlineStr">
        <is>
          <t>NORRBOTTENS LÄN</t>
        </is>
      </c>
      <c r="G573" t="inlineStr">
        <is>
          <t>BODEN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46297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46297</v>
      </c>
      <c r="F575" t="inlineStr">
        <is>
          <t>NORRBOTTENS LÄN</t>
        </is>
      </c>
      <c r="G575" t="inlineStr">
        <is>
          <t>BODEN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46297</v>
      </c>
      <c r="F576" t="inlineStr">
        <is>
          <t>NORRBOTTENS LÄN</t>
        </is>
      </c>
      <c r="G576" t="inlineStr">
        <is>
          <t>BODEN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46150</v>
      </c>
      <c r="E577" s="1" t="n">
        <v>46297</v>
      </c>
      <c r="F577" t="inlineStr">
        <is>
          <t>NORRBOTTENS LÄN</t>
        </is>
      </c>
      <c r="G577" t="inlineStr">
        <is>
          <t>BODEN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46150</v>
      </c>
      <c r="E578" s="1" t="n">
        <v>46297</v>
      </c>
      <c r="F578" t="inlineStr">
        <is>
          <t>NORRBOTTENS LÄN</t>
        </is>
      </c>
      <c r="G578" t="inlineStr">
        <is>
          <t>BODEN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46149</v>
      </c>
      <c r="E579" s="1" t="n">
        <v>46297</v>
      </c>
      <c r="F579" t="inlineStr">
        <is>
          <t>NORRBOTTENS LÄN</t>
        </is>
      </c>
      <c r="G579" t="inlineStr">
        <is>
          <t>BODEN</t>
        </is>
      </c>
      <c r="I579" t="n">
        <v>11.6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46297</v>
      </c>
      <c r="F580" t="inlineStr">
        <is>
          <t>NORRBOTTENS LÄN</t>
        </is>
      </c>
      <c r="G580" t="inlineStr">
        <is>
          <t>BODEN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46297</v>
      </c>
      <c r="F581" t="inlineStr">
        <is>
          <t>NORRBOTTENS LÄN</t>
        </is>
      </c>
      <c r="G581" t="inlineStr">
        <is>
          <t>BODEN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25387-2023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45079</v>
      </c>
      <c r="E582" s="1" t="n">
        <v>46297</v>
      </c>
      <c r="F582" t="inlineStr">
        <is>
          <t>NORRBOTTENS LÄN</t>
        </is>
      </c>
      <c r="G582" t="inlineStr">
        <is>
          <t>BODEN</t>
        </is>
      </c>
      <c r="I582" t="n">
        <v>6.7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45102</v>
      </c>
      <c r="E583" s="1" t="n">
        <v>46297</v>
      </c>
      <c r="F583" t="inlineStr">
        <is>
          <t>NORRBOTTENS LÄN</t>
        </is>
      </c>
      <c r="G583" t="inlineStr">
        <is>
          <t>BODEN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48592-2024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45593</v>
      </c>
      <c r="E584" s="1" t="n">
        <v>46297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46154</v>
      </c>
      <c r="E585" s="1" t="n">
        <v>46297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16699-2024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45408</v>
      </c>
      <c r="E586" s="1" t="n">
        <v>46297</v>
      </c>
      <c r="F586" t="inlineStr">
        <is>
          <t>NORRBOTTENS LÄN</t>
        </is>
      </c>
      <c r="G586" t="inlineStr">
        <is>
          <t>BODEN</t>
        </is>
      </c>
      <c r="I586" t="n">
        <v>14.9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45427</v>
      </c>
      <c r="E587" s="1" t="n">
        <v>46297</v>
      </c>
      <c r="F587" t="inlineStr">
        <is>
          <t>NORRBOTTENS LÄN</t>
        </is>
      </c>
      <c r="G587" t="inlineStr">
        <is>
          <t>BODEN</t>
        </is>
      </c>
      <c r="I587" t="n">
        <v>22.1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46297</v>
      </c>
      <c r="F588" t="inlineStr">
        <is>
          <t>NORRBOTTENS LÄN</t>
        </is>
      </c>
      <c r="G588" t="inlineStr">
        <is>
          <t>BODEN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60085-2024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45639</v>
      </c>
      <c r="E589" s="1" t="n">
        <v>46297</v>
      </c>
      <c r="F589" t="inlineStr">
        <is>
          <t>NORRBOTTENS LÄN</t>
        </is>
      </c>
      <c r="G589" t="inlineStr">
        <is>
          <t>BODEN</t>
        </is>
      </c>
      <c r="I589" t="n">
        <v>9.5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16222-2024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45406</v>
      </c>
      <c r="E590" s="1" t="n">
        <v>46297</v>
      </c>
      <c r="F590" t="inlineStr">
        <is>
          <t>NORRBOTTENS LÄN</t>
        </is>
      </c>
      <c r="G590" t="inlineStr">
        <is>
          <t>BODEN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46297</v>
      </c>
      <c r="F591" t="inlineStr">
        <is>
          <t>NORRBOTTENS LÄN</t>
        </is>
      </c>
      <c r="G591" t="inlineStr">
        <is>
          <t>BODEN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45646</v>
      </c>
      <c r="E592" s="1" t="n">
        <v>46297</v>
      </c>
      <c r="F592" t="inlineStr">
        <is>
          <t>NORRBOTTENS LÄN</t>
        </is>
      </c>
      <c r="G592" t="inlineStr">
        <is>
          <t>BODEN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46297</v>
      </c>
      <c r="F593" t="inlineStr">
        <is>
          <t>NORRBOTTENS LÄN</t>
        </is>
      </c>
      <c r="G593" t="inlineStr">
        <is>
          <t>BODEN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21329-2024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45440</v>
      </c>
      <c r="E594" s="1" t="n">
        <v>46297</v>
      </c>
      <c r="F594" t="inlineStr">
        <is>
          <t>NORRBOTTENS LÄN</t>
        </is>
      </c>
      <c r="G594" t="inlineStr">
        <is>
          <t>BODEN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58877-2021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44489</v>
      </c>
      <c r="E595" s="1" t="n">
        <v>46297</v>
      </c>
      <c r="F595" t="inlineStr">
        <is>
          <t>NORRBOTTENS LÄN</t>
        </is>
      </c>
      <c r="G595" t="inlineStr">
        <is>
          <t>BODEN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61103-2022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44908</v>
      </c>
      <c r="E596" s="1" t="n">
        <v>46297</v>
      </c>
      <c r="F596" t="inlineStr">
        <is>
          <t>NORRBOTTENS LÄN</t>
        </is>
      </c>
      <c r="G596" t="inlineStr">
        <is>
          <t>BODEN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28359-2023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45099</v>
      </c>
      <c r="E597" s="1" t="n">
        <v>46297</v>
      </c>
      <c r="F597" t="inlineStr">
        <is>
          <t>NORRBOTTENS LÄN</t>
        </is>
      </c>
      <c r="G597" t="inlineStr">
        <is>
          <t>BODEN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46297</v>
      </c>
      <c r="F598" t="inlineStr">
        <is>
          <t>NORRBOTTENS LÄN</t>
        </is>
      </c>
      <c r="G598" t="inlineStr">
        <is>
          <t>BODEN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28139-2025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45818</v>
      </c>
      <c r="E599" s="1" t="n">
        <v>46297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37212-2025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45875</v>
      </c>
      <c r="E600" s="1" t="n">
        <v>46297</v>
      </c>
      <c r="F600" t="inlineStr">
        <is>
          <t>NORRBOTTENS LÄN</t>
        </is>
      </c>
      <c r="G600" t="inlineStr">
        <is>
          <t>BODEN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15157-2025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45744</v>
      </c>
      <c r="E601" s="1" t="n">
        <v>46297</v>
      </c>
      <c r="F601" t="inlineStr">
        <is>
          <t>NORRBOTTENS LÄN</t>
        </is>
      </c>
      <c r="G601" t="inlineStr">
        <is>
          <t>BODEN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45691</v>
      </c>
      <c r="E602" s="1" t="n">
        <v>46297</v>
      </c>
      <c r="F602" t="inlineStr">
        <is>
          <t>NORRBOTTENS LÄN</t>
        </is>
      </c>
      <c r="G602" t="inlineStr">
        <is>
          <t>BODEN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46164</v>
      </c>
      <c r="E603" s="1" t="n">
        <v>46297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46297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46164</v>
      </c>
      <c r="E605" s="1" t="n">
        <v>46297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23789-2026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46164</v>
      </c>
      <c r="E606" s="1" t="n">
        <v>46297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45110</v>
      </c>
      <c r="E607" s="1" t="n">
        <v>46297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46297</v>
      </c>
      <c r="F608" t="inlineStr">
        <is>
          <t>NORRBOTTENS LÄN</t>
        </is>
      </c>
      <c r="G608" t="inlineStr">
        <is>
          <t>BODEN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24234-2026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46297</v>
      </c>
      <c r="F609" t="inlineStr">
        <is>
          <t>NORRBOTTENS LÄN</t>
        </is>
      </c>
      <c r="G609" t="inlineStr">
        <is>
          <t>BODEN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45551</v>
      </c>
      <c r="E610" s="1" t="n">
        <v>46297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24235-2026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46297</v>
      </c>
      <c r="F611" t="inlineStr">
        <is>
          <t>NORRBOTTENS LÄN</t>
        </is>
      </c>
      <c r="G611" t="inlineStr">
        <is>
          <t>BODEN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46297</v>
      </c>
      <c r="F612" t="inlineStr">
        <is>
          <t>NORRBOTTENS LÄN</t>
        </is>
      </c>
      <c r="G612" t="inlineStr">
        <is>
          <t>BODEN</t>
        </is>
      </c>
      <c r="H612" t="inlineStr">
        <is>
          <t>Övriga statliga verk och myndigheter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46297</v>
      </c>
      <c r="F613" t="inlineStr">
        <is>
          <t>NORRBOTTENS LÄN</t>
        </is>
      </c>
      <c r="G613" t="inlineStr">
        <is>
          <t>BODEN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37866-2024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45544</v>
      </c>
      <c r="E614" s="1" t="n">
        <v>46297</v>
      </c>
      <c r="F614" t="inlineStr">
        <is>
          <t>NORRBOTTENS LÄN</t>
        </is>
      </c>
      <c r="G614" t="inlineStr">
        <is>
          <t>BODEN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46297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44567-2024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45574</v>
      </c>
      <c r="E616" s="1" t="n">
        <v>46297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46297</v>
      </c>
      <c r="F617" t="inlineStr">
        <is>
          <t>NORRBOTTENS LÄN</t>
        </is>
      </c>
      <c r="G617" t="inlineStr">
        <is>
          <t>BODEN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64649-2023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45281</v>
      </c>
      <c r="E618" s="1" t="n">
        <v>46297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24221-2026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46297</v>
      </c>
      <c r="F619" t="inlineStr">
        <is>
          <t>NORRBOTTENS LÄN</t>
        </is>
      </c>
      <c r="G619" t="inlineStr">
        <is>
          <t>BODEN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68611-2021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44529</v>
      </c>
      <c r="E620" s="1" t="n">
        <v>46297</v>
      </c>
      <c r="F620" t="inlineStr">
        <is>
          <t>NORRBOTTENS LÄN</t>
        </is>
      </c>
      <c r="G620" t="inlineStr">
        <is>
          <t>BODEN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46297</v>
      </c>
      <c r="F621" t="inlineStr">
        <is>
          <t>NORRBOTTENS LÄN</t>
        </is>
      </c>
      <c r="G621" t="inlineStr">
        <is>
          <t>BODEN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46172</v>
      </c>
      <c r="E622" s="1" t="n">
        <v>46297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46297</v>
      </c>
      <c r="F623" t="inlineStr">
        <is>
          <t>NORRBOTTENS LÄN</t>
        </is>
      </c>
      <c r="G623" t="inlineStr">
        <is>
          <t>BODEN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25042-2026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46174</v>
      </c>
      <c r="E624" s="1" t="n">
        <v>46297</v>
      </c>
      <c r="F624" t="inlineStr">
        <is>
          <t>NORRBOTTENS LÄN</t>
        </is>
      </c>
      <c r="G624" t="inlineStr">
        <is>
          <t>BODEN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44983</v>
      </c>
      <c r="E625" s="1" t="n">
        <v>46297</v>
      </c>
      <c r="F625" t="inlineStr">
        <is>
          <t>NORRBOTTENS LÄN</t>
        </is>
      </c>
      <c r="G625" t="inlineStr">
        <is>
          <t>BODEN</t>
        </is>
      </c>
      <c r="I625" t="n">
        <v>37.1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25240-2026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46297</v>
      </c>
      <c r="F626" t="inlineStr">
        <is>
          <t>NORRBOTTENS LÄN</t>
        </is>
      </c>
      <c r="G626" t="inlineStr">
        <is>
          <t>BODEN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46297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51614-2024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46297</v>
      </c>
      <c r="F628" t="inlineStr">
        <is>
          <t>NORRBOTTENS LÄN</t>
        </is>
      </c>
      <c r="G628" t="inlineStr">
        <is>
          <t>BODEN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25571-2026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46297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20041-2025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45772</v>
      </c>
      <c r="E630" s="1" t="n">
        <v>46297</v>
      </c>
      <c r="F630" t="inlineStr">
        <is>
          <t>NORRBOTTENS LÄN</t>
        </is>
      </c>
      <c r="G630" t="inlineStr">
        <is>
          <t>BODEN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25536-2026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46297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67068-2021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44522</v>
      </c>
      <c r="E632" s="1" t="n">
        <v>46297</v>
      </c>
      <c r="F632" t="inlineStr">
        <is>
          <t>NORRBOTTENS LÄN</t>
        </is>
      </c>
      <c r="G632" t="inlineStr">
        <is>
          <t>BODEN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45356</v>
      </c>
      <c r="E633" s="1" t="n">
        <v>46297</v>
      </c>
      <c r="F633" t="inlineStr">
        <is>
          <t>NORRBOTTENS LÄN</t>
        </is>
      </c>
      <c r="G633" t="inlineStr">
        <is>
          <t>BODEN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46297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45591</v>
      </c>
      <c r="E635" s="1" t="n">
        <v>46297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8120-2022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44609</v>
      </c>
      <c r="E636" s="1" t="n">
        <v>46297</v>
      </c>
      <c r="F636" t="inlineStr">
        <is>
          <t>NORRBOTTENS LÄN</t>
        </is>
      </c>
      <c r="G636" t="inlineStr">
        <is>
          <t>BODEN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45161</v>
      </c>
      <c r="E637" s="1" t="n">
        <v>46297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46297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45758</v>
      </c>
      <c r="E639" s="1" t="n">
        <v>46297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34760-2022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44795</v>
      </c>
      <c r="E640" s="1" t="n">
        <v>46297</v>
      </c>
      <c r="F640" t="inlineStr">
        <is>
          <t>NORRBOTTENS LÄN</t>
        </is>
      </c>
      <c r="G640" t="inlineStr">
        <is>
          <t>BODEN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50327-2023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45216</v>
      </c>
      <c r="E641" s="1" t="n">
        <v>46297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49730-2024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45596</v>
      </c>
      <c r="E642" s="1" t="n">
        <v>46297</v>
      </c>
      <c r="F642" t="inlineStr">
        <is>
          <t>NORRBOTTENS LÄN</t>
        </is>
      </c>
      <c r="G642" t="inlineStr">
        <is>
          <t>BODEN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50103-2024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45600</v>
      </c>
      <c r="E643" s="1" t="n">
        <v>46297</v>
      </c>
      <c r="F643" t="inlineStr">
        <is>
          <t>NORRBOTTENS LÄN</t>
        </is>
      </c>
      <c r="G643" t="inlineStr">
        <is>
          <t>BODEN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45600</v>
      </c>
      <c r="E644" s="1" t="n">
        <v>46297</v>
      </c>
      <c r="F644" t="inlineStr">
        <is>
          <t>NORRBOTTENS LÄN</t>
        </is>
      </c>
      <c r="G644" t="inlineStr">
        <is>
          <t>BODEN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706-2022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44566</v>
      </c>
      <c r="E645" s="1" t="n">
        <v>46297</v>
      </c>
      <c r="F645" t="inlineStr">
        <is>
          <t>NORRBOTTENS LÄN</t>
        </is>
      </c>
      <c r="G645" t="inlineStr">
        <is>
          <t>BODEN</t>
        </is>
      </c>
      <c r="I645" t="n">
        <v>12.4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46297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26375-2026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46183</v>
      </c>
      <c r="E647" s="1" t="n">
        <v>46297</v>
      </c>
      <c r="F647" t="inlineStr">
        <is>
          <t>NORRBOTTENS LÄN</t>
        </is>
      </c>
      <c r="G647" t="inlineStr">
        <is>
          <t>BODEN</t>
        </is>
      </c>
      <c r="I647" t="n">
        <v>18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46297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46297</v>
      </c>
      <c r="F649" t="inlineStr">
        <is>
          <t>NORRBOTTENS LÄN</t>
        </is>
      </c>
      <c r="G649" t="inlineStr">
        <is>
          <t>BODEN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26182-2026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46297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8.5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45478</v>
      </c>
      <c r="E651" s="1" t="n">
        <v>46297</v>
      </c>
      <c r="F651" t="inlineStr">
        <is>
          <t>NORRBOTTENS LÄN</t>
        </is>
      </c>
      <c r="G651" t="inlineStr">
        <is>
          <t>BODEN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26448-2026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46183</v>
      </c>
      <c r="E652" s="1" t="n">
        <v>46297</v>
      </c>
      <c r="F652" t="inlineStr">
        <is>
          <t>NORRBOTTENS LÄN</t>
        </is>
      </c>
      <c r="G652" t="inlineStr">
        <is>
          <t>BODEN</t>
        </is>
      </c>
      <c r="I652" t="n">
        <v>7.7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46297</v>
      </c>
      <c r="F653" t="inlineStr">
        <is>
          <t>NORRBOTTENS LÄN</t>
        </is>
      </c>
      <c r="G653" t="inlineStr">
        <is>
          <t>BODEN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46297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  <c r="Z654">
        <f>HYPERLINK("https://klasma.github.io/Logging_2582/knärot/A 26776-2026 karta knärot.png", "A 26776-2026")</f>
        <v/>
      </c>
      <c r="AA654">
        <f>HYPERLINK("https://klasma.github.io/Logging_2582/klagomål/A 26776-2026 FSC-klagomål.docx", "A 26776-2026")</f>
        <v/>
      </c>
      <c r="AB654">
        <f>HYPERLINK("https://klasma.github.io/Logging_2582/klagomålsmail/A 26776-2026 FSC-klagomål mail.docx", "A 26776-2026")</f>
        <v/>
      </c>
      <c r="AC654">
        <f>HYPERLINK("https://klasma.github.io/Logging_2582/tillsyn/A 26776-2026 tillsynsbegäran.docx", "A 26776-2026")</f>
        <v/>
      </c>
      <c r="AD654">
        <f>HYPERLINK("https://klasma.github.io/Logging_2582/tillsynsmail/A 26776-2026 tillsynsbegäran mail.docx", "A 26776-2026")</f>
        <v/>
      </c>
    </row>
    <row r="655" ht="15" customHeight="1">
      <c r="A655" t="inlineStr">
        <is>
          <t>A 26714-2026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46297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16965-2024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45411</v>
      </c>
      <c r="E656" s="1" t="n">
        <v>46297</v>
      </c>
      <c r="F656" t="inlineStr">
        <is>
          <t>NORRBOTTENS LÄN</t>
        </is>
      </c>
      <c r="G656" t="inlineStr">
        <is>
          <t>BODEN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2426-2024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45310</v>
      </c>
      <c r="E657" s="1" t="n">
        <v>46297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46297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42.2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11092-2022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44628</v>
      </c>
      <c r="E659" s="1" t="n">
        <v>46297</v>
      </c>
      <c r="F659" t="inlineStr">
        <is>
          <t>NORRBOTTENS LÄN</t>
        </is>
      </c>
      <c r="G659" t="inlineStr">
        <is>
          <t>BODEN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41957-2024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45561</v>
      </c>
      <c r="E660" s="1" t="n">
        <v>46297</v>
      </c>
      <c r="F660" t="inlineStr">
        <is>
          <t>NORRBOTTENS LÄN</t>
        </is>
      </c>
      <c r="G660" t="inlineStr">
        <is>
          <t>BODEN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32347-2024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45512</v>
      </c>
      <c r="E661" s="1" t="n">
        <v>46297</v>
      </c>
      <c r="F661" t="inlineStr">
        <is>
          <t>NORRBOTTENS LÄN</t>
        </is>
      </c>
      <c r="G661" t="inlineStr">
        <is>
          <t>BODEN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46297</v>
      </c>
      <c r="F662" t="inlineStr">
        <is>
          <t>NORRBOTTENS LÄN</t>
        </is>
      </c>
      <c r="G662" t="inlineStr">
        <is>
          <t>BODEN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48950-2022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44859</v>
      </c>
      <c r="E663" s="1" t="n">
        <v>46297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28566-2026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46297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49859-2023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45212</v>
      </c>
      <c r="E665" s="1" t="n">
        <v>46297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45687</v>
      </c>
      <c r="E666" s="1" t="n">
        <v>46297</v>
      </c>
      <c r="F666" t="inlineStr">
        <is>
          <t>NORRBOTTENS LÄN</t>
        </is>
      </c>
      <c r="G666" t="inlineStr">
        <is>
          <t>BODEN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28512-2026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46297</v>
      </c>
      <c r="F667" t="inlineStr">
        <is>
          <t>NORRBOTTENS LÄN</t>
        </is>
      </c>
      <c r="G667" t="inlineStr">
        <is>
          <t>BODEN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41487-2024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46297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46197</v>
      </c>
      <c r="E669" s="1" t="n">
        <v>46297</v>
      </c>
      <c r="F669" t="inlineStr">
        <is>
          <t>NORRBOTTENS LÄN</t>
        </is>
      </c>
      <c r="G669" t="inlineStr">
        <is>
          <t>BODEN</t>
        </is>
      </c>
      <c r="I669" t="n">
        <v>8.9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19590-2025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45770</v>
      </c>
      <c r="E670" s="1" t="n">
        <v>46297</v>
      </c>
      <c r="F670" t="inlineStr">
        <is>
          <t>NORRBOTTENS LÄN</t>
        </is>
      </c>
      <c r="G670" t="inlineStr">
        <is>
          <t>BODEN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46297</v>
      </c>
      <c r="F671" t="inlineStr">
        <is>
          <t>NORRBOTTENS LÄN</t>
        </is>
      </c>
      <c r="G671" t="inlineStr">
        <is>
          <t>BODEN</t>
        </is>
      </c>
      <c r="I671" t="n">
        <v>14.5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46297</v>
      </c>
      <c r="F672" t="inlineStr">
        <is>
          <t>NORRBOTTENS LÄN</t>
        </is>
      </c>
      <c r="G672" t="inlineStr">
        <is>
          <t>BODEN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28615-2026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46297</v>
      </c>
      <c r="F673" t="inlineStr">
        <is>
          <t>NORRBOTTENS LÄN</t>
        </is>
      </c>
      <c r="G673" t="inlineStr">
        <is>
          <t>BODEN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60337-2024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46297</v>
      </c>
      <c r="F674" t="inlineStr">
        <is>
          <t>NORRBOTTENS LÄN</t>
        </is>
      </c>
      <c r="G674" t="inlineStr">
        <is>
          <t>BODEN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46203</v>
      </c>
      <c r="E675" s="1" t="n">
        <v>46297</v>
      </c>
      <c r="F675" t="inlineStr">
        <is>
          <t>NORRBOTTENS LÄN</t>
        </is>
      </c>
      <c r="G675" t="inlineStr">
        <is>
          <t>BODEN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29555-2026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46297</v>
      </c>
      <c r="F676" t="inlineStr">
        <is>
          <t>NORRBOTTENS LÄN</t>
        </is>
      </c>
      <c r="G676" t="inlineStr">
        <is>
          <t>BODEN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29155-2026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46202</v>
      </c>
      <c r="E677" s="1" t="n">
        <v>46297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46202</v>
      </c>
      <c r="E678" s="1" t="n">
        <v>46297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29152-2026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46202</v>
      </c>
      <c r="E679" s="1" t="n">
        <v>46297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31456-2024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45505</v>
      </c>
      <c r="E680" s="1" t="n">
        <v>46297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24744-2024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45460</v>
      </c>
      <c r="E681" s="1" t="n">
        <v>46297</v>
      </c>
      <c r="F681" t="inlineStr">
        <is>
          <t>NORRBOTTENS LÄN</t>
        </is>
      </c>
      <c r="G681" t="inlineStr">
        <is>
          <t>BODEN</t>
        </is>
      </c>
      <c r="H681" t="inlineStr">
        <is>
          <t>Övriga Aktiebolag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29568-2026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46297</v>
      </c>
      <c r="F682" t="inlineStr">
        <is>
          <t>NORRBOTTENS LÄN</t>
        </is>
      </c>
      <c r="G682" t="inlineStr">
        <is>
          <t>BODEN</t>
        </is>
      </c>
      <c r="I682" t="n">
        <v>12.2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46297</v>
      </c>
      <c r="F683" t="inlineStr">
        <is>
          <t>NORRBOTTENS LÄN</t>
        </is>
      </c>
      <c r="G683" t="inlineStr">
        <is>
          <t>BODEN</t>
        </is>
      </c>
      <c r="I683" t="n">
        <v>38.7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55317-2023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45237</v>
      </c>
      <c r="E684" s="1" t="n">
        <v>46297</v>
      </c>
      <c r="F684" t="inlineStr">
        <is>
          <t>NORRBOTTENS LÄN</t>
        </is>
      </c>
      <c r="G684" t="inlineStr">
        <is>
          <t>BODEN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46297</v>
      </c>
      <c r="F685" t="inlineStr">
        <is>
          <t>NORRBOTTENS LÄN</t>
        </is>
      </c>
      <c r="G685" t="inlineStr">
        <is>
          <t>BODEN</t>
        </is>
      </c>
      <c r="H685" t="inlineStr">
        <is>
          <t>Kommuner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46297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15.2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49162-2023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45210</v>
      </c>
      <c r="E687" s="1" t="n">
        <v>46297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45448-2023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45194</v>
      </c>
      <c r="E688" s="1" t="n">
        <v>46297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30025-2026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46297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30077-2026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46206</v>
      </c>
      <c r="E690" s="1" t="n">
        <v>46297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30332-2026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46208</v>
      </c>
      <c r="E691" s="1" t="n">
        <v>46297</v>
      </c>
      <c r="F691" t="inlineStr">
        <is>
          <t>NORRBOTTENS LÄN</t>
        </is>
      </c>
      <c r="G691" t="inlineStr">
        <is>
          <t>BODEN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46297</v>
      </c>
      <c r="F692" t="inlineStr">
        <is>
          <t>NORRBOTTENS LÄN</t>
        </is>
      </c>
      <c r="G692" t="inlineStr">
        <is>
          <t>BODEN</t>
        </is>
      </c>
      <c r="H692" t="inlineStr">
        <is>
          <t>Kommuner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30430-2026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46209</v>
      </c>
      <c r="E693" s="1" t="n">
        <v>46297</v>
      </c>
      <c r="F693" t="inlineStr">
        <is>
          <t>NORRBOTTENS LÄN</t>
        </is>
      </c>
      <c r="G693" t="inlineStr">
        <is>
          <t>BODEN</t>
        </is>
      </c>
      <c r="H693" t="inlineStr">
        <is>
          <t>Kommuner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30745-2026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46211</v>
      </c>
      <c r="E694" s="1" t="n">
        <v>46297</v>
      </c>
      <c r="F694" t="inlineStr">
        <is>
          <t>NORRBOTTENS LÄN</t>
        </is>
      </c>
      <c r="G694" t="inlineStr">
        <is>
          <t>BODEN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38874-2023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45161</v>
      </c>
      <c r="E695" s="1" t="n">
        <v>46297</v>
      </c>
      <c r="F695" t="inlineStr">
        <is>
          <t>NORRBOTTENS LÄN</t>
        </is>
      </c>
      <c r="G695" t="inlineStr">
        <is>
          <t>BODEN</t>
        </is>
      </c>
      <c r="I695" t="n">
        <v>15.5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32754-2022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44783</v>
      </c>
      <c r="E696" s="1" t="n">
        <v>46297</v>
      </c>
      <c r="F696" t="inlineStr">
        <is>
          <t>NORRBOTTENS LÄN</t>
        </is>
      </c>
      <c r="G696" t="inlineStr">
        <is>
          <t>BODEN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47097-2023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45201</v>
      </c>
      <c r="E697" s="1" t="n">
        <v>46297</v>
      </c>
      <c r="F697" t="inlineStr">
        <is>
          <t>NORRBOTTENS LÄN</t>
        </is>
      </c>
      <c r="G697" t="inlineStr">
        <is>
          <t>BODEN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34517-2026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46297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11865-2025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45728</v>
      </c>
      <c r="E699" s="1" t="n">
        <v>46297</v>
      </c>
      <c r="F699" t="inlineStr">
        <is>
          <t>NORRBOTTENS LÄN</t>
        </is>
      </c>
      <c r="G699" t="inlineStr">
        <is>
          <t>BODEN</t>
        </is>
      </c>
      <c r="H699" t="inlineStr">
        <is>
          <t>Övriga Aktiebolag</t>
        </is>
      </c>
      <c r="I699" t="n">
        <v>10.6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34897-2026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46259</v>
      </c>
      <c r="E700" s="1" t="n">
        <v>46297</v>
      </c>
      <c r="F700" t="inlineStr">
        <is>
          <t>NORRBOTTENS LÄN</t>
        </is>
      </c>
      <c r="G700" t="inlineStr">
        <is>
          <t>BODEN</t>
        </is>
      </c>
      <c r="H700" t="inlineStr">
        <is>
          <t>Naturvårdsverket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57579-2023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45246</v>
      </c>
      <c r="E701" s="1" t="n">
        <v>46297</v>
      </c>
      <c r="F701" t="inlineStr">
        <is>
          <t>NORRBOTTENS LÄN</t>
        </is>
      </c>
      <c r="G701" t="inlineStr">
        <is>
          <t>BODEN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18428-2025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45762</v>
      </c>
      <c r="E702" s="1" t="n">
        <v>46297</v>
      </c>
      <c r="F702" t="inlineStr">
        <is>
          <t>NORRBOTTENS LÄN</t>
        </is>
      </c>
      <c r="G702" t="inlineStr">
        <is>
          <t>BODEN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34898-2026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46259</v>
      </c>
      <c r="E703" s="1" t="n">
        <v>46297</v>
      </c>
      <c r="F703" t="inlineStr">
        <is>
          <t>NORRBOTTENS LÄN</t>
        </is>
      </c>
      <c r="G703" t="inlineStr">
        <is>
          <t>BODEN</t>
        </is>
      </c>
      <c r="H703" t="inlineStr">
        <is>
          <t>Naturvårdsverket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35060-2026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46259</v>
      </c>
      <c r="E704" s="1" t="n">
        <v>46297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44.8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39463-2023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45166</v>
      </c>
      <c r="E705" s="1" t="n">
        <v>46297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9940-2025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45718</v>
      </c>
      <c r="E706" s="1" t="n">
        <v>46297</v>
      </c>
      <c r="F706" t="inlineStr">
        <is>
          <t>NORRBOTTENS LÄN</t>
        </is>
      </c>
      <c r="G706" t="inlineStr">
        <is>
          <t>BODEN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57968-2023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46297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31217-2026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46217</v>
      </c>
      <c r="E708" s="1" t="n">
        <v>46297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45314</v>
      </c>
      <c r="E709" s="1" t="n">
        <v>46297</v>
      </c>
      <c r="F709" t="inlineStr">
        <is>
          <t>NORRBOTTENS LÄN</t>
        </is>
      </c>
      <c r="G709" t="inlineStr">
        <is>
          <t>BODEN</t>
        </is>
      </c>
      <c r="I709" t="n">
        <v>17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31209-2026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46217</v>
      </c>
      <c r="E710" s="1" t="n">
        <v>46297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31211-2026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46217</v>
      </c>
      <c r="E711" s="1" t="n">
        <v>46297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45256</v>
      </c>
      <c r="E712" s="1" t="n">
        <v>46297</v>
      </c>
      <c r="F712" t="inlineStr">
        <is>
          <t>NORRBOTTENS LÄN</t>
        </is>
      </c>
      <c r="G712" t="inlineStr">
        <is>
          <t>BODEN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57604-2021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44484</v>
      </c>
      <c r="E713" s="1" t="n">
        <v>46297</v>
      </c>
      <c r="F713" t="inlineStr">
        <is>
          <t>NORRBOTTENS LÄN</t>
        </is>
      </c>
      <c r="G713" t="inlineStr">
        <is>
          <t>BODEN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31226-2026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46217</v>
      </c>
      <c r="E714" s="1" t="n">
        <v>46297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45924</v>
      </c>
      <c r="E715" s="1" t="n">
        <v>46297</v>
      </c>
      <c r="F715" t="inlineStr">
        <is>
          <t>NORRBOTTENS LÄN</t>
        </is>
      </c>
      <c r="G715" t="inlineStr">
        <is>
          <t>BODEN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46297</v>
      </c>
      <c r="F716" t="inlineStr">
        <is>
          <t>NORRBOTTENS LÄN</t>
        </is>
      </c>
      <c r="G716" t="inlineStr">
        <is>
          <t>BODEN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35372-2026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46297</v>
      </c>
      <c r="F717" t="inlineStr">
        <is>
          <t>NORRBOTTENS LÄN</t>
        </is>
      </c>
      <c r="G717" t="inlineStr">
        <is>
          <t>BODEN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45680</v>
      </c>
      <c r="E718" s="1" t="n">
        <v>46297</v>
      </c>
      <c r="F718" t="inlineStr">
        <is>
          <t>NORRBOTTENS LÄN</t>
        </is>
      </c>
      <c r="G718" t="inlineStr">
        <is>
          <t>BODEN</t>
        </is>
      </c>
      <c r="H718" t="inlineStr">
        <is>
          <t>Naturvårdsverket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35373-2026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46261</v>
      </c>
      <c r="E719" s="1" t="n">
        <v>46297</v>
      </c>
      <c r="F719" t="inlineStr">
        <is>
          <t>NORRBOTTENS LÄN</t>
        </is>
      </c>
      <c r="G719" t="inlineStr">
        <is>
          <t>BODEN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35381-2026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46261</v>
      </c>
      <c r="E720" s="1" t="n">
        <v>46297</v>
      </c>
      <c r="F720" t="inlineStr">
        <is>
          <t>NORRBOTTENS LÄN</t>
        </is>
      </c>
      <c r="G720" t="inlineStr">
        <is>
          <t>BODEN</t>
        </is>
      </c>
      <c r="I720" t="n">
        <v>10.9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35295-2026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46297</v>
      </c>
      <c r="F721" t="inlineStr">
        <is>
          <t>NORRBOTTENS LÄN</t>
        </is>
      </c>
      <c r="G721" t="inlineStr">
        <is>
          <t>BODEN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  <c r="Z721">
        <f>HYPERLINK("https://klasma.github.io/Logging_2582/knärot/A 35295-2026 karta knärot.png", "A 35295-2026")</f>
        <v/>
      </c>
      <c r="AA721">
        <f>HYPERLINK("https://klasma.github.io/Logging_2582/klagomål/A 35295-2026 FSC-klagomål.docx", "A 35295-2026")</f>
        <v/>
      </c>
      <c r="AB721">
        <f>HYPERLINK("https://klasma.github.io/Logging_2582/klagomålsmail/A 35295-2026 FSC-klagomål mail.docx", "A 35295-2026")</f>
        <v/>
      </c>
      <c r="AC721">
        <f>HYPERLINK("https://klasma.github.io/Logging_2582/tillsyn/A 35295-2026 tillsynsbegäran.docx", "A 35295-2026")</f>
        <v/>
      </c>
      <c r="AD721">
        <f>HYPERLINK("https://klasma.github.io/Logging_2582/tillsynsmail/A 35295-2026 tillsynsbegäran mail.docx", "A 35295-2026")</f>
        <v/>
      </c>
    </row>
    <row r="722" ht="15" customHeight="1">
      <c r="A722" t="inlineStr">
        <is>
          <t>A 59890-2023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45254</v>
      </c>
      <c r="E722" s="1" t="n">
        <v>46297</v>
      </c>
      <c r="F722" t="inlineStr">
        <is>
          <t>NORRBOTTENS LÄN</t>
        </is>
      </c>
      <c r="G722" t="inlineStr">
        <is>
          <t>BODEN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59983-2023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45257</v>
      </c>
      <c r="E723" s="1" t="n">
        <v>46297</v>
      </c>
      <c r="F723" t="inlineStr">
        <is>
          <t>NORRBOTTENS LÄN</t>
        </is>
      </c>
      <c r="G723" t="inlineStr">
        <is>
          <t>BODEN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35407-2026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46261</v>
      </c>
      <c r="E724" s="1" t="n">
        <v>46297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13556-2022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44648</v>
      </c>
      <c r="E725" s="1" t="n">
        <v>46297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61488-2023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45264</v>
      </c>
      <c r="E726" s="1" t="n">
        <v>46297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35902-2026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46266</v>
      </c>
      <c r="E727" s="1" t="n">
        <v>46297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24225-2026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46297</v>
      </c>
      <c r="F728" t="inlineStr">
        <is>
          <t>NORRBOTTENS LÄN</t>
        </is>
      </c>
      <c r="G728" t="inlineStr">
        <is>
          <t>BODEN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8873-2024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45356</v>
      </c>
      <c r="E729" s="1" t="n">
        <v>46297</v>
      </c>
      <c r="F729" t="inlineStr">
        <is>
          <t>NORRBOTTENS LÄN</t>
        </is>
      </c>
      <c r="G729" t="inlineStr">
        <is>
          <t>BODEN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54935-2021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44474</v>
      </c>
      <c r="E730" s="1" t="n">
        <v>46297</v>
      </c>
      <c r="F730" t="inlineStr">
        <is>
          <t>NORRBOTTENS LÄN</t>
        </is>
      </c>
      <c r="G730" t="inlineStr">
        <is>
          <t>BODEN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5792-2025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45694</v>
      </c>
      <c r="E731" s="1" t="n">
        <v>46297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46268</v>
      </c>
      <c r="E732" s="1" t="n">
        <v>46297</v>
      </c>
      <c r="F732" t="inlineStr">
        <is>
          <t>NORRBOTTENS LÄN</t>
        </is>
      </c>
      <c r="G732" t="inlineStr">
        <is>
          <t>BODEN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46297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61241-2023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45260</v>
      </c>
      <c r="E734" s="1" t="n">
        <v>46297</v>
      </c>
      <c r="F734" t="inlineStr">
        <is>
          <t>NORRBOTTENS LÄN</t>
        </is>
      </c>
      <c r="G734" t="inlineStr">
        <is>
          <t>BODEN</t>
        </is>
      </c>
      <c r="I734" t="n">
        <v>33.9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36398-2026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46268</v>
      </c>
      <c r="E735" s="1" t="n">
        <v>46297</v>
      </c>
      <c r="F735" t="inlineStr">
        <is>
          <t>NORRBOTTENS LÄN</t>
        </is>
      </c>
      <c r="G735" t="inlineStr">
        <is>
          <t>BODEN</t>
        </is>
      </c>
      <c r="H735" t="inlineStr">
        <is>
          <t>Kommuner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46267</v>
      </c>
      <c r="E736" s="1" t="n">
        <v>46297</v>
      </c>
      <c r="F736" t="inlineStr">
        <is>
          <t>NORRBOTTENS LÄN</t>
        </is>
      </c>
      <c r="G736" t="inlineStr">
        <is>
          <t>BODEN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15881-2023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45022</v>
      </c>
      <c r="E737" s="1" t="n">
        <v>46297</v>
      </c>
      <c r="F737" t="inlineStr">
        <is>
          <t>NORRBOTTENS LÄN</t>
        </is>
      </c>
      <c r="G737" t="inlineStr">
        <is>
          <t>BODEN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44573</v>
      </c>
      <c r="E738" s="1" t="n">
        <v>46297</v>
      </c>
      <c r="F738" t="inlineStr">
        <is>
          <t>NORRBOTTENS LÄN</t>
        </is>
      </c>
      <c r="G738" t="inlineStr">
        <is>
          <t>BODEN</t>
        </is>
      </c>
      <c r="H738" t="inlineStr">
        <is>
          <t>Övriga statliga verk och myndigheter</t>
        </is>
      </c>
      <c r="I738" t="n">
        <v>9.9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7442-2024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45345</v>
      </c>
      <c r="E739" s="1" t="n">
        <v>46297</v>
      </c>
      <c r="F739" t="inlineStr">
        <is>
          <t>NORRBOTTENS LÄN</t>
        </is>
      </c>
      <c r="G739" t="inlineStr">
        <is>
          <t>BODEN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46029</v>
      </c>
      <c r="E740" s="1" t="n">
        <v>46297</v>
      </c>
      <c r="F740" t="inlineStr">
        <is>
          <t>NORRBOTTENS LÄN</t>
        </is>
      </c>
      <c r="G740" t="inlineStr">
        <is>
          <t>BODEN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29377-2024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45483</v>
      </c>
      <c r="E741" s="1" t="n">
        <v>46297</v>
      </c>
      <c r="F741" t="inlineStr">
        <is>
          <t>NORRBOTTENS LÄN</t>
        </is>
      </c>
      <c r="G741" t="inlineStr">
        <is>
          <t>BODEN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64975-2023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45285</v>
      </c>
      <c r="E742" s="1" t="n">
        <v>46297</v>
      </c>
      <c r="F742" t="inlineStr">
        <is>
          <t>NORRBOTTENS LÄN</t>
        </is>
      </c>
      <c r="G742" t="inlineStr">
        <is>
          <t>BODEN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36792-2026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46297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36430-2026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46269</v>
      </c>
      <c r="E744" s="1" t="n">
        <v>46297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35115-2024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45529</v>
      </c>
      <c r="E745" s="1" t="n">
        <v>46297</v>
      </c>
      <c r="F745" t="inlineStr">
        <is>
          <t>NORRBOTTENS LÄN</t>
        </is>
      </c>
      <c r="G745" t="inlineStr">
        <is>
          <t>BODEN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36623-2026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46270</v>
      </c>
      <c r="E746" s="1" t="n">
        <v>46297</v>
      </c>
      <c r="F746" t="inlineStr">
        <is>
          <t>NORRBOTTENS LÄN</t>
        </is>
      </c>
      <c r="G746" t="inlineStr">
        <is>
          <t>BODEN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25627-2022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44732</v>
      </c>
      <c r="E747" s="1" t="n">
        <v>46297</v>
      </c>
      <c r="F747" t="inlineStr">
        <is>
          <t>NORRBOTTENS LÄN</t>
        </is>
      </c>
      <c r="G747" t="inlineStr">
        <is>
          <t>BODEN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46297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46297</v>
      </c>
      <c r="F749" t="inlineStr">
        <is>
          <t>NORRBOTTENS LÄN</t>
        </is>
      </c>
      <c r="G749" t="inlineStr">
        <is>
          <t>BODEN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7159-2023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44970</v>
      </c>
      <c r="E750" s="1" t="n">
        <v>46297</v>
      </c>
      <c r="F750" t="inlineStr">
        <is>
          <t>NORRBOTTENS LÄN</t>
        </is>
      </c>
      <c r="G750" t="inlineStr">
        <is>
          <t>BODEN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37101-2026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46274</v>
      </c>
      <c r="E751" s="1" t="n">
        <v>46297</v>
      </c>
      <c r="F751" t="inlineStr">
        <is>
          <t>NORRBOTTENS LÄN</t>
        </is>
      </c>
      <c r="G751" t="inlineStr">
        <is>
          <t>BODEN</t>
        </is>
      </c>
      <c r="I751" t="n">
        <v>9.800000000000001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37029-2026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46273</v>
      </c>
      <c r="E752" s="1" t="n">
        <v>46297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11.8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46274</v>
      </c>
      <c r="E753" s="1" t="n">
        <v>46297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49124-2023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45210</v>
      </c>
      <c r="E754" s="1" t="n">
        <v>46297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46274</v>
      </c>
      <c r="E755" s="1" t="n">
        <v>46297</v>
      </c>
      <c r="F755" t="inlineStr">
        <is>
          <t>NORRBOTTENS LÄN</t>
        </is>
      </c>
      <c r="G755" t="inlineStr">
        <is>
          <t>BODEN</t>
        </is>
      </c>
      <c r="I755" t="n">
        <v>12.3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45692</v>
      </c>
      <c r="E756" s="1" t="n">
        <v>46297</v>
      </c>
      <c r="F756" t="inlineStr">
        <is>
          <t>NORRBOTTENS LÄN</t>
        </is>
      </c>
      <c r="G756" t="inlineStr">
        <is>
          <t>BODEN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37103-2026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46274</v>
      </c>
      <c r="E757" s="1" t="n">
        <v>46297</v>
      </c>
      <c r="F757" t="inlineStr">
        <is>
          <t>NORRBOTTENS LÄN</t>
        </is>
      </c>
      <c r="G757" t="inlineStr">
        <is>
          <t>BODEN</t>
        </is>
      </c>
      <c r="I757" t="n">
        <v>6.4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45509</v>
      </c>
      <c r="E758" s="1" t="n">
        <v>46297</v>
      </c>
      <c r="F758" t="inlineStr">
        <is>
          <t>NORRBOTTENS LÄN</t>
        </is>
      </c>
      <c r="G758" t="inlineStr">
        <is>
          <t>BODEN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36438-2024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45537</v>
      </c>
      <c r="E759" s="1" t="n">
        <v>46297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46297</v>
      </c>
      <c r="F760" t="inlineStr">
        <is>
          <t>NORRBOTTENS LÄN</t>
        </is>
      </c>
      <c r="G760" t="inlineStr">
        <is>
          <t>BODEN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46275</v>
      </c>
      <c r="E761" s="1" t="n">
        <v>46297</v>
      </c>
      <c r="F761" t="inlineStr">
        <is>
          <t>NORRBOTTENS LÄN</t>
        </is>
      </c>
      <c r="G761" t="inlineStr">
        <is>
          <t>BODEN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37478-2026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46275</v>
      </c>
      <c r="E762" s="1" t="n">
        <v>46297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44964</v>
      </c>
      <c r="E763" s="1" t="n">
        <v>46297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37114-2024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45539</v>
      </c>
      <c r="E764" s="1" t="n">
        <v>46297</v>
      </c>
      <c r="F764" t="inlineStr">
        <is>
          <t>NORRBOTTENS LÄN</t>
        </is>
      </c>
      <c r="G764" t="inlineStr">
        <is>
          <t>BODEN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19563-2024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45429</v>
      </c>
      <c r="E765" s="1" t="n">
        <v>46297</v>
      </c>
      <c r="F765" t="inlineStr">
        <is>
          <t>NORRBOTTENS LÄN</t>
        </is>
      </c>
      <c r="G765" t="inlineStr">
        <is>
          <t>BODEN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46276</v>
      </c>
      <c r="E766" s="1" t="n">
        <v>46297</v>
      </c>
      <c r="F766" t="inlineStr">
        <is>
          <t>NORRBOTTENS LÄN</t>
        </is>
      </c>
      <c r="G766" t="inlineStr">
        <is>
          <t>BODEN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37459-2026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46275</v>
      </c>
      <c r="E767" s="1" t="n">
        <v>46297</v>
      </c>
      <c r="F767" t="inlineStr">
        <is>
          <t>NORRBOTTENS LÄN</t>
        </is>
      </c>
      <c r="G767" t="inlineStr">
        <is>
          <t>BODEN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46297</v>
      </c>
      <c r="F768" t="inlineStr">
        <is>
          <t>NORRBOTTENS LÄN</t>
        </is>
      </c>
      <c r="G768" t="inlineStr">
        <is>
          <t>BODEN</t>
        </is>
      </c>
      <c r="I768" t="n">
        <v>23.1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46297</v>
      </c>
      <c r="F769" t="inlineStr">
        <is>
          <t>NORRBOTTENS LÄN</t>
        </is>
      </c>
      <c r="G769" t="inlineStr">
        <is>
          <t>BODEN</t>
        </is>
      </c>
      <c r="I769" t="n">
        <v>6.5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28432-2022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44747</v>
      </c>
      <c r="E770" s="1" t="n">
        <v>46297</v>
      </c>
      <c r="F770" t="inlineStr">
        <is>
          <t>NORRBOTTENS LÄN</t>
        </is>
      </c>
      <c r="G770" t="inlineStr">
        <is>
          <t>BODEN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21421-2022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44706</v>
      </c>
      <c r="E771" s="1" t="n">
        <v>46297</v>
      </c>
      <c r="F771" t="inlineStr">
        <is>
          <t>NORRBOTTENS LÄN</t>
        </is>
      </c>
      <c r="G771" t="inlineStr">
        <is>
          <t>BODEN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32087-2026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46234</v>
      </c>
      <c r="E772" s="1" t="n">
        <v>46297</v>
      </c>
      <c r="F772" t="inlineStr">
        <is>
          <t>NORRBOTTENS LÄN</t>
        </is>
      </c>
      <c r="G772" t="inlineStr">
        <is>
          <t>BODEN</t>
        </is>
      </c>
      <c r="H772" t="inlineStr">
        <is>
          <t>SCA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53840-2022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44880</v>
      </c>
      <c r="E773" s="1" t="n">
        <v>46297</v>
      </c>
      <c r="F773" t="inlineStr">
        <is>
          <t>NORRBOTTENS LÄN</t>
        </is>
      </c>
      <c r="G773" t="inlineStr">
        <is>
          <t>BODEN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9969-2023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44979</v>
      </c>
      <c r="E774" s="1" t="n">
        <v>46297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statliga verk och myndigheter</t>
        </is>
      </c>
      <c r="I774" t="n">
        <v>18.8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877-2023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44931</v>
      </c>
      <c r="E775" s="1" t="n">
        <v>46297</v>
      </c>
      <c r="F775" t="inlineStr">
        <is>
          <t>NORRBOTTENS LÄN</t>
        </is>
      </c>
      <c r="G775" t="inlineStr">
        <is>
          <t>BODEN</t>
        </is>
      </c>
      <c r="I775" t="n">
        <v>8.699999999999999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46234</v>
      </c>
      <c r="E776" s="1" t="n">
        <v>46297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43648-2023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45187</v>
      </c>
      <c r="E777" s="1" t="n">
        <v>46297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46234</v>
      </c>
      <c r="E778" s="1" t="n">
        <v>46297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45591</v>
      </c>
      <c r="E779" s="1" t="n">
        <v>46297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46281</v>
      </c>
      <c r="E780" s="1" t="n">
        <v>46297</v>
      </c>
      <c r="F780" t="inlineStr">
        <is>
          <t>NORRBOTTENS LÄN</t>
        </is>
      </c>
      <c r="G780" t="inlineStr">
        <is>
          <t>BODEN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38272-2026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46281</v>
      </c>
      <c r="E781" s="1" t="n">
        <v>46297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38212-2026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46281</v>
      </c>
      <c r="E782" s="1" t="n">
        <v>46297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Aktiebolag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45014</v>
      </c>
      <c r="E783" s="1" t="n">
        <v>46297</v>
      </c>
      <c r="F783" t="inlineStr">
        <is>
          <t>NORRBOTTENS LÄN</t>
        </is>
      </c>
      <c r="G783" t="inlineStr">
        <is>
          <t>BODEN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38259-2026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46281</v>
      </c>
      <c r="E784" s="1" t="n">
        <v>46297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45544</v>
      </c>
      <c r="E785" s="1" t="n">
        <v>46297</v>
      </c>
      <c r="F785" t="inlineStr">
        <is>
          <t>NORRBOTTENS LÄN</t>
        </is>
      </c>
      <c r="G785" t="inlineStr">
        <is>
          <t>BODEN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46238</v>
      </c>
      <c r="E786" s="1" t="n">
        <v>46297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32427-2026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46238</v>
      </c>
      <c r="E787" s="1" t="n">
        <v>46297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12801-2023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45001</v>
      </c>
      <c r="E788" s="1" t="n">
        <v>46297</v>
      </c>
      <c r="F788" t="inlineStr">
        <is>
          <t>NORRBOTTENS LÄN</t>
        </is>
      </c>
      <c r="G788" t="inlineStr">
        <is>
          <t>BODEN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6244-2023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44964</v>
      </c>
      <c r="E789" s="1" t="n">
        <v>46297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32562-2026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46297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26.6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29309-2023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45105</v>
      </c>
      <c r="E791" s="1" t="n">
        <v>46297</v>
      </c>
      <c r="F791" t="inlineStr">
        <is>
          <t>NORRBOTTENS LÄN</t>
        </is>
      </c>
      <c r="G791" t="inlineStr">
        <is>
          <t>BODEN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32674-2026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46240</v>
      </c>
      <c r="E792" s="1" t="n">
        <v>46297</v>
      </c>
      <c r="F792" t="inlineStr">
        <is>
          <t>NORRBOTTENS LÄN</t>
        </is>
      </c>
      <c r="G792" t="inlineStr">
        <is>
          <t>BODEN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32678-2026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46240</v>
      </c>
      <c r="E793" s="1" t="n">
        <v>46297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3462-2022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44585</v>
      </c>
      <c r="E794" s="1" t="n">
        <v>46297</v>
      </c>
      <c r="F794" t="inlineStr">
        <is>
          <t>NORRBOTTENS LÄN</t>
        </is>
      </c>
      <c r="G794" t="inlineStr">
        <is>
          <t>BODEN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35561-2025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45856</v>
      </c>
      <c r="E795" s="1" t="n">
        <v>46297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38576-2026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46283</v>
      </c>
      <c r="E796" s="1" t="n">
        <v>46297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46564-2022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44847</v>
      </c>
      <c r="E797" s="1" t="n">
        <v>46297</v>
      </c>
      <c r="F797" t="inlineStr">
        <is>
          <t>NORRBOTTENS LÄN</t>
        </is>
      </c>
      <c r="G797" t="inlineStr">
        <is>
          <t>BODEN</t>
        </is>
      </c>
      <c r="I797" t="n">
        <v>28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31203-2025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45832</v>
      </c>
      <c r="E798" s="1" t="n">
        <v>46297</v>
      </c>
      <c r="F798" t="inlineStr">
        <is>
          <t>NORRBOTTENS LÄN</t>
        </is>
      </c>
      <c r="G798" t="inlineStr">
        <is>
          <t>BODEN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38574-2026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46283</v>
      </c>
      <c r="E799" s="1" t="n">
        <v>46297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45316</v>
      </c>
      <c r="E800" s="1" t="n">
        <v>46297</v>
      </c>
      <c r="F800" t="inlineStr">
        <is>
          <t>NORRBOTTENS LÄN</t>
        </is>
      </c>
      <c r="G800" t="inlineStr">
        <is>
          <t>BODEN</t>
        </is>
      </c>
      <c r="I800" t="n">
        <v>8.800000000000001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73910-2021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44552</v>
      </c>
      <c r="E801" s="1" t="n">
        <v>46297</v>
      </c>
      <c r="F801" t="inlineStr">
        <is>
          <t>NORRBOTTENS LÄN</t>
        </is>
      </c>
      <c r="G801" t="inlineStr">
        <is>
          <t>BODEN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8776-2022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44614</v>
      </c>
      <c r="E802" s="1" t="n">
        <v>46297</v>
      </c>
      <c r="F802" t="inlineStr">
        <is>
          <t>NORRBOTTENS LÄN</t>
        </is>
      </c>
      <c r="G802" t="inlineStr">
        <is>
          <t>BODEN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26806-2024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45470</v>
      </c>
      <c r="E803" s="1" t="n">
        <v>46297</v>
      </c>
      <c r="F803" t="inlineStr">
        <is>
          <t>NORRBOTTENS LÄN</t>
        </is>
      </c>
      <c r="G803" t="inlineStr">
        <is>
          <t>BODEN</t>
        </is>
      </c>
      <c r="H803" t="inlineStr">
        <is>
          <t>Övriga Aktiebolag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28496-2026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46297</v>
      </c>
      <c r="F804" t="inlineStr">
        <is>
          <t>NORRBOTTENS LÄN</t>
        </is>
      </c>
      <c r="G804" t="inlineStr">
        <is>
          <t>BODEN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47423-2024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45587</v>
      </c>
      <c r="E805" s="1" t="n">
        <v>46297</v>
      </c>
      <c r="F805" t="inlineStr">
        <is>
          <t>NORRBOTTENS LÄN</t>
        </is>
      </c>
      <c r="G805" t="inlineStr">
        <is>
          <t>BODEN</t>
        </is>
      </c>
      <c r="I805" t="n">
        <v>17.2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708-2022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44566</v>
      </c>
      <c r="E806" s="1" t="n">
        <v>46297</v>
      </c>
      <c r="F806" t="inlineStr">
        <is>
          <t>NORRBOTTENS LÄN</t>
        </is>
      </c>
      <c r="G806" t="inlineStr">
        <is>
          <t>BODEN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39007-2026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46297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45685</v>
      </c>
      <c r="E808" s="1" t="n">
        <v>46297</v>
      </c>
      <c r="F808" t="inlineStr">
        <is>
          <t>NORRBOTTENS LÄN</t>
        </is>
      </c>
      <c r="G808" t="inlineStr">
        <is>
          <t>BODEN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37791-2024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45543</v>
      </c>
      <c r="E809" s="1" t="n">
        <v>46297</v>
      </c>
      <c r="F809" t="inlineStr">
        <is>
          <t>NORRBOTTENS LÄN</t>
        </is>
      </c>
      <c r="G809" t="inlineStr">
        <is>
          <t>BODEN</t>
        </is>
      </c>
      <c r="I809" t="n">
        <v>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29183-2026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46297</v>
      </c>
      <c r="F810" t="inlineStr">
        <is>
          <t>NORRBOTTENS LÄN</t>
        </is>
      </c>
      <c r="G810" t="inlineStr">
        <is>
          <t>BODEN</t>
        </is>
      </c>
      <c r="I810" t="n">
        <v>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39220-2026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46297</v>
      </c>
      <c r="F811" t="inlineStr">
        <is>
          <t>NORRBOTTENS LÄN</t>
        </is>
      </c>
      <c r="G811" t="inlineStr">
        <is>
          <t>BODEN</t>
        </is>
      </c>
      <c r="H811" t="inlineStr">
        <is>
          <t>Övriga Aktiebolag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57563-2023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45246</v>
      </c>
      <c r="E812" s="1" t="n">
        <v>46297</v>
      </c>
      <c r="F812" t="inlineStr">
        <is>
          <t>NORRBOTTENS LÄN</t>
        </is>
      </c>
      <c r="G812" t="inlineStr">
        <is>
          <t>BODEN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45035-2022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44841</v>
      </c>
      <c r="E813" s="1" t="n">
        <v>46297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18436-2025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45762</v>
      </c>
      <c r="E814" s="1" t="n">
        <v>46297</v>
      </c>
      <c r="F814" t="inlineStr">
        <is>
          <t>NORRBOTTENS LÄN</t>
        </is>
      </c>
      <c r="G814" t="inlineStr">
        <is>
          <t>BODEN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45476</v>
      </c>
      <c r="E815" s="1" t="n">
        <v>46297</v>
      </c>
      <c r="F815" t="inlineStr">
        <is>
          <t>NORRBOTTENS LÄN</t>
        </is>
      </c>
      <c r="G815" t="inlineStr">
        <is>
          <t>BODEN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39943-2026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46290</v>
      </c>
      <c r="E816" s="1" t="n">
        <v>46297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11.1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39521-2026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46289</v>
      </c>
      <c r="E817" s="1" t="n">
        <v>46297</v>
      </c>
      <c r="F817" t="inlineStr">
        <is>
          <t>NORRBOTTENS LÄN</t>
        </is>
      </c>
      <c r="G817" t="inlineStr">
        <is>
          <t>BODEN</t>
        </is>
      </c>
      <c r="I817" t="n">
        <v>24.6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23232-2024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45453</v>
      </c>
      <c r="E818" s="1" t="n">
        <v>46297</v>
      </c>
      <c r="F818" t="inlineStr">
        <is>
          <t>NORRBOTTENS LÄN</t>
        </is>
      </c>
      <c r="G818" t="inlineStr">
        <is>
          <t>BODEN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33326-2026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46297</v>
      </c>
      <c r="F819" t="inlineStr">
        <is>
          <t>NORRBOTTENS LÄN</t>
        </is>
      </c>
      <c r="G819" t="inlineStr">
        <is>
          <t>BODEN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30105-2023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45099</v>
      </c>
      <c r="E820" s="1" t="n">
        <v>46297</v>
      </c>
      <c r="F820" t="inlineStr">
        <is>
          <t>NORRBOTTENS LÄN</t>
        </is>
      </c>
      <c r="G820" t="inlineStr">
        <is>
          <t>BODEN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61588-2024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46297</v>
      </c>
      <c r="F821" t="inlineStr">
        <is>
          <t>NORRBOTTENS LÄN</t>
        </is>
      </c>
      <c r="G821" t="inlineStr">
        <is>
          <t>BODEN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46297</v>
      </c>
      <c r="F822" t="inlineStr">
        <is>
          <t>NORRBOTTENS LÄN</t>
        </is>
      </c>
      <c r="G822" t="inlineStr">
        <is>
          <t>BODEN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40151-2026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46293</v>
      </c>
      <c r="E823" s="1" t="n">
        <v>46297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45770</v>
      </c>
      <c r="E824" s="1" t="n">
        <v>46297</v>
      </c>
      <c r="F824" t="inlineStr">
        <is>
          <t>NORRBOTTENS LÄN</t>
        </is>
      </c>
      <c r="G824" t="inlineStr">
        <is>
          <t>BODEN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40028-2026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46297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23706-2024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45454</v>
      </c>
      <c r="E826" s="1" t="n">
        <v>46297</v>
      </c>
      <c r="F826" t="inlineStr">
        <is>
          <t>NORRBOTTENS LÄN</t>
        </is>
      </c>
      <c r="G826" t="inlineStr">
        <is>
          <t>BODEN</t>
        </is>
      </c>
      <c r="I826" t="n">
        <v>10.9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19582-2025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46297</v>
      </c>
      <c r="F827" t="inlineStr">
        <is>
          <t>NORRBOTTENS LÄN</t>
        </is>
      </c>
      <c r="G827" t="inlineStr">
        <is>
          <t>BODEN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2732-2025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45677</v>
      </c>
      <c r="E828" s="1" t="n">
        <v>46297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18569-2024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45425</v>
      </c>
      <c r="E829" s="1" t="n">
        <v>46297</v>
      </c>
      <c r="F829" t="inlineStr">
        <is>
          <t>NORRBOTTENS LÄN</t>
        </is>
      </c>
      <c r="G829" t="inlineStr">
        <is>
          <t>BODEN</t>
        </is>
      </c>
      <c r="I829" t="n">
        <v>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40434-2026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46294</v>
      </c>
      <c r="E830" s="1" t="n">
        <v>46297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19968-2025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45771</v>
      </c>
      <c r="E831" s="1" t="n">
        <v>46297</v>
      </c>
      <c r="F831" t="inlineStr">
        <is>
          <t>NORRBOTTENS LÄN</t>
        </is>
      </c>
      <c r="G831" t="inlineStr">
        <is>
          <t>BODEN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46297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8.300000000000001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33034-2023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45125</v>
      </c>
      <c r="E833" s="1" t="n">
        <v>46297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33671-2026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46248</v>
      </c>
      <c r="E834" s="1" t="n">
        <v>46297</v>
      </c>
      <c r="F834" t="inlineStr">
        <is>
          <t>NORRBOTTENS LÄN</t>
        </is>
      </c>
      <c r="G834" t="inlineStr">
        <is>
          <t>BODEN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62140-2024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45646</v>
      </c>
      <c r="E835" s="1" t="n">
        <v>46297</v>
      </c>
      <c r="F835" t="inlineStr">
        <is>
          <t>NORRBOTTENS LÄN</t>
        </is>
      </c>
      <c r="G835" t="inlineStr">
        <is>
          <t>BODEN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46297</v>
      </c>
      <c r="F836" t="inlineStr">
        <is>
          <t>NORRBOTTENS LÄN</t>
        </is>
      </c>
      <c r="G836" t="inlineStr">
        <is>
          <t>BODEN</t>
        </is>
      </c>
      <c r="H836" t="inlineStr">
        <is>
          <t>Naturvårdsverket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45766</v>
      </c>
      <c r="E837" s="1" t="n">
        <v>46297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40701-2026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46296</v>
      </c>
      <c r="E838" s="1" t="n">
        <v>46297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34158-2026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46253</v>
      </c>
      <c r="E839" s="1" t="n">
        <v>46297</v>
      </c>
      <c r="F839" t="inlineStr">
        <is>
          <t>NORRBOTTENS LÄN</t>
        </is>
      </c>
      <c r="G839" t="inlineStr">
        <is>
          <t>BODEN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40708-2026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46296</v>
      </c>
      <c r="E840" s="1" t="n">
        <v>46297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58504-2024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45635</v>
      </c>
      <c r="E841" s="1" t="n">
        <v>46297</v>
      </c>
      <c r="F841" t="inlineStr">
        <is>
          <t>NORRBOTTENS LÄN</t>
        </is>
      </c>
      <c r="G841" t="inlineStr">
        <is>
          <t>BODEN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33790-2026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46251</v>
      </c>
      <c r="E842" s="1" t="n">
        <v>46297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28357-2023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45099</v>
      </c>
      <c r="E843" s="1" t="n">
        <v>46297</v>
      </c>
      <c r="F843" t="inlineStr">
        <is>
          <t>NORRBOTTENS LÄN</t>
        </is>
      </c>
      <c r="G843" t="inlineStr">
        <is>
          <t>BODEN</t>
        </is>
      </c>
      <c r="I843" t="n">
        <v>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33864-2026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46251</v>
      </c>
      <c r="E844" s="1" t="n">
        <v>46297</v>
      </c>
      <c r="F844" t="inlineStr">
        <is>
          <t>NORRBOTTENS LÄN</t>
        </is>
      </c>
      <c r="G844" t="inlineStr">
        <is>
          <t>BODEN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15017-2022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44657</v>
      </c>
      <c r="E845" s="1" t="n">
        <v>46297</v>
      </c>
      <c r="F845" t="inlineStr">
        <is>
          <t>NORRBOTTENS LÄN</t>
        </is>
      </c>
      <c r="G845" t="inlineStr">
        <is>
          <t>BODEN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46254</v>
      </c>
      <c r="E846" s="1" t="n">
        <v>46297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18.5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61487-2023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45264</v>
      </c>
      <c r="E847" s="1" t="n">
        <v>46297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8028-2024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45350</v>
      </c>
      <c r="E848" s="1" t="n">
        <v>46297</v>
      </c>
      <c r="F848" t="inlineStr">
        <is>
          <t>NORRBOTTENS LÄN</t>
        </is>
      </c>
      <c r="G848" t="inlineStr">
        <is>
          <t>BODEN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12562-2024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45379</v>
      </c>
      <c r="E849" s="1" t="n">
        <v>46297</v>
      </c>
      <c r="F849" t="inlineStr">
        <is>
          <t>NORRBOTTENS LÄN</t>
        </is>
      </c>
      <c r="G849" t="inlineStr">
        <is>
          <t>BODEN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34462-2026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46254</v>
      </c>
      <c r="E850" s="1" t="n">
        <v>46297</v>
      </c>
      <c r="F850" t="inlineStr">
        <is>
          <t>NORRBOTTENS LÄN</t>
        </is>
      </c>
      <c r="G850" t="inlineStr">
        <is>
          <t>BODEN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46297</v>
      </c>
      <c r="F851" t="inlineStr">
        <is>
          <t>NORRBOTTENS LÄN</t>
        </is>
      </c>
      <c r="G851" t="inlineStr">
        <is>
          <t>BODEN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57873-2021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44484</v>
      </c>
      <c r="E852" s="1" t="n">
        <v>46297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57895-2021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44486</v>
      </c>
      <c r="E853" s="1" t="n">
        <v>46297</v>
      </c>
      <c r="F853" t="inlineStr">
        <is>
          <t>NORRBOTTENS LÄN</t>
        </is>
      </c>
      <c r="G853" t="inlineStr">
        <is>
          <t>BODEN</t>
        </is>
      </c>
      <c r="I853" t="n">
        <v>9.199999999999999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34022-2026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46252</v>
      </c>
      <c r="E854" s="1" t="n">
        <v>46297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48129-2023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46297</v>
      </c>
      <c r="F855" t="inlineStr">
        <is>
          <t>NORRBOTTENS LÄN</t>
        </is>
      </c>
      <c r="G855" t="inlineStr">
        <is>
          <t>BODEN</t>
        </is>
      </c>
      <c r="I855" t="n">
        <v>7.1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17417-2023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45035</v>
      </c>
      <c r="E856" s="1" t="n">
        <v>46297</v>
      </c>
      <c r="F856" t="inlineStr">
        <is>
          <t>NORRBOTTENS LÄN</t>
        </is>
      </c>
      <c r="G856" t="inlineStr">
        <is>
          <t>BODEN</t>
        </is>
      </c>
      <c r="I856" t="n">
        <v>3.8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6638-2024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45341</v>
      </c>
      <c r="E857" s="1" t="n">
        <v>46297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statliga verk och myndigheter</t>
        </is>
      </c>
      <c r="I857" t="n">
        <v>12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61932-2024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45653</v>
      </c>
      <c r="E858" s="1" t="n">
        <v>46297</v>
      </c>
      <c r="F858" t="inlineStr">
        <is>
          <t>NORRBOTTENS LÄN</t>
        </is>
      </c>
      <c r="G858" t="inlineStr">
        <is>
          <t>BODEN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41212-2023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46297</v>
      </c>
      <c r="F859" t="inlineStr">
        <is>
          <t>NORRBOTTENS LÄN</t>
        </is>
      </c>
      <c r="G859" t="inlineStr">
        <is>
          <t>BODEN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42995-2022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44833</v>
      </c>
      <c r="E860" s="1" t="n">
        <v>46297</v>
      </c>
      <c r="F860" t="inlineStr">
        <is>
          <t>NORRBOTTENS LÄN</t>
        </is>
      </c>
      <c r="G860" t="inlineStr">
        <is>
          <t>BODEN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59893-2023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45254</v>
      </c>
      <c r="E861" s="1" t="n">
        <v>46297</v>
      </c>
      <c r="F861" t="inlineStr">
        <is>
          <t>NORRBOTTENS LÄN</t>
        </is>
      </c>
      <c r="G861" t="inlineStr">
        <is>
          <t>BODEN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1017-2023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44935</v>
      </c>
      <c r="E862" s="1" t="n">
        <v>46297</v>
      </c>
      <c r="F862" t="inlineStr">
        <is>
          <t>NORRBOTTENS LÄN</t>
        </is>
      </c>
      <c r="G862" t="inlineStr">
        <is>
          <t>BODEN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56837-2023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45244</v>
      </c>
      <c r="E863" s="1" t="n">
        <v>46297</v>
      </c>
      <c r="F863" t="inlineStr">
        <is>
          <t>NORRBOTTENS LÄN</t>
        </is>
      </c>
      <c r="G863" t="inlineStr">
        <is>
          <t>BODEN</t>
        </is>
      </c>
      <c r="H863" t="inlineStr">
        <is>
          <t>Övriga statliga verk och myndigheter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61969-2024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45653</v>
      </c>
      <c r="E864" s="1" t="n">
        <v>46297</v>
      </c>
      <c r="F864" t="inlineStr">
        <is>
          <t>NORRBOTTENS LÄN</t>
        </is>
      </c>
      <c r="G864" t="inlineStr">
        <is>
          <t>BODEN</t>
        </is>
      </c>
      <c r="I864" t="n">
        <v>9.699999999999999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1961-2025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45672</v>
      </c>
      <c r="E865" s="1" t="n">
        <v>46297</v>
      </c>
      <c r="F865" t="inlineStr">
        <is>
          <t>NORRBOTTENS LÄN</t>
        </is>
      </c>
      <c r="G865" t="inlineStr">
        <is>
          <t>BODEN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19624-2025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45770</v>
      </c>
      <c r="E866" s="1" t="n">
        <v>46297</v>
      </c>
      <c r="F866" t="inlineStr">
        <is>
          <t>NORRBOTTENS LÄN</t>
        </is>
      </c>
      <c r="G866" t="inlineStr">
        <is>
          <t>BODEN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28079-2024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45476</v>
      </c>
      <c r="E867" s="1" t="n">
        <v>46297</v>
      </c>
      <c r="F867" t="inlineStr">
        <is>
          <t>NORRBOTTENS LÄN</t>
        </is>
      </c>
      <c r="G867" t="inlineStr">
        <is>
          <t>BODEN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19048-2025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45764</v>
      </c>
      <c r="E868" s="1" t="n">
        <v>46297</v>
      </c>
      <c r="F868" t="inlineStr">
        <is>
          <t>NORRBOTTENS LÄN</t>
        </is>
      </c>
      <c r="G868" t="inlineStr">
        <is>
          <t>BODEN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19050-2025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45764</v>
      </c>
      <c r="E869" s="1" t="n">
        <v>46297</v>
      </c>
      <c r="F869" t="inlineStr">
        <is>
          <t>NORRBOTTENS LÄN</t>
        </is>
      </c>
      <c r="G869" t="inlineStr">
        <is>
          <t>BODEN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54236-2022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44881</v>
      </c>
      <c r="E870" s="1" t="n">
        <v>46297</v>
      </c>
      <c r="F870" t="inlineStr">
        <is>
          <t>NORRBOTTENS LÄN</t>
        </is>
      </c>
      <c r="G870" t="inlineStr">
        <is>
          <t>BODEN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14801-2024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45397</v>
      </c>
      <c r="E871" s="1" t="n">
        <v>46297</v>
      </c>
      <c r="F871" t="inlineStr">
        <is>
          <t>NORRBOTTENS LÄN</t>
        </is>
      </c>
      <c r="G871" t="inlineStr">
        <is>
          <t>BODEN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14802-2024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45397</v>
      </c>
      <c r="E872" s="1" t="n">
        <v>46297</v>
      </c>
      <c r="F872" t="inlineStr">
        <is>
          <t>NORRBOTTENS LÄN</t>
        </is>
      </c>
      <c r="G872" t="inlineStr">
        <is>
          <t>BODEN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13925-2024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45391</v>
      </c>
      <c r="E873" s="1" t="n">
        <v>46297</v>
      </c>
      <c r="F873" t="inlineStr">
        <is>
          <t>NORRBOTTENS LÄN</t>
        </is>
      </c>
      <c r="G873" t="inlineStr">
        <is>
          <t>BODEN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21128-2025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45778</v>
      </c>
      <c r="E874" s="1" t="n">
        <v>46297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21349-2025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45782</v>
      </c>
      <c r="E875" s="1" t="n">
        <v>46297</v>
      </c>
      <c r="F875" t="inlineStr">
        <is>
          <t>NORRBOTTENS LÄN</t>
        </is>
      </c>
      <c r="G875" t="inlineStr">
        <is>
          <t>BODEN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22372-2025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45786</v>
      </c>
      <c r="E876" s="1" t="n">
        <v>46297</v>
      </c>
      <c r="F876" t="inlineStr">
        <is>
          <t>NORRBOTTENS LÄN</t>
        </is>
      </c>
      <c r="G876" t="inlineStr">
        <is>
          <t>BODEN</t>
        </is>
      </c>
      <c r="H876" t="inlineStr">
        <is>
          <t>Kommuner</t>
        </is>
      </c>
      <c r="I876" t="n">
        <v>16.3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45149</v>
      </c>
      <c r="E877" s="1" t="n">
        <v>46297</v>
      </c>
      <c r="F877" t="inlineStr">
        <is>
          <t>NORRBOTTENS LÄN</t>
        </is>
      </c>
      <c r="G877" t="inlineStr">
        <is>
          <t>BODEN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46297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46297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46297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46297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46297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46297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46297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46297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46297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46297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46297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46297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46297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46297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46297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46297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46297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46297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46297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46297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46297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46297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2026-10-02T02:02:51Z</dcterms:created>
  <dcterms:modified xmlns:dcterms="http://purl.org/dc/terms/" xmlns:xsi="http://www.w3.org/2001/XMLSchema-instance" xsi:type="dcterms:W3CDTF">2026-10-02T02:02:52Z</dcterms:modified>
</cp:coreProperties>
</file>