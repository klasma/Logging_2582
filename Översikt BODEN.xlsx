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46234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46234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46234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46234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46234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46234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46234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46234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46234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46234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23044-2025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45790</v>
      </c>
      <c r="E12" s="1" t="n">
        <v>46234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6.1</v>
      </c>
      <c r="J12" t="n">
        <v>3</v>
      </c>
      <c r="K12" t="n">
        <v>2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21</v>
      </c>
      <c r="U12" t="n">
        <v>21</v>
      </c>
      <c r="V12" s="2" t="inlineStr">
        <is>
          <t>Blå taggsvamp
Dropptaggsvamp
Talltagel
Talltita
Vedflamlav
Vedskivlav
Violmussling
Bollvitmossa
Plattlummer
Tjäder</t>
        </is>
      </c>
      <c r="W12">
        <f>HYPERLINK("https://klasma.github.io/Logging_2582/artfynd/A 23044-2025 artfynd.xlsx", "A 23044-2025")</f>
        <v/>
      </c>
      <c r="X12">
        <f>HYPERLINK("https://klasma.github.io/Logging_2582/kartor/A 23044-2025 karta.png", "A 23044-2025")</f>
        <v/>
      </c>
      <c r="Y12">
        <f>HYPERLINK("https://klasma.github.io/Logging_2582/kartor_geotiff/A 23044-2025 georefererad karta.tif", "A 23044-2025")</f>
        <v/>
      </c>
      <c r="AA12">
        <f>HYPERLINK("https://klasma.github.io/Logging_2582/klagomål/A 23044-2025 FSC-klagomål.docx", "A 23044-2025")</f>
        <v/>
      </c>
      <c r="AB12">
        <f>HYPERLINK("https://klasma.github.io/Logging_2582/klagomålsmail/A 23044-2025 FSC-klagomål mail.docx", "A 23044-2025")</f>
        <v/>
      </c>
      <c r="AC12">
        <f>HYPERLINK("https://klasma.github.io/Logging_2582/tillsyn/A 23044-2025 tillsynsbegäran.docx", "A 23044-2025")</f>
        <v/>
      </c>
      <c r="AD12">
        <f>HYPERLINK("https://klasma.github.io/Logging_2582/tillsynsmail/A 23044-2025 tillsynsbegäran mail.docx", "A 23044-2025")</f>
        <v/>
      </c>
      <c r="AE12">
        <f>HYPERLINK("https://klasma.github.io/Logging_2582/fåglar/A 23044-2025 prioriterade fågelarter.docx", "A 23044-2025")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46234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46234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S 1319-2026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46149</v>
      </c>
      <c r="E15" s="1" t="n">
        <v>46234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642.7</v>
      </c>
      <c r="J15" t="n">
        <v>7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10</v>
      </c>
      <c r="T15" t="n">
        <v>11</v>
      </c>
      <c r="U15" t="n">
        <v>0</v>
      </c>
      <c r="V15" s="2" t="inlineStr">
        <is>
          <t>Garnlav
Lunglav
Rödvingetrast
Talltita
Hässlebrodd
Tjäder
Buskskvätta
Grönsiska
Kungsfågel
Fläcknycklar</t>
        </is>
      </c>
      <c r="W15">
        <f>HYPERLINK("https://klasma.github.io/Logging_2582/artfynd/S 1319-2026 artfynd.xlsx", "S 1319-2026")</f>
        <v/>
      </c>
      <c r="X15">
        <f>HYPERLINK("https://klasma.github.io/Logging_2582/kartor/S 1319-2026 karta.png", "S 1319-2026")</f>
        <v/>
      </c>
      <c r="Y15">
        <f>HYPERLINK("https://klasma.github.io/Logging_2582/kartor_geotiff/S 1319-2026 georefererad karta.tif", "S 1319-2026")</f>
        <v/>
      </c>
      <c r="AA15">
        <f>HYPERLINK("https://klasma.github.io/Logging_2582/klagomål/S 1319-2026 FSC-klagomål.docx", "S 1319-2026")</f>
        <v/>
      </c>
      <c r="AB15">
        <f>HYPERLINK("https://klasma.github.io/Logging_2582/klagomålsmail/S 1319-2026 FSC-klagomål mail.docx", "S 1319-2026")</f>
        <v/>
      </c>
      <c r="AC15">
        <f>HYPERLINK("https://klasma.github.io/Logging_2582/tillsyn/S 1319-2026 tillsynsbegäran.docx", "S 1319-2026")</f>
        <v/>
      </c>
      <c r="AD15">
        <f>HYPERLINK("https://klasma.github.io/Logging_2582/tillsynsmail/S 1319-2026 tillsynsbegäran mail.docx", "S 1319-2026")</f>
        <v/>
      </c>
      <c r="AE15">
        <f>HYPERLINK("https://klasma.github.io/Logging_2582/fåglar/S 1319-2026 prioriterade fågelarter.docx", "S 1319-2026")</f>
        <v/>
      </c>
    </row>
    <row r="16" ht="15" customHeight="1">
      <c r="A16" t="inlineStr">
        <is>
          <t>A 56172-2022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46234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4</v>
      </c>
      <c r="J16" t="n">
        <v>0</v>
      </c>
      <c r="K16" t="n">
        <v>5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9</v>
      </c>
      <c r="T16" t="n">
        <v>25</v>
      </c>
      <c r="U16" t="n">
        <v>4</v>
      </c>
      <c r="V16" s="2" t="inlineStr">
        <is>
          <t>Garnlav
Lunglav
Stiftgelélav
Violettgrå tagellav
Bårdlav
Luddlav
Rävticka
Skinnlav
Stuplav</t>
        </is>
      </c>
      <c r="W16">
        <f>HYPERLINK("https://klasma.github.io/Logging_2582/artfynd/A 56172-2022 artfynd.xlsx", "A 56172-2022")</f>
        <v/>
      </c>
      <c r="X16">
        <f>HYPERLINK("https://klasma.github.io/Logging_2582/kartor/A 56172-2022 karta.png", "A 56172-2022")</f>
        <v/>
      </c>
      <c r="Y16">
        <f>HYPERLINK("https://klasma.github.io/Logging_2582/kartor_geotiff/A 56172-2022 georefererad karta.tif", "A 56172-2022")</f>
        <v/>
      </c>
      <c r="AA16">
        <f>HYPERLINK("https://klasma.github.io/Logging_2582/klagomål/A 56172-2022 FSC-klagomål.docx", "A 56172-2022")</f>
        <v/>
      </c>
      <c r="AB16">
        <f>HYPERLINK("https://klasma.github.io/Logging_2582/klagomålsmail/A 56172-2022 FSC-klagomål mail.docx", "A 56172-2022")</f>
        <v/>
      </c>
      <c r="AC16">
        <f>HYPERLINK("https://klasma.github.io/Logging_2582/tillsyn/A 56172-2022 tillsynsbegäran.docx", "A 56172-2022")</f>
        <v/>
      </c>
      <c r="AD16">
        <f>HYPERLINK("https://klasma.github.io/Logging_2582/tillsynsmail/A 56172-2022 tillsynsbegäran mail.docx", "A 56172-2022")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46234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t="n">
        <v>0</v>
      </c>
      <c r="V17" s="2" t="inlineStr">
        <is>
          <t>Knärot
Dropptaggsvamp
Höstlåsbräken
Orange taggsvamp
Tallticka
Grönpyrola
Skinnlav
Vedticka</t>
        </is>
      </c>
      <c r="W17">
        <f>HYPERLINK("https://klasma.github.io/Logging_2582/artfynd/A 19812-2025 artfynd.xlsx", "A 19812-2025")</f>
        <v/>
      </c>
      <c r="X17">
        <f>HYPERLINK("https://klasma.github.io/Logging_2582/kartor/A 19812-2025 karta.png", "A 19812-2025")</f>
        <v/>
      </c>
      <c r="Y17">
        <f>HYPERLINK("https://klasma.github.io/Logging_2582/kartor_geotiff/A 19812-2025 georefererad karta.tif", "A 19812-2025")</f>
        <v/>
      </c>
      <c r="Z17">
        <f>HYPERLINK("https://klasma.github.io/Logging_2582/knärot/A 19812-2025 karta knärot.png", "A 19812-2025")</f>
        <v/>
      </c>
      <c r="AA17">
        <f>HYPERLINK("https://klasma.github.io/Logging_2582/klagomål/A 19812-2025 FSC-klagomål.docx", "A 19812-2025")</f>
        <v/>
      </c>
      <c r="AB17">
        <f>HYPERLINK("https://klasma.github.io/Logging_2582/klagomålsmail/A 19812-2025 FSC-klagomål mail.docx", "A 19812-2025")</f>
        <v/>
      </c>
      <c r="AC17">
        <f>HYPERLINK("https://klasma.github.io/Logging_2582/tillsyn/A 19812-2025 tillsynsbegäran.docx", "A 19812-2025")</f>
        <v/>
      </c>
      <c r="AD17">
        <f>HYPERLINK("https://klasma.github.io/Logging_2582/tillsynsmail/A 19812-2025 tillsynsbegäran mail.docx", "A 19812-2025")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46234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49753-2022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44859</v>
      </c>
      <c r="E19" s="1" t="n">
        <v>46234</v>
      </c>
      <c r="F19" t="inlineStr">
        <is>
          <t>NORRBOTTENS LÄN</t>
        </is>
      </c>
      <c r="G19" t="inlineStr">
        <is>
          <t>BODEN</t>
        </is>
      </c>
      <c r="H19" t="inlineStr">
        <is>
          <t>Övriga statliga verk och myndigheter</t>
        </is>
      </c>
      <c r="I19" t="n">
        <v>21.2</v>
      </c>
      <c r="J19" t="n">
        <v>4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9</v>
      </c>
      <c r="U19" t="n">
        <v>9</v>
      </c>
      <c r="V19" s="2" t="inlineStr">
        <is>
          <t>Garnlav
Motaggsvamp
Talltita
Norrlandslav
Plattlummer
Järpe
Revlummer</t>
        </is>
      </c>
      <c r="W19">
        <f>HYPERLINK("https://klasma.github.io/Logging_2582/artfynd/A 49753-2022 artfynd.xlsx", "A 49753-2022")</f>
        <v/>
      </c>
      <c r="X19">
        <f>HYPERLINK("https://klasma.github.io/Logging_2582/kartor/A 49753-2022 karta.png", "A 49753-2022")</f>
        <v/>
      </c>
      <c r="Y19">
        <f>HYPERLINK("https://klasma.github.io/Logging_2582/kartor_geotiff/A 49753-2022 georefererad karta.tif", "A 49753-2022")</f>
        <v/>
      </c>
      <c r="AA19">
        <f>HYPERLINK("https://klasma.github.io/Logging_2582/klagomål/A 49753-2022 FSC-klagomål.docx", "A 49753-2022")</f>
        <v/>
      </c>
      <c r="AB19">
        <f>HYPERLINK("https://klasma.github.io/Logging_2582/klagomålsmail/A 49753-2022 FSC-klagomål mail.docx", "A 49753-2022")</f>
        <v/>
      </c>
      <c r="AC19">
        <f>HYPERLINK("https://klasma.github.io/Logging_2582/tillsyn/A 49753-2022 tillsynsbegäran.docx", "A 49753-2022")</f>
        <v/>
      </c>
      <c r="AD19">
        <f>HYPERLINK("https://klasma.github.io/Logging_2582/tillsynsmail/A 49753-2022 tillsynsbegäran mail.docx", "A 49753-2022")</f>
        <v/>
      </c>
      <c r="AE19">
        <f>HYPERLINK("https://klasma.github.io/Logging_2582/fåglar/A 49753-2022 prioriterade fågelarter.docx", "A 49753-2022")</f>
        <v/>
      </c>
    </row>
    <row r="20" ht="15" customHeight="1">
      <c r="A20" t="inlineStr">
        <is>
          <t>A 47498-2022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44853</v>
      </c>
      <c r="E20" s="1" t="n">
        <v>46234</v>
      </c>
      <c r="F20" t="inlineStr">
        <is>
          <t>NORRBOTTENS LÄN</t>
        </is>
      </c>
      <c r="G20" t="inlineStr">
        <is>
          <t>BODEN</t>
        </is>
      </c>
      <c r="H20" t="inlineStr">
        <is>
          <t>Kommuner</t>
        </is>
      </c>
      <c r="I20" t="n">
        <v>2.6</v>
      </c>
      <c r="J20" t="n">
        <v>6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7</v>
      </c>
      <c r="U20" t="n">
        <v>7</v>
      </c>
      <c r="V20" s="2" t="inlineStr">
        <is>
          <t>Tornseglare
Järnsparv
Tretåig hackspett
Strutbräken
Spillkråka
Orre
Ärtsångare</t>
        </is>
      </c>
      <c r="W20">
        <f>HYPERLINK("https://klasma.github.io/Logging_2582/artfynd/A 47498-2022 artfynd.xlsx", "A 47498-2022")</f>
        <v/>
      </c>
      <c r="X20">
        <f>HYPERLINK("https://klasma.github.io/Logging_2582/kartor/A 47498-2022 karta.png", "A 47498-2022")</f>
        <v/>
      </c>
      <c r="Y20">
        <f>HYPERLINK("https://klasma.github.io/Logging_2582/kartor_geotiff/A 47498-2022 georefererad karta.tif", "A 47498-2022")</f>
        <v/>
      </c>
      <c r="AA20">
        <f>HYPERLINK("https://klasma.github.io/Logging_2582/klagomål/A 47498-2022 FSC-klagomål.docx", "A 47498-2022")</f>
        <v/>
      </c>
      <c r="AB20">
        <f>HYPERLINK("https://klasma.github.io/Logging_2582/klagomålsmail/A 47498-2022 FSC-klagomål mail.docx", "A 47498-2022")</f>
        <v/>
      </c>
      <c r="AC20">
        <f>HYPERLINK("https://klasma.github.io/Logging_2582/tillsyn/A 47498-2022 tillsynsbegäran.docx", "A 47498-2022")</f>
        <v/>
      </c>
      <c r="AD20">
        <f>HYPERLINK("https://klasma.github.io/Logging_2582/tillsynsmail/A 47498-2022 tillsynsbegäran mail.docx", "A 47498-2022")</f>
        <v/>
      </c>
      <c r="AE20">
        <f>HYPERLINK("https://klasma.github.io/Logging_2582/fåglar/A 47498-2022 prioriterade fågelarter.docx", "A 47498-2022")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46234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46234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51389-2022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46234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15.6</v>
      </c>
      <c r="J23" t="n">
        <v>6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3</v>
      </c>
      <c r="V23" s="2" t="inlineStr">
        <is>
          <t>Pärluggla
Grönsångare
Talltita
Järpe
Tallbit
Orre</t>
        </is>
      </c>
      <c r="W23">
        <f>HYPERLINK("https://klasma.github.io/Logging_2582/artfynd/A 51389-2022 artfynd.xlsx", "A 51389-2022")</f>
        <v/>
      </c>
      <c r="X23">
        <f>HYPERLINK("https://klasma.github.io/Logging_2582/kartor/A 51389-2022 karta.png", "A 51389-2022")</f>
        <v/>
      </c>
      <c r="Y23">
        <f>HYPERLINK("https://klasma.github.io/Logging_2582/kartor_geotiff/A 51389-2022 georefererad karta.tif", "A 51389-2022")</f>
        <v/>
      </c>
      <c r="AA23">
        <f>HYPERLINK("https://klasma.github.io/Logging_2582/klagomål/A 51389-2022 FSC-klagomål.docx", "A 51389-2022")</f>
        <v/>
      </c>
      <c r="AB23">
        <f>HYPERLINK("https://klasma.github.io/Logging_2582/klagomålsmail/A 51389-2022 FSC-klagomål mail.docx", "A 51389-2022")</f>
        <v/>
      </c>
      <c r="AC23">
        <f>HYPERLINK("https://klasma.github.io/Logging_2582/tillsyn/A 51389-2022 tillsynsbegäran.docx", "A 51389-2022")</f>
        <v/>
      </c>
      <c r="AD23">
        <f>HYPERLINK("https://klasma.github.io/Logging_2582/tillsynsmail/A 51389-2022 tillsynsbegäran mail.docx", "A 51389-2022")</f>
        <v/>
      </c>
      <c r="AE23">
        <f>HYPERLINK("https://klasma.github.io/Logging_2582/fåglar/A 51389-2022 prioriterade fågelarter.docx", "A 51389-2022")</f>
        <v/>
      </c>
    </row>
    <row r="24" ht="15" customHeight="1">
      <c r="A24" t="inlineStr">
        <is>
          <t>S 1449-2024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45418</v>
      </c>
      <c r="E24" s="1" t="n">
        <v>46234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2</v>
      </c>
      <c r="V24" s="2" t="inlineStr">
        <is>
          <t>Skrovlig taggsvamp
Nordtagging
Skarp dropptaggsvamp
Vaddporing
Rävticka
Skinnlav</t>
        </is>
      </c>
      <c r="W24">
        <f>HYPERLINK("https://klasma.github.io/Logging_2582/artfynd/S 1449-2024 artfynd.xlsx", "S 1449-2024")</f>
        <v/>
      </c>
      <c r="X24">
        <f>HYPERLINK("https://klasma.github.io/Logging_2582/kartor/S 1449-2024 karta.png", "S 1449-2024")</f>
        <v/>
      </c>
      <c r="Y24">
        <f>HYPERLINK("https://klasma.github.io/Logging_2582/kartor_geotiff/S 1449-2024 georefererad karta.tif", "S 1449-2024")</f>
        <v/>
      </c>
      <c r="AA24">
        <f>HYPERLINK("https://klasma.github.io/Logging_2582/klagomål/S 1449-2024 FSC-klagomål.docx", "S 1449-2024")</f>
        <v/>
      </c>
      <c r="AB24">
        <f>HYPERLINK("https://klasma.github.io/Logging_2582/klagomålsmail/S 1449-2024 FSC-klagomål mail.docx", "S 1449-2024")</f>
        <v/>
      </c>
      <c r="AC24">
        <f>HYPERLINK("https://klasma.github.io/Logging_2582/tillsyn/S 1449-2024 tillsynsbegäran.docx", "S 1449-2024")</f>
        <v/>
      </c>
      <c r="AD24">
        <f>HYPERLINK("https://klasma.github.io/Logging_2582/tillsynsmail/S 1449-2024 tillsynsbegäran mail.docx", "S 1449-2024")</f>
        <v/>
      </c>
    </row>
    <row r="25" ht="15" customHeight="1">
      <c r="A25" t="inlineStr">
        <is>
          <t>S 2311-2024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45463</v>
      </c>
      <c r="E25" s="1" t="n">
        <v>46234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2.3</v>
      </c>
      <c r="J25" t="n">
        <v>3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7</v>
      </c>
      <c r="V25" s="2" t="inlineStr">
        <is>
          <t>Knärot
Orange taggsvamp
Grönpyrola
Spindelblomster
Ögonpyrola
Nattviol</t>
        </is>
      </c>
      <c r="W25">
        <f>HYPERLINK("https://klasma.github.io/Logging_2582/artfynd/S 2311-2024 artfynd.xlsx", "S 2311-2024")</f>
        <v/>
      </c>
      <c r="X25">
        <f>HYPERLINK("https://klasma.github.io/Logging_2582/kartor/S 2311-2024 karta.png", "S 2311-2024")</f>
        <v/>
      </c>
      <c r="Y25">
        <f>HYPERLINK("https://klasma.github.io/Logging_2582/kartor_geotiff/S 2311-2024 georefererad karta.tif", "S 2311-2024")</f>
        <v/>
      </c>
      <c r="Z25">
        <f>HYPERLINK("https://klasma.github.io/Logging_2582/knärot/S 2311-2024 karta knärot.png", "S 2311-2024")</f>
        <v/>
      </c>
      <c r="AA25">
        <f>HYPERLINK("https://klasma.github.io/Logging_2582/klagomål/S 2311-2024 FSC-klagomål.docx", "S 2311-2024")</f>
        <v/>
      </c>
      <c r="AB25">
        <f>HYPERLINK("https://klasma.github.io/Logging_2582/klagomålsmail/S 2311-2024 FSC-klagomål mail.docx", "S 2311-2024")</f>
        <v/>
      </c>
      <c r="AC25">
        <f>HYPERLINK("https://klasma.github.io/Logging_2582/tillsyn/S 2311-2024 tillsynsbegäran.docx", "S 2311-2024")</f>
        <v/>
      </c>
      <c r="AD25">
        <f>HYPERLINK("https://klasma.github.io/Logging_2582/tillsynsmail/S 2311-2024 tillsynsbegäran mail.docx", "S 2311-2024")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46234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Knärot
Gammelgransskål
Lunglav
Spindelblomster
Ögonpyrola</t>
        </is>
      </c>
      <c r="W26">
        <f>HYPERLINK("https://klasma.github.io/Logging_2582/artfynd/A 43653-2021 artfynd.xlsx", "A 43653-2021")</f>
        <v/>
      </c>
      <c r="X26">
        <f>HYPERLINK("https://klasma.github.io/Logging_2582/kartor/A 43653-2021 karta.png", "A 43653-2021")</f>
        <v/>
      </c>
      <c r="Y26">
        <f>HYPERLINK("https://klasma.github.io/Logging_2582/kartor_geotiff/A 43653-2021 georefererad karta.tif", "A 43653-2021")</f>
        <v/>
      </c>
      <c r="Z26">
        <f>HYPERLINK("https://klasma.github.io/Logging_2582/knärot/A 43653-2021 karta knärot.png", "A 43653-2021")</f>
        <v/>
      </c>
      <c r="AA26">
        <f>HYPERLINK("https://klasma.github.io/Logging_2582/klagomål/A 43653-2021 FSC-klagomål.docx", "A 43653-2021")</f>
        <v/>
      </c>
      <c r="AB26">
        <f>HYPERLINK("https://klasma.github.io/Logging_2582/klagomålsmail/A 43653-2021 FSC-klagomål mail.docx", "A 43653-2021")</f>
        <v/>
      </c>
      <c r="AC26">
        <f>HYPERLINK("https://klasma.github.io/Logging_2582/tillsyn/A 43653-2021 tillsynsbegäran.docx", "A 43653-2021")</f>
        <v/>
      </c>
      <c r="AD26">
        <f>HYPERLINK("https://klasma.github.io/Logging_2582/tillsynsmail/A 43653-2021 tillsynsbegäran mail.docx", "A 43653-2021")</f>
        <v/>
      </c>
    </row>
    <row r="27" ht="15" customHeight="1">
      <c r="A27" t="inlineStr">
        <is>
          <t>A 58902-2021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46234</v>
      </c>
      <c r="F27" t="inlineStr">
        <is>
          <t>NORRBOTTENS LÄN</t>
        </is>
      </c>
      <c r="G27" t="inlineStr">
        <is>
          <t>BODEN</t>
        </is>
      </c>
      <c r="I27" t="n">
        <v>4.5</v>
      </c>
      <c r="J27" t="n">
        <v>1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Brunpudrad nållav
Enkelbeckasin
Gammelgransskål
Lunglav
Vedticka</t>
        </is>
      </c>
      <c r="W27">
        <f>HYPERLINK("https://klasma.github.io/Logging_2582/artfynd/A 58902-2021 artfynd.xlsx", "A 58902-2021")</f>
        <v/>
      </c>
      <c r="X27">
        <f>HYPERLINK("https://klasma.github.io/Logging_2582/kartor/A 58902-2021 karta.png", "A 58902-2021")</f>
        <v/>
      </c>
      <c r="Y27">
        <f>HYPERLINK("https://klasma.github.io/Logging_2582/kartor_geotiff/A 58902-2021 georefererad karta.tif", "A 58902-2021")</f>
        <v/>
      </c>
      <c r="AA27">
        <f>HYPERLINK("https://klasma.github.io/Logging_2582/klagomål/A 58902-2021 FSC-klagomål.docx", "A 58902-2021")</f>
        <v/>
      </c>
      <c r="AB27">
        <f>HYPERLINK("https://klasma.github.io/Logging_2582/klagomålsmail/A 58902-2021 FSC-klagomål mail.docx", "A 58902-2021")</f>
        <v/>
      </c>
      <c r="AC27">
        <f>HYPERLINK("https://klasma.github.io/Logging_2582/tillsyn/A 58902-2021 tillsynsbegäran.docx", "A 58902-2021")</f>
        <v/>
      </c>
      <c r="AD27">
        <f>HYPERLINK("https://klasma.github.io/Logging_2582/tillsynsmail/A 58902-2021 tillsynsbegäran mail.docx", "A 58902-2021")</f>
        <v/>
      </c>
      <c r="AE27">
        <f>HYPERLINK("https://klasma.github.io/Logging_2582/fåglar/A 58902-2021 prioriterade fågelarter.docx", "A 58902-2021")</f>
        <v/>
      </c>
    </row>
    <row r="28" ht="15" customHeight="1">
      <c r="A28" t="inlineStr">
        <is>
          <t>A 34792-2022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46234</v>
      </c>
      <c r="F28" t="inlineStr">
        <is>
          <t>NORRBOTTENS LÄN</t>
        </is>
      </c>
      <c r="G28" t="inlineStr">
        <is>
          <t>BODEN</t>
        </is>
      </c>
      <c r="H28" t="inlineStr">
        <is>
          <t>SCA</t>
        </is>
      </c>
      <c r="I28" t="n">
        <v>6.7</v>
      </c>
      <c r="J28" t="n">
        <v>1</v>
      </c>
      <c r="K28" t="n">
        <v>1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5</v>
      </c>
      <c r="U28" t="n">
        <v>5</v>
      </c>
      <c r="V28" s="2" t="inlineStr">
        <is>
          <t>Knärot
Gammelgransskål
Lunglav
Ullticka
Grönpyrola</t>
        </is>
      </c>
      <c r="W28">
        <f>HYPERLINK("https://klasma.github.io/Logging_2582/artfynd/A 34792-2022 artfynd.xlsx", "A 34792-2022")</f>
        <v/>
      </c>
      <c r="X28">
        <f>HYPERLINK("https://klasma.github.io/Logging_2582/kartor/A 34792-2022 karta.png", "A 34792-2022")</f>
        <v/>
      </c>
      <c r="Y28">
        <f>HYPERLINK("https://klasma.github.io/Logging_2582/kartor_geotiff/A 34792-2022 georefererad karta.tif", "A 34792-2022")</f>
        <v/>
      </c>
      <c r="Z28">
        <f>HYPERLINK("https://klasma.github.io/Logging_2582/knärot/A 34792-2022 karta knärot.png", "A 34792-2022")</f>
        <v/>
      </c>
      <c r="AA28">
        <f>HYPERLINK("https://klasma.github.io/Logging_2582/klagomål/A 34792-2022 FSC-klagomål.docx", "A 34792-2022")</f>
        <v/>
      </c>
      <c r="AB28">
        <f>HYPERLINK("https://klasma.github.io/Logging_2582/klagomålsmail/A 34792-2022 FSC-klagomål mail.docx", "A 34792-2022")</f>
        <v/>
      </c>
      <c r="AC28">
        <f>HYPERLINK("https://klasma.github.io/Logging_2582/tillsyn/A 34792-2022 tillsynsbegäran.docx", "A 34792-2022")</f>
        <v/>
      </c>
      <c r="AD28">
        <f>HYPERLINK("https://klasma.github.io/Logging_2582/tillsynsmail/A 34792-2022 tillsynsbegäran mail.docx", "A 34792-2022")</f>
        <v/>
      </c>
    </row>
    <row r="29" ht="15" customHeight="1">
      <c r="A29" t="inlineStr">
        <is>
          <t>A 43709-2025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46234</v>
      </c>
      <c r="F29" t="inlineStr">
        <is>
          <t>NORRBOTTENS LÄN</t>
        </is>
      </c>
      <c r="G29" t="inlineStr">
        <is>
          <t>BODEN</t>
        </is>
      </c>
      <c r="I29" t="n">
        <v>7.7</v>
      </c>
      <c r="J29" t="n">
        <v>4</v>
      </c>
      <c r="K29" t="n">
        <v>1</v>
      </c>
      <c r="L29" t="n">
        <v>2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Vitryggig hackspett
Talltita
Tretåig hackspett
Björksplintborre
Spillkråka</t>
        </is>
      </c>
      <c r="W29">
        <f>HYPERLINK("https://klasma.github.io/Logging_2582/artfynd/A 43709-2025 artfynd.xlsx", "A 43709-2025")</f>
        <v/>
      </c>
      <c r="X29">
        <f>HYPERLINK("https://klasma.github.io/Logging_2582/kartor/A 43709-2025 karta.png", "A 43709-2025")</f>
        <v/>
      </c>
      <c r="Y29">
        <f>HYPERLINK("https://klasma.github.io/Logging_2582/kartor_geotiff/A 43709-2025 georefererad karta.tif", "A 43709-2025")</f>
        <v/>
      </c>
      <c r="AA29">
        <f>HYPERLINK("https://klasma.github.io/Logging_2582/klagomål/A 43709-2025 FSC-klagomål.docx", "A 43709-2025")</f>
        <v/>
      </c>
      <c r="AB29">
        <f>HYPERLINK("https://klasma.github.io/Logging_2582/klagomålsmail/A 43709-2025 FSC-klagomål mail.docx", "A 43709-2025")</f>
        <v/>
      </c>
      <c r="AC29">
        <f>HYPERLINK("https://klasma.github.io/Logging_2582/tillsyn/A 43709-2025 tillsynsbegäran.docx", "A 43709-2025")</f>
        <v/>
      </c>
      <c r="AD29">
        <f>HYPERLINK("https://klasma.github.io/Logging_2582/tillsynsmail/A 43709-2025 tillsynsbegäran mail.docx", "A 43709-2025")</f>
        <v/>
      </c>
      <c r="AE29">
        <f>HYPERLINK("https://klasma.github.io/Logging_2582/fåglar/A 43709-2025 prioriterade fågelarter.docx", "A 43709-2025")</f>
        <v/>
      </c>
    </row>
    <row r="30" ht="15" customHeight="1">
      <c r="A30" t="inlineStr">
        <is>
          <t>A 19324-2024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45428</v>
      </c>
      <c r="E30" s="1" t="n">
        <v>46234</v>
      </c>
      <c r="F30" t="inlineStr">
        <is>
          <t>NORRBOTTENS LÄN</t>
        </is>
      </c>
      <c r="G30" t="inlineStr">
        <is>
          <t>BODEN</t>
        </is>
      </c>
      <c r="I30" t="n">
        <v>3.8</v>
      </c>
      <c r="J30" t="n">
        <v>3</v>
      </c>
      <c r="K30" t="n">
        <v>1</v>
      </c>
      <c r="L30" t="n">
        <v>0</v>
      </c>
      <c r="M30" t="n">
        <v>2</v>
      </c>
      <c r="N30" t="n">
        <v>1</v>
      </c>
      <c r="O30" t="n">
        <v>0</v>
      </c>
      <c r="P30" t="n">
        <v>0</v>
      </c>
      <c r="Q30" t="n">
        <v>3</v>
      </c>
      <c r="R30" t="n">
        <v>3</v>
      </c>
      <c r="S30" t="n">
        <v>5</v>
      </c>
      <c r="T30" t="n">
        <v>6</v>
      </c>
      <c r="U30" t="n">
        <v>5</v>
      </c>
      <c r="V30" s="2" t="inlineStr">
        <is>
          <t>Bitter taggsvamp
Knärot
Norna
Ögonpyrola
Nattviol</t>
        </is>
      </c>
      <c r="W30">
        <f>HYPERLINK("https://klasma.github.io/Logging_2582/artfynd/A 19324-2024 artfynd.xlsx", "A 19324-2024")</f>
        <v/>
      </c>
      <c r="X30">
        <f>HYPERLINK("https://klasma.github.io/Logging_2582/kartor/A 19324-2024 karta.png", "A 19324-2024")</f>
        <v/>
      </c>
      <c r="Y30">
        <f>HYPERLINK("https://klasma.github.io/Logging_2582/kartor_geotiff/A 19324-2024 georefererad karta.tif", "A 19324-2024")</f>
        <v/>
      </c>
      <c r="Z30">
        <f>HYPERLINK("https://klasma.github.io/Logging_2582/knärot/A 19324-2024 karta knärot.png", "A 19324-2024")</f>
        <v/>
      </c>
      <c r="AA30">
        <f>HYPERLINK("https://klasma.github.io/Logging_2582/klagomål/A 19324-2024 FSC-klagomål.docx", "A 19324-2024")</f>
        <v/>
      </c>
      <c r="AB30">
        <f>HYPERLINK("https://klasma.github.io/Logging_2582/klagomålsmail/A 19324-2024 FSC-klagomål mail.docx", "A 19324-2024")</f>
        <v/>
      </c>
      <c r="AC30">
        <f>HYPERLINK("https://klasma.github.io/Logging_2582/tillsyn/A 19324-2024 tillsynsbegäran.docx", "A 19324-2024")</f>
        <v/>
      </c>
      <c r="AD30">
        <f>HYPERLINK("https://klasma.github.io/Logging_2582/tillsynsmail/A 19324-2024 tillsynsbegäran mail.docx", "A 19324-2024")</f>
        <v/>
      </c>
    </row>
    <row r="31" ht="15" customHeight="1">
      <c r="A31" t="inlineStr">
        <is>
          <t>A 31030-2025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46234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11.1</v>
      </c>
      <c r="J31" t="n">
        <v>3</v>
      </c>
      <c r="K31" t="n">
        <v>2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9</v>
      </c>
      <c r="U31" t="n">
        <v>9</v>
      </c>
      <c r="V31" s="2" t="inlineStr">
        <is>
          <t>Knärot
Lunglav
Spindelblomster
Stuplav
Fläcknycklar</t>
        </is>
      </c>
      <c r="W31">
        <f>HYPERLINK("https://klasma.github.io/Logging_2582/artfynd/A 31030-2025 artfynd.xlsx", "A 31030-2025")</f>
        <v/>
      </c>
      <c r="X31">
        <f>HYPERLINK("https://klasma.github.io/Logging_2582/kartor/A 31030-2025 karta.png", "A 31030-2025")</f>
        <v/>
      </c>
      <c r="Y31">
        <f>HYPERLINK("https://klasma.github.io/Logging_2582/kartor_geotiff/A 31030-2025 georefererad karta.tif", "A 31030-2025")</f>
        <v/>
      </c>
      <c r="Z31">
        <f>HYPERLINK("https://klasma.github.io/Logging_2582/knärot/A 31030-2025 karta knärot.png", "A 31030-2025")</f>
        <v/>
      </c>
      <c r="AA31">
        <f>HYPERLINK("https://klasma.github.io/Logging_2582/klagomål/A 31030-2025 FSC-klagomål.docx", "A 31030-2025")</f>
        <v/>
      </c>
      <c r="AB31">
        <f>HYPERLINK("https://klasma.github.io/Logging_2582/klagomålsmail/A 31030-2025 FSC-klagomål mail.docx", "A 31030-2025")</f>
        <v/>
      </c>
      <c r="AC31">
        <f>HYPERLINK("https://klasma.github.io/Logging_2582/tillsyn/A 31030-2025 tillsynsbegäran.docx", "A 31030-2025")</f>
        <v/>
      </c>
      <c r="AD31">
        <f>HYPERLINK("https://klasma.github.io/Logging_2582/tillsynsmail/A 31030-2025 tillsynsbegäran mail.docx", "A 31030-2025")</f>
        <v/>
      </c>
    </row>
    <row r="32" ht="15" customHeight="1">
      <c r="A32" t="inlineStr">
        <is>
          <t>A 32309-2025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46234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13.6</v>
      </c>
      <c r="J32" t="n">
        <v>1</v>
      </c>
      <c r="K32" t="n">
        <v>2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6</v>
      </c>
      <c r="U32" t="n">
        <v>4</v>
      </c>
      <c r="V32" s="2" t="inlineStr">
        <is>
          <t>Doftticka
Garnlav
Lunglav
Bårdlav
Stuplav</t>
        </is>
      </c>
      <c r="W32">
        <f>HYPERLINK("https://klasma.github.io/Logging_2582/artfynd/A 32309-2025 artfynd.xlsx", "A 32309-2025")</f>
        <v/>
      </c>
      <c r="X32">
        <f>HYPERLINK("https://klasma.github.io/Logging_2582/kartor/A 32309-2025 karta.png", "A 32309-2025")</f>
        <v/>
      </c>
      <c r="Y32">
        <f>HYPERLINK("https://klasma.github.io/Logging_2582/kartor_geotiff/A 32309-2025 georefererad karta.tif", "A 32309-2025")</f>
        <v/>
      </c>
      <c r="AA32">
        <f>HYPERLINK("https://klasma.github.io/Logging_2582/klagomål/A 32309-2025 FSC-klagomål.docx", "A 32309-2025")</f>
        <v/>
      </c>
      <c r="AB32">
        <f>HYPERLINK("https://klasma.github.io/Logging_2582/klagomålsmail/A 32309-2025 FSC-klagomål mail.docx", "A 32309-2025")</f>
        <v/>
      </c>
      <c r="AC32">
        <f>HYPERLINK("https://klasma.github.io/Logging_2582/tillsyn/A 32309-2025 tillsynsbegäran.docx", "A 32309-2025")</f>
        <v/>
      </c>
      <c r="AD32">
        <f>HYPERLINK("https://klasma.github.io/Logging_2582/tillsynsmail/A 32309-2025 tillsynsbegäran mail.docx", "A 32309-2025")</f>
        <v/>
      </c>
    </row>
    <row r="33" ht="15" customHeight="1">
      <c r="A33" t="inlineStr">
        <is>
          <t>A 39868-2025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45893</v>
      </c>
      <c r="E33" s="1" t="n">
        <v>46234</v>
      </c>
      <c r="F33" t="inlineStr">
        <is>
          <t>NORRBOTTENS LÄN</t>
        </is>
      </c>
      <c r="G33" t="inlineStr">
        <is>
          <t>BODEN</t>
        </is>
      </c>
      <c r="H33" t="inlineStr">
        <is>
          <t>Övriga statliga verk och myndigheter</t>
        </is>
      </c>
      <c r="I33" t="n">
        <v>3.1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Nötkråka
Talltita
Gråspett
Järpe
Spillkråka</t>
        </is>
      </c>
      <c r="W33">
        <f>HYPERLINK("https://klasma.github.io/Logging_2582/artfynd/A 39868-2025 artfynd.xlsx", "A 39868-2025")</f>
        <v/>
      </c>
      <c r="X33">
        <f>HYPERLINK("https://klasma.github.io/Logging_2582/kartor/A 39868-2025 karta.png", "A 39868-2025")</f>
        <v/>
      </c>
      <c r="Y33">
        <f>HYPERLINK("https://klasma.github.io/Logging_2582/kartor_geotiff/A 39868-2025 georefererad karta.tif", "A 39868-2025")</f>
        <v/>
      </c>
      <c r="AA33">
        <f>HYPERLINK("https://klasma.github.io/Logging_2582/klagomål/A 39868-2025 FSC-klagomål.docx", "A 39868-2025")</f>
        <v/>
      </c>
      <c r="AB33">
        <f>HYPERLINK("https://klasma.github.io/Logging_2582/klagomålsmail/A 39868-2025 FSC-klagomål mail.docx", "A 39868-2025")</f>
        <v/>
      </c>
      <c r="AC33">
        <f>HYPERLINK("https://klasma.github.io/Logging_2582/tillsyn/A 39868-2025 tillsynsbegäran.docx", "A 39868-2025")</f>
        <v/>
      </c>
      <c r="AD33">
        <f>HYPERLINK("https://klasma.github.io/Logging_2582/tillsynsmail/A 39868-2025 tillsynsbegäran mail.docx", "A 39868-2025")</f>
        <v/>
      </c>
      <c r="AE33">
        <f>HYPERLINK("https://klasma.github.io/Logging_2582/fåglar/A 39868-2025 prioriterade fågelarter.docx", "A 39868-2025")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46234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t="n">
        <v>7</v>
      </c>
      <c r="V34" s="2" t="inlineStr">
        <is>
          <t>Garnlav
Knärot
Gammelgransskål
Luddlav
Skinnlav</t>
        </is>
      </c>
      <c r="W34">
        <f>HYPERLINK("https://klasma.github.io/Logging_2582/artfynd/A 32325-2024 artfynd.xlsx", "A 32325-2024")</f>
        <v/>
      </c>
      <c r="X34">
        <f>HYPERLINK("https://klasma.github.io/Logging_2582/kartor/A 32325-2024 karta.png", "A 32325-2024")</f>
        <v/>
      </c>
      <c r="Y34">
        <f>HYPERLINK("https://klasma.github.io/Logging_2582/kartor_geotiff/A 32325-2024 georefererad karta.tif", "A 32325-2024")</f>
        <v/>
      </c>
      <c r="Z34">
        <f>HYPERLINK("https://klasma.github.io/Logging_2582/knärot/A 32325-2024 karta knärot.png", "A 32325-2024")</f>
        <v/>
      </c>
      <c r="AA34">
        <f>HYPERLINK("https://klasma.github.io/Logging_2582/klagomål/A 32325-2024 FSC-klagomål.docx", "A 32325-2024")</f>
        <v/>
      </c>
      <c r="AB34">
        <f>HYPERLINK("https://klasma.github.io/Logging_2582/klagomålsmail/A 32325-2024 FSC-klagomål mail.docx", "A 32325-2024")</f>
        <v/>
      </c>
      <c r="AC34">
        <f>HYPERLINK("https://klasma.github.io/Logging_2582/tillsyn/A 32325-2024 tillsynsbegäran.docx", "A 32325-2024")</f>
        <v/>
      </c>
      <c r="AD34">
        <f>HYPERLINK("https://klasma.github.io/Logging_2582/tillsynsmail/A 32325-2024 tillsynsbegäran mail.docx", "A 32325-2024")</f>
        <v/>
      </c>
    </row>
    <row r="35" ht="15" customHeight="1">
      <c r="A35" t="inlineStr">
        <is>
          <t>A 59358-2022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44904</v>
      </c>
      <c r="E35" s="1" t="n">
        <v>46234</v>
      </c>
      <c r="F35" t="inlineStr">
        <is>
          <t>NORRBOTTENS LÄN</t>
        </is>
      </c>
      <c r="G35" t="inlineStr">
        <is>
          <t>BODEN</t>
        </is>
      </c>
      <c r="I35" t="n">
        <v>1.5</v>
      </c>
      <c r="J35" t="n">
        <v>4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5</v>
      </c>
      <c r="V35" s="2" t="inlineStr">
        <is>
          <t>Stare
Rosenfink
Rävticka
Sångsvan
Trana</t>
        </is>
      </c>
      <c r="W35">
        <f>HYPERLINK("https://klasma.github.io/Logging_2582/artfynd/A 59358-2022 artfynd.xlsx", "A 59358-2022")</f>
        <v/>
      </c>
      <c r="X35">
        <f>HYPERLINK("https://klasma.github.io/Logging_2582/kartor/A 59358-2022 karta.png", "A 59358-2022")</f>
        <v/>
      </c>
      <c r="Y35">
        <f>HYPERLINK("https://klasma.github.io/Logging_2582/kartor_geotiff/A 59358-2022 georefererad karta.tif", "A 59358-2022")</f>
        <v/>
      </c>
      <c r="AA35">
        <f>HYPERLINK("https://klasma.github.io/Logging_2582/klagomål/A 59358-2022 FSC-klagomål.docx", "A 59358-2022")</f>
        <v/>
      </c>
      <c r="AB35">
        <f>HYPERLINK("https://klasma.github.io/Logging_2582/klagomålsmail/A 59358-2022 FSC-klagomål mail.docx", "A 59358-2022")</f>
        <v/>
      </c>
      <c r="AC35">
        <f>HYPERLINK("https://klasma.github.io/Logging_2582/tillsyn/A 59358-2022 tillsynsbegäran.docx", "A 59358-2022")</f>
        <v/>
      </c>
      <c r="AD35">
        <f>HYPERLINK("https://klasma.github.io/Logging_2582/tillsynsmail/A 59358-2022 tillsynsbegäran mail.docx", "A 59358-2022")</f>
        <v/>
      </c>
      <c r="AE35">
        <f>HYPERLINK("https://klasma.github.io/Logging_2582/fåglar/A 59358-2022 prioriterade fågelarter.docx", "A 59358-2022")</f>
        <v/>
      </c>
    </row>
    <row r="36" ht="15" customHeight="1">
      <c r="A36" t="inlineStr">
        <is>
          <t>A 31197-2026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46209</v>
      </c>
      <c r="E36" s="1" t="n">
        <v>46234</v>
      </c>
      <c r="F36" t="inlineStr">
        <is>
          <t>NORRBOTTENS LÄN</t>
        </is>
      </c>
      <c r="G36" t="inlineStr">
        <is>
          <t>BODEN</t>
        </is>
      </c>
      <c r="H36" t="inlineStr">
        <is>
          <t>Kommuner</t>
        </is>
      </c>
      <c r="I36" t="n">
        <v>2.7</v>
      </c>
      <c r="J36" t="n">
        <v>4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6</v>
      </c>
      <c r="U36" t="n">
        <v>0</v>
      </c>
      <c r="V36" s="2" t="inlineStr">
        <is>
          <t>Tornseglare
Älvstarr
Grönsiska
Svartvit flugsnappare
Vanlig groda</t>
        </is>
      </c>
      <c r="W36">
        <f>HYPERLINK("https://klasma.github.io/Logging_2582/artfynd/A 31197-2026 artfynd.xlsx", "A 31197-2026")</f>
        <v/>
      </c>
      <c r="X36">
        <f>HYPERLINK("https://klasma.github.io/Logging_2582/kartor/A 31197-2026 karta.png", "A 31197-2026")</f>
        <v/>
      </c>
      <c r="Y36">
        <f>HYPERLINK("https://klasma.github.io/Logging_2582/kartor_geotiff/A 31197-2026 georefererad karta.tif", "A 31197-2026")</f>
        <v/>
      </c>
      <c r="AA36">
        <f>HYPERLINK("https://klasma.github.io/Logging_2582/klagomål/A 31197-2026 FSC-klagomål.docx", "A 31197-2026")</f>
        <v/>
      </c>
      <c r="AB36">
        <f>HYPERLINK("https://klasma.github.io/Logging_2582/klagomålsmail/A 31197-2026 FSC-klagomål mail.docx", "A 31197-2026")</f>
        <v/>
      </c>
      <c r="AC36">
        <f>HYPERLINK("https://klasma.github.io/Logging_2582/tillsyn/A 31197-2026 tillsynsbegäran.docx", "A 31197-2026")</f>
        <v/>
      </c>
      <c r="AD36">
        <f>HYPERLINK("https://klasma.github.io/Logging_2582/tillsynsmail/A 31197-2026 tillsynsbegäran mail.docx", "A 31197-2026")</f>
        <v/>
      </c>
      <c r="AE36">
        <f>HYPERLINK("https://klasma.github.io/Logging_2582/fåglar/A 31197-2026 prioriterade fågelarter.docx", "A 31197-2026")</f>
        <v/>
      </c>
    </row>
    <row r="37" ht="15" customHeight="1">
      <c r="A37" t="inlineStr">
        <is>
          <t>A 30513-2026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46210</v>
      </c>
      <c r="E37" s="1" t="n">
        <v>46234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10.2</v>
      </c>
      <c r="J37" t="n">
        <v>1</v>
      </c>
      <c r="K37" t="n">
        <v>1</v>
      </c>
      <c r="L37" t="n">
        <v>2</v>
      </c>
      <c r="M37" t="n">
        <v>2</v>
      </c>
      <c r="N37" t="n">
        <v>0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14</v>
      </c>
      <c r="U37" t="n">
        <v>5</v>
      </c>
      <c r="V37" s="2" t="inlineStr">
        <is>
          <t>Gräddporing
Knärot
Nordtagging
Tallticka
Grönpyrola</t>
        </is>
      </c>
      <c r="W37">
        <f>HYPERLINK("https://klasma.github.io/Logging_2582/artfynd/A 30513-2026 artfynd.xlsx", "A 30513-2026")</f>
        <v/>
      </c>
      <c r="X37">
        <f>HYPERLINK("https://klasma.github.io/Logging_2582/kartor/A 30513-2026 karta.png", "A 30513-2026")</f>
        <v/>
      </c>
      <c r="Y37">
        <f>HYPERLINK("https://klasma.github.io/Logging_2582/kartor_geotiff/A 30513-2026 georefererad karta.tif", "A 30513-2026")</f>
        <v/>
      </c>
      <c r="Z37">
        <f>HYPERLINK("https://klasma.github.io/Logging_2582/knärot/A 30513-2026 karta knärot.png", "A 30513-2026")</f>
        <v/>
      </c>
      <c r="AA37">
        <f>HYPERLINK("https://klasma.github.io/Logging_2582/klagomål/A 30513-2026 FSC-klagomål.docx", "A 30513-2026")</f>
        <v/>
      </c>
      <c r="AB37">
        <f>HYPERLINK("https://klasma.github.io/Logging_2582/klagomålsmail/A 30513-2026 FSC-klagomål mail.docx", "A 30513-2026")</f>
        <v/>
      </c>
      <c r="AC37">
        <f>HYPERLINK("https://klasma.github.io/Logging_2582/tillsyn/A 30513-2026 tillsynsbegäran.docx", "A 30513-2026")</f>
        <v/>
      </c>
      <c r="AD37">
        <f>HYPERLINK("https://klasma.github.io/Logging_2582/tillsynsmail/A 30513-2026 tillsynsbegäran mail.docx", "A 30513-2026")</f>
        <v/>
      </c>
    </row>
    <row r="38" ht="15" customHeight="1">
      <c r="A38" t="inlineStr">
        <is>
          <t>A 28197-2025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46234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7.2</v>
      </c>
      <c r="J38" t="n">
        <v>2</v>
      </c>
      <c r="K38" t="n">
        <v>1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4</v>
      </c>
      <c r="T38" t="n">
        <v>7</v>
      </c>
      <c r="U38" t="n">
        <v>7</v>
      </c>
      <c r="V38" s="2" t="inlineStr">
        <is>
          <t>Knärot
Norna
Lunglav
Stuplav</t>
        </is>
      </c>
      <c r="W38">
        <f>HYPERLINK("https://klasma.github.io/Logging_2582/artfynd/A 28197-2025 artfynd.xlsx", "A 28197-2025")</f>
        <v/>
      </c>
      <c r="X38">
        <f>HYPERLINK("https://klasma.github.io/Logging_2582/kartor/A 28197-2025 karta.png", "A 28197-2025")</f>
        <v/>
      </c>
      <c r="Y38">
        <f>HYPERLINK("https://klasma.github.io/Logging_2582/kartor_geotiff/A 28197-2025 georefererad karta.tif", "A 28197-2025")</f>
        <v/>
      </c>
      <c r="Z38">
        <f>HYPERLINK("https://klasma.github.io/Logging_2582/knärot/A 28197-2025 karta knärot.png", "A 28197-2025")</f>
        <v/>
      </c>
      <c r="AA38">
        <f>HYPERLINK("https://klasma.github.io/Logging_2582/klagomål/A 28197-2025 FSC-klagomål.docx", "A 28197-2025")</f>
        <v/>
      </c>
      <c r="AB38">
        <f>HYPERLINK("https://klasma.github.io/Logging_2582/klagomålsmail/A 28197-2025 FSC-klagomål mail.docx", "A 28197-2025")</f>
        <v/>
      </c>
      <c r="AC38">
        <f>HYPERLINK("https://klasma.github.io/Logging_2582/tillsyn/A 28197-2025 tillsynsbegäran.docx", "A 28197-2025")</f>
        <v/>
      </c>
      <c r="AD38">
        <f>HYPERLINK("https://klasma.github.io/Logging_2582/tillsynsmail/A 28197-2025 tillsynsbegäran mail.docx", "A 28197-2025")</f>
        <v/>
      </c>
    </row>
    <row r="39" ht="15" customHeight="1">
      <c r="A39" t="inlineStr">
        <is>
          <t>A 59028-2025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46234</v>
      </c>
      <c r="F39" t="inlineStr">
        <is>
          <t>NORRBOTTENS LÄN</t>
        </is>
      </c>
      <c r="G39" t="inlineStr">
        <is>
          <t>BODEN</t>
        </is>
      </c>
      <c r="I39" t="n">
        <v>4.3</v>
      </c>
      <c r="J39" t="n">
        <v>0</v>
      </c>
      <c r="K39" t="n">
        <v>0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4</v>
      </c>
      <c r="T39" t="n">
        <v>4</v>
      </c>
      <c r="U39" t="n">
        <v>0</v>
      </c>
      <c r="V39" s="2" t="inlineStr">
        <is>
          <t>Goliatmusseron
Skrovlig taggsvamp
Dvärgbägarlav
Skarp dropptaggsvamp</t>
        </is>
      </c>
      <c r="W39">
        <f>HYPERLINK("https://klasma.github.io/Logging_2582/artfynd/A 59028-2025 artfynd.xlsx", "A 59028-2025")</f>
        <v/>
      </c>
      <c r="X39">
        <f>HYPERLINK("https://klasma.github.io/Logging_2582/kartor/A 59028-2025 karta.png", "A 59028-2025")</f>
        <v/>
      </c>
      <c r="Y39">
        <f>HYPERLINK("https://klasma.github.io/Logging_2582/kartor_geotiff/A 59028-2025 georefererad karta.tif", "A 59028-2025")</f>
        <v/>
      </c>
      <c r="AA39">
        <f>HYPERLINK("https://klasma.github.io/Logging_2582/klagomål/A 59028-2025 FSC-klagomål.docx", "A 59028-2025")</f>
        <v/>
      </c>
      <c r="AB39">
        <f>HYPERLINK("https://klasma.github.io/Logging_2582/klagomålsmail/A 59028-2025 FSC-klagomål mail.docx", "A 59028-2025")</f>
        <v/>
      </c>
      <c r="AC39">
        <f>HYPERLINK("https://klasma.github.io/Logging_2582/tillsyn/A 59028-2025 tillsynsbegäran.docx", "A 59028-2025")</f>
        <v/>
      </c>
      <c r="AD39">
        <f>HYPERLINK("https://klasma.github.io/Logging_2582/tillsynsmail/A 59028-2025 tillsynsbegäran mail.docx", "A 59028-2025")</f>
        <v/>
      </c>
    </row>
    <row r="40" ht="15" customHeight="1">
      <c r="A40" t="inlineStr">
        <is>
          <t>A 1879-2024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45307</v>
      </c>
      <c r="E40" s="1" t="n">
        <v>46234</v>
      </c>
      <c r="F40" t="inlineStr">
        <is>
          <t>NORRBOTTENS LÄN</t>
        </is>
      </c>
      <c r="G40" t="inlineStr">
        <is>
          <t>BODEN</t>
        </is>
      </c>
      <c r="H40" t="inlineStr">
        <is>
          <t>SCA</t>
        </is>
      </c>
      <c r="I40" t="n">
        <v>4.5</v>
      </c>
      <c r="J40" t="n">
        <v>0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16</v>
      </c>
      <c r="U40" t="n">
        <v>16</v>
      </c>
      <c r="V40" s="2" t="inlineStr">
        <is>
          <t>Garnlav
Ringlav
Skogshare
Bårdlav</t>
        </is>
      </c>
      <c r="W40">
        <f>HYPERLINK("https://klasma.github.io/Logging_2582/artfynd/A 1879-2024 artfynd.xlsx", "A 1879-2024")</f>
        <v/>
      </c>
      <c r="X40">
        <f>HYPERLINK("https://klasma.github.io/Logging_2582/kartor/A 1879-2024 karta.png", "A 1879-2024")</f>
        <v/>
      </c>
      <c r="Y40">
        <f>HYPERLINK("https://klasma.github.io/Logging_2582/kartor_geotiff/A 1879-2024 georefererad karta.tif", "A 1879-2024")</f>
        <v/>
      </c>
      <c r="AA40">
        <f>HYPERLINK("https://klasma.github.io/Logging_2582/klagomål/A 1879-2024 FSC-klagomål.docx", "A 1879-2024")</f>
        <v/>
      </c>
      <c r="AB40">
        <f>HYPERLINK("https://klasma.github.io/Logging_2582/klagomålsmail/A 1879-2024 FSC-klagomål mail.docx", "A 1879-2024")</f>
        <v/>
      </c>
      <c r="AC40">
        <f>HYPERLINK("https://klasma.github.io/Logging_2582/tillsyn/A 1879-2024 tillsynsbegäran.docx", "A 1879-2024")</f>
        <v/>
      </c>
      <c r="AD40">
        <f>HYPERLINK("https://klasma.github.io/Logging_2582/tillsynsmail/A 1879-2024 tillsynsbegäran mail.docx", "A 1879-2024")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46234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57526-2025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46234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27</v>
      </c>
      <c r="U42" t="n">
        <v>0</v>
      </c>
      <c r="V42" s="2" t="inlineStr">
        <is>
          <t>Knärot
Lunglav
Ullticka
Stuplav</t>
        </is>
      </c>
      <c r="W42">
        <f>HYPERLINK("https://klasma.github.io/Logging_2582/artfynd/A 57526-2025 artfynd.xlsx", "A 57526-2025")</f>
        <v/>
      </c>
      <c r="X42">
        <f>HYPERLINK("https://klasma.github.io/Logging_2582/kartor/A 57526-2025 karta.png", "A 57526-2025")</f>
        <v/>
      </c>
      <c r="Y42">
        <f>HYPERLINK("https://klasma.github.io/Logging_2582/kartor_geotiff/A 57526-2025 georefererad karta.tif", "A 57526-2025")</f>
        <v/>
      </c>
      <c r="Z42">
        <f>HYPERLINK("https://klasma.github.io/Logging_2582/knärot/A 57526-2025 karta knärot.png", "A 57526-2025")</f>
        <v/>
      </c>
      <c r="AA42">
        <f>HYPERLINK("https://klasma.github.io/Logging_2582/klagomål/A 57526-2025 FSC-klagomål.docx", "A 57526-2025")</f>
        <v/>
      </c>
      <c r="AB42">
        <f>HYPERLINK("https://klasma.github.io/Logging_2582/klagomålsmail/A 57526-2025 FSC-klagomål mail.docx", "A 57526-2025")</f>
        <v/>
      </c>
      <c r="AC42">
        <f>HYPERLINK("https://klasma.github.io/Logging_2582/tillsyn/A 57526-2025 tillsynsbegäran.docx", "A 57526-2025")</f>
        <v/>
      </c>
      <c r="AD42">
        <f>HYPERLINK("https://klasma.github.io/Logging_2582/tillsynsmail/A 57526-2025 tillsynsbegäran mail.docx", "A 57526-2025")</f>
        <v/>
      </c>
    </row>
    <row r="43" ht="15" customHeight="1">
      <c r="A43" t="inlineStr">
        <is>
          <t>A 21475-2026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46148</v>
      </c>
      <c r="E43" s="1" t="n">
        <v>46234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27.6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Harticka
Tretåig hackspett
Smal svampklubba
Järpe</t>
        </is>
      </c>
      <c r="W43">
        <f>HYPERLINK("https://klasma.github.io/Logging_2582/artfynd/A 21475-2026 artfynd.xlsx", "A 21475-2026")</f>
        <v/>
      </c>
      <c r="X43">
        <f>HYPERLINK("https://klasma.github.io/Logging_2582/kartor/A 21475-2026 karta.png", "A 21475-2026")</f>
        <v/>
      </c>
      <c r="Y43">
        <f>HYPERLINK("https://klasma.github.io/Logging_2582/kartor_geotiff/A 21475-2026 georefererad karta.tif", "A 21475-2026")</f>
        <v/>
      </c>
      <c r="AA43">
        <f>HYPERLINK("https://klasma.github.io/Logging_2582/klagomål/A 21475-2026 FSC-klagomål.docx", "A 21475-2026")</f>
        <v/>
      </c>
      <c r="AB43">
        <f>HYPERLINK("https://klasma.github.io/Logging_2582/klagomålsmail/A 21475-2026 FSC-klagomål mail.docx", "A 21475-2026")</f>
        <v/>
      </c>
      <c r="AC43">
        <f>HYPERLINK("https://klasma.github.io/Logging_2582/tillsyn/A 21475-2026 tillsynsbegäran.docx", "A 21475-2026")</f>
        <v/>
      </c>
      <c r="AD43">
        <f>HYPERLINK("https://klasma.github.io/Logging_2582/tillsynsmail/A 21475-2026 tillsynsbegäran mail.docx", "A 21475-2026")</f>
        <v/>
      </c>
      <c r="AE43">
        <f>HYPERLINK("https://klasma.github.io/Logging_2582/fåglar/A 21475-2026 prioriterade fågelarter.docx", "A 21475-2026")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46234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28183-2026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46234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8.199999999999999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16</v>
      </c>
      <c r="U45" t="n">
        <v>16</v>
      </c>
      <c r="V45" s="2" t="inlineStr">
        <is>
          <t>Knärot
Lunglav
Grönpyrola
Fläcknycklar</t>
        </is>
      </c>
      <c r="W45">
        <f>HYPERLINK("https://klasma.github.io/Logging_2582/artfynd/A 28183-2026 artfynd.xlsx", "A 28183-2026")</f>
        <v/>
      </c>
      <c r="X45">
        <f>HYPERLINK("https://klasma.github.io/Logging_2582/kartor/A 28183-2026 karta.png", "A 28183-2026")</f>
        <v/>
      </c>
      <c r="Y45">
        <f>HYPERLINK("https://klasma.github.io/Logging_2582/kartor_geotiff/A 28183-2026 georefererad karta.tif", "A 28183-2026")</f>
        <v/>
      </c>
      <c r="Z45">
        <f>HYPERLINK("https://klasma.github.io/Logging_2582/knärot/A 28183-2026 karta knärot.png", "A 28183-2026")</f>
        <v/>
      </c>
      <c r="AA45">
        <f>HYPERLINK("https://klasma.github.io/Logging_2582/klagomål/A 28183-2026 FSC-klagomål.docx", "A 28183-2026")</f>
        <v/>
      </c>
      <c r="AB45">
        <f>HYPERLINK("https://klasma.github.io/Logging_2582/klagomålsmail/A 28183-2026 FSC-klagomål mail.docx", "A 28183-2026")</f>
        <v/>
      </c>
      <c r="AC45">
        <f>HYPERLINK("https://klasma.github.io/Logging_2582/tillsyn/A 28183-2026 tillsynsbegäran.docx", "A 28183-2026")</f>
        <v/>
      </c>
      <c r="AD45">
        <f>HYPERLINK("https://klasma.github.io/Logging_2582/tillsynsmail/A 28183-2026 tillsynsbegäran mail.docx", "A 28183-2026")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46234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48220-2025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46234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Garnlav
Gammelgransskål
Spillkråka</t>
        </is>
      </c>
      <c r="W47">
        <f>HYPERLINK("https://klasma.github.io/Logging_2582/artfynd/A 48220-2025 artfynd.xlsx", "A 48220-2025")</f>
        <v/>
      </c>
      <c r="X47">
        <f>HYPERLINK("https://klasma.github.io/Logging_2582/kartor/A 48220-2025 karta.png", "A 48220-2025")</f>
        <v/>
      </c>
      <c r="Y47">
        <f>HYPERLINK("https://klasma.github.io/Logging_2582/kartor_geotiff/A 48220-2025 georefererad karta.tif", "A 48220-2025")</f>
        <v/>
      </c>
      <c r="AA47">
        <f>HYPERLINK("https://klasma.github.io/Logging_2582/klagomål/A 48220-2025 FSC-klagomål.docx", "A 48220-2025")</f>
        <v/>
      </c>
      <c r="AB47">
        <f>HYPERLINK("https://klasma.github.io/Logging_2582/klagomålsmail/A 48220-2025 FSC-klagomål mail.docx", "A 48220-2025")</f>
        <v/>
      </c>
      <c r="AC47">
        <f>HYPERLINK("https://klasma.github.io/Logging_2582/tillsyn/A 48220-2025 tillsynsbegäran.docx", "A 48220-2025")</f>
        <v/>
      </c>
      <c r="AD47">
        <f>HYPERLINK("https://klasma.github.io/Logging_2582/tillsynsmail/A 48220-2025 tillsynsbegäran mail.docx", "A 48220-2025")</f>
        <v/>
      </c>
      <c r="AE47">
        <f>HYPERLINK("https://klasma.github.io/Logging_2582/fåglar/A 48220-2025 prioriterade fågelarter.docx", "A 48220-2025")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46234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Liten hornflikmossa
Vedtrappmossa
Stuplav</t>
        </is>
      </c>
      <c r="W48">
        <f>HYPERLINK("https://klasma.github.io/Logging_2582/artfynd/A 43719-2025 artfynd.xlsx", "A 43719-2025")</f>
        <v/>
      </c>
      <c r="X48">
        <f>HYPERLINK("https://klasma.github.io/Logging_2582/kartor/A 43719-2025 karta.png", "A 43719-2025")</f>
        <v/>
      </c>
      <c r="Y48">
        <f>HYPERLINK("https://klasma.github.io/Logging_2582/kartor_geotiff/A 43719-2025 georefererad karta.tif", "A 43719-2025")</f>
        <v/>
      </c>
      <c r="AA48">
        <f>HYPERLINK("https://klasma.github.io/Logging_2582/klagomål/A 43719-2025 FSC-klagomål.docx", "A 43719-2025")</f>
        <v/>
      </c>
      <c r="AB48">
        <f>HYPERLINK("https://klasma.github.io/Logging_2582/klagomålsmail/A 43719-2025 FSC-klagomål mail.docx", "A 43719-2025")</f>
        <v/>
      </c>
      <c r="AC48">
        <f>HYPERLINK("https://klasma.github.io/Logging_2582/tillsyn/A 43719-2025 tillsynsbegäran.docx", "A 43719-2025")</f>
        <v/>
      </c>
      <c r="AD48">
        <f>HYPERLINK("https://klasma.github.io/Logging_2582/tillsynsmail/A 43719-2025 tillsynsbegäran mail.docx", "A 43719-2025")</f>
        <v/>
      </c>
    </row>
    <row r="49" ht="15" customHeight="1">
      <c r="A49" t="inlineStr">
        <is>
          <t>A 28267-2025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46234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2.6</v>
      </c>
      <c r="J49" t="n">
        <v>2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Doftticka
Knärot
Lunglav</t>
        </is>
      </c>
      <c r="W49">
        <f>HYPERLINK("https://klasma.github.io/Logging_2582/artfynd/A 28267-2025 artfynd.xlsx", "A 28267-2025")</f>
        <v/>
      </c>
      <c r="X49">
        <f>HYPERLINK("https://klasma.github.io/Logging_2582/kartor/A 28267-2025 karta.png", "A 28267-2025")</f>
        <v/>
      </c>
      <c r="Y49">
        <f>HYPERLINK("https://klasma.github.io/Logging_2582/kartor_geotiff/A 28267-2025 georefererad karta.tif", "A 28267-2025")</f>
        <v/>
      </c>
      <c r="Z49">
        <f>HYPERLINK("https://klasma.github.io/Logging_2582/knärot/A 28267-2025 karta knärot.png", "A 28267-2025")</f>
        <v/>
      </c>
      <c r="AA49">
        <f>HYPERLINK("https://klasma.github.io/Logging_2582/klagomål/A 28267-2025 FSC-klagomål.docx", "A 28267-2025")</f>
        <v/>
      </c>
      <c r="AB49">
        <f>HYPERLINK("https://klasma.github.io/Logging_2582/klagomålsmail/A 28267-2025 FSC-klagomål mail.docx", "A 28267-2025")</f>
        <v/>
      </c>
      <c r="AC49">
        <f>HYPERLINK("https://klasma.github.io/Logging_2582/tillsyn/A 28267-2025 tillsynsbegäran.docx", "A 28267-2025")</f>
        <v/>
      </c>
      <c r="AD49">
        <f>HYPERLINK("https://klasma.github.io/Logging_2582/tillsynsmail/A 28267-2025 tillsynsbegäran mail.docx", "A 28267-2025")</f>
        <v/>
      </c>
    </row>
    <row r="50" ht="15" customHeight="1">
      <c r="A50" t="inlineStr">
        <is>
          <t>A 51957-2025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46234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7</v>
      </c>
      <c r="U50" t="n">
        <v>1</v>
      </c>
      <c r="V50" s="2" t="inlineStr">
        <is>
          <t>Brunfläckig pärlemorfjäril
Garnlav
Harticka</t>
        </is>
      </c>
      <c r="W50">
        <f>HYPERLINK("https://klasma.github.io/Logging_2582/artfynd/A 51957-2025 artfynd.xlsx", "A 51957-2025")</f>
        <v/>
      </c>
      <c r="X50">
        <f>HYPERLINK("https://klasma.github.io/Logging_2582/kartor/A 51957-2025 karta.png", "A 51957-2025")</f>
        <v/>
      </c>
      <c r="Y50">
        <f>HYPERLINK("https://klasma.github.io/Logging_2582/kartor_geotiff/A 51957-2025 georefererad karta.tif", "A 51957-2025")</f>
        <v/>
      </c>
      <c r="AA50">
        <f>HYPERLINK("https://klasma.github.io/Logging_2582/klagomål/A 51957-2025 FSC-klagomål.docx", "A 51957-2025")</f>
        <v/>
      </c>
      <c r="AB50">
        <f>HYPERLINK("https://klasma.github.io/Logging_2582/klagomålsmail/A 51957-2025 FSC-klagomål mail.docx", "A 51957-2025")</f>
        <v/>
      </c>
      <c r="AC50">
        <f>HYPERLINK("https://klasma.github.io/Logging_2582/tillsyn/A 51957-2025 tillsynsbegäran.docx", "A 51957-2025")</f>
        <v/>
      </c>
      <c r="AD50">
        <f>HYPERLINK("https://klasma.github.io/Logging_2582/tillsynsmail/A 51957-2025 tillsynsbegäran mail.docx", "A 51957-2025")</f>
        <v/>
      </c>
    </row>
    <row r="51" ht="15" customHeight="1">
      <c r="A51" t="inlineStr">
        <is>
          <t>A 57806-2025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45981</v>
      </c>
      <c r="E51" s="1" t="n">
        <v>46234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10.4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Dropptaggsvamp
Dvärgbägarlav
Lunglav</t>
        </is>
      </c>
      <c r="W51">
        <f>HYPERLINK("https://klasma.github.io/Logging_2582/artfynd/A 57806-2025 artfynd.xlsx", "A 57806-2025")</f>
        <v/>
      </c>
      <c r="X51">
        <f>HYPERLINK("https://klasma.github.io/Logging_2582/kartor/A 57806-2025 karta.png", "A 57806-2025")</f>
        <v/>
      </c>
      <c r="Y51">
        <f>HYPERLINK("https://klasma.github.io/Logging_2582/kartor_geotiff/A 57806-2025 georefererad karta.tif", "A 57806-2025")</f>
        <v/>
      </c>
      <c r="AA51">
        <f>HYPERLINK("https://klasma.github.io/Logging_2582/klagomål/A 57806-2025 FSC-klagomål.docx", "A 57806-2025")</f>
        <v/>
      </c>
      <c r="AB51">
        <f>HYPERLINK("https://klasma.github.io/Logging_2582/klagomålsmail/A 57806-2025 FSC-klagomål mail.docx", "A 57806-2025")</f>
        <v/>
      </c>
      <c r="AC51">
        <f>HYPERLINK("https://klasma.github.io/Logging_2582/tillsyn/A 57806-2025 tillsynsbegäran.docx", "A 57806-2025")</f>
        <v/>
      </c>
      <c r="AD51">
        <f>HYPERLINK("https://klasma.github.io/Logging_2582/tillsynsmail/A 57806-2025 tillsynsbegäran mail.docx", "A 57806-2025")</f>
        <v/>
      </c>
    </row>
    <row r="52" ht="15" customHeight="1">
      <c r="A52" t="inlineStr">
        <is>
          <t>A 6118-2025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45698</v>
      </c>
      <c r="E52" s="1" t="n">
        <v>46234</v>
      </c>
      <c r="F52" t="inlineStr">
        <is>
          <t>NORRBOTTENS LÄN</t>
        </is>
      </c>
      <c r="G52" t="inlineStr">
        <is>
          <t>BODEN</t>
        </is>
      </c>
      <c r="H52" t="inlineStr">
        <is>
          <t>SCA</t>
        </is>
      </c>
      <c r="I52" t="n">
        <v>3.7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14</v>
      </c>
      <c r="U52" t="n">
        <v>14</v>
      </c>
      <c r="V52" s="2" t="inlineStr">
        <is>
          <t>Garnlav
Tretåig hackspett
Spillkråka</t>
        </is>
      </c>
      <c r="W52">
        <f>HYPERLINK("https://klasma.github.io/Logging_2582/artfynd/A 6118-2025 artfynd.xlsx", "A 6118-2025")</f>
        <v/>
      </c>
      <c r="X52">
        <f>HYPERLINK("https://klasma.github.io/Logging_2582/kartor/A 6118-2025 karta.png", "A 6118-2025")</f>
        <v/>
      </c>
      <c r="Y52">
        <f>HYPERLINK("https://klasma.github.io/Logging_2582/kartor_geotiff/A 6118-2025 georefererad karta.tif", "A 6118-2025")</f>
        <v/>
      </c>
      <c r="AA52">
        <f>HYPERLINK("https://klasma.github.io/Logging_2582/klagomål/A 6118-2025 FSC-klagomål.docx", "A 6118-2025")</f>
        <v/>
      </c>
      <c r="AB52">
        <f>HYPERLINK("https://klasma.github.io/Logging_2582/klagomålsmail/A 6118-2025 FSC-klagomål mail.docx", "A 6118-2025")</f>
        <v/>
      </c>
      <c r="AC52">
        <f>HYPERLINK("https://klasma.github.io/Logging_2582/tillsyn/A 6118-2025 tillsynsbegäran.docx", "A 6118-2025")</f>
        <v/>
      </c>
      <c r="AD52">
        <f>HYPERLINK("https://klasma.github.io/Logging_2582/tillsynsmail/A 6118-2025 tillsynsbegäran mail.docx", "A 6118-2025")</f>
        <v/>
      </c>
      <c r="AE52">
        <f>HYPERLINK("https://klasma.github.io/Logging_2582/fåglar/A 6118-2025 prioriterade fågelarter.docx", "A 6118-2025")</f>
        <v/>
      </c>
    </row>
    <row r="53" ht="15" customHeight="1">
      <c r="A53" t="inlineStr">
        <is>
          <t>A 10087-2026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46073</v>
      </c>
      <c r="E53" s="1" t="n">
        <v>46234</v>
      </c>
      <c r="F53" t="inlineStr">
        <is>
          <t>NORRBOTTENS LÄN</t>
        </is>
      </c>
      <c r="G53" t="inlineStr">
        <is>
          <t>BODEN</t>
        </is>
      </c>
      <c r="I53" t="n">
        <v>5.9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Korthornad vedstekel
Skogsödla
Vanlig padda</t>
        </is>
      </c>
      <c r="W53">
        <f>HYPERLINK("https://klasma.github.io/Logging_2582/artfynd/A 10087-2026 artfynd.xlsx", "A 10087-2026")</f>
        <v/>
      </c>
      <c r="X53">
        <f>HYPERLINK("https://klasma.github.io/Logging_2582/kartor/A 10087-2026 karta.png", "A 10087-2026")</f>
        <v/>
      </c>
      <c r="Y53">
        <f>HYPERLINK("https://klasma.github.io/Logging_2582/kartor_geotiff/A 10087-2026 georefererad karta.tif", "A 10087-2026")</f>
        <v/>
      </c>
      <c r="AA53">
        <f>HYPERLINK("https://klasma.github.io/Logging_2582/klagomål/A 10087-2026 FSC-klagomål.docx", "A 10087-2026")</f>
        <v/>
      </c>
      <c r="AB53">
        <f>HYPERLINK("https://klasma.github.io/Logging_2582/klagomålsmail/A 10087-2026 FSC-klagomål mail.docx", "A 10087-2026")</f>
        <v/>
      </c>
      <c r="AC53">
        <f>HYPERLINK("https://klasma.github.io/Logging_2582/tillsyn/A 10087-2026 tillsynsbegäran.docx", "A 10087-2026")</f>
        <v/>
      </c>
      <c r="AD53">
        <f>HYPERLINK("https://klasma.github.io/Logging_2582/tillsynsmail/A 10087-2026 tillsynsbegäran mail.docx", "A 10087-2026")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46234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37014-2023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46234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2.4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7</v>
      </c>
      <c r="U55" t="n">
        <v>7</v>
      </c>
      <c r="V55" s="2" t="inlineStr">
        <is>
          <t>Garnlav
Talltita
Stuplav</t>
        </is>
      </c>
      <c r="W55">
        <f>HYPERLINK("https://klasma.github.io/Logging_2582/artfynd/A 37014-2023 artfynd.xlsx", "A 37014-2023")</f>
        <v/>
      </c>
      <c r="X55">
        <f>HYPERLINK("https://klasma.github.io/Logging_2582/kartor/A 37014-2023 karta.png", "A 37014-2023")</f>
        <v/>
      </c>
      <c r="Y55">
        <f>HYPERLINK("https://klasma.github.io/Logging_2582/kartor_geotiff/A 37014-2023 georefererad karta.tif", "A 37014-2023")</f>
        <v/>
      </c>
      <c r="AA55">
        <f>HYPERLINK("https://klasma.github.io/Logging_2582/klagomål/A 37014-2023 FSC-klagomål.docx", "A 37014-2023")</f>
        <v/>
      </c>
      <c r="AB55">
        <f>HYPERLINK("https://klasma.github.io/Logging_2582/klagomålsmail/A 37014-2023 FSC-klagomål mail.docx", "A 37014-2023")</f>
        <v/>
      </c>
      <c r="AC55">
        <f>HYPERLINK("https://klasma.github.io/Logging_2582/tillsyn/A 37014-2023 tillsynsbegäran.docx", "A 37014-2023")</f>
        <v/>
      </c>
      <c r="AD55">
        <f>HYPERLINK("https://klasma.github.io/Logging_2582/tillsynsmail/A 37014-2023 tillsynsbegäran mail.docx", "A 37014-2023")</f>
        <v/>
      </c>
      <c r="AE55">
        <f>HYPERLINK("https://klasma.github.io/Logging_2582/fåglar/A 37014-2023 prioriterade fågelarter.docx", "A 37014-2023")</f>
        <v/>
      </c>
    </row>
    <row r="56" ht="15" customHeight="1">
      <c r="A56" t="inlineStr">
        <is>
          <t>A 23323-2025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46234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21.8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Grönpyrola
Fläcknycklar
Nattviol</t>
        </is>
      </c>
      <c r="W56">
        <f>HYPERLINK("https://klasma.github.io/Logging_2582/artfynd/A 23323-2025 artfynd.xlsx", "A 23323-2025")</f>
        <v/>
      </c>
      <c r="X56">
        <f>HYPERLINK("https://klasma.github.io/Logging_2582/kartor/A 23323-2025 karta.png", "A 23323-2025")</f>
        <v/>
      </c>
      <c r="Y56">
        <f>HYPERLINK("https://klasma.github.io/Logging_2582/kartor_geotiff/A 23323-2025 georefererad karta.tif", "A 23323-2025")</f>
        <v/>
      </c>
      <c r="AA56">
        <f>HYPERLINK("https://klasma.github.io/Logging_2582/klagomål/A 23323-2025 FSC-klagomål.docx", "A 23323-2025")</f>
        <v/>
      </c>
      <c r="AB56">
        <f>HYPERLINK("https://klasma.github.io/Logging_2582/klagomålsmail/A 23323-2025 FSC-klagomål mail.docx", "A 23323-2025")</f>
        <v/>
      </c>
      <c r="AC56">
        <f>HYPERLINK("https://klasma.github.io/Logging_2582/tillsyn/A 23323-2025 tillsynsbegäran.docx", "A 23323-2025")</f>
        <v/>
      </c>
      <c r="AD56">
        <f>HYPERLINK("https://klasma.github.io/Logging_2582/tillsynsmail/A 23323-2025 tillsynsbegäran mail.docx", "A 23323-2025")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46234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Vanlig groda
Vanlig padda
Revlummer</t>
        </is>
      </c>
      <c r="W57">
        <f>HYPERLINK("https://klasma.github.io/Logging_2582/artfynd/A 29797-2022 artfynd.xlsx", "A 29797-2022")</f>
        <v/>
      </c>
      <c r="X57">
        <f>HYPERLINK("https://klasma.github.io/Logging_2582/kartor/A 29797-2022 karta.png", "A 29797-2022")</f>
        <v/>
      </c>
      <c r="Y57">
        <f>HYPERLINK("https://klasma.github.io/Logging_2582/kartor_geotiff/A 29797-2022 georefererad karta.tif", "A 29797-2022")</f>
        <v/>
      </c>
      <c r="AA57">
        <f>HYPERLINK("https://klasma.github.io/Logging_2582/klagomål/A 29797-2022 FSC-klagomål.docx", "A 29797-2022")</f>
        <v/>
      </c>
      <c r="AB57">
        <f>HYPERLINK("https://klasma.github.io/Logging_2582/klagomålsmail/A 29797-2022 FSC-klagomål mail.docx", "A 29797-2022")</f>
        <v/>
      </c>
      <c r="AC57">
        <f>HYPERLINK("https://klasma.github.io/Logging_2582/tillsyn/A 29797-2022 tillsynsbegäran.docx", "A 29797-2022")</f>
        <v/>
      </c>
      <c r="AD57">
        <f>HYPERLINK("https://klasma.github.io/Logging_2582/tillsynsmail/A 29797-2022 tillsynsbegäran mail.docx", "A 29797-2022")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46234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t="n">
        <v>2</v>
      </c>
      <c r="V58" s="2" t="inlineStr">
        <is>
          <t>Garnlav
Lunglav
Spindelblomster</t>
        </is>
      </c>
      <c r="W58">
        <f>HYPERLINK("https://klasma.github.io/Logging_2582/artfynd/A 29868-2026 artfynd.xlsx", "A 29868-2026")</f>
        <v/>
      </c>
      <c r="X58">
        <f>HYPERLINK("https://klasma.github.io/Logging_2582/kartor/A 29868-2026 karta.png", "A 29868-2026")</f>
        <v/>
      </c>
      <c r="Y58">
        <f>HYPERLINK("https://klasma.github.io/Logging_2582/kartor_geotiff/A 29868-2026 georefererad karta.tif", "A 29868-2026")</f>
        <v/>
      </c>
      <c r="AA58">
        <f>HYPERLINK("https://klasma.github.io/Logging_2582/klagomål/A 29868-2026 FSC-klagomål.docx", "A 29868-2026")</f>
        <v/>
      </c>
      <c r="AB58">
        <f>HYPERLINK("https://klasma.github.io/Logging_2582/klagomålsmail/A 29868-2026 FSC-klagomål mail.docx", "A 29868-2026")</f>
        <v/>
      </c>
      <c r="AC58">
        <f>HYPERLINK("https://klasma.github.io/Logging_2582/tillsyn/A 29868-2026 tillsynsbegäran.docx", "A 29868-2026")</f>
        <v/>
      </c>
      <c r="AD58">
        <f>HYPERLINK("https://klasma.github.io/Logging_2582/tillsynsmail/A 29868-2026 tillsynsbegäran mail.docx", "A 29868-2026")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46234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Fläcknycklar
Fläcknycklar × sumpnycklar</t>
        </is>
      </c>
      <c r="W59">
        <f>HYPERLINK("https://klasma.github.io/Logging_2582/artfynd/A 31230-2026 artfynd.xlsx", "A 31230-2026")</f>
        <v/>
      </c>
      <c r="X59">
        <f>HYPERLINK("https://klasma.github.io/Logging_2582/kartor/A 31230-2026 karta.png", "A 31230-2026")</f>
        <v/>
      </c>
      <c r="Y59">
        <f>HYPERLINK("https://klasma.github.io/Logging_2582/kartor_geotiff/A 31230-2026 georefererad karta.tif", "A 31230-2026")</f>
        <v/>
      </c>
      <c r="AA59">
        <f>HYPERLINK("https://klasma.github.io/Logging_2582/klagomål/A 31230-2026 FSC-klagomål.docx", "A 31230-2026")</f>
        <v/>
      </c>
      <c r="AB59">
        <f>HYPERLINK("https://klasma.github.io/Logging_2582/klagomålsmail/A 31230-2026 FSC-klagomål mail.docx", "A 31230-2026")</f>
        <v/>
      </c>
      <c r="AC59">
        <f>HYPERLINK("https://klasma.github.io/Logging_2582/tillsyn/A 31230-2026 tillsynsbegäran.docx", "A 31230-2026")</f>
        <v/>
      </c>
      <c r="AD59">
        <f>HYPERLINK("https://klasma.github.io/Logging_2582/tillsynsmail/A 31230-2026 tillsynsbegäran mail.docx", "A 31230-2026")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46234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46234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46234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13659-2022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44648</v>
      </c>
      <c r="E63" s="1" t="n">
        <v>46234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7.3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Bollvitmossa
Ögonpyrola</t>
        </is>
      </c>
      <c r="W63">
        <f>HYPERLINK("https://klasma.github.io/Logging_2582/artfynd/A 13659-2022 artfynd.xlsx", "A 13659-2022")</f>
        <v/>
      </c>
      <c r="X63">
        <f>HYPERLINK("https://klasma.github.io/Logging_2582/kartor/A 13659-2022 karta.png", "A 13659-2022")</f>
        <v/>
      </c>
      <c r="Y63">
        <f>HYPERLINK("https://klasma.github.io/Logging_2582/kartor_geotiff/A 13659-2022 georefererad karta.tif", "A 13659-2022")</f>
        <v/>
      </c>
      <c r="AA63">
        <f>HYPERLINK("https://klasma.github.io/Logging_2582/klagomål/A 13659-2022 FSC-klagomål.docx", "A 13659-2022")</f>
        <v/>
      </c>
      <c r="AB63">
        <f>HYPERLINK("https://klasma.github.io/Logging_2582/klagomålsmail/A 13659-2022 FSC-klagomål mail.docx", "A 13659-2022")</f>
        <v/>
      </c>
      <c r="AC63">
        <f>HYPERLINK("https://klasma.github.io/Logging_2582/tillsyn/A 13659-2022 tillsynsbegäran.docx", "A 13659-2022")</f>
        <v/>
      </c>
      <c r="AD63">
        <f>HYPERLINK("https://klasma.github.io/Logging_2582/tillsynsmail/A 13659-2022 tillsynsbegäran mail.docx", "A 13659-2022")</f>
        <v/>
      </c>
    </row>
    <row r="64" ht="15" customHeight="1">
      <c r="A64" t="inlineStr">
        <is>
          <t>A 36629-2022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46234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10</v>
      </c>
      <c r="U64" t="n">
        <v>10</v>
      </c>
      <c r="V64" s="2" t="inlineStr">
        <is>
          <t>Dropptaggsvamp
Skarp dropptaggsvamp</t>
        </is>
      </c>
      <c r="W64">
        <f>HYPERLINK("https://klasma.github.io/Logging_2582/artfynd/A 36629-2022 artfynd.xlsx", "A 36629-2022")</f>
        <v/>
      </c>
      <c r="X64">
        <f>HYPERLINK("https://klasma.github.io/Logging_2582/kartor/A 36629-2022 karta.png", "A 36629-2022")</f>
        <v/>
      </c>
      <c r="Y64">
        <f>HYPERLINK("https://klasma.github.io/Logging_2582/kartor_geotiff/A 36629-2022 georefererad karta.tif", "A 36629-2022")</f>
        <v/>
      </c>
      <c r="AA64">
        <f>HYPERLINK("https://klasma.github.io/Logging_2582/klagomål/A 36629-2022 FSC-klagomål.docx", "A 36629-2022")</f>
        <v/>
      </c>
      <c r="AB64">
        <f>HYPERLINK("https://klasma.github.io/Logging_2582/klagomålsmail/A 36629-2022 FSC-klagomål mail.docx", "A 36629-2022")</f>
        <v/>
      </c>
      <c r="AC64">
        <f>HYPERLINK("https://klasma.github.io/Logging_2582/tillsyn/A 36629-2022 tillsynsbegäran.docx", "A 36629-2022")</f>
        <v/>
      </c>
      <c r="AD64">
        <f>HYPERLINK("https://klasma.github.io/Logging_2582/tillsynsmail/A 36629-2022 tillsynsbegäran mail.docx", "A 36629-2022")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46234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26346-2022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46234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Blå taggsvamp
Ullticka</t>
        </is>
      </c>
      <c r="W66">
        <f>HYPERLINK("https://klasma.github.io/Logging_2582/artfynd/A 26346-2022 artfynd.xlsx", "A 26346-2022")</f>
        <v/>
      </c>
      <c r="X66">
        <f>HYPERLINK("https://klasma.github.io/Logging_2582/kartor/A 26346-2022 karta.png", "A 26346-2022")</f>
        <v/>
      </c>
      <c r="Y66">
        <f>HYPERLINK("https://klasma.github.io/Logging_2582/kartor_geotiff/A 26346-2022 georefererad karta.tif", "A 26346-2022")</f>
        <v/>
      </c>
      <c r="AA66">
        <f>HYPERLINK("https://klasma.github.io/Logging_2582/klagomål/A 26346-2022 FSC-klagomål.docx", "A 26346-2022")</f>
        <v/>
      </c>
      <c r="AB66">
        <f>HYPERLINK("https://klasma.github.io/Logging_2582/klagomålsmail/A 26346-2022 FSC-klagomål mail.docx", "A 26346-2022")</f>
        <v/>
      </c>
      <c r="AC66">
        <f>HYPERLINK("https://klasma.github.io/Logging_2582/tillsyn/A 26346-2022 tillsynsbegäran.docx", "A 26346-2022")</f>
        <v/>
      </c>
      <c r="AD66">
        <f>HYPERLINK("https://klasma.github.io/Logging_2582/tillsynsmail/A 26346-2022 tillsynsbegäran mail.docx", "A 26346-2022")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46234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Talltita
Gråspett</t>
        </is>
      </c>
      <c r="W67">
        <f>HYPERLINK("https://klasma.github.io/Logging_2582/artfynd/A 1507-2022 artfynd.xlsx", "A 1507-2022")</f>
        <v/>
      </c>
      <c r="X67">
        <f>HYPERLINK("https://klasma.github.io/Logging_2582/kartor/A 1507-2022 karta.png", "A 1507-2022")</f>
        <v/>
      </c>
      <c r="Y67">
        <f>HYPERLINK("https://klasma.github.io/Logging_2582/kartor_geotiff/A 1507-2022 georefererad karta.tif", "A 1507-2022")</f>
        <v/>
      </c>
      <c r="AA67">
        <f>HYPERLINK("https://klasma.github.io/Logging_2582/klagomål/A 1507-2022 FSC-klagomål.docx", "A 1507-2022")</f>
        <v/>
      </c>
      <c r="AB67">
        <f>HYPERLINK("https://klasma.github.io/Logging_2582/klagomålsmail/A 1507-2022 FSC-klagomål mail.docx", "A 1507-2022")</f>
        <v/>
      </c>
      <c r="AC67">
        <f>HYPERLINK("https://klasma.github.io/Logging_2582/tillsyn/A 1507-2022 tillsynsbegäran.docx", "A 1507-2022")</f>
        <v/>
      </c>
      <c r="AD67">
        <f>HYPERLINK("https://klasma.github.io/Logging_2582/tillsynsmail/A 1507-2022 tillsynsbegäran mail.docx", "A 1507-2022")</f>
        <v/>
      </c>
      <c r="AE67">
        <f>HYPERLINK("https://klasma.github.io/Logging_2582/fåglar/A 1507-2022 prioriterade fågelarter.docx", "A 1507-2022")</f>
        <v/>
      </c>
    </row>
    <row r="68" ht="15" customHeight="1">
      <c r="A68" t="inlineStr">
        <is>
          <t>A 50100-2025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46234</v>
      </c>
      <c r="F68" t="inlineStr">
        <is>
          <t>NORRBOTTENS LÄN</t>
        </is>
      </c>
      <c r="G68" t="inlineStr">
        <is>
          <t>BODEN</t>
        </is>
      </c>
      <c r="I68" t="n">
        <v>6.5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Mörk kolflarnlav
Fläcknycklar</t>
        </is>
      </c>
      <c r="W68">
        <f>HYPERLINK("https://klasma.github.io/Logging_2582/artfynd/A 50100-2025 artfynd.xlsx", "A 50100-2025")</f>
        <v/>
      </c>
      <c r="X68">
        <f>HYPERLINK("https://klasma.github.io/Logging_2582/kartor/A 50100-2025 karta.png", "A 50100-2025")</f>
        <v/>
      </c>
      <c r="Y68">
        <f>HYPERLINK("https://klasma.github.io/Logging_2582/kartor_geotiff/A 50100-2025 georefererad karta.tif", "A 50100-2025")</f>
        <v/>
      </c>
      <c r="AA68">
        <f>HYPERLINK("https://klasma.github.io/Logging_2582/klagomål/A 50100-2025 FSC-klagomål.docx", "A 50100-2025")</f>
        <v/>
      </c>
      <c r="AB68">
        <f>HYPERLINK("https://klasma.github.io/Logging_2582/klagomålsmail/A 50100-2025 FSC-klagomål mail.docx", "A 50100-2025")</f>
        <v/>
      </c>
      <c r="AC68">
        <f>HYPERLINK("https://klasma.github.io/Logging_2582/tillsyn/A 50100-2025 tillsynsbegäran.docx", "A 50100-2025")</f>
        <v/>
      </c>
      <c r="AD68">
        <f>HYPERLINK("https://klasma.github.io/Logging_2582/tillsynsmail/A 50100-2025 tillsynsbegäran mail.docx", "A 50100-2025")</f>
        <v/>
      </c>
    </row>
    <row r="69" ht="15" customHeight="1">
      <c r="A69" t="inlineStr">
        <is>
          <t>A 6639-2024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45341</v>
      </c>
      <c r="E69" s="1" t="n">
        <v>46234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23.8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Lunglav
Kungsfågel</t>
        </is>
      </c>
      <c r="W69">
        <f>HYPERLINK("https://klasma.github.io/Logging_2582/artfynd/A 6639-2024 artfynd.xlsx", "A 6639-2024")</f>
        <v/>
      </c>
      <c r="X69">
        <f>HYPERLINK("https://klasma.github.io/Logging_2582/kartor/A 6639-2024 karta.png", "A 6639-2024")</f>
        <v/>
      </c>
      <c r="Y69">
        <f>HYPERLINK("https://klasma.github.io/Logging_2582/kartor_geotiff/A 6639-2024 georefererad karta.tif", "A 6639-2024")</f>
        <v/>
      </c>
      <c r="AA69">
        <f>HYPERLINK("https://klasma.github.io/Logging_2582/klagomål/A 6639-2024 FSC-klagomål.docx", "A 6639-2024")</f>
        <v/>
      </c>
      <c r="AB69">
        <f>HYPERLINK("https://klasma.github.io/Logging_2582/klagomålsmail/A 6639-2024 FSC-klagomål mail.docx", "A 6639-2024")</f>
        <v/>
      </c>
      <c r="AC69">
        <f>HYPERLINK("https://klasma.github.io/Logging_2582/tillsyn/A 6639-2024 tillsynsbegäran.docx", "A 6639-2024")</f>
        <v/>
      </c>
      <c r="AD69">
        <f>HYPERLINK("https://klasma.github.io/Logging_2582/tillsynsmail/A 6639-2024 tillsynsbegäran mail.docx", "A 6639-2024")</f>
        <v/>
      </c>
    </row>
    <row r="70" ht="15" customHeight="1">
      <c r="A70" t="inlineStr">
        <is>
          <t>A 25701-2025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45803</v>
      </c>
      <c r="E70" s="1" t="n">
        <v>46234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8.800000000000001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Lunglav
Öring</t>
        </is>
      </c>
      <c r="W70">
        <f>HYPERLINK("https://klasma.github.io/Logging_2582/artfynd/A 25701-2025 artfynd.xlsx", "A 25701-2025")</f>
        <v/>
      </c>
      <c r="X70">
        <f>HYPERLINK("https://klasma.github.io/Logging_2582/kartor/A 25701-2025 karta.png", "A 25701-2025")</f>
        <v/>
      </c>
      <c r="Y70">
        <f>HYPERLINK("https://klasma.github.io/Logging_2582/kartor_geotiff/A 25701-2025 georefererad karta.tif", "A 25701-2025")</f>
        <v/>
      </c>
      <c r="AA70">
        <f>HYPERLINK("https://klasma.github.io/Logging_2582/klagomål/A 25701-2025 FSC-klagomål.docx", "A 25701-2025")</f>
        <v/>
      </c>
      <c r="AB70">
        <f>HYPERLINK("https://klasma.github.io/Logging_2582/klagomålsmail/A 25701-2025 FSC-klagomål mail.docx", "A 25701-2025")</f>
        <v/>
      </c>
      <c r="AC70">
        <f>HYPERLINK("https://klasma.github.io/Logging_2582/tillsyn/A 25701-2025 tillsynsbegäran.docx", "A 25701-2025")</f>
        <v/>
      </c>
      <c r="AD70">
        <f>HYPERLINK("https://klasma.github.io/Logging_2582/tillsynsmail/A 25701-2025 tillsynsbegäran mail.docx", "A 25701-2025")</f>
        <v/>
      </c>
    </row>
    <row r="71" ht="15" customHeight="1">
      <c r="A71" t="inlineStr">
        <is>
          <t>A 32971-2024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45517</v>
      </c>
      <c r="E71" s="1" t="n">
        <v>46234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10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5</v>
      </c>
      <c r="U71" t="n">
        <v>4</v>
      </c>
      <c r="V71" s="2" t="inlineStr">
        <is>
          <t>Lunglav
Fläcknycklar</t>
        </is>
      </c>
      <c r="W71">
        <f>HYPERLINK("https://klasma.github.io/Logging_2582/artfynd/A 32971-2024 artfynd.xlsx", "A 32971-2024")</f>
        <v/>
      </c>
      <c r="X71">
        <f>HYPERLINK("https://klasma.github.io/Logging_2582/kartor/A 32971-2024 karta.png", "A 32971-2024")</f>
        <v/>
      </c>
      <c r="Y71">
        <f>HYPERLINK("https://klasma.github.io/Logging_2582/kartor_geotiff/A 32971-2024 georefererad karta.tif", "A 32971-2024")</f>
        <v/>
      </c>
      <c r="AA71">
        <f>HYPERLINK("https://klasma.github.io/Logging_2582/klagomål/A 32971-2024 FSC-klagomål.docx", "A 32971-2024")</f>
        <v/>
      </c>
      <c r="AB71">
        <f>HYPERLINK("https://klasma.github.io/Logging_2582/klagomålsmail/A 32971-2024 FSC-klagomål mail.docx", "A 32971-2024")</f>
        <v/>
      </c>
      <c r="AC71">
        <f>HYPERLINK("https://klasma.github.io/Logging_2582/tillsyn/A 32971-2024 tillsynsbegäran.docx", "A 32971-2024")</f>
        <v/>
      </c>
      <c r="AD71">
        <f>HYPERLINK("https://klasma.github.io/Logging_2582/tillsynsmail/A 32971-2024 tillsynsbegäran mail.docx", "A 32971-2024")</f>
        <v/>
      </c>
    </row>
    <row r="72" ht="15" customHeight="1">
      <c r="A72" t="inlineStr">
        <is>
          <t>A 43315-2025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45910</v>
      </c>
      <c r="E72" s="1" t="n">
        <v>46234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Lunglav
Stuplav</t>
        </is>
      </c>
      <c r="W72">
        <f>HYPERLINK("https://klasma.github.io/Logging_2582/artfynd/A 43315-2025 artfynd.xlsx", "A 43315-2025")</f>
        <v/>
      </c>
      <c r="X72">
        <f>HYPERLINK("https://klasma.github.io/Logging_2582/kartor/A 43315-2025 karta.png", "A 43315-2025")</f>
        <v/>
      </c>
      <c r="Y72">
        <f>HYPERLINK("https://klasma.github.io/Logging_2582/kartor_geotiff/A 43315-2025 georefererad karta.tif", "A 43315-2025")</f>
        <v/>
      </c>
      <c r="AA72">
        <f>HYPERLINK("https://klasma.github.io/Logging_2582/klagomål/A 43315-2025 FSC-klagomål.docx", "A 43315-2025")</f>
        <v/>
      </c>
      <c r="AB72">
        <f>HYPERLINK("https://klasma.github.io/Logging_2582/klagomålsmail/A 43315-2025 FSC-klagomål mail.docx", "A 43315-2025")</f>
        <v/>
      </c>
      <c r="AC72">
        <f>HYPERLINK("https://klasma.github.io/Logging_2582/tillsyn/A 43315-2025 tillsynsbegäran.docx", "A 43315-2025")</f>
        <v/>
      </c>
      <c r="AD72">
        <f>HYPERLINK("https://klasma.github.io/Logging_2582/tillsynsmail/A 43315-2025 tillsynsbegäran mail.docx", "A 43315-2025")</f>
        <v/>
      </c>
    </row>
    <row r="73" ht="15" customHeight="1">
      <c r="A73" t="inlineStr">
        <is>
          <t>A 43310-2025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45910</v>
      </c>
      <c r="E73" s="1" t="n">
        <v>46234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43310-2025 artfynd.xlsx", "A 43310-2025")</f>
        <v/>
      </c>
      <c r="X73">
        <f>HYPERLINK("https://klasma.github.io/Logging_2582/kartor/A 43310-2025 karta.png", "A 43310-2025")</f>
        <v/>
      </c>
      <c r="Y73">
        <f>HYPERLINK("https://klasma.github.io/Logging_2582/kartor_geotiff/A 43310-2025 georefererad karta.tif", "A 43310-2025")</f>
        <v/>
      </c>
      <c r="AA73">
        <f>HYPERLINK("https://klasma.github.io/Logging_2582/klagomål/A 43310-2025 FSC-klagomål.docx", "A 43310-2025")</f>
        <v/>
      </c>
      <c r="AB73">
        <f>HYPERLINK("https://klasma.github.io/Logging_2582/klagomålsmail/A 43310-2025 FSC-klagomål mail.docx", "A 43310-2025")</f>
        <v/>
      </c>
      <c r="AC73">
        <f>HYPERLINK("https://klasma.github.io/Logging_2582/tillsyn/A 43310-2025 tillsynsbegäran.docx", "A 43310-2025")</f>
        <v/>
      </c>
      <c r="AD73">
        <f>HYPERLINK("https://klasma.github.io/Logging_2582/tillsynsmail/A 43310-2025 tillsynsbegäran mail.docx", "A 43310-2025")</f>
        <v/>
      </c>
    </row>
    <row r="74" ht="15" customHeight="1">
      <c r="A74" t="inlineStr">
        <is>
          <t>A 45477-2025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45922</v>
      </c>
      <c r="E74" s="1" t="n">
        <v>46234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9.1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0</v>
      </c>
      <c r="V74" s="2" t="inlineStr">
        <is>
          <t>Doftticka
Lunglav</t>
        </is>
      </c>
      <c r="W74">
        <f>HYPERLINK("https://klasma.github.io/Logging_2582/artfynd/A 45477-2025 artfynd.xlsx", "A 45477-2025")</f>
        <v/>
      </c>
      <c r="X74">
        <f>HYPERLINK("https://klasma.github.io/Logging_2582/kartor/A 45477-2025 karta.png", "A 45477-2025")</f>
        <v/>
      </c>
      <c r="Y74">
        <f>HYPERLINK("https://klasma.github.io/Logging_2582/kartor_geotiff/A 45477-2025 georefererad karta.tif", "A 45477-2025")</f>
        <v/>
      </c>
      <c r="AA74">
        <f>HYPERLINK("https://klasma.github.io/Logging_2582/klagomål/A 45477-2025 FSC-klagomål.docx", "A 45477-2025")</f>
        <v/>
      </c>
      <c r="AB74">
        <f>HYPERLINK("https://klasma.github.io/Logging_2582/klagomålsmail/A 45477-2025 FSC-klagomål mail.docx", "A 45477-2025")</f>
        <v/>
      </c>
      <c r="AC74">
        <f>HYPERLINK("https://klasma.github.io/Logging_2582/tillsyn/A 45477-2025 tillsynsbegäran.docx", "A 45477-2025")</f>
        <v/>
      </c>
      <c r="AD74">
        <f>HYPERLINK("https://klasma.github.io/Logging_2582/tillsynsmail/A 45477-2025 tillsynsbegäran mail.docx", "A 45477-2025")</f>
        <v/>
      </c>
    </row>
    <row r="75" ht="15" customHeight="1">
      <c r="A75" t="inlineStr">
        <is>
          <t>A 28867-2025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46234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8.199999999999999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12</v>
      </c>
      <c r="U75" t="n">
        <v>12</v>
      </c>
      <c r="V75" s="2" t="inlineStr">
        <is>
          <t>Knärot
Fläcknycklar</t>
        </is>
      </c>
      <c r="W75">
        <f>HYPERLINK("https://klasma.github.io/Logging_2582/artfynd/A 28867-2025 artfynd.xlsx", "A 28867-2025")</f>
        <v/>
      </c>
      <c r="X75">
        <f>HYPERLINK("https://klasma.github.io/Logging_2582/kartor/A 28867-2025 karta.png", "A 28867-2025")</f>
        <v/>
      </c>
      <c r="Y75">
        <f>HYPERLINK("https://klasma.github.io/Logging_2582/kartor_geotiff/A 28867-2025 georefererad karta.tif", "A 28867-2025")</f>
        <v/>
      </c>
      <c r="Z75">
        <f>HYPERLINK("https://klasma.github.io/Logging_2582/knärot/A 28867-2025 karta knärot.png", "A 28867-2025")</f>
        <v/>
      </c>
      <c r="AA75">
        <f>HYPERLINK("https://klasma.github.io/Logging_2582/klagomål/A 28867-2025 FSC-klagomål.docx", "A 28867-2025")</f>
        <v/>
      </c>
      <c r="AB75">
        <f>HYPERLINK("https://klasma.github.io/Logging_2582/klagomålsmail/A 28867-2025 FSC-klagomål mail.docx", "A 28867-2025")</f>
        <v/>
      </c>
      <c r="AC75">
        <f>HYPERLINK("https://klasma.github.io/Logging_2582/tillsyn/A 28867-2025 tillsynsbegäran.docx", "A 28867-2025")</f>
        <v/>
      </c>
      <c r="AD75">
        <f>HYPERLINK("https://klasma.github.io/Logging_2582/tillsynsmail/A 28867-2025 tillsynsbegäran mail.docx", "A 28867-2025")</f>
        <v/>
      </c>
    </row>
    <row r="76" ht="15" customHeight="1">
      <c r="A76" t="inlineStr">
        <is>
          <t>A 9306-2025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46234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11.7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Lunglav
Rynkskinn</t>
        </is>
      </c>
      <c r="W76">
        <f>HYPERLINK("https://klasma.github.io/Logging_2582/artfynd/A 9306-2025 artfynd.xlsx", "A 9306-2025")</f>
        <v/>
      </c>
      <c r="X76">
        <f>HYPERLINK("https://klasma.github.io/Logging_2582/kartor/A 9306-2025 karta.png", "A 9306-2025")</f>
        <v/>
      </c>
      <c r="Y76">
        <f>HYPERLINK("https://klasma.github.io/Logging_2582/kartor_geotiff/A 9306-2025 georefererad karta.tif", "A 9306-2025")</f>
        <v/>
      </c>
      <c r="AA76">
        <f>HYPERLINK("https://klasma.github.io/Logging_2582/klagomål/A 9306-2025 FSC-klagomål.docx", "A 9306-2025")</f>
        <v/>
      </c>
      <c r="AB76">
        <f>HYPERLINK("https://klasma.github.io/Logging_2582/klagomålsmail/A 9306-2025 FSC-klagomål mail.docx", "A 9306-2025")</f>
        <v/>
      </c>
      <c r="AC76">
        <f>HYPERLINK("https://klasma.github.io/Logging_2582/tillsyn/A 9306-2025 tillsynsbegäran.docx", "A 9306-2025")</f>
        <v/>
      </c>
      <c r="AD76">
        <f>HYPERLINK("https://klasma.github.io/Logging_2582/tillsynsmail/A 9306-2025 tillsynsbegäran mail.docx", "A 9306-2025")</f>
        <v/>
      </c>
    </row>
    <row r="77" ht="15" customHeight="1">
      <c r="A77" t="inlineStr">
        <is>
          <t>A 6895-2025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45701</v>
      </c>
      <c r="E77" s="1" t="n">
        <v>46234</v>
      </c>
      <c r="F77" t="inlineStr">
        <is>
          <t>NORRBOTTENS LÄN</t>
        </is>
      </c>
      <c r="G77" t="inlineStr">
        <is>
          <t>BODEN</t>
        </is>
      </c>
      <c r="I77" t="n">
        <v>1.5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Kolflarnlav
Plattlummer</t>
        </is>
      </c>
      <c r="W77">
        <f>HYPERLINK("https://klasma.github.io/Logging_2582/artfynd/A 6895-2025 artfynd.xlsx", "A 6895-2025")</f>
        <v/>
      </c>
      <c r="X77">
        <f>HYPERLINK("https://klasma.github.io/Logging_2582/kartor/A 6895-2025 karta.png", "A 6895-2025")</f>
        <v/>
      </c>
      <c r="Y77">
        <f>HYPERLINK("https://klasma.github.io/Logging_2582/kartor_geotiff/A 6895-2025 georefererad karta.tif", "A 6895-2025")</f>
        <v/>
      </c>
      <c r="AA77">
        <f>HYPERLINK("https://klasma.github.io/Logging_2582/klagomål/A 6895-2025 FSC-klagomål.docx", "A 6895-2025")</f>
        <v/>
      </c>
      <c r="AB77">
        <f>HYPERLINK("https://klasma.github.io/Logging_2582/klagomålsmail/A 6895-2025 FSC-klagomål mail.docx", "A 6895-2025")</f>
        <v/>
      </c>
      <c r="AC77">
        <f>HYPERLINK("https://klasma.github.io/Logging_2582/tillsyn/A 6895-2025 tillsynsbegäran.docx", "A 6895-2025")</f>
        <v/>
      </c>
      <c r="AD77">
        <f>HYPERLINK("https://klasma.github.io/Logging_2582/tillsynsmail/A 6895-2025 tillsynsbegäran mail.docx", "A 6895-2025")</f>
        <v/>
      </c>
    </row>
    <row r="78" ht="15" customHeight="1">
      <c r="A78" t="inlineStr">
        <is>
          <t>A 37086-2025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46234</v>
      </c>
      <c r="F78" t="inlineStr">
        <is>
          <t>NORRBOTTENS LÄN</t>
        </is>
      </c>
      <c r="G78" t="inlineStr">
        <is>
          <t>BODEN</t>
        </is>
      </c>
      <c r="H78" t="inlineStr">
        <is>
          <t>Övriga Aktiebolag</t>
        </is>
      </c>
      <c r="I78" t="n">
        <v>22.8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37086-2025 artfynd.xlsx", "A 37086-2025")</f>
        <v/>
      </c>
      <c r="X78">
        <f>HYPERLINK("https://klasma.github.io/Logging_2582/kartor/A 37086-2025 karta.png", "A 37086-2025")</f>
        <v/>
      </c>
      <c r="Y78">
        <f>HYPERLINK("https://klasma.github.io/Logging_2582/kartor_geotiff/A 37086-2025 georefererad karta.tif", "A 37086-2025")</f>
        <v/>
      </c>
      <c r="AA78">
        <f>HYPERLINK("https://klasma.github.io/Logging_2582/klagomål/A 37086-2025 FSC-klagomål.docx", "A 37086-2025")</f>
        <v/>
      </c>
      <c r="AB78">
        <f>HYPERLINK("https://klasma.github.io/Logging_2582/klagomålsmail/A 37086-2025 FSC-klagomål mail.docx", "A 37086-2025")</f>
        <v/>
      </c>
      <c r="AC78">
        <f>HYPERLINK("https://klasma.github.io/Logging_2582/tillsyn/A 37086-2025 tillsynsbegäran.docx", "A 37086-2025")</f>
        <v/>
      </c>
      <c r="AD78">
        <f>HYPERLINK("https://klasma.github.io/Logging_2582/tillsynsmail/A 37086-2025 tillsynsbegäran mail.docx", "A 37086-2025")</f>
        <v/>
      </c>
    </row>
    <row r="79" ht="15" customHeight="1">
      <c r="A79" t="inlineStr">
        <is>
          <t>A 59435-2024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46234</v>
      </c>
      <c r="F79" t="inlineStr">
        <is>
          <t>NORRBOTTENS LÄN</t>
        </is>
      </c>
      <c r="G79" t="inlineStr">
        <is>
          <t>BODEN</t>
        </is>
      </c>
      <c r="I79" t="n">
        <v>2.1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Lappranunkel
Ögonpyrola</t>
        </is>
      </c>
      <c r="W79">
        <f>HYPERLINK("https://klasma.github.io/Logging_2582/artfynd/A 59435-2024 artfynd.xlsx", "A 59435-2024")</f>
        <v/>
      </c>
      <c r="X79">
        <f>HYPERLINK("https://klasma.github.io/Logging_2582/kartor/A 59435-2024 karta.png", "A 59435-2024")</f>
        <v/>
      </c>
      <c r="Y79">
        <f>HYPERLINK("https://klasma.github.io/Logging_2582/kartor_geotiff/A 59435-2024 georefererad karta.tif", "A 59435-2024")</f>
        <v/>
      </c>
      <c r="AA79">
        <f>HYPERLINK("https://klasma.github.io/Logging_2582/klagomål/A 59435-2024 FSC-klagomål.docx", "A 59435-2024")</f>
        <v/>
      </c>
      <c r="AB79">
        <f>HYPERLINK("https://klasma.github.io/Logging_2582/klagomålsmail/A 59435-2024 FSC-klagomål mail.docx", "A 59435-2024")</f>
        <v/>
      </c>
      <c r="AC79">
        <f>HYPERLINK("https://klasma.github.io/Logging_2582/tillsyn/A 59435-2024 tillsynsbegäran.docx", "A 59435-2024")</f>
        <v/>
      </c>
      <c r="AD79">
        <f>HYPERLINK("https://klasma.github.io/Logging_2582/tillsynsmail/A 59435-2024 tillsynsbegäran mail.docx", "A 59435-2024")</f>
        <v/>
      </c>
    </row>
    <row r="80" ht="15" customHeight="1">
      <c r="A80" t="inlineStr">
        <is>
          <t>A 48899-2024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46234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Hässlebrodd
Fläcknycklar</t>
        </is>
      </c>
      <c r="W80">
        <f>HYPERLINK("https://klasma.github.io/Logging_2582/artfynd/A 48899-2024 artfynd.xlsx", "A 48899-2024")</f>
        <v/>
      </c>
      <c r="X80">
        <f>HYPERLINK("https://klasma.github.io/Logging_2582/kartor/A 48899-2024 karta.png", "A 48899-2024")</f>
        <v/>
      </c>
      <c r="Y80">
        <f>HYPERLINK("https://klasma.github.io/Logging_2582/kartor_geotiff/A 48899-2024 georefererad karta.tif", "A 48899-2024")</f>
        <v/>
      </c>
      <c r="AA80">
        <f>HYPERLINK("https://klasma.github.io/Logging_2582/klagomål/A 48899-2024 FSC-klagomål.docx", "A 48899-2024")</f>
        <v/>
      </c>
      <c r="AB80">
        <f>HYPERLINK("https://klasma.github.io/Logging_2582/klagomålsmail/A 48899-2024 FSC-klagomål mail.docx", "A 48899-2024")</f>
        <v/>
      </c>
      <c r="AC80">
        <f>HYPERLINK("https://klasma.github.io/Logging_2582/tillsyn/A 48899-2024 tillsynsbegäran.docx", "A 48899-2024")</f>
        <v/>
      </c>
      <c r="AD80">
        <f>HYPERLINK("https://klasma.github.io/Logging_2582/tillsynsmail/A 48899-2024 tillsynsbegäran mail.docx", "A 48899-2024")</f>
        <v/>
      </c>
    </row>
    <row r="81" ht="15" customHeight="1">
      <c r="A81" t="inlineStr">
        <is>
          <t>A 8703-2026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46234</v>
      </c>
      <c r="F81" t="inlineStr">
        <is>
          <t>NORRBOTTENS LÄN</t>
        </is>
      </c>
      <c r="G81" t="inlineStr">
        <is>
          <t>BODEN</t>
        </is>
      </c>
      <c r="I81" t="n">
        <v>1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Ullticka
Skinnlav</t>
        </is>
      </c>
      <c r="W81">
        <f>HYPERLINK("https://klasma.github.io/Logging_2582/artfynd/A 8703-2026 artfynd.xlsx", "A 8703-2026")</f>
        <v/>
      </c>
      <c r="X81">
        <f>HYPERLINK("https://klasma.github.io/Logging_2582/kartor/A 8703-2026 karta.png", "A 8703-2026")</f>
        <v/>
      </c>
      <c r="Y81">
        <f>HYPERLINK("https://klasma.github.io/Logging_2582/kartor_geotiff/A 8703-2026 georefererad karta.tif", "A 8703-2026")</f>
        <v/>
      </c>
      <c r="AA81">
        <f>HYPERLINK("https://klasma.github.io/Logging_2582/klagomål/A 8703-2026 FSC-klagomål.docx", "A 8703-2026")</f>
        <v/>
      </c>
      <c r="AB81">
        <f>HYPERLINK("https://klasma.github.io/Logging_2582/klagomålsmail/A 8703-2026 FSC-klagomål mail.docx", "A 8703-2026")</f>
        <v/>
      </c>
      <c r="AC81">
        <f>HYPERLINK("https://klasma.github.io/Logging_2582/tillsyn/A 8703-2026 tillsynsbegäran.docx", "A 8703-2026")</f>
        <v/>
      </c>
      <c r="AD81">
        <f>HYPERLINK("https://klasma.github.io/Logging_2582/tillsynsmail/A 8703-2026 tillsynsbegäran mail.docx", "A 8703-2026")</f>
        <v/>
      </c>
    </row>
    <row r="82" ht="15" customHeight="1">
      <c r="A82" t="inlineStr">
        <is>
          <t>A 8754-2026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46066</v>
      </c>
      <c r="E82" s="1" t="n">
        <v>46234</v>
      </c>
      <c r="F82" t="inlineStr">
        <is>
          <t>NORRBOTTENS LÄN</t>
        </is>
      </c>
      <c r="G82" t="inlineStr">
        <is>
          <t>BODEN</t>
        </is>
      </c>
      <c r="I82" t="n">
        <v>2.1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Garnlav
Ullticka</t>
        </is>
      </c>
      <c r="W82">
        <f>HYPERLINK("https://klasma.github.io/Logging_2582/artfynd/A 8754-2026 artfynd.xlsx", "A 8754-2026")</f>
        <v/>
      </c>
      <c r="X82">
        <f>HYPERLINK("https://klasma.github.io/Logging_2582/kartor/A 8754-2026 karta.png", "A 8754-2026")</f>
        <v/>
      </c>
      <c r="Y82">
        <f>HYPERLINK("https://klasma.github.io/Logging_2582/kartor_geotiff/A 8754-2026 georefererad karta.tif", "A 8754-2026")</f>
        <v/>
      </c>
      <c r="AA82">
        <f>HYPERLINK("https://klasma.github.io/Logging_2582/klagomål/A 8754-2026 FSC-klagomål.docx", "A 8754-2026")</f>
        <v/>
      </c>
      <c r="AB82">
        <f>HYPERLINK("https://klasma.github.io/Logging_2582/klagomålsmail/A 8754-2026 FSC-klagomål mail.docx", "A 8754-2026")</f>
        <v/>
      </c>
      <c r="AC82">
        <f>HYPERLINK("https://klasma.github.io/Logging_2582/tillsyn/A 8754-2026 tillsynsbegäran.docx", "A 8754-2026")</f>
        <v/>
      </c>
      <c r="AD82">
        <f>HYPERLINK("https://klasma.github.io/Logging_2582/tillsynsmail/A 8754-2026 tillsynsbegäran mail.docx", "A 8754-2026")</f>
        <v/>
      </c>
    </row>
    <row r="83" ht="15" customHeight="1">
      <c r="A83" t="inlineStr">
        <is>
          <t>A 61210-2024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46234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4</v>
      </c>
      <c r="U83" t="n">
        <v>0</v>
      </c>
      <c r="V83" s="2" t="inlineStr">
        <is>
          <t>Skrovlig taggsvamp
Blå taggsvamp</t>
        </is>
      </c>
      <c r="W83">
        <f>HYPERLINK("https://klasma.github.io/Logging_2582/artfynd/A 61210-2024 artfynd.xlsx", "A 61210-2024")</f>
        <v/>
      </c>
      <c r="X83">
        <f>HYPERLINK("https://klasma.github.io/Logging_2582/kartor/A 61210-2024 karta.png", "A 61210-2024")</f>
        <v/>
      </c>
      <c r="Y83">
        <f>HYPERLINK("https://klasma.github.io/Logging_2582/kartor_geotiff/A 61210-2024 georefererad karta.tif", "A 61210-2024")</f>
        <v/>
      </c>
      <c r="AA83">
        <f>HYPERLINK("https://klasma.github.io/Logging_2582/klagomål/A 61210-2024 FSC-klagomål.docx", "A 61210-2024")</f>
        <v/>
      </c>
      <c r="AB83">
        <f>HYPERLINK("https://klasma.github.io/Logging_2582/klagomålsmail/A 61210-2024 FSC-klagomål mail.docx", "A 61210-2024")</f>
        <v/>
      </c>
      <c r="AC83">
        <f>HYPERLINK("https://klasma.github.io/Logging_2582/tillsyn/A 61210-2024 tillsynsbegäran.docx", "A 61210-2024")</f>
        <v/>
      </c>
      <c r="AD83">
        <f>HYPERLINK("https://klasma.github.io/Logging_2582/tillsynsmail/A 61210-2024 tillsynsbegäran mail.docx", "A 61210-2024")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46234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34164-2023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45137</v>
      </c>
      <c r="E85" s="1" t="n">
        <v>46234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2.2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Tretåig hackspett</t>
        </is>
      </c>
      <c r="W85">
        <f>HYPERLINK("https://klasma.github.io/Logging_2582/artfynd/A 34164-2023 artfynd.xlsx", "A 34164-2023")</f>
        <v/>
      </c>
      <c r="X85">
        <f>HYPERLINK("https://klasma.github.io/Logging_2582/kartor/A 34164-2023 karta.png", "A 34164-2023")</f>
        <v/>
      </c>
      <c r="Y85">
        <f>HYPERLINK("https://klasma.github.io/Logging_2582/kartor_geotiff/A 34164-2023 georefererad karta.tif", "A 34164-2023")</f>
        <v/>
      </c>
      <c r="AA85">
        <f>HYPERLINK("https://klasma.github.io/Logging_2582/klagomål/A 34164-2023 FSC-klagomål.docx", "A 34164-2023")</f>
        <v/>
      </c>
      <c r="AB85">
        <f>HYPERLINK("https://klasma.github.io/Logging_2582/klagomålsmail/A 34164-2023 FSC-klagomål mail.docx", "A 34164-2023")</f>
        <v/>
      </c>
      <c r="AC85">
        <f>HYPERLINK("https://klasma.github.io/Logging_2582/tillsyn/A 34164-2023 tillsynsbegäran.docx", "A 34164-2023")</f>
        <v/>
      </c>
      <c r="AD85">
        <f>HYPERLINK("https://klasma.github.io/Logging_2582/tillsynsmail/A 34164-2023 tillsynsbegäran mail.docx", "A 34164-2023")</f>
        <v/>
      </c>
      <c r="AE85">
        <f>HYPERLINK("https://klasma.github.io/Logging_2582/fåglar/A 34164-2023 prioriterade fågelarter.docx", "A 34164-2023")</f>
        <v/>
      </c>
    </row>
    <row r="86" ht="15" customHeight="1">
      <c r="A86" t="inlineStr">
        <is>
          <t>A 60774-2025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45999</v>
      </c>
      <c r="E86" s="1" t="n">
        <v>46234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60774-2025 artfynd.xlsx", "A 60774-2025")</f>
        <v/>
      </c>
      <c r="X86">
        <f>HYPERLINK("https://klasma.github.io/Logging_2582/kartor/A 60774-2025 karta.png", "A 60774-2025")</f>
        <v/>
      </c>
      <c r="Y86">
        <f>HYPERLINK("https://klasma.github.io/Logging_2582/kartor_geotiff/A 60774-2025 georefererad karta.tif", "A 60774-2025")</f>
        <v/>
      </c>
      <c r="AA86">
        <f>HYPERLINK("https://klasma.github.io/Logging_2582/klagomål/A 60774-2025 FSC-klagomål.docx", "A 60774-2025")</f>
        <v/>
      </c>
      <c r="AB86">
        <f>HYPERLINK("https://klasma.github.io/Logging_2582/klagomålsmail/A 60774-2025 FSC-klagomål mail.docx", "A 60774-2025")</f>
        <v/>
      </c>
      <c r="AC86">
        <f>HYPERLINK("https://klasma.github.io/Logging_2582/tillsyn/A 60774-2025 tillsynsbegäran.docx", "A 60774-2025")</f>
        <v/>
      </c>
      <c r="AD86">
        <f>HYPERLINK("https://klasma.github.io/Logging_2582/tillsynsmail/A 60774-2025 tillsynsbegäran mail.docx", "A 60774-2025")</f>
        <v/>
      </c>
    </row>
    <row r="87" ht="15" customHeight="1">
      <c r="A87" t="inlineStr">
        <is>
          <t>A 54167-2025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46234</v>
      </c>
      <c r="F87" t="inlineStr">
        <is>
          <t>NORRBOTTENS LÄN</t>
        </is>
      </c>
      <c r="G87" t="inlineStr">
        <is>
          <t>BODEN</t>
        </is>
      </c>
      <c r="I87" t="n">
        <v>1.1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Lunglav
Stiftgelélav</t>
        </is>
      </c>
      <c r="W87">
        <f>HYPERLINK("https://klasma.github.io/Logging_2582/artfynd/A 54167-2025 artfynd.xlsx", "A 54167-2025")</f>
        <v/>
      </c>
      <c r="X87">
        <f>HYPERLINK("https://klasma.github.io/Logging_2582/kartor/A 54167-2025 karta.png", "A 54167-2025")</f>
        <v/>
      </c>
      <c r="Y87">
        <f>HYPERLINK("https://klasma.github.io/Logging_2582/kartor_geotiff/A 54167-2025 georefererad karta.tif", "A 54167-2025")</f>
        <v/>
      </c>
      <c r="AA87">
        <f>HYPERLINK("https://klasma.github.io/Logging_2582/klagomål/A 54167-2025 FSC-klagomål.docx", "A 54167-2025")</f>
        <v/>
      </c>
      <c r="AB87">
        <f>HYPERLINK("https://klasma.github.io/Logging_2582/klagomålsmail/A 54167-2025 FSC-klagomål mail.docx", "A 54167-2025")</f>
        <v/>
      </c>
      <c r="AC87">
        <f>HYPERLINK("https://klasma.github.io/Logging_2582/tillsyn/A 54167-2025 tillsynsbegäran.docx", "A 54167-2025")</f>
        <v/>
      </c>
      <c r="AD87">
        <f>HYPERLINK("https://klasma.github.io/Logging_2582/tillsynsmail/A 54167-2025 tillsynsbegäran mail.docx", "A 54167-2025")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46234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46234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Orre
Utter</t>
        </is>
      </c>
      <c r="W89">
        <f>HYPERLINK("https://klasma.github.io/Logging_2582/artfynd/A 21657-2026 artfynd.xlsx", "A 21657-2026")</f>
        <v/>
      </c>
      <c r="X89">
        <f>HYPERLINK("https://klasma.github.io/Logging_2582/kartor/A 21657-2026 karta.png", "A 21657-2026")</f>
        <v/>
      </c>
      <c r="Y89">
        <f>HYPERLINK("https://klasma.github.io/Logging_2582/kartor_geotiff/A 21657-2026 georefererad karta.tif", "A 21657-2026")</f>
        <v/>
      </c>
      <c r="AA89">
        <f>HYPERLINK("https://klasma.github.io/Logging_2582/klagomål/A 21657-2026 FSC-klagomål.docx", "A 21657-2026")</f>
        <v/>
      </c>
      <c r="AB89">
        <f>HYPERLINK("https://klasma.github.io/Logging_2582/klagomålsmail/A 21657-2026 FSC-klagomål mail.docx", "A 21657-2026")</f>
        <v/>
      </c>
      <c r="AC89">
        <f>HYPERLINK("https://klasma.github.io/Logging_2582/tillsyn/A 21657-2026 tillsynsbegäran.docx", "A 21657-2026")</f>
        <v/>
      </c>
      <c r="AD89">
        <f>HYPERLINK("https://klasma.github.io/Logging_2582/tillsynsmail/A 21657-2026 tillsynsbegäran mail.docx", "A 21657-2026")</f>
        <v/>
      </c>
      <c r="AE89">
        <f>HYPERLINK("https://klasma.github.io/Logging_2582/fåglar/A 21657-2026 prioriterade fågelarter.docx", "A 21657-2026")</f>
        <v/>
      </c>
    </row>
    <row r="90" ht="15" customHeight="1">
      <c r="A90" t="inlineStr">
        <is>
          <t>A 42233-2022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44830</v>
      </c>
      <c r="E90" s="1" t="n">
        <v>46234</v>
      </c>
      <c r="F90" t="inlineStr">
        <is>
          <t>NORRBOTTENS LÄN</t>
        </is>
      </c>
      <c r="G90" t="inlineStr">
        <is>
          <t>BODEN</t>
        </is>
      </c>
      <c r="I90" t="n">
        <v>3.6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Enkelbeckasin
Svartvit flugsnappare</t>
        </is>
      </c>
      <c r="W90">
        <f>HYPERLINK("https://klasma.github.io/Logging_2582/artfynd/A 42233-2022 artfynd.xlsx", "A 42233-2022")</f>
        <v/>
      </c>
      <c r="X90">
        <f>HYPERLINK("https://klasma.github.io/Logging_2582/kartor/A 42233-2022 karta.png", "A 42233-2022")</f>
        <v/>
      </c>
      <c r="Y90">
        <f>HYPERLINK("https://klasma.github.io/Logging_2582/kartor_geotiff/A 42233-2022 georefererad karta.tif", "A 42233-2022")</f>
        <v/>
      </c>
      <c r="AA90">
        <f>HYPERLINK("https://klasma.github.io/Logging_2582/klagomål/A 42233-2022 FSC-klagomål.docx", "A 42233-2022")</f>
        <v/>
      </c>
      <c r="AB90">
        <f>HYPERLINK("https://klasma.github.io/Logging_2582/klagomålsmail/A 42233-2022 FSC-klagomål mail.docx", "A 42233-2022")</f>
        <v/>
      </c>
      <c r="AC90">
        <f>HYPERLINK("https://klasma.github.io/Logging_2582/tillsyn/A 42233-2022 tillsynsbegäran.docx", "A 42233-2022")</f>
        <v/>
      </c>
      <c r="AD90">
        <f>HYPERLINK("https://klasma.github.io/Logging_2582/tillsynsmail/A 42233-2022 tillsynsbegäran mail.docx", "A 42233-2022")</f>
        <v/>
      </c>
      <c r="AE90">
        <f>HYPERLINK("https://klasma.github.io/Logging_2582/fåglar/A 42233-2022 prioriterade fågelarter.docx", "A 42233-2022")</f>
        <v/>
      </c>
    </row>
    <row r="91" ht="15" customHeight="1">
      <c r="A91" t="inlineStr">
        <is>
          <t>A 29807-2026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46234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Mörk kolflarnlav</t>
        </is>
      </c>
      <c r="W91">
        <f>HYPERLINK("https://klasma.github.io/Logging_2582/artfynd/A 29807-2026 artfynd.xlsx", "A 29807-2026")</f>
        <v/>
      </c>
      <c r="X91">
        <f>HYPERLINK("https://klasma.github.io/Logging_2582/kartor/A 29807-2026 karta.png", "A 29807-2026")</f>
        <v/>
      </c>
      <c r="Y91">
        <f>HYPERLINK("https://klasma.github.io/Logging_2582/kartor_geotiff/A 29807-2026 georefererad karta.tif", "A 29807-2026")</f>
        <v/>
      </c>
      <c r="AA91">
        <f>HYPERLINK("https://klasma.github.io/Logging_2582/klagomål/A 29807-2026 FSC-klagomål.docx", "A 29807-2026")</f>
        <v/>
      </c>
      <c r="AB91">
        <f>HYPERLINK("https://klasma.github.io/Logging_2582/klagomålsmail/A 29807-2026 FSC-klagomål mail.docx", "A 29807-2026")</f>
        <v/>
      </c>
      <c r="AC91">
        <f>HYPERLINK("https://klasma.github.io/Logging_2582/tillsyn/A 29807-2026 tillsynsbegäran.docx", "A 29807-2026")</f>
        <v/>
      </c>
      <c r="AD91">
        <f>HYPERLINK("https://klasma.github.io/Logging_2582/tillsynsmail/A 29807-2026 tillsynsbegäran mail.docx", "A 29807-2026")</f>
        <v/>
      </c>
    </row>
    <row r="92" ht="15" customHeight="1">
      <c r="A92" t="inlineStr">
        <is>
          <t>A 29860-2026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46234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1.6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Knottrig blåslav
Lunglav</t>
        </is>
      </c>
      <c r="W92">
        <f>HYPERLINK("https://klasma.github.io/Logging_2582/artfynd/A 29860-2026 artfynd.xlsx", "A 29860-2026")</f>
        <v/>
      </c>
      <c r="X92">
        <f>HYPERLINK("https://klasma.github.io/Logging_2582/kartor/A 29860-2026 karta.png", "A 29860-2026")</f>
        <v/>
      </c>
      <c r="Y92">
        <f>HYPERLINK("https://klasma.github.io/Logging_2582/kartor_geotiff/A 29860-2026 georefererad karta.tif", "A 29860-2026")</f>
        <v/>
      </c>
      <c r="AA92">
        <f>HYPERLINK("https://klasma.github.io/Logging_2582/klagomål/A 29860-2026 FSC-klagomål.docx", "A 29860-2026")</f>
        <v/>
      </c>
      <c r="AB92">
        <f>HYPERLINK("https://klasma.github.io/Logging_2582/klagomålsmail/A 29860-2026 FSC-klagomål mail.docx", "A 29860-2026")</f>
        <v/>
      </c>
      <c r="AC92">
        <f>HYPERLINK("https://klasma.github.io/Logging_2582/tillsyn/A 29860-2026 tillsynsbegäran.docx", "A 29860-2026")</f>
        <v/>
      </c>
      <c r="AD92">
        <f>HYPERLINK("https://klasma.github.io/Logging_2582/tillsynsmail/A 29860-2026 tillsynsbegäran mail.docx", "A 29860-2026")</f>
        <v/>
      </c>
    </row>
    <row r="93" ht="15" customHeight="1">
      <c r="A93" t="inlineStr">
        <is>
          <t>A 29881-2026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46234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Lunglav
Fläcknycklar</t>
        </is>
      </c>
      <c r="W93">
        <f>HYPERLINK("https://klasma.github.io/Logging_2582/artfynd/A 29881-2026 artfynd.xlsx", "A 29881-2026")</f>
        <v/>
      </c>
      <c r="X93">
        <f>HYPERLINK("https://klasma.github.io/Logging_2582/kartor/A 29881-2026 karta.png", "A 29881-2026")</f>
        <v/>
      </c>
      <c r="Y93">
        <f>HYPERLINK("https://klasma.github.io/Logging_2582/kartor_geotiff/A 29881-2026 georefererad karta.tif", "A 29881-2026")</f>
        <v/>
      </c>
      <c r="AA93">
        <f>HYPERLINK("https://klasma.github.io/Logging_2582/klagomål/A 29881-2026 FSC-klagomål.docx", "A 29881-2026")</f>
        <v/>
      </c>
      <c r="AB93">
        <f>HYPERLINK("https://klasma.github.io/Logging_2582/klagomålsmail/A 29881-2026 FSC-klagomål mail.docx", "A 29881-2026")</f>
        <v/>
      </c>
      <c r="AC93">
        <f>HYPERLINK("https://klasma.github.io/Logging_2582/tillsyn/A 29881-2026 tillsynsbegäran.docx", "A 29881-2026")</f>
        <v/>
      </c>
      <c r="AD93">
        <f>HYPERLINK("https://klasma.github.io/Logging_2582/tillsynsmail/A 29881-2026 tillsynsbegäran mail.docx", "A 29881-2026")</f>
        <v/>
      </c>
    </row>
    <row r="94" ht="15" customHeight="1">
      <c r="A94" t="inlineStr">
        <is>
          <t>A 23794-2026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46164</v>
      </c>
      <c r="E94" s="1" t="n">
        <v>46234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3.1</v>
      </c>
      <c r="J94" t="n">
        <v>2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Plattlummer
Spindelblomster</t>
        </is>
      </c>
      <c r="W94">
        <f>HYPERLINK("https://klasma.github.io/Logging_2582/artfynd/A 23794-2026 artfynd.xlsx", "A 23794-2026")</f>
        <v/>
      </c>
      <c r="X94">
        <f>HYPERLINK("https://klasma.github.io/Logging_2582/kartor/A 23794-2026 karta.png", "A 23794-2026")</f>
        <v/>
      </c>
      <c r="Y94">
        <f>HYPERLINK("https://klasma.github.io/Logging_2582/kartor_geotiff/A 23794-2026 georefererad karta.tif", "A 23794-2026")</f>
        <v/>
      </c>
      <c r="AA94">
        <f>HYPERLINK("https://klasma.github.io/Logging_2582/klagomål/A 23794-2026 FSC-klagomål.docx", "A 23794-2026")</f>
        <v/>
      </c>
      <c r="AB94">
        <f>HYPERLINK("https://klasma.github.io/Logging_2582/klagomålsmail/A 23794-2026 FSC-klagomål mail.docx", "A 23794-2026")</f>
        <v/>
      </c>
      <c r="AC94">
        <f>HYPERLINK("https://klasma.github.io/Logging_2582/tillsyn/A 23794-2026 tillsynsbegäran.docx", "A 23794-2026")</f>
        <v/>
      </c>
      <c r="AD94">
        <f>HYPERLINK("https://klasma.github.io/Logging_2582/tillsynsmail/A 23794-2026 tillsynsbegäran mail.docx", "A 23794-2026")</f>
        <v/>
      </c>
    </row>
    <row r="95" ht="15" customHeight="1">
      <c r="A95" t="inlineStr">
        <is>
          <t>A 1507-2022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46234</v>
      </c>
      <c r="F95" t="inlineStr">
        <is>
          <t>NORRBOTTENS LÄN</t>
        </is>
      </c>
      <c r="G95" t="inlineStr">
        <is>
          <t>BODEN</t>
        </is>
      </c>
      <c r="H95" t="inlineStr">
        <is>
          <t>Övriga statliga verk och myndigheter</t>
        </is>
      </c>
      <c r="I95" t="n">
        <v>15.4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Talltita
Gråspett</t>
        </is>
      </c>
      <c r="W95">
        <f>HYPERLINK("https://klasma.github.io/Logging_2582/artfynd/A 1507-2022 artfynd.xlsx", "A 1507-2022")</f>
        <v/>
      </c>
      <c r="X95">
        <f>HYPERLINK("https://klasma.github.io/Logging_2582/kartor/A 1507-2022 karta.png", "A 1507-2022")</f>
        <v/>
      </c>
      <c r="Y95">
        <f>HYPERLINK("https://klasma.github.io/Logging_2582/kartor_geotiff/A 1507-2022 georefererad karta.tif", "A 1507-2022")</f>
        <v/>
      </c>
      <c r="AA95">
        <f>HYPERLINK("https://klasma.github.io/Logging_2582/klagomål/A 1507-2022 FSC-klagomål.docx", "A 1507-2022")</f>
        <v/>
      </c>
      <c r="AB95">
        <f>HYPERLINK("https://klasma.github.io/Logging_2582/klagomålsmail/A 1507-2022 FSC-klagomål mail.docx", "A 1507-2022")</f>
        <v/>
      </c>
      <c r="AC95">
        <f>HYPERLINK("https://klasma.github.io/Logging_2582/tillsyn/A 1507-2022 tillsynsbegäran.docx", "A 1507-2022")</f>
        <v/>
      </c>
      <c r="AD95">
        <f>HYPERLINK("https://klasma.github.io/Logging_2582/tillsynsmail/A 1507-2022 tillsynsbegäran mail.docx", "A 1507-2022")</f>
        <v/>
      </c>
      <c r="AE95">
        <f>HYPERLINK("https://klasma.github.io/Logging_2582/fåglar/A 1507-2022 prioriterade fågelarter.docx", "A 1507-2022")</f>
        <v/>
      </c>
    </row>
    <row r="96" ht="15" customHeight="1">
      <c r="A96" t="inlineStr">
        <is>
          <t>A 22906-2023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45072</v>
      </c>
      <c r="E96" s="1" t="n">
        <v>46234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3.5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Talltita
Utter</t>
        </is>
      </c>
      <c r="W96">
        <f>HYPERLINK("https://klasma.github.io/Logging_2582/artfynd/A 22906-2023 artfynd.xlsx", "A 22906-2023")</f>
        <v/>
      </c>
      <c r="X96">
        <f>HYPERLINK("https://klasma.github.io/Logging_2582/kartor/A 22906-2023 karta.png", "A 22906-2023")</f>
        <v/>
      </c>
      <c r="Y96">
        <f>HYPERLINK("https://klasma.github.io/Logging_2582/kartor_geotiff/A 22906-2023 georefererad karta.tif", "A 22906-2023")</f>
        <v/>
      </c>
      <c r="AA96">
        <f>HYPERLINK("https://klasma.github.io/Logging_2582/klagomål/A 22906-2023 FSC-klagomål.docx", "A 22906-2023")</f>
        <v/>
      </c>
      <c r="AB96">
        <f>HYPERLINK("https://klasma.github.io/Logging_2582/klagomålsmail/A 22906-2023 FSC-klagomål mail.docx", "A 22906-2023")</f>
        <v/>
      </c>
      <c r="AC96">
        <f>HYPERLINK("https://klasma.github.io/Logging_2582/tillsyn/A 22906-2023 tillsynsbegäran.docx", "A 22906-2023")</f>
        <v/>
      </c>
      <c r="AD96">
        <f>HYPERLINK("https://klasma.github.io/Logging_2582/tillsynsmail/A 22906-2023 tillsynsbegäran mail.docx", "A 22906-2023")</f>
        <v/>
      </c>
      <c r="AE96">
        <f>HYPERLINK("https://klasma.github.io/Logging_2582/fåglar/A 22906-2023 prioriterade fågelarter.docx", "A 22906-2023")</f>
        <v/>
      </c>
    </row>
    <row r="97" ht="15" customHeight="1">
      <c r="A97" t="inlineStr">
        <is>
          <t>A 31233-2026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46217</v>
      </c>
      <c r="E97" s="1" t="n">
        <v>46234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18.5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3</v>
      </c>
      <c r="V97" s="2" t="inlineStr">
        <is>
          <t>Lunglav
Fläcknycklar</t>
        </is>
      </c>
      <c r="W97">
        <f>HYPERLINK("https://klasma.github.io/Logging_2582/artfynd/A 31233-2026 artfynd.xlsx", "A 31233-2026")</f>
        <v/>
      </c>
      <c r="X97">
        <f>HYPERLINK("https://klasma.github.io/Logging_2582/kartor/A 31233-2026 karta.png", "A 31233-2026")</f>
        <v/>
      </c>
      <c r="Y97">
        <f>HYPERLINK("https://klasma.github.io/Logging_2582/kartor_geotiff/A 31233-2026 georefererad karta.tif", "A 31233-2026")</f>
        <v/>
      </c>
      <c r="AA97">
        <f>HYPERLINK("https://klasma.github.io/Logging_2582/klagomål/A 31233-2026 FSC-klagomål.docx", "A 31233-2026")</f>
        <v/>
      </c>
      <c r="AB97">
        <f>HYPERLINK("https://klasma.github.io/Logging_2582/klagomålsmail/A 31233-2026 FSC-klagomål mail.docx", "A 31233-2026")</f>
        <v/>
      </c>
      <c r="AC97">
        <f>HYPERLINK("https://klasma.github.io/Logging_2582/tillsyn/A 31233-2026 tillsynsbegäran.docx", "A 31233-2026")</f>
        <v/>
      </c>
      <c r="AD97">
        <f>HYPERLINK("https://klasma.github.io/Logging_2582/tillsynsmail/A 31233-2026 tillsynsbegäran mail.docx", "A 31233-2026")</f>
        <v/>
      </c>
    </row>
    <row r="98" ht="15" customHeight="1">
      <c r="A98" t="inlineStr">
        <is>
          <t>A 17292-2022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44678</v>
      </c>
      <c r="E98" s="1" t="n">
        <v>46234</v>
      </c>
      <c r="F98" t="inlineStr">
        <is>
          <t>NORRBOTTENS LÄN</t>
        </is>
      </c>
      <c r="G98" t="inlineStr">
        <is>
          <t>BODEN</t>
        </is>
      </c>
      <c r="H98" t="inlineStr">
        <is>
          <t>Kyrkan</t>
        </is>
      </c>
      <c r="I98" t="n">
        <v>0.8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3</v>
      </c>
      <c r="V98" s="2" t="inlineStr">
        <is>
          <t>Garnlav
Revlummer</t>
        </is>
      </c>
      <c r="W98">
        <f>HYPERLINK("https://klasma.github.io/Logging_2582/artfynd/A 17292-2022 artfynd.xlsx", "A 17292-2022")</f>
        <v/>
      </c>
      <c r="X98">
        <f>HYPERLINK("https://klasma.github.io/Logging_2582/kartor/A 17292-2022 karta.png", "A 17292-2022")</f>
        <v/>
      </c>
      <c r="Y98">
        <f>HYPERLINK("https://klasma.github.io/Logging_2582/kartor_geotiff/A 17292-2022 georefererad karta.tif", "A 17292-2022")</f>
        <v/>
      </c>
      <c r="AA98">
        <f>HYPERLINK("https://klasma.github.io/Logging_2582/klagomål/A 17292-2022 FSC-klagomål.docx", "A 17292-2022")</f>
        <v/>
      </c>
      <c r="AB98">
        <f>HYPERLINK("https://klasma.github.io/Logging_2582/klagomålsmail/A 17292-2022 FSC-klagomål mail.docx", "A 17292-2022")</f>
        <v/>
      </c>
      <c r="AC98">
        <f>HYPERLINK("https://klasma.github.io/Logging_2582/tillsyn/A 17292-2022 tillsynsbegäran.docx", "A 17292-2022")</f>
        <v/>
      </c>
      <c r="AD98">
        <f>HYPERLINK("https://klasma.github.io/Logging_2582/tillsynsmail/A 17292-2022 tillsynsbegäran mail.docx", "A 17292-2022")</f>
        <v/>
      </c>
    </row>
    <row r="99" ht="15" customHeight="1">
      <c r="A99" t="inlineStr">
        <is>
          <t>A 26773-2026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46234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2.9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Lunglav</t>
        </is>
      </c>
      <c r="W99">
        <f>HYPERLINK("https://klasma.github.io/Logging_2582/artfynd/A 26773-2026 artfynd.xlsx", "A 26773-2026")</f>
        <v/>
      </c>
      <c r="X99">
        <f>HYPERLINK("https://klasma.github.io/Logging_2582/kartor/A 26773-2026 karta.png", "A 26773-2026")</f>
        <v/>
      </c>
      <c r="Y99">
        <f>HYPERLINK("https://klasma.github.io/Logging_2582/kartor_geotiff/A 26773-2026 georefererad karta.tif", "A 26773-2026")</f>
        <v/>
      </c>
      <c r="Z99">
        <f>HYPERLINK("https://klasma.github.io/Logging_2582/knärot/A 26773-2026 karta knärot.png", "A 26773-2026")</f>
        <v/>
      </c>
      <c r="AA99">
        <f>HYPERLINK("https://klasma.github.io/Logging_2582/klagomål/A 26773-2026 FSC-klagomål.docx", "A 26773-2026")</f>
        <v/>
      </c>
      <c r="AB99">
        <f>HYPERLINK("https://klasma.github.io/Logging_2582/klagomålsmail/A 26773-2026 FSC-klagomål mail.docx", "A 26773-2026")</f>
        <v/>
      </c>
      <c r="AC99">
        <f>HYPERLINK("https://klasma.github.io/Logging_2582/tillsyn/A 26773-2026 tillsynsbegäran.docx", "A 26773-2026")</f>
        <v/>
      </c>
      <c r="AD99">
        <f>HYPERLINK("https://klasma.github.io/Logging_2582/tillsynsmail/A 26773-2026 tillsynsbegäran mail.docx", "A 26773-2026")</f>
        <v/>
      </c>
    </row>
    <row r="100" ht="15" customHeight="1">
      <c r="A100" t="inlineStr">
        <is>
          <t>A 26721-2026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46184</v>
      </c>
      <c r="E100" s="1" t="n">
        <v>46234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7.8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Plattlummer
Tibast</t>
        </is>
      </c>
      <c r="W100">
        <f>HYPERLINK("https://klasma.github.io/Logging_2582/artfynd/A 26721-2026 artfynd.xlsx", "A 26721-2026")</f>
        <v/>
      </c>
      <c r="X100">
        <f>HYPERLINK("https://klasma.github.io/Logging_2582/kartor/A 26721-2026 karta.png", "A 26721-2026")</f>
        <v/>
      </c>
      <c r="Y100">
        <f>HYPERLINK("https://klasma.github.io/Logging_2582/kartor_geotiff/A 26721-2026 georefererad karta.tif", "A 26721-2026")</f>
        <v/>
      </c>
      <c r="AA100">
        <f>HYPERLINK("https://klasma.github.io/Logging_2582/klagomål/A 26721-2026 FSC-klagomål.docx", "A 26721-2026")</f>
        <v/>
      </c>
      <c r="AB100">
        <f>HYPERLINK("https://klasma.github.io/Logging_2582/klagomålsmail/A 26721-2026 FSC-klagomål mail.docx", "A 26721-2026")</f>
        <v/>
      </c>
      <c r="AC100">
        <f>HYPERLINK("https://klasma.github.io/Logging_2582/tillsyn/A 26721-2026 tillsynsbegäran.docx", "A 26721-2026")</f>
        <v/>
      </c>
      <c r="AD100">
        <f>HYPERLINK("https://klasma.github.io/Logging_2582/tillsynsmail/A 26721-2026 tillsynsbegäran mail.docx", "A 26721-2026")</f>
        <v/>
      </c>
    </row>
    <row r="101" ht="15" customHeight="1">
      <c r="A101" t="inlineStr">
        <is>
          <t>A 900-2024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45301</v>
      </c>
      <c r="E101" s="1" t="n">
        <v>46234</v>
      </c>
      <c r="F101" t="inlineStr">
        <is>
          <t>NORRBOTTENS LÄN</t>
        </is>
      </c>
      <c r="G101" t="inlineStr">
        <is>
          <t>BODEN</t>
        </is>
      </c>
      <c r="I101" t="n">
        <v>5.2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Knärot
Revlummer</t>
        </is>
      </c>
      <c r="W101">
        <f>HYPERLINK("https://klasma.github.io/Logging_2582/artfynd/A 900-2024 artfynd.xlsx", "A 900-2024")</f>
        <v/>
      </c>
      <c r="X101">
        <f>HYPERLINK("https://klasma.github.io/Logging_2582/kartor/A 900-2024 karta.png", "A 900-2024")</f>
        <v/>
      </c>
      <c r="Y101">
        <f>HYPERLINK("https://klasma.github.io/Logging_2582/kartor_geotiff/A 900-2024 georefererad karta.tif", "A 900-2024")</f>
        <v/>
      </c>
      <c r="Z101">
        <f>HYPERLINK("https://klasma.github.io/Logging_2582/knärot/A 900-2024 karta knärot.png", "A 900-2024")</f>
        <v/>
      </c>
      <c r="AA101">
        <f>HYPERLINK("https://klasma.github.io/Logging_2582/klagomål/A 900-2024 FSC-klagomål.docx", "A 900-2024")</f>
        <v/>
      </c>
      <c r="AB101">
        <f>HYPERLINK("https://klasma.github.io/Logging_2582/klagomålsmail/A 900-2024 FSC-klagomål mail.docx", "A 900-2024")</f>
        <v/>
      </c>
      <c r="AC101">
        <f>HYPERLINK("https://klasma.github.io/Logging_2582/tillsyn/A 900-2024 tillsynsbegäran.docx", "A 900-2024")</f>
        <v/>
      </c>
      <c r="AD101">
        <f>HYPERLINK("https://klasma.github.io/Logging_2582/tillsynsmail/A 900-2024 tillsynsbegäran mail.docx", "A 900-2024")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46234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46234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46234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46234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46234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46234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2568-2024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46234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HYPERLINK("https://klasma.github.io/Logging_2582/artfynd/A 2568-2024 artfynd.xlsx", "A 2568-2024")</f>
        <v/>
      </c>
      <c r="X108">
        <f>HYPERLINK("https://klasma.github.io/Logging_2582/kartor/A 2568-2024 karta.png", "A 2568-2024")</f>
        <v/>
      </c>
      <c r="Y108">
        <f>HYPERLINK("https://klasma.github.io/Logging_2582/kartor_geotiff/A 2568-2024 georefererad karta.tif", "A 2568-2024")</f>
        <v/>
      </c>
      <c r="AA108">
        <f>HYPERLINK("https://klasma.github.io/Logging_2582/klagomål/A 2568-2024 FSC-klagomål.docx", "A 2568-2024")</f>
        <v/>
      </c>
      <c r="AB108">
        <f>HYPERLINK("https://klasma.github.io/Logging_2582/klagomålsmail/A 2568-2024 FSC-klagomål mail.docx", "A 2568-2024")</f>
        <v/>
      </c>
      <c r="AC108">
        <f>HYPERLINK("https://klasma.github.io/Logging_2582/tillsyn/A 2568-2024 tillsynsbegäran.docx", "A 2568-2024")</f>
        <v/>
      </c>
      <c r="AD108">
        <f>HYPERLINK("https://klasma.github.io/Logging_2582/tillsynsmail/A 2568-2024 tillsynsbegäran mail.docx", "A 2568-2024")</f>
        <v/>
      </c>
    </row>
    <row r="109" ht="15" customHeight="1">
      <c r="A109" t="inlineStr">
        <is>
          <t>A 49410-2023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46234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Lunglav</t>
        </is>
      </c>
      <c r="W109">
        <f>HYPERLINK("https://klasma.github.io/Logging_2582/artfynd/A 49410-2023 artfynd.xlsx", "A 49410-2023")</f>
        <v/>
      </c>
      <c r="X109">
        <f>HYPERLINK("https://klasma.github.io/Logging_2582/kartor/A 49410-2023 karta.png", "A 49410-2023")</f>
        <v/>
      </c>
      <c r="Y109">
        <f>HYPERLINK("https://klasma.github.io/Logging_2582/kartor_geotiff/A 49410-2023 georefererad karta.tif", "A 49410-2023")</f>
        <v/>
      </c>
      <c r="AA109">
        <f>HYPERLINK("https://klasma.github.io/Logging_2582/klagomål/A 49410-2023 FSC-klagomål.docx", "A 49410-2023")</f>
        <v/>
      </c>
      <c r="AB109">
        <f>HYPERLINK("https://klasma.github.io/Logging_2582/klagomålsmail/A 49410-2023 FSC-klagomål mail.docx", "A 49410-2023")</f>
        <v/>
      </c>
      <c r="AC109">
        <f>HYPERLINK("https://klasma.github.io/Logging_2582/tillsyn/A 49410-2023 tillsynsbegäran.docx", "A 49410-2023")</f>
        <v/>
      </c>
      <c r="AD109">
        <f>HYPERLINK("https://klasma.github.io/Logging_2582/tillsynsmail/A 49410-2023 tillsynsbegäran mail.docx", "A 49410-2023")</f>
        <v/>
      </c>
    </row>
    <row r="110" ht="15" customHeight="1">
      <c r="A110" t="inlineStr">
        <is>
          <t>A 18678-2025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46234</v>
      </c>
      <c r="F110" t="inlineStr">
        <is>
          <t>NORRBOTTENS LÄN</t>
        </is>
      </c>
      <c r="G110" t="inlineStr">
        <is>
          <t>BODEN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Garnlav</t>
        </is>
      </c>
      <c r="W110">
        <f>HYPERLINK("https://klasma.github.io/Logging_2582/artfynd/A 18678-2025 artfynd.xlsx", "A 18678-2025")</f>
        <v/>
      </c>
      <c r="X110">
        <f>HYPERLINK("https://klasma.github.io/Logging_2582/kartor/A 18678-2025 karta.png", "A 18678-2025")</f>
        <v/>
      </c>
      <c r="Y110">
        <f>HYPERLINK("https://klasma.github.io/Logging_2582/kartor_geotiff/A 18678-2025 georefererad karta.tif", "A 18678-2025")</f>
        <v/>
      </c>
      <c r="AA110">
        <f>HYPERLINK("https://klasma.github.io/Logging_2582/klagomål/A 18678-2025 FSC-klagomål.docx", "A 18678-2025")</f>
        <v/>
      </c>
      <c r="AB110">
        <f>HYPERLINK("https://klasma.github.io/Logging_2582/klagomålsmail/A 18678-2025 FSC-klagomål mail.docx", "A 18678-2025")</f>
        <v/>
      </c>
      <c r="AC110">
        <f>HYPERLINK("https://klasma.github.io/Logging_2582/tillsyn/A 18678-2025 tillsynsbegäran.docx", "A 18678-2025")</f>
        <v/>
      </c>
      <c r="AD110">
        <f>HYPERLINK("https://klasma.github.io/Logging_2582/tillsynsmail/A 18678-2025 tillsynsbegäran mail.docx", "A 18678-2025")</f>
        <v/>
      </c>
    </row>
    <row r="111" ht="15" customHeight="1">
      <c r="A111" t="inlineStr">
        <is>
          <t>A 50394-2025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45944</v>
      </c>
      <c r="E111" s="1" t="n">
        <v>46234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2.2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HYPERLINK("https://klasma.github.io/Logging_2582/artfynd/A 50394-2025 artfynd.xlsx", "A 50394-2025")</f>
        <v/>
      </c>
      <c r="X111">
        <f>HYPERLINK("https://klasma.github.io/Logging_2582/kartor/A 50394-2025 karta.png", "A 50394-2025")</f>
        <v/>
      </c>
      <c r="Y111">
        <f>HYPERLINK("https://klasma.github.io/Logging_2582/kartor_geotiff/A 50394-2025 georefererad karta.tif", "A 50394-2025")</f>
        <v/>
      </c>
      <c r="AA111">
        <f>HYPERLINK("https://klasma.github.io/Logging_2582/klagomål/A 50394-2025 FSC-klagomål.docx", "A 50394-2025")</f>
        <v/>
      </c>
      <c r="AB111">
        <f>HYPERLINK("https://klasma.github.io/Logging_2582/klagomålsmail/A 50394-2025 FSC-klagomål mail.docx", "A 50394-2025")</f>
        <v/>
      </c>
      <c r="AC111">
        <f>HYPERLINK("https://klasma.github.io/Logging_2582/tillsyn/A 50394-2025 tillsynsbegäran.docx", "A 50394-2025")</f>
        <v/>
      </c>
      <c r="AD111">
        <f>HYPERLINK("https://klasma.github.io/Logging_2582/tillsynsmail/A 50394-2025 tillsynsbegäran mail.docx", "A 50394-2025")</f>
        <v/>
      </c>
    </row>
    <row r="112" ht="15" customHeight="1">
      <c r="A112" t="inlineStr">
        <is>
          <t>A 51184-2025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46234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2.9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HYPERLINK("https://klasma.github.io/Logging_2582/artfynd/A 51184-2025 artfynd.xlsx", "A 51184-2025")</f>
        <v/>
      </c>
      <c r="X112">
        <f>HYPERLINK("https://klasma.github.io/Logging_2582/kartor/A 51184-2025 karta.png", "A 51184-2025")</f>
        <v/>
      </c>
      <c r="Y112">
        <f>HYPERLINK("https://klasma.github.io/Logging_2582/kartor_geotiff/A 51184-2025 georefererad karta.tif", "A 51184-2025")</f>
        <v/>
      </c>
      <c r="AA112">
        <f>HYPERLINK("https://klasma.github.io/Logging_2582/klagomål/A 51184-2025 FSC-klagomål.docx", "A 51184-2025")</f>
        <v/>
      </c>
      <c r="AB112">
        <f>HYPERLINK("https://klasma.github.io/Logging_2582/klagomålsmail/A 51184-2025 FSC-klagomål mail.docx", "A 51184-2025")</f>
        <v/>
      </c>
      <c r="AC112">
        <f>HYPERLINK("https://klasma.github.io/Logging_2582/tillsyn/A 51184-2025 tillsynsbegäran.docx", "A 51184-2025")</f>
        <v/>
      </c>
      <c r="AD112">
        <f>HYPERLINK("https://klasma.github.io/Logging_2582/tillsynsmail/A 51184-2025 tillsynsbegäran mail.docx", "A 51184-2025")</f>
        <v/>
      </c>
    </row>
    <row r="113" ht="15" customHeight="1">
      <c r="A113" t="inlineStr">
        <is>
          <t>A 41443-2025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45901</v>
      </c>
      <c r="E113" s="1" t="n">
        <v>46234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HYPERLINK("https://klasma.github.io/Logging_2582/artfynd/A 41443-2025 artfynd.xlsx", "A 41443-2025")</f>
        <v/>
      </c>
      <c r="X113">
        <f>HYPERLINK("https://klasma.github.io/Logging_2582/kartor/A 41443-2025 karta.png", "A 41443-2025")</f>
        <v/>
      </c>
      <c r="Y113">
        <f>HYPERLINK("https://klasma.github.io/Logging_2582/kartor_geotiff/A 41443-2025 georefererad karta.tif", "A 41443-2025")</f>
        <v/>
      </c>
      <c r="AA113">
        <f>HYPERLINK("https://klasma.github.io/Logging_2582/klagomål/A 41443-2025 FSC-klagomål.docx", "A 41443-2025")</f>
        <v/>
      </c>
      <c r="AB113">
        <f>HYPERLINK("https://klasma.github.io/Logging_2582/klagomålsmail/A 41443-2025 FSC-klagomål mail.docx", "A 41443-2025")</f>
        <v/>
      </c>
      <c r="AC113">
        <f>HYPERLINK("https://klasma.github.io/Logging_2582/tillsyn/A 41443-2025 tillsynsbegäran.docx", "A 41443-2025")</f>
        <v/>
      </c>
      <c r="AD113">
        <f>HYPERLINK("https://klasma.github.io/Logging_2582/tillsynsmail/A 41443-2025 tillsynsbegäran mail.docx", "A 41443-2025")</f>
        <v/>
      </c>
    </row>
    <row r="114" ht="15" customHeight="1">
      <c r="A114" t="inlineStr">
        <is>
          <t>A 51304-2025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46234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1.3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Bollvitmossa</t>
        </is>
      </c>
      <c r="W114">
        <f>HYPERLINK("https://klasma.github.io/Logging_2582/artfynd/A 51304-2025 artfynd.xlsx", "A 51304-2025")</f>
        <v/>
      </c>
      <c r="X114">
        <f>HYPERLINK("https://klasma.github.io/Logging_2582/kartor/A 51304-2025 karta.png", "A 51304-2025")</f>
        <v/>
      </c>
      <c r="Y114">
        <f>HYPERLINK("https://klasma.github.io/Logging_2582/kartor_geotiff/A 51304-2025 georefererad karta.tif", "A 51304-2025")</f>
        <v/>
      </c>
      <c r="AA114">
        <f>HYPERLINK("https://klasma.github.io/Logging_2582/klagomål/A 51304-2025 FSC-klagomål.docx", "A 51304-2025")</f>
        <v/>
      </c>
      <c r="AB114">
        <f>HYPERLINK("https://klasma.github.io/Logging_2582/klagomålsmail/A 51304-2025 FSC-klagomål mail.docx", "A 51304-2025")</f>
        <v/>
      </c>
      <c r="AC114">
        <f>HYPERLINK("https://klasma.github.io/Logging_2582/tillsyn/A 51304-2025 tillsynsbegäran.docx", "A 51304-2025")</f>
        <v/>
      </c>
      <c r="AD114">
        <f>HYPERLINK("https://klasma.github.io/Logging_2582/tillsynsmail/A 51304-2025 tillsynsbegäran mail.docx", "A 51304-2025")</f>
        <v/>
      </c>
    </row>
    <row r="115" ht="15" customHeight="1">
      <c r="A115" t="inlineStr">
        <is>
          <t>A 16217-2024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45406</v>
      </c>
      <c r="E115" s="1" t="n">
        <v>46234</v>
      </c>
      <c r="F115" t="inlineStr">
        <is>
          <t>NORRBOTTENS LÄN</t>
        </is>
      </c>
      <c r="G115" t="inlineStr">
        <is>
          <t>BODEN</t>
        </is>
      </c>
      <c r="I115" t="n">
        <v>7.2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Videsparv</t>
        </is>
      </c>
      <c r="W115">
        <f>HYPERLINK("https://klasma.github.io/Logging_2582/artfynd/A 16217-2024 artfynd.xlsx", "A 16217-2024")</f>
        <v/>
      </c>
      <c r="X115">
        <f>HYPERLINK("https://klasma.github.io/Logging_2582/kartor/A 16217-2024 karta.png", "A 16217-2024")</f>
        <v/>
      </c>
      <c r="Y115">
        <f>HYPERLINK("https://klasma.github.io/Logging_2582/kartor_geotiff/A 16217-2024 georefererad karta.tif", "A 16217-2024")</f>
        <v/>
      </c>
      <c r="AA115">
        <f>HYPERLINK("https://klasma.github.io/Logging_2582/klagomål/A 16217-2024 FSC-klagomål.docx", "A 16217-2024")</f>
        <v/>
      </c>
      <c r="AB115">
        <f>HYPERLINK("https://klasma.github.io/Logging_2582/klagomålsmail/A 16217-2024 FSC-klagomål mail.docx", "A 16217-2024")</f>
        <v/>
      </c>
      <c r="AC115">
        <f>HYPERLINK("https://klasma.github.io/Logging_2582/tillsyn/A 16217-2024 tillsynsbegäran.docx", "A 16217-2024")</f>
        <v/>
      </c>
      <c r="AD115">
        <f>HYPERLINK("https://klasma.github.io/Logging_2582/tillsynsmail/A 16217-2024 tillsynsbegäran mail.docx", "A 16217-2024")</f>
        <v/>
      </c>
      <c r="AE115">
        <f>HYPERLINK("https://klasma.github.io/Logging_2582/fåglar/A 16217-2024 prioriterade fågelarter.docx", "A 16217-2024")</f>
        <v/>
      </c>
    </row>
    <row r="116" ht="15" customHeight="1">
      <c r="A116" t="inlineStr">
        <is>
          <t>A 41436-2025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46234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21.5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Fläcknycklar</t>
        </is>
      </c>
      <c r="W116">
        <f>HYPERLINK("https://klasma.github.io/Logging_2582/artfynd/A 41436-2025 artfynd.xlsx", "A 41436-2025")</f>
        <v/>
      </c>
      <c r="X116">
        <f>HYPERLINK("https://klasma.github.io/Logging_2582/kartor/A 41436-2025 karta.png", "A 41436-2025")</f>
        <v/>
      </c>
      <c r="Y116">
        <f>HYPERLINK("https://klasma.github.io/Logging_2582/kartor_geotiff/A 41436-2025 georefererad karta.tif", "A 41436-2025")</f>
        <v/>
      </c>
      <c r="AA116">
        <f>HYPERLINK("https://klasma.github.io/Logging_2582/klagomål/A 41436-2025 FSC-klagomål.docx", "A 41436-2025")</f>
        <v/>
      </c>
      <c r="AB116">
        <f>HYPERLINK("https://klasma.github.io/Logging_2582/klagomålsmail/A 41436-2025 FSC-klagomål mail.docx", "A 41436-2025")</f>
        <v/>
      </c>
      <c r="AC116">
        <f>HYPERLINK("https://klasma.github.io/Logging_2582/tillsyn/A 41436-2025 tillsynsbegäran.docx", "A 41436-2025")</f>
        <v/>
      </c>
      <c r="AD116">
        <f>HYPERLINK("https://klasma.github.io/Logging_2582/tillsynsmail/A 41436-2025 tillsynsbegäran mail.docx", "A 41436-2025")</f>
        <v/>
      </c>
    </row>
    <row r="117" ht="15" customHeight="1">
      <c r="A117" t="inlineStr">
        <is>
          <t>A 68560-2021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46234</v>
      </c>
      <c r="F117" t="inlineStr">
        <is>
          <t>NORRBOTTENS LÄN</t>
        </is>
      </c>
      <c r="G117" t="inlineStr">
        <is>
          <t>BODEN</t>
        </is>
      </c>
      <c r="I117" t="n">
        <v>3.5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4</v>
      </c>
      <c r="U117" t="n">
        <v>4</v>
      </c>
      <c r="V117" s="2" t="inlineStr">
        <is>
          <t>Småflikig brosklav</t>
        </is>
      </c>
      <c r="W117">
        <f>HYPERLINK("https://klasma.github.io/Logging_2582/artfynd/A 68560-2021 artfynd.xlsx", "A 68560-2021")</f>
        <v/>
      </c>
      <c r="X117">
        <f>HYPERLINK("https://klasma.github.io/Logging_2582/kartor/A 68560-2021 karta.png", "A 68560-2021")</f>
        <v/>
      </c>
      <c r="Y117">
        <f>HYPERLINK("https://klasma.github.io/Logging_2582/kartor_geotiff/A 68560-2021 georefererad karta.tif", "A 68560-2021")</f>
        <v/>
      </c>
      <c r="AA117">
        <f>HYPERLINK("https://klasma.github.io/Logging_2582/klagomål/A 68560-2021 FSC-klagomål.docx", "A 68560-2021")</f>
        <v/>
      </c>
      <c r="AB117">
        <f>HYPERLINK("https://klasma.github.io/Logging_2582/klagomålsmail/A 68560-2021 FSC-klagomål mail.docx", "A 68560-2021")</f>
        <v/>
      </c>
      <c r="AC117">
        <f>HYPERLINK("https://klasma.github.io/Logging_2582/tillsyn/A 68560-2021 tillsynsbegäran.docx", "A 68560-2021")</f>
        <v/>
      </c>
      <c r="AD117">
        <f>HYPERLINK("https://klasma.github.io/Logging_2582/tillsynsmail/A 68560-2021 tillsynsbegäran mail.docx", "A 68560-2021")</f>
        <v/>
      </c>
    </row>
    <row r="118" ht="15" customHeight="1">
      <c r="A118" t="inlineStr">
        <is>
          <t>A 26359-2022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46234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11.4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Tallticka</t>
        </is>
      </c>
      <c r="W118">
        <f>HYPERLINK("https://klasma.github.io/Logging_2582/artfynd/A 26359-2022 artfynd.xlsx", "A 26359-2022")</f>
        <v/>
      </c>
      <c r="X118">
        <f>HYPERLINK("https://klasma.github.io/Logging_2582/kartor/A 26359-2022 karta.png", "A 26359-2022")</f>
        <v/>
      </c>
      <c r="Y118">
        <f>HYPERLINK("https://klasma.github.io/Logging_2582/kartor_geotiff/A 26359-2022 georefererad karta.tif", "A 26359-2022")</f>
        <v/>
      </c>
      <c r="AA118">
        <f>HYPERLINK("https://klasma.github.io/Logging_2582/klagomål/A 26359-2022 FSC-klagomål.docx", "A 26359-2022")</f>
        <v/>
      </c>
      <c r="AB118">
        <f>HYPERLINK("https://klasma.github.io/Logging_2582/klagomålsmail/A 26359-2022 FSC-klagomål mail.docx", "A 26359-2022")</f>
        <v/>
      </c>
      <c r="AC118">
        <f>HYPERLINK("https://klasma.github.io/Logging_2582/tillsyn/A 26359-2022 tillsynsbegäran.docx", "A 26359-2022")</f>
        <v/>
      </c>
      <c r="AD118">
        <f>HYPERLINK("https://klasma.github.io/Logging_2582/tillsynsmail/A 26359-2022 tillsynsbegäran mail.docx", "A 26359-2022")</f>
        <v/>
      </c>
    </row>
    <row r="119" ht="15" customHeight="1">
      <c r="A119" t="inlineStr">
        <is>
          <t>A 52078-2021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46234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4</v>
      </c>
      <c r="U119" t="n">
        <v>4</v>
      </c>
      <c r="V119" s="2" t="inlineStr">
        <is>
          <t>Knärot</t>
        </is>
      </c>
      <c r="W119">
        <f>HYPERLINK("https://klasma.github.io/Logging_2582/artfynd/A 52078-2021 artfynd.xlsx", "A 52078-2021")</f>
        <v/>
      </c>
      <c r="X119">
        <f>HYPERLINK("https://klasma.github.io/Logging_2582/kartor/A 52078-2021 karta.png", "A 52078-2021")</f>
        <v/>
      </c>
      <c r="Y119">
        <f>HYPERLINK("https://klasma.github.io/Logging_2582/kartor_geotiff/A 52078-2021 georefererad karta.tif", "A 52078-2021")</f>
        <v/>
      </c>
      <c r="Z119">
        <f>HYPERLINK("https://klasma.github.io/Logging_2582/knärot/A 52078-2021 karta knärot.png", "A 52078-2021")</f>
        <v/>
      </c>
      <c r="AA119">
        <f>HYPERLINK("https://klasma.github.io/Logging_2582/klagomål/A 52078-2021 FSC-klagomål.docx", "A 52078-2021")</f>
        <v/>
      </c>
      <c r="AB119">
        <f>HYPERLINK("https://klasma.github.io/Logging_2582/klagomålsmail/A 52078-2021 FSC-klagomål mail.docx", "A 52078-2021")</f>
        <v/>
      </c>
      <c r="AC119">
        <f>HYPERLINK("https://klasma.github.io/Logging_2582/tillsyn/A 52078-2021 tillsynsbegäran.docx", "A 52078-2021")</f>
        <v/>
      </c>
      <c r="AD119">
        <f>HYPERLINK("https://klasma.github.io/Logging_2582/tillsynsmail/A 52078-2021 tillsynsbegäran mail.docx", "A 52078-2021")</f>
        <v/>
      </c>
    </row>
    <row r="120" ht="15" customHeight="1">
      <c r="A120" t="inlineStr">
        <is>
          <t>A 51258-2025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45949</v>
      </c>
      <c r="E120" s="1" t="n">
        <v>46234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Sångsvan</t>
        </is>
      </c>
      <c r="W120">
        <f>HYPERLINK("https://klasma.github.io/Logging_2582/artfynd/A 51258-2025 artfynd.xlsx", "A 51258-2025")</f>
        <v/>
      </c>
      <c r="X120">
        <f>HYPERLINK("https://klasma.github.io/Logging_2582/kartor/A 51258-2025 karta.png", "A 51258-2025")</f>
        <v/>
      </c>
      <c r="Y120">
        <f>HYPERLINK("https://klasma.github.io/Logging_2582/kartor_geotiff/A 51258-2025 georefererad karta.tif", "A 51258-2025")</f>
        <v/>
      </c>
      <c r="AA120">
        <f>HYPERLINK("https://klasma.github.io/Logging_2582/klagomål/A 51258-2025 FSC-klagomål.docx", "A 51258-2025")</f>
        <v/>
      </c>
      <c r="AB120">
        <f>HYPERLINK("https://klasma.github.io/Logging_2582/klagomålsmail/A 51258-2025 FSC-klagomål mail.docx", "A 51258-2025")</f>
        <v/>
      </c>
      <c r="AC120">
        <f>HYPERLINK("https://klasma.github.io/Logging_2582/tillsyn/A 51258-2025 tillsynsbegäran.docx", "A 51258-2025")</f>
        <v/>
      </c>
      <c r="AD120">
        <f>HYPERLINK("https://klasma.github.io/Logging_2582/tillsynsmail/A 51258-2025 tillsynsbegäran mail.docx", "A 51258-2025")</f>
        <v/>
      </c>
      <c r="AE120">
        <f>HYPERLINK("https://klasma.github.io/Logging_2582/fåglar/A 51258-2025 prioriterade fågelarter.docx", "A 51258-2025")</f>
        <v/>
      </c>
    </row>
    <row r="121" ht="15" customHeight="1">
      <c r="A121" t="inlineStr">
        <is>
          <t>A 51874-2025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45952</v>
      </c>
      <c r="E121" s="1" t="n">
        <v>46234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0.7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Skinnlav</t>
        </is>
      </c>
      <c r="W121">
        <f>HYPERLINK("https://klasma.github.io/Logging_2582/artfynd/A 51874-2025 artfynd.xlsx", "A 51874-2025")</f>
        <v/>
      </c>
      <c r="X121">
        <f>HYPERLINK("https://klasma.github.io/Logging_2582/kartor/A 51874-2025 karta.png", "A 51874-2025")</f>
        <v/>
      </c>
      <c r="Y121">
        <f>HYPERLINK("https://klasma.github.io/Logging_2582/kartor_geotiff/A 51874-2025 georefererad karta.tif", "A 51874-2025")</f>
        <v/>
      </c>
      <c r="AA121">
        <f>HYPERLINK("https://klasma.github.io/Logging_2582/klagomål/A 51874-2025 FSC-klagomål.docx", "A 51874-2025")</f>
        <v/>
      </c>
      <c r="AB121">
        <f>HYPERLINK("https://klasma.github.io/Logging_2582/klagomålsmail/A 51874-2025 FSC-klagomål mail.docx", "A 51874-2025")</f>
        <v/>
      </c>
      <c r="AC121">
        <f>HYPERLINK("https://klasma.github.io/Logging_2582/tillsyn/A 51874-2025 tillsynsbegäran.docx", "A 51874-2025")</f>
        <v/>
      </c>
      <c r="AD121">
        <f>HYPERLINK("https://klasma.github.io/Logging_2582/tillsynsmail/A 51874-2025 tillsynsbegäran mail.docx", "A 51874-2025")</f>
        <v/>
      </c>
    </row>
    <row r="122" ht="15" customHeight="1">
      <c r="A122" t="inlineStr">
        <is>
          <t>A 53180-2025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46234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13.2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HYPERLINK("https://klasma.github.io/Logging_2582/artfynd/A 53180-2025 artfynd.xlsx", "A 53180-2025")</f>
        <v/>
      </c>
      <c r="X122">
        <f>HYPERLINK("https://klasma.github.io/Logging_2582/kartor/A 53180-2025 karta.png", "A 53180-2025")</f>
        <v/>
      </c>
      <c r="Y122">
        <f>HYPERLINK("https://klasma.github.io/Logging_2582/kartor_geotiff/A 53180-2025 georefererad karta.tif", "A 53180-2025")</f>
        <v/>
      </c>
      <c r="AA122">
        <f>HYPERLINK("https://klasma.github.io/Logging_2582/klagomål/A 53180-2025 FSC-klagomål.docx", "A 53180-2025")</f>
        <v/>
      </c>
      <c r="AB122">
        <f>HYPERLINK("https://klasma.github.io/Logging_2582/klagomålsmail/A 53180-2025 FSC-klagomål mail.docx", "A 53180-2025")</f>
        <v/>
      </c>
      <c r="AC122">
        <f>HYPERLINK("https://klasma.github.io/Logging_2582/tillsyn/A 53180-2025 tillsynsbegäran.docx", "A 53180-2025")</f>
        <v/>
      </c>
      <c r="AD122">
        <f>HYPERLINK("https://klasma.github.io/Logging_2582/tillsynsmail/A 53180-2025 tillsynsbegäran mail.docx", "A 53180-2025")</f>
        <v/>
      </c>
    </row>
    <row r="123" ht="15" customHeight="1">
      <c r="A123" t="inlineStr">
        <is>
          <t>A 53590-2025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46234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7.6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Gulskölding</t>
        </is>
      </c>
      <c r="W123">
        <f>HYPERLINK("https://klasma.github.io/Logging_2582/artfynd/A 53590-2025 artfynd.xlsx", "A 53590-2025")</f>
        <v/>
      </c>
      <c r="X123">
        <f>HYPERLINK("https://klasma.github.io/Logging_2582/kartor/A 53590-2025 karta.png", "A 53590-2025")</f>
        <v/>
      </c>
      <c r="Y123">
        <f>HYPERLINK("https://klasma.github.io/Logging_2582/kartor_geotiff/A 53590-2025 georefererad karta.tif", "A 53590-2025")</f>
        <v/>
      </c>
      <c r="AA123">
        <f>HYPERLINK("https://klasma.github.io/Logging_2582/klagomål/A 53590-2025 FSC-klagomål.docx", "A 53590-2025")</f>
        <v/>
      </c>
      <c r="AB123">
        <f>HYPERLINK("https://klasma.github.io/Logging_2582/klagomålsmail/A 53590-2025 FSC-klagomål mail.docx", "A 53590-2025")</f>
        <v/>
      </c>
      <c r="AC123">
        <f>HYPERLINK("https://klasma.github.io/Logging_2582/tillsyn/A 53590-2025 tillsynsbegäran.docx", "A 53590-2025")</f>
        <v/>
      </c>
      <c r="AD123">
        <f>HYPERLINK("https://klasma.github.io/Logging_2582/tillsynsmail/A 53590-2025 tillsynsbegäran mail.docx", "A 53590-2025")</f>
        <v/>
      </c>
    </row>
    <row r="124" ht="15" customHeight="1">
      <c r="A124" t="inlineStr">
        <is>
          <t>A 68514-2021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46234</v>
      </c>
      <c r="F124" t="inlineStr">
        <is>
          <t>NORRBOTTENS LÄN</t>
        </is>
      </c>
      <c r="G124" t="inlineStr">
        <is>
          <t>BODEN</t>
        </is>
      </c>
      <c r="I124" t="n">
        <v>6.2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HYPERLINK("https://klasma.github.io/Logging_2582/artfynd/A 68514-2021 artfynd.xlsx", "A 68514-2021")</f>
        <v/>
      </c>
      <c r="X124">
        <f>HYPERLINK("https://klasma.github.io/Logging_2582/kartor/A 68514-2021 karta.png", "A 68514-2021")</f>
        <v/>
      </c>
      <c r="Y124">
        <f>HYPERLINK("https://klasma.github.io/Logging_2582/kartor_geotiff/A 68514-2021 georefererad karta.tif", "A 68514-2021")</f>
        <v/>
      </c>
      <c r="Z124">
        <f>HYPERLINK("https://klasma.github.io/Logging_2582/knärot/A 68514-2021 karta knärot.png", "A 68514-2021")</f>
        <v/>
      </c>
      <c r="AA124">
        <f>HYPERLINK("https://klasma.github.io/Logging_2582/klagomål/A 68514-2021 FSC-klagomål.docx", "A 68514-2021")</f>
        <v/>
      </c>
      <c r="AB124">
        <f>HYPERLINK("https://klasma.github.io/Logging_2582/klagomålsmail/A 68514-2021 FSC-klagomål mail.docx", "A 68514-2021")</f>
        <v/>
      </c>
      <c r="AC124">
        <f>HYPERLINK("https://klasma.github.io/Logging_2582/tillsyn/A 68514-2021 tillsynsbegäran.docx", "A 68514-2021")</f>
        <v/>
      </c>
      <c r="AD124">
        <f>HYPERLINK("https://klasma.github.io/Logging_2582/tillsynsmail/A 68514-2021 tillsynsbegäran mail.docx", "A 68514-2021")</f>
        <v/>
      </c>
      <c r="AE124">
        <f>HYPERLINK("https://klasma.github.io/Logging_2582/fåglar/A 68514-2021 prioriterade fågelarter.docx", "A 68514-2021")</f>
        <v/>
      </c>
    </row>
    <row r="125" ht="15" customHeight="1">
      <c r="A125" t="inlineStr">
        <is>
          <t>A 54563-2025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46234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10.3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HYPERLINK("https://klasma.github.io/Logging_2582/artfynd/A 54563-2025 artfynd.xlsx", "A 54563-2025")</f>
        <v/>
      </c>
      <c r="X125">
        <f>HYPERLINK("https://klasma.github.io/Logging_2582/kartor/A 54563-2025 karta.png", "A 54563-2025")</f>
        <v/>
      </c>
      <c r="Y125">
        <f>HYPERLINK("https://klasma.github.io/Logging_2582/kartor_geotiff/A 54563-2025 georefererad karta.tif", "A 54563-2025")</f>
        <v/>
      </c>
      <c r="AA125">
        <f>HYPERLINK("https://klasma.github.io/Logging_2582/klagomål/A 54563-2025 FSC-klagomål.docx", "A 54563-2025")</f>
        <v/>
      </c>
      <c r="AB125">
        <f>HYPERLINK("https://klasma.github.io/Logging_2582/klagomålsmail/A 54563-2025 FSC-klagomål mail.docx", "A 54563-2025")</f>
        <v/>
      </c>
      <c r="AC125">
        <f>HYPERLINK("https://klasma.github.io/Logging_2582/tillsyn/A 54563-2025 tillsynsbegäran.docx", "A 54563-2025")</f>
        <v/>
      </c>
      <c r="AD125">
        <f>HYPERLINK("https://klasma.github.io/Logging_2582/tillsynsmail/A 54563-2025 tillsynsbegäran mail.docx", "A 54563-2025")</f>
        <v/>
      </c>
    </row>
    <row r="126" ht="15" customHeight="1">
      <c r="A126" t="inlineStr">
        <is>
          <t>A 22892-2024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45448</v>
      </c>
      <c r="E126" s="1" t="n">
        <v>46234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0.8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Bollvitmossa</t>
        </is>
      </c>
      <c r="W126">
        <f>HYPERLINK("https://klasma.github.io/Logging_2582/artfynd/A 22892-2024 artfynd.xlsx", "A 22892-2024")</f>
        <v/>
      </c>
      <c r="X126">
        <f>HYPERLINK("https://klasma.github.io/Logging_2582/kartor/A 22892-2024 karta.png", "A 22892-2024")</f>
        <v/>
      </c>
      <c r="Y126">
        <f>HYPERLINK("https://klasma.github.io/Logging_2582/kartor_geotiff/A 22892-2024 georefererad karta.tif", "A 22892-2024")</f>
        <v/>
      </c>
      <c r="AA126">
        <f>HYPERLINK("https://klasma.github.io/Logging_2582/klagomål/A 22892-2024 FSC-klagomål.docx", "A 22892-2024")</f>
        <v/>
      </c>
      <c r="AB126">
        <f>HYPERLINK("https://klasma.github.io/Logging_2582/klagomålsmail/A 22892-2024 FSC-klagomål mail.docx", "A 22892-2024")</f>
        <v/>
      </c>
      <c r="AC126">
        <f>HYPERLINK("https://klasma.github.io/Logging_2582/tillsyn/A 22892-2024 tillsynsbegäran.docx", "A 22892-2024")</f>
        <v/>
      </c>
      <c r="AD126">
        <f>HYPERLINK("https://klasma.github.io/Logging_2582/tillsynsmail/A 22892-2024 tillsynsbegäran mail.docx", "A 22892-2024")</f>
        <v/>
      </c>
    </row>
    <row r="127" ht="15" customHeight="1">
      <c r="A127" t="inlineStr">
        <is>
          <t>A 13568-2022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46234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1.5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Lavskrika</t>
        </is>
      </c>
      <c r="W127">
        <f>HYPERLINK("https://klasma.github.io/Logging_2582/artfynd/A 13568-2022 artfynd.xlsx", "A 13568-2022")</f>
        <v/>
      </c>
      <c r="X127">
        <f>HYPERLINK("https://klasma.github.io/Logging_2582/kartor/A 13568-2022 karta.png", "A 13568-2022")</f>
        <v/>
      </c>
      <c r="Y127">
        <f>HYPERLINK("https://klasma.github.io/Logging_2582/kartor_geotiff/A 13568-2022 georefererad karta.tif", "A 13568-2022")</f>
        <v/>
      </c>
      <c r="AA127">
        <f>HYPERLINK("https://klasma.github.io/Logging_2582/klagomål/A 13568-2022 FSC-klagomål.docx", "A 13568-2022")</f>
        <v/>
      </c>
      <c r="AB127">
        <f>HYPERLINK("https://klasma.github.io/Logging_2582/klagomålsmail/A 13568-2022 FSC-klagomål mail.docx", "A 13568-2022")</f>
        <v/>
      </c>
      <c r="AC127">
        <f>HYPERLINK("https://klasma.github.io/Logging_2582/tillsyn/A 13568-2022 tillsynsbegäran.docx", "A 13568-2022")</f>
        <v/>
      </c>
      <c r="AD127">
        <f>HYPERLINK("https://klasma.github.io/Logging_2582/tillsynsmail/A 13568-2022 tillsynsbegäran mail.docx", "A 13568-2022")</f>
        <v/>
      </c>
      <c r="AE127">
        <f>HYPERLINK("https://klasma.github.io/Logging_2582/fåglar/A 13568-2022 prioriterade fågelarter.docx", "A 13568-2022")</f>
        <v/>
      </c>
    </row>
    <row r="128" ht="15" customHeight="1">
      <c r="A128" t="inlineStr">
        <is>
          <t>A 56598-2025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46234</v>
      </c>
      <c r="F128" t="inlineStr">
        <is>
          <t>NORRBOTTENS LÄN</t>
        </is>
      </c>
      <c r="G128" t="inlineStr">
        <is>
          <t>BODEN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HYPERLINK("https://klasma.github.io/Logging_2582/artfynd/A 56598-2025 artfynd.xlsx", "A 56598-2025")</f>
        <v/>
      </c>
      <c r="X128">
        <f>HYPERLINK("https://klasma.github.io/Logging_2582/kartor/A 56598-2025 karta.png", "A 56598-2025")</f>
        <v/>
      </c>
      <c r="Y128">
        <f>HYPERLINK("https://klasma.github.io/Logging_2582/kartor_geotiff/A 56598-2025 georefererad karta.tif", "A 56598-2025")</f>
        <v/>
      </c>
      <c r="AA128">
        <f>HYPERLINK("https://klasma.github.io/Logging_2582/klagomål/A 56598-2025 FSC-klagomål.docx", "A 56598-2025")</f>
        <v/>
      </c>
      <c r="AB128">
        <f>HYPERLINK("https://klasma.github.io/Logging_2582/klagomålsmail/A 56598-2025 FSC-klagomål mail.docx", "A 56598-2025")</f>
        <v/>
      </c>
      <c r="AC128">
        <f>HYPERLINK("https://klasma.github.io/Logging_2582/tillsyn/A 56598-2025 tillsynsbegäran.docx", "A 56598-2025")</f>
        <v/>
      </c>
      <c r="AD128">
        <f>HYPERLINK("https://klasma.github.io/Logging_2582/tillsynsmail/A 56598-2025 tillsynsbegäran mail.docx", "A 56598-2025")</f>
        <v/>
      </c>
    </row>
    <row r="129" ht="15" customHeight="1">
      <c r="A129" t="inlineStr">
        <is>
          <t>A 60196-2025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46234</v>
      </c>
      <c r="F129" t="inlineStr">
        <is>
          <t>NORRBOTTENS LÄN</t>
        </is>
      </c>
      <c r="G129" t="inlineStr">
        <is>
          <t>BODEN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Igelkott</t>
        </is>
      </c>
      <c r="W129">
        <f>HYPERLINK("https://klasma.github.io/Logging_2582/artfynd/A 60196-2025 artfynd.xlsx", "A 60196-2025")</f>
        <v/>
      </c>
      <c r="X129">
        <f>HYPERLINK("https://klasma.github.io/Logging_2582/kartor/A 60196-2025 karta.png", "A 60196-2025")</f>
        <v/>
      </c>
      <c r="Y129">
        <f>HYPERLINK("https://klasma.github.io/Logging_2582/kartor_geotiff/A 60196-2025 georefererad karta.tif", "A 60196-2025")</f>
        <v/>
      </c>
      <c r="AA129">
        <f>HYPERLINK("https://klasma.github.io/Logging_2582/klagomål/A 60196-2025 FSC-klagomål.docx", "A 60196-2025")</f>
        <v/>
      </c>
      <c r="AB129">
        <f>HYPERLINK("https://klasma.github.io/Logging_2582/klagomålsmail/A 60196-2025 FSC-klagomål mail.docx", "A 60196-2025")</f>
        <v/>
      </c>
      <c r="AC129">
        <f>HYPERLINK("https://klasma.github.io/Logging_2582/tillsyn/A 60196-2025 tillsynsbegäran.docx", "A 60196-2025")</f>
        <v/>
      </c>
      <c r="AD129">
        <f>HYPERLINK("https://klasma.github.io/Logging_2582/tillsynsmail/A 60196-2025 tillsynsbegäran mail.docx", "A 60196-2025")</f>
        <v/>
      </c>
    </row>
    <row r="130" ht="15" customHeight="1">
      <c r="A130" t="inlineStr">
        <is>
          <t>A 60781-2025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45999</v>
      </c>
      <c r="E130" s="1" t="n">
        <v>46234</v>
      </c>
      <c r="F130" t="inlineStr">
        <is>
          <t>NORRBOTTENS LÄN</t>
        </is>
      </c>
      <c r="G130" t="inlineStr">
        <is>
          <t>BODEN</t>
        </is>
      </c>
      <c r="I130" t="n">
        <v>12.3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Rosenticka</t>
        </is>
      </c>
      <c r="W130">
        <f>HYPERLINK("https://klasma.github.io/Logging_2582/artfynd/A 60781-2025 artfynd.xlsx", "A 60781-2025")</f>
        <v/>
      </c>
      <c r="X130">
        <f>HYPERLINK("https://klasma.github.io/Logging_2582/kartor/A 60781-2025 karta.png", "A 60781-2025")</f>
        <v/>
      </c>
      <c r="Y130">
        <f>HYPERLINK("https://klasma.github.io/Logging_2582/kartor_geotiff/A 60781-2025 georefererad karta.tif", "A 60781-2025")</f>
        <v/>
      </c>
      <c r="AA130">
        <f>HYPERLINK("https://klasma.github.io/Logging_2582/klagomål/A 60781-2025 FSC-klagomål.docx", "A 60781-2025")</f>
        <v/>
      </c>
      <c r="AB130">
        <f>HYPERLINK("https://klasma.github.io/Logging_2582/klagomålsmail/A 60781-2025 FSC-klagomål mail.docx", "A 60781-2025")</f>
        <v/>
      </c>
      <c r="AC130">
        <f>HYPERLINK("https://klasma.github.io/Logging_2582/tillsyn/A 60781-2025 tillsynsbegäran.docx", "A 60781-2025")</f>
        <v/>
      </c>
      <c r="AD130">
        <f>HYPERLINK("https://klasma.github.io/Logging_2582/tillsynsmail/A 60781-2025 tillsynsbegäran mail.docx", "A 60781-2025")</f>
        <v/>
      </c>
    </row>
    <row r="131" ht="15" customHeight="1">
      <c r="A131" t="inlineStr">
        <is>
          <t>A 62002-2025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46003</v>
      </c>
      <c r="E131" s="1" t="n">
        <v>46234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Vitgrynig nållav</t>
        </is>
      </c>
      <c r="W131">
        <f>HYPERLINK("https://klasma.github.io/Logging_2582/artfynd/A 62002-2025 artfynd.xlsx", "A 62002-2025")</f>
        <v/>
      </c>
      <c r="X131">
        <f>HYPERLINK("https://klasma.github.io/Logging_2582/kartor/A 62002-2025 karta.png", "A 62002-2025")</f>
        <v/>
      </c>
      <c r="Y131">
        <f>HYPERLINK("https://klasma.github.io/Logging_2582/kartor_geotiff/A 62002-2025 georefererad karta.tif", "A 62002-2025")</f>
        <v/>
      </c>
      <c r="AA131">
        <f>HYPERLINK("https://klasma.github.io/Logging_2582/klagomål/A 62002-2025 FSC-klagomål.docx", "A 62002-2025")</f>
        <v/>
      </c>
      <c r="AB131">
        <f>HYPERLINK("https://klasma.github.io/Logging_2582/klagomålsmail/A 62002-2025 FSC-klagomål mail.docx", "A 62002-2025")</f>
        <v/>
      </c>
      <c r="AC131">
        <f>HYPERLINK("https://klasma.github.io/Logging_2582/tillsyn/A 62002-2025 tillsynsbegäran.docx", "A 62002-2025")</f>
        <v/>
      </c>
      <c r="AD131">
        <f>HYPERLINK("https://klasma.github.io/Logging_2582/tillsynsmail/A 62002-2025 tillsynsbegäran mail.docx", "A 62002-2025")</f>
        <v/>
      </c>
    </row>
    <row r="132" ht="15" customHeight="1">
      <c r="A132" t="inlineStr">
        <is>
          <t>A 4878-2026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46234</v>
      </c>
      <c r="F132" t="inlineStr">
        <is>
          <t>NORRBOTTENS LÄN</t>
        </is>
      </c>
      <c r="G132" t="inlineStr">
        <is>
          <t>BODEN</t>
        </is>
      </c>
      <c r="I132" t="n">
        <v>1.8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padda</t>
        </is>
      </c>
      <c r="W132">
        <f>HYPERLINK("https://klasma.github.io/Logging_2582/artfynd/A 4878-2026 artfynd.xlsx", "A 4878-2026")</f>
        <v/>
      </c>
      <c r="X132">
        <f>HYPERLINK("https://klasma.github.io/Logging_2582/kartor/A 4878-2026 karta.png", "A 4878-2026")</f>
        <v/>
      </c>
      <c r="Y132">
        <f>HYPERLINK("https://klasma.github.io/Logging_2582/kartor_geotiff/A 4878-2026 georefererad karta.tif", "A 4878-2026")</f>
        <v/>
      </c>
      <c r="AA132">
        <f>HYPERLINK("https://klasma.github.io/Logging_2582/klagomål/A 4878-2026 FSC-klagomål.docx", "A 4878-2026")</f>
        <v/>
      </c>
      <c r="AB132">
        <f>HYPERLINK("https://klasma.github.io/Logging_2582/klagomålsmail/A 4878-2026 FSC-klagomål mail.docx", "A 4878-2026")</f>
        <v/>
      </c>
      <c r="AC132">
        <f>HYPERLINK("https://klasma.github.io/Logging_2582/tillsyn/A 4878-2026 tillsynsbegäran.docx", "A 4878-2026")</f>
        <v/>
      </c>
      <c r="AD132">
        <f>HYPERLINK("https://klasma.github.io/Logging_2582/tillsynsmail/A 4878-2026 tillsynsbegäran mail.docx", "A 4878-2026")</f>
        <v/>
      </c>
    </row>
    <row r="133" ht="15" customHeight="1">
      <c r="A133" t="inlineStr">
        <is>
          <t>A 2565-2026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46037</v>
      </c>
      <c r="E133" s="1" t="n">
        <v>46234</v>
      </c>
      <c r="F133" t="inlineStr">
        <is>
          <t>NORRBOTTENS LÄN</t>
        </is>
      </c>
      <c r="G133" t="inlineStr">
        <is>
          <t>BODEN</t>
        </is>
      </c>
      <c r="H133" t="inlineStr">
        <is>
          <t>Naturvårdsverket</t>
        </is>
      </c>
      <c r="I133" t="n">
        <v>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2</v>
      </c>
      <c r="V133" s="2" t="inlineStr">
        <is>
          <t>Garnlav</t>
        </is>
      </c>
      <c r="W133">
        <f>HYPERLINK("https://klasma.github.io/Logging_2582/artfynd/A 2565-2026 artfynd.xlsx", "A 2565-2026")</f>
        <v/>
      </c>
      <c r="X133">
        <f>HYPERLINK("https://klasma.github.io/Logging_2582/kartor/A 2565-2026 karta.png", "A 2565-2026")</f>
        <v/>
      </c>
      <c r="Y133">
        <f>HYPERLINK("https://klasma.github.io/Logging_2582/kartor_geotiff/A 2565-2026 georefererad karta.tif", "A 2565-2026")</f>
        <v/>
      </c>
      <c r="AA133">
        <f>HYPERLINK("https://klasma.github.io/Logging_2582/klagomål/A 2565-2026 FSC-klagomål.docx", "A 2565-2026")</f>
        <v/>
      </c>
      <c r="AB133">
        <f>HYPERLINK("https://klasma.github.io/Logging_2582/klagomålsmail/A 2565-2026 FSC-klagomål mail.docx", "A 2565-2026")</f>
        <v/>
      </c>
      <c r="AC133">
        <f>HYPERLINK("https://klasma.github.io/Logging_2582/tillsyn/A 2565-2026 tillsynsbegäran.docx", "A 2565-2026")</f>
        <v/>
      </c>
      <c r="AD133">
        <f>HYPERLINK("https://klasma.github.io/Logging_2582/tillsynsmail/A 2565-2026 tillsynsbegäran mail.docx", "A 2565-2026")</f>
        <v/>
      </c>
    </row>
    <row r="134" ht="15" customHeight="1">
      <c r="A134" t="inlineStr">
        <is>
          <t>A 36743-2024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45538</v>
      </c>
      <c r="E134" s="1" t="n">
        <v>46234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HYPERLINK("https://klasma.github.io/Logging_2582/artfynd/A 36743-2024 artfynd.xlsx", "A 36743-2024")</f>
        <v/>
      </c>
      <c r="X134">
        <f>HYPERLINK("https://klasma.github.io/Logging_2582/kartor/A 36743-2024 karta.png", "A 36743-2024")</f>
        <v/>
      </c>
      <c r="Y134">
        <f>HYPERLINK("https://klasma.github.io/Logging_2582/kartor_geotiff/A 36743-2024 georefererad karta.tif", "A 36743-2024")</f>
        <v/>
      </c>
      <c r="AA134">
        <f>HYPERLINK("https://klasma.github.io/Logging_2582/klagomål/A 36743-2024 FSC-klagomål.docx", "A 36743-2024")</f>
        <v/>
      </c>
      <c r="AB134">
        <f>HYPERLINK("https://klasma.github.io/Logging_2582/klagomålsmail/A 36743-2024 FSC-klagomål mail.docx", "A 36743-2024")</f>
        <v/>
      </c>
      <c r="AC134">
        <f>HYPERLINK("https://klasma.github.io/Logging_2582/tillsyn/A 36743-2024 tillsynsbegäran.docx", "A 36743-2024")</f>
        <v/>
      </c>
      <c r="AD134">
        <f>HYPERLINK("https://klasma.github.io/Logging_2582/tillsynsmail/A 36743-2024 tillsynsbegäran mail.docx", "A 36743-2024")</f>
        <v/>
      </c>
    </row>
    <row r="135" ht="15" customHeight="1">
      <c r="A135" t="inlineStr">
        <is>
          <t>A 32600-2024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45513</v>
      </c>
      <c r="E135" s="1" t="n">
        <v>46234</v>
      </c>
      <c r="F135" t="inlineStr">
        <is>
          <t>NORRBOTTENS LÄN</t>
        </is>
      </c>
      <c r="G135" t="inlineStr">
        <is>
          <t>BODEN</t>
        </is>
      </c>
      <c r="I135" t="n">
        <v>2.5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HYPERLINK("https://klasma.github.io/Logging_2582/artfynd/A 32600-2024 artfynd.xlsx", "A 32600-2024")</f>
        <v/>
      </c>
      <c r="X135">
        <f>HYPERLINK("https://klasma.github.io/Logging_2582/kartor/A 32600-2024 karta.png", "A 32600-2024")</f>
        <v/>
      </c>
      <c r="Y135">
        <f>HYPERLINK("https://klasma.github.io/Logging_2582/kartor_geotiff/A 32600-2024 georefererad karta.tif", "A 32600-2024")</f>
        <v/>
      </c>
      <c r="AA135">
        <f>HYPERLINK("https://klasma.github.io/Logging_2582/klagomål/A 32600-2024 FSC-klagomål.docx", "A 32600-2024")</f>
        <v/>
      </c>
      <c r="AB135">
        <f>HYPERLINK("https://klasma.github.io/Logging_2582/klagomålsmail/A 32600-2024 FSC-klagomål mail.docx", "A 32600-2024")</f>
        <v/>
      </c>
      <c r="AC135">
        <f>HYPERLINK("https://klasma.github.io/Logging_2582/tillsyn/A 32600-2024 tillsynsbegäran.docx", "A 32600-2024")</f>
        <v/>
      </c>
      <c r="AD135">
        <f>HYPERLINK("https://klasma.github.io/Logging_2582/tillsynsmail/A 32600-2024 tillsynsbegäran mail.docx", "A 32600-2024")</f>
        <v/>
      </c>
    </row>
    <row r="136" ht="15" customHeight="1">
      <c r="A136" t="inlineStr">
        <is>
          <t>A 665-2023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44925</v>
      </c>
      <c r="E136" s="1" t="n">
        <v>46234</v>
      </c>
      <c r="F136" t="inlineStr">
        <is>
          <t>NORRBOTTENS LÄN</t>
        </is>
      </c>
      <c r="G136" t="inlineStr">
        <is>
          <t>BODEN</t>
        </is>
      </c>
      <c r="I136" t="n">
        <v>0.9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Duvhök</t>
        </is>
      </c>
      <c r="W136">
        <f>HYPERLINK("https://klasma.github.io/Logging_2582/artfynd/A 665-2023 artfynd.xlsx", "A 665-2023")</f>
        <v/>
      </c>
      <c r="X136">
        <f>HYPERLINK("https://klasma.github.io/Logging_2582/kartor/A 665-2023 karta.png", "A 665-2023")</f>
        <v/>
      </c>
      <c r="Y136">
        <f>HYPERLINK("https://klasma.github.io/Logging_2582/kartor_geotiff/A 665-2023 georefererad karta.tif", "A 665-2023")</f>
        <v/>
      </c>
      <c r="AA136">
        <f>HYPERLINK("https://klasma.github.io/Logging_2582/klagomål/A 665-2023 FSC-klagomål.docx", "A 665-2023")</f>
        <v/>
      </c>
      <c r="AB136">
        <f>HYPERLINK("https://klasma.github.io/Logging_2582/klagomålsmail/A 665-2023 FSC-klagomål mail.docx", "A 665-2023")</f>
        <v/>
      </c>
      <c r="AC136">
        <f>HYPERLINK("https://klasma.github.io/Logging_2582/tillsyn/A 665-2023 tillsynsbegäran.docx", "A 665-2023")</f>
        <v/>
      </c>
      <c r="AD136">
        <f>HYPERLINK("https://klasma.github.io/Logging_2582/tillsynsmail/A 665-2023 tillsynsbegäran mail.docx", "A 665-2023")</f>
        <v/>
      </c>
      <c r="AE136">
        <f>HYPERLINK("https://klasma.github.io/Logging_2582/fåglar/A 665-2023 prioriterade fågelarter.docx", "A 665-2023")</f>
        <v/>
      </c>
    </row>
    <row r="137" ht="15" customHeight="1">
      <c r="A137" t="inlineStr">
        <is>
          <t>A 14329-2026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46234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HYPERLINK("https://klasma.github.io/Logging_2582/artfynd/A 14329-2026 artfynd.xlsx", "A 14329-2026")</f>
        <v/>
      </c>
      <c r="X137">
        <f>HYPERLINK("https://klasma.github.io/Logging_2582/kartor/A 14329-2026 karta.png", "A 14329-2026")</f>
        <v/>
      </c>
      <c r="Y137">
        <f>HYPERLINK("https://klasma.github.io/Logging_2582/kartor_geotiff/A 14329-2026 georefererad karta.tif", "A 14329-2026")</f>
        <v/>
      </c>
      <c r="AA137">
        <f>HYPERLINK("https://klasma.github.io/Logging_2582/klagomål/A 14329-2026 FSC-klagomål.docx", "A 14329-2026")</f>
        <v/>
      </c>
      <c r="AB137">
        <f>HYPERLINK("https://klasma.github.io/Logging_2582/klagomålsmail/A 14329-2026 FSC-klagomål mail.docx", "A 14329-2026")</f>
        <v/>
      </c>
      <c r="AC137">
        <f>HYPERLINK("https://klasma.github.io/Logging_2582/tillsyn/A 14329-2026 tillsynsbegäran.docx", "A 14329-2026")</f>
        <v/>
      </c>
      <c r="AD137">
        <f>HYPERLINK("https://klasma.github.io/Logging_2582/tillsynsmail/A 14329-2026 tillsynsbegäran mail.docx", "A 14329-2026")</f>
        <v/>
      </c>
      <c r="AE137">
        <f>HYPERLINK("https://klasma.github.io/Logging_2582/fåglar/A 14329-2026 prioriterade fågelarter.docx", "A 14329-2026")</f>
        <v/>
      </c>
    </row>
    <row r="138" ht="15" customHeight="1">
      <c r="A138" t="inlineStr">
        <is>
          <t>A 12832-2022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44642</v>
      </c>
      <c r="E138" s="1" t="n">
        <v>46234</v>
      </c>
      <c r="F138" t="inlineStr">
        <is>
          <t>NORRBOTTENS LÄN</t>
        </is>
      </c>
      <c r="G138" t="inlineStr">
        <is>
          <t>BODEN</t>
        </is>
      </c>
      <c r="I138" t="n">
        <v>6.6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Doftticka</t>
        </is>
      </c>
      <c r="W138">
        <f>HYPERLINK("https://klasma.github.io/Logging_2582/artfynd/A 12832-2022 artfynd.xlsx", "A 12832-2022")</f>
        <v/>
      </c>
      <c r="X138">
        <f>HYPERLINK("https://klasma.github.io/Logging_2582/kartor/A 12832-2022 karta.png", "A 12832-2022")</f>
        <v/>
      </c>
      <c r="Y138">
        <f>HYPERLINK("https://klasma.github.io/Logging_2582/kartor_geotiff/A 12832-2022 georefererad karta.tif", "A 12832-2022")</f>
        <v/>
      </c>
      <c r="AA138">
        <f>HYPERLINK("https://klasma.github.io/Logging_2582/klagomål/A 12832-2022 FSC-klagomål.docx", "A 12832-2022")</f>
        <v/>
      </c>
      <c r="AB138">
        <f>HYPERLINK("https://klasma.github.io/Logging_2582/klagomålsmail/A 12832-2022 FSC-klagomål mail.docx", "A 12832-2022")</f>
        <v/>
      </c>
      <c r="AC138">
        <f>HYPERLINK("https://klasma.github.io/Logging_2582/tillsyn/A 12832-2022 tillsynsbegäran.docx", "A 12832-2022")</f>
        <v/>
      </c>
      <c r="AD138">
        <f>HYPERLINK("https://klasma.github.io/Logging_2582/tillsynsmail/A 12832-2022 tillsynsbegäran mail.docx", "A 12832-2022")</f>
        <v/>
      </c>
    </row>
    <row r="139" ht="15" customHeight="1">
      <c r="A139" t="inlineStr">
        <is>
          <t>A 19580-2026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46134</v>
      </c>
      <c r="E139" s="1" t="n">
        <v>46234</v>
      </c>
      <c r="F139" t="inlineStr">
        <is>
          <t>NORRBOTTENS LÄN</t>
        </is>
      </c>
      <c r="G139" t="inlineStr">
        <is>
          <t>BODEN</t>
        </is>
      </c>
      <c r="I139" t="n">
        <v>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Dropptaggsvamp</t>
        </is>
      </c>
      <c r="W139">
        <f>HYPERLINK("https://klasma.github.io/Logging_2582/artfynd/A 19580-2026 artfynd.xlsx", "A 19580-2026")</f>
        <v/>
      </c>
      <c r="X139">
        <f>HYPERLINK("https://klasma.github.io/Logging_2582/kartor/A 19580-2026 karta.png", "A 19580-2026")</f>
        <v/>
      </c>
      <c r="Y139">
        <f>HYPERLINK("https://klasma.github.io/Logging_2582/kartor_geotiff/A 19580-2026 georefererad karta.tif", "A 19580-2026")</f>
        <v/>
      </c>
      <c r="AA139">
        <f>HYPERLINK("https://klasma.github.io/Logging_2582/klagomål/A 19580-2026 FSC-klagomål.docx", "A 19580-2026")</f>
        <v/>
      </c>
      <c r="AB139">
        <f>HYPERLINK("https://klasma.github.io/Logging_2582/klagomålsmail/A 19580-2026 FSC-klagomål mail.docx", "A 19580-2026")</f>
        <v/>
      </c>
      <c r="AC139">
        <f>HYPERLINK("https://klasma.github.io/Logging_2582/tillsyn/A 19580-2026 tillsynsbegäran.docx", "A 19580-2026")</f>
        <v/>
      </c>
      <c r="AD139">
        <f>HYPERLINK("https://klasma.github.io/Logging_2582/tillsynsmail/A 19580-2026 tillsynsbegäran mail.docx", "A 19580-2026")</f>
        <v/>
      </c>
    </row>
    <row r="140" ht="15" customHeight="1">
      <c r="A140" t="inlineStr">
        <is>
          <t>A 41087-2024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45559</v>
      </c>
      <c r="E140" s="1" t="n">
        <v>46234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HYPERLINK("https://klasma.github.io/Logging_2582/artfynd/A 41087-2024 artfynd.xlsx", "A 41087-2024")</f>
        <v/>
      </c>
      <c r="X140">
        <f>HYPERLINK("https://klasma.github.io/Logging_2582/kartor/A 41087-2024 karta.png", "A 41087-2024")</f>
        <v/>
      </c>
      <c r="Y140">
        <f>HYPERLINK("https://klasma.github.io/Logging_2582/kartor_geotiff/A 41087-2024 georefererad karta.tif", "A 41087-2024")</f>
        <v/>
      </c>
      <c r="AA140">
        <f>HYPERLINK("https://klasma.github.io/Logging_2582/klagomål/A 41087-2024 FSC-klagomål.docx", "A 41087-2024")</f>
        <v/>
      </c>
      <c r="AB140">
        <f>HYPERLINK("https://klasma.github.io/Logging_2582/klagomålsmail/A 41087-2024 FSC-klagomål mail.docx", "A 41087-2024")</f>
        <v/>
      </c>
      <c r="AC140">
        <f>HYPERLINK("https://klasma.github.io/Logging_2582/tillsyn/A 41087-2024 tillsynsbegäran.docx", "A 41087-2024")</f>
        <v/>
      </c>
      <c r="AD140">
        <f>HYPERLINK("https://klasma.github.io/Logging_2582/tillsynsmail/A 41087-2024 tillsynsbegäran mail.docx", "A 41087-2024")</f>
        <v/>
      </c>
    </row>
    <row r="141" ht="15" customHeight="1">
      <c r="A141" t="inlineStr">
        <is>
          <t>A 21310-2026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46147</v>
      </c>
      <c r="E141" s="1" t="n">
        <v>46234</v>
      </c>
      <c r="F141" t="inlineStr">
        <is>
          <t>NORRBOTTENS LÄN</t>
        </is>
      </c>
      <c r="G141" t="inlineStr">
        <is>
          <t>BODEN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HYPERLINK("https://klasma.github.io/Logging_2582/artfynd/A 21310-2026 artfynd.xlsx", "A 21310-2026")</f>
        <v/>
      </c>
      <c r="X141">
        <f>HYPERLINK("https://klasma.github.io/Logging_2582/kartor/A 21310-2026 karta.png", "A 21310-2026")</f>
        <v/>
      </c>
      <c r="Y141">
        <f>HYPERLINK("https://klasma.github.io/Logging_2582/kartor_geotiff/A 21310-2026 georefererad karta.tif", "A 21310-2026")</f>
        <v/>
      </c>
      <c r="AA141">
        <f>HYPERLINK("https://klasma.github.io/Logging_2582/klagomål/A 21310-2026 FSC-klagomål.docx", "A 21310-2026")</f>
        <v/>
      </c>
      <c r="AB141">
        <f>HYPERLINK("https://klasma.github.io/Logging_2582/klagomålsmail/A 21310-2026 FSC-klagomål mail.docx", "A 21310-2026")</f>
        <v/>
      </c>
      <c r="AC141">
        <f>HYPERLINK("https://klasma.github.io/Logging_2582/tillsyn/A 21310-2026 tillsynsbegäran.docx", "A 21310-2026")</f>
        <v/>
      </c>
      <c r="AD141">
        <f>HYPERLINK("https://klasma.github.io/Logging_2582/tillsynsmail/A 21310-2026 tillsynsbegäran mail.docx", "A 21310-2026")</f>
        <v/>
      </c>
    </row>
    <row r="142" ht="15" customHeight="1">
      <c r="A142" t="inlineStr">
        <is>
          <t>A 19396-2022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46234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13.1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Tallticka</t>
        </is>
      </c>
      <c r="W142">
        <f>HYPERLINK("https://klasma.github.io/Logging_2582/artfynd/A 19396-2022 artfynd.xlsx", "A 19396-2022")</f>
        <v/>
      </c>
      <c r="X142">
        <f>HYPERLINK("https://klasma.github.io/Logging_2582/kartor/A 19396-2022 karta.png", "A 19396-2022")</f>
        <v/>
      </c>
      <c r="Y142">
        <f>HYPERLINK("https://klasma.github.io/Logging_2582/kartor_geotiff/A 19396-2022 georefererad karta.tif", "A 19396-2022")</f>
        <v/>
      </c>
      <c r="AA142">
        <f>HYPERLINK("https://klasma.github.io/Logging_2582/klagomål/A 19396-2022 FSC-klagomål.docx", "A 19396-2022")</f>
        <v/>
      </c>
      <c r="AB142">
        <f>HYPERLINK("https://klasma.github.io/Logging_2582/klagomålsmail/A 19396-2022 FSC-klagomål mail.docx", "A 19396-2022")</f>
        <v/>
      </c>
      <c r="AC142">
        <f>HYPERLINK("https://klasma.github.io/Logging_2582/tillsyn/A 19396-2022 tillsynsbegäran.docx", "A 19396-2022")</f>
        <v/>
      </c>
      <c r="AD142">
        <f>HYPERLINK("https://klasma.github.io/Logging_2582/tillsynsmail/A 19396-2022 tillsynsbegäran mail.docx", "A 19396-2022")</f>
        <v/>
      </c>
    </row>
    <row r="143" ht="15" customHeight="1">
      <c r="A143" t="inlineStr">
        <is>
          <t>A 29875-2026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46234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4.4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Tallticka</t>
        </is>
      </c>
      <c r="W143">
        <f>HYPERLINK("https://klasma.github.io/Logging_2582/artfynd/A 29875-2026 artfynd.xlsx", "A 29875-2026")</f>
        <v/>
      </c>
      <c r="X143">
        <f>HYPERLINK("https://klasma.github.io/Logging_2582/kartor/A 29875-2026 karta.png", "A 29875-2026")</f>
        <v/>
      </c>
      <c r="Y143">
        <f>HYPERLINK("https://klasma.github.io/Logging_2582/kartor_geotiff/A 29875-2026 georefererad karta.tif", "A 29875-2026")</f>
        <v/>
      </c>
      <c r="AA143">
        <f>HYPERLINK("https://klasma.github.io/Logging_2582/klagomål/A 29875-2026 FSC-klagomål.docx", "A 29875-2026")</f>
        <v/>
      </c>
      <c r="AB143">
        <f>HYPERLINK("https://klasma.github.io/Logging_2582/klagomålsmail/A 29875-2026 FSC-klagomål mail.docx", "A 29875-2026")</f>
        <v/>
      </c>
      <c r="AC143">
        <f>HYPERLINK("https://klasma.github.io/Logging_2582/tillsyn/A 29875-2026 tillsynsbegäran.docx", "A 29875-2026")</f>
        <v/>
      </c>
      <c r="AD143">
        <f>HYPERLINK("https://klasma.github.io/Logging_2582/tillsynsmail/A 29875-2026 tillsynsbegäran mail.docx", "A 29875-2026")</f>
        <v/>
      </c>
    </row>
    <row r="144" ht="15" customHeight="1">
      <c r="A144" t="inlineStr">
        <is>
          <t>A 24429-2026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46234</v>
      </c>
      <c r="F144" t="inlineStr">
        <is>
          <t>NORRBOTTENS LÄN</t>
        </is>
      </c>
      <c r="G144" t="inlineStr">
        <is>
          <t>BODEN</t>
        </is>
      </c>
      <c r="I144" t="n">
        <v>0.5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HYPERLINK("https://klasma.github.io/Logging_2582/artfynd/A 24429-2026 artfynd.xlsx", "A 24429-2026")</f>
        <v/>
      </c>
      <c r="X144">
        <f>HYPERLINK("https://klasma.github.io/Logging_2582/kartor/A 24429-2026 karta.png", "A 24429-2026")</f>
        <v/>
      </c>
      <c r="Y144">
        <f>HYPERLINK("https://klasma.github.io/Logging_2582/kartor_geotiff/A 24429-2026 georefererad karta.tif", "A 24429-2026")</f>
        <v/>
      </c>
      <c r="AA144">
        <f>HYPERLINK("https://klasma.github.io/Logging_2582/klagomål/A 24429-2026 FSC-klagomål.docx", "A 24429-2026")</f>
        <v/>
      </c>
      <c r="AB144">
        <f>HYPERLINK("https://klasma.github.io/Logging_2582/klagomålsmail/A 24429-2026 FSC-klagomål mail.docx", "A 24429-2026")</f>
        <v/>
      </c>
      <c r="AC144">
        <f>HYPERLINK("https://klasma.github.io/Logging_2582/tillsyn/A 24429-2026 tillsynsbegäran.docx", "A 24429-2026")</f>
        <v/>
      </c>
      <c r="AD144">
        <f>HYPERLINK("https://klasma.github.io/Logging_2582/tillsynsmail/A 24429-2026 tillsynsbegäran mail.docx", "A 24429-2026")</f>
        <v/>
      </c>
    </row>
    <row r="145" ht="15" customHeight="1">
      <c r="A145" t="inlineStr">
        <is>
          <t>A 25805-2026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46234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3.6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Plattlummer</t>
        </is>
      </c>
      <c r="W145">
        <f>HYPERLINK("https://klasma.github.io/Logging_2582/artfynd/A 25805-2026 artfynd.xlsx", "A 25805-2026")</f>
        <v/>
      </c>
      <c r="X145">
        <f>HYPERLINK("https://klasma.github.io/Logging_2582/kartor/A 25805-2026 karta.png", "A 25805-2026")</f>
        <v/>
      </c>
      <c r="Y145">
        <f>HYPERLINK("https://klasma.github.io/Logging_2582/kartor_geotiff/A 25805-2026 georefererad karta.tif", "A 25805-2026")</f>
        <v/>
      </c>
      <c r="AA145">
        <f>HYPERLINK("https://klasma.github.io/Logging_2582/klagomål/A 25805-2026 FSC-klagomål.docx", "A 25805-2026")</f>
        <v/>
      </c>
      <c r="AB145">
        <f>HYPERLINK("https://klasma.github.io/Logging_2582/klagomålsmail/A 25805-2026 FSC-klagomål mail.docx", "A 25805-2026")</f>
        <v/>
      </c>
      <c r="AC145">
        <f>HYPERLINK("https://klasma.github.io/Logging_2582/tillsyn/A 25805-2026 tillsynsbegäran.docx", "A 25805-2026")</f>
        <v/>
      </c>
      <c r="AD145">
        <f>HYPERLINK("https://klasma.github.io/Logging_2582/tillsynsmail/A 25805-2026 tillsynsbegäran mail.docx", "A 25805-2026")</f>
        <v/>
      </c>
    </row>
    <row r="146" ht="15" customHeight="1">
      <c r="A146" t="inlineStr">
        <is>
          <t>A 25803-2026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46234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9.9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Spindelblomster</t>
        </is>
      </c>
      <c r="W146">
        <f>HYPERLINK("https://klasma.github.io/Logging_2582/artfynd/A 25803-2026 artfynd.xlsx", "A 25803-2026")</f>
        <v/>
      </c>
      <c r="X146">
        <f>HYPERLINK("https://klasma.github.io/Logging_2582/kartor/A 25803-2026 karta.png", "A 25803-2026")</f>
        <v/>
      </c>
      <c r="Y146">
        <f>HYPERLINK("https://klasma.github.io/Logging_2582/kartor_geotiff/A 25803-2026 georefererad karta.tif", "A 25803-2026")</f>
        <v/>
      </c>
      <c r="AA146">
        <f>HYPERLINK("https://klasma.github.io/Logging_2582/klagomål/A 25803-2026 FSC-klagomål.docx", "A 25803-2026")</f>
        <v/>
      </c>
      <c r="AB146">
        <f>HYPERLINK("https://klasma.github.io/Logging_2582/klagomålsmail/A 25803-2026 FSC-klagomål mail.docx", "A 25803-2026")</f>
        <v/>
      </c>
      <c r="AC146">
        <f>HYPERLINK("https://klasma.github.io/Logging_2582/tillsyn/A 25803-2026 tillsynsbegäran.docx", "A 25803-2026")</f>
        <v/>
      </c>
      <c r="AD146">
        <f>HYPERLINK("https://klasma.github.io/Logging_2582/tillsynsmail/A 25803-2026 tillsynsbegäran mail.docx", "A 25803-2026")</f>
        <v/>
      </c>
    </row>
    <row r="147" ht="15" customHeight="1">
      <c r="A147" t="inlineStr">
        <is>
          <t>A 25801-2026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46234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HYPERLINK("https://klasma.github.io/Logging_2582/artfynd/A 25801-2026 artfynd.xlsx", "A 25801-2026")</f>
        <v/>
      </c>
      <c r="X147">
        <f>HYPERLINK("https://klasma.github.io/Logging_2582/kartor/A 25801-2026 karta.png", "A 25801-2026")</f>
        <v/>
      </c>
      <c r="Y147">
        <f>HYPERLINK("https://klasma.github.io/Logging_2582/kartor_geotiff/A 25801-2026 georefererad karta.tif", "A 25801-2026")</f>
        <v/>
      </c>
      <c r="Z147">
        <f>HYPERLINK("https://klasma.github.io/Logging_2582/knärot/A 25801-2026 karta knärot.png", "A 25801-2026")</f>
        <v/>
      </c>
      <c r="AA147">
        <f>HYPERLINK("https://klasma.github.io/Logging_2582/klagomål/A 25801-2026 FSC-klagomål.docx", "A 25801-2026")</f>
        <v/>
      </c>
      <c r="AB147">
        <f>HYPERLINK("https://klasma.github.io/Logging_2582/klagomålsmail/A 25801-2026 FSC-klagomål mail.docx", "A 25801-2026")</f>
        <v/>
      </c>
      <c r="AC147">
        <f>HYPERLINK("https://klasma.github.io/Logging_2582/tillsyn/A 25801-2026 tillsynsbegäran.docx", "A 25801-2026")</f>
        <v/>
      </c>
      <c r="AD147">
        <f>HYPERLINK("https://klasma.github.io/Logging_2582/tillsynsmail/A 25801-2026 tillsynsbegäran mail.docx", "A 25801-2026")</f>
        <v/>
      </c>
    </row>
    <row r="148" ht="15" customHeight="1">
      <c r="A148" t="inlineStr">
        <is>
          <t>A 26438-2026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46183</v>
      </c>
      <c r="E148" s="1" t="n">
        <v>46234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15.9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0</v>
      </c>
      <c r="V148" s="2" t="inlineStr">
        <is>
          <t>Kolflarnlav</t>
        </is>
      </c>
      <c r="W148">
        <f>HYPERLINK("https://klasma.github.io/Logging_2582/artfynd/A 26438-2026 artfynd.xlsx", "A 26438-2026")</f>
        <v/>
      </c>
      <c r="X148">
        <f>HYPERLINK("https://klasma.github.io/Logging_2582/kartor/A 26438-2026 karta.png", "A 26438-2026")</f>
        <v/>
      </c>
      <c r="Y148">
        <f>HYPERLINK("https://klasma.github.io/Logging_2582/kartor_geotiff/A 26438-2026 georefererad karta.tif", "A 26438-2026")</f>
        <v/>
      </c>
      <c r="AA148">
        <f>HYPERLINK("https://klasma.github.io/Logging_2582/klagomål/A 26438-2026 FSC-klagomål.docx", "A 26438-2026")</f>
        <v/>
      </c>
      <c r="AB148">
        <f>HYPERLINK("https://klasma.github.io/Logging_2582/klagomålsmail/A 26438-2026 FSC-klagomål mail.docx", "A 26438-2026")</f>
        <v/>
      </c>
      <c r="AC148">
        <f>HYPERLINK("https://klasma.github.io/Logging_2582/tillsyn/A 26438-2026 tillsynsbegäran.docx", "A 26438-2026")</f>
        <v/>
      </c>
      <c r="AD148">
        <f>HYPERLINK("https://klasma.github.io/Logging_2582/tillsynsmail/A 26438-2026 tillsynsbegäran mail.docx", "A 26438-2026")</f>
        <v/>
      </c>
    </row>
    <row r="149" ht="15" customHeight="1">
      <c r="A149" t="inlineStr">
        <is>
          <t>A 26690-2026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46184</v>
      </c>
      <c r="E149" s="1" t="n">
        <v>46234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11.9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HYPERLINK("https://klasma.github.io/Logging_2582/artfynd/A 26690-2026 artfynd.xlsx", "A 26690-2026")</f>
        <v/>
      </c>
      <c r="X149">
        <f>HYPERLINK("https://klasma.github.io/Logging_2582/kartor/A 26690-2026 karta.png", "A 26690-2026")</f>
        <v/>
      </c>
      <c r="Y149">
        <f>HYPERLINK("https://klasma.github.io/Logging_2582/kartor_geotiff/A 26690-2026 georefererad karta.tif", "A 26690-2026")</f>
        <v/>
      </c>
      <c r="Z149">
        <f>HYPERLINK("https://klasma.github.io/Logging_2582/knärot/A 26690-2026 karta knärot.png", "A 26690-2026")</f>
        <v/>
      </c>
      <c r="AA149">
        <f>HYPERLINK("https://klasma.github.io/Logging_2582/klagomål/A 26690-2026 FSC-klagomål.docx", "A 26690-2026")</f>
        <v/>
      </c>
      <c r="AB149">
        <f>HYPERLINK("https://klasma.github.io/Logging_2582/klagomålsmail/A 26690-2026 FSC-klagomål mail.docx", "A 26690-2026")</f>
        <v/>
      </c>
      <c r="AC149">
        <f>HYPERLINK("https://klasma.github.io/Logging_2582/tillsyn/A 26690-2026 tillsynsbegäran.docx", "A 26690-2026")</f>
        <v/>
      </c>
      <c r="AD149">
        <f>HYPERLINK("https://klasma.github.io/Logging_2582/tillsynsmail/A 26690-2026 tillsynsbegäran mail.docx", "A 26690-2026")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46234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46234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46234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46234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46234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46234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46234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46234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46234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46234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46234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46234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46234</v>
      </c>
      <c r="F162" t="inlineStr">
        <is>
          <t>NORRBOTTENS LÄN</t>
        </is>
      </c>
      <c r="G162" t="inlineStr">
        <is>
          <t>BODEN</t>
        </is>
      </c>
      <c r="I162" t="n">
        <v>11.2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46234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44671</v>
      </c>
      <c r="E164" s="1" t="n">
        <v>46234</v>
      </c>
      <c r="F164" t="inlineStr">
        <is>
          <t>NORRBOTTENS LÄN</t>
        </is>
      </c>
      <c r="G164" t="inlineStr">
        <is>
          <t>BODEN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46234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46234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46234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46234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46234</v>
      </c>
      <c r="F169" t="inlineStr">
        <is>
          <t>NORRBOTTENS LÄN</t>
        </is>
      </c>
      <c r="G169" t="inlineStr">
        <is>
          <t>BODEN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39695-2021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46234</v>
      </c>
      <c r="F170" t="inlineStr">
        <is>
          <t>NORRBOTTENS LÄN</t>
        </is>
      </c>
      <c r="G170" t="inlineStr">
        <is>
          <t>BODEN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46234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46234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46234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46234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46234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46234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46234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46234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46234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46234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46234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46234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46234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46234</v>
      </c>
      <c r="F184" t="inlineStr">
        <is>
          <t>NORRBOTTENS LÄN</t>
        </is>
      </c>
      <c r="G184" t="inlineStr">
        <is>
          <t>BODEN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71833-2021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46234</v>
      </c>
      <c r="F185" t="inlineStr">
        <is>
          <t>NORRBOTTENS LÄN</t>
        </is>
      </c>
      <c r="G185" t="inlineStr">
        <is>
          <t>BODEN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46234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46234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46234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46234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46234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46234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46234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46234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46234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46234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46234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46234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46234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46234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46234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46234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46234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46234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46234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46234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46234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46234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46234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46234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46234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46234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44565</v>
      </c>
      <c r="E212" s="1" t="n">
        <v>46234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45189-2021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44439</v>
      </c>
      <c r="E213" s="1" t="n">
        <v>46234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46234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46234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46234</v>
      </c>
      <c r="F216" t="inlineStr">
        <is>
          <t>NORRBOTTENS LÄN</t>
        </is>
      </c>
      <c r="G216" t="inlineStr">
        <is>
          <t>BODEN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46234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46234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46234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46234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46234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46234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46234</v>
      </c>
      <c r="F223" t="inlineStr">
        <is>
          <t>NORRBOTTENS LÄN</t>
        </is>
      </c>
      <c r="G223" t="inlineStr">
        <is>
          <t>BODEN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73910-2021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44552</v>
      </c>
      <c r="E224" s="1" t="n">
        <v>46234</v>
      </c>
      <c r="F224" t="inlineStr">
        <is>
          <t>NORRBOTTENS LÄN</t>
        </is>
      </c>
      <c r="G224" t="inlineStr">
        <is>
          <t>BODEN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2426-2024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45310</v>
      </c>
      <c r="E225" s="1" t="n">
        <v>46234</v>
      </c>
      <c r="F225" t="inlineStr">
        <is>
          <t>NORRBOTTENS LÄN</t>
        </is>
      </c>
      <c r="G225" t="inlineStr">
        <is>
          <t>BODEN</t>
        </is>
      </c>
      <c r="H225" t="inlineStr">
        <is>
          <t>SCA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52075-2021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44463</v>
      </c>
      <c r="E226" s="1" t="n">
        <v>46234</v>
      </c>
      <c r="F226" t="inlineStr">
        <is>
          <t>NORRBOTTENS LÄN</t>
        </is>
      </c>
      <c r="G226" t="inlineStr">
        <is>
          <t>BODEN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45022</v>
      </c>
      <c r="E227" s="1" t="n">
        <v>46234</v>
      </c>
      <c r="F227" t="inlineStr">
        <is>
          <t>NORRBOTTENS LÄN</t>
        </is>
      </c>
      <c r="G227" t="inlineStr">
        <is>
          <t>BODEN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41180-2021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44423</v>
      </c>
      <c r="E228" s="1" t="n">
        <v>46234</v>
      </c>
      <c r="F228" t="inlineStr">
        <is>
          <t>NORRBOTTENS LÄN</t>
        </is>
      </c>
      <c r="G228" t="inlineStr">
        <is>
          <t>BODEN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46234</v>
      </c>
      <c r="F229" t="inlineStr">
        <is>
          <t>NORRBOTTENS LÄN</t>
        </is>
      </c>
      <c r="G229" t="inlineStr">
        <is>
          <t>BODEN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44833</v>
      </c>
      <c r="E230" s="1" t="n">
        <v>46234</v>
      </c>
      <c r="F230" t="inlineStr">
        <is>
          <t>NORRBOTTENS LÄN</t>
        </is>
      </c>
      <c r="G230" t="inlineStr">
        <is>
          <t>BODEN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45762</v>
      </c>
      <c r="E231" s="1" t="n">
        <v>46234</v>
      </c>
      <c r="F231" t="inlineStr">
        <is>
          <t>NORRBOTTENS LÄN</t>
        </is>
      </c>
      <c r="G231" t="inlineStr">
        <is>
          <t>BODEN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8120-2022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44609</v>
      </c>
      <c r="E232" s="1" t="n">
        <v>46234</v>
      </c>
      <c r="F232" t="inlineStr">
        <is>
          <t>NORRBOTTENS LÄN</t>
        </is>
      </c>
      <c r="G232" t="inlineStr">
        <is>
          <t>BODEN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46234</v>
      </c>
      <c r="F233" t="inlineStr">
        <is>
          <t>NORRBOTTENS LÄN</t>
        </is>
      </c>
      <c r="G233" t="inlineStr">
        <is>
          <t>BODEN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46234</v>
      </c>
      <c r="F234" t="inlineStr">
        <is>
          <t>NORRBOTTENS LÄN</t>
        </is>
      </c>
      <c r="G234" t="inlineStr">
        <is>
          <t>BODEN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44881</v>
      </c>
      <c r="E235" s="1" t="n">
        <v>46234</v>
      </c>
      <c r="F235" t="inlineStr">
        <is>
          <t>NORRBOTTENS LÄN</t>
        </is>
      </c>
      <c r="G235" t="inlineStr">
        <is>
          <t>BODEN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45453</v>
      </c>
      <c r="E236" s="1" t="n">
        <v>46234</v>
      </c>
      <c r="F236" t="inlineStr">
        <is>
          <t>NORRBOTTENS LÄN</t>
        </is>
      </c>
      <c r="G236" t="inlineStr">
        <is>
          <t>BODEN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46234</v>
      </c>
      <c r="F237" t="inlineStr">
        <is>
          <t>NORRBOTTENS LÄN</t>
        </is>
      </c>
      <c r="G237" t="inlineStr">
        <is>
          <t>BODEN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45478</v>
      </c>
      <c r="E238" s="1" t="n">
        <v>46234</v>
      </c>
      <c r="F238" t="inlineStr">
        <is>
          <t>NORRBOTTENS LÄN</t>
        </is>
      </c>
      <c r="G238" t="inlineStr">
        <is>
          <t>BODEN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46234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48091-2025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45933</v>
      </c>
      <c r="E240" s="1" t="n">
        <v>46234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42653-2025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45906</v>
      </c>
      <c r="E241" s="1" t="n">
        <v>46234</v>
      </c>
      <c r="F241" t="inlineStr">
        <is>
          <t>NORRBOTTENS LÄN</t>
        </is>
      </c>
      <c r="G241" t="inlineStr">
        <is>
          <t>BODEN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45391</v>
      </c>
      <c r="E242" s="1" t="n">
        <v>46234</v>
      </c>
      <c r="F242" t="inlineStr">
        <is>
          <t>NORRBOTTENS LÄN</t>
        </is>
      </c>
      <c r="G242" t="inlineStr">
        <is>
          <t>BODEN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46234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48173-2025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46234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32754-2022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44783</v>
      </c>
      <c r="E245" s="1" t="n">
        <v>46234</v>
      </c>
      <c r="F245" t="inlineStr">
        <is>
          <t>NORRBOTTENS LÄN</t>
        </is>
      </c>
      <c r="G245" t="inlineStr">
        <is>
          <t>BODEN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45778</v>
      </c>
      <c r="E246" s="1" t="n">
        <v>46234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45782</v>
      </c>
      <c r="E247" s="1" t="n">
        <v>46234</v>
      </c>
      <c r="F247" t="inlineStr">
        <is>
          <t>NORRBOTTENS LÄN</t>
        </is>
      </c>
      <c r="G247" t="inlineStr">
        <is>
          <t>BODEN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48549-2025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46234</v>
      </c>
      <c r="F248" t="inlineStr">
        <is>
          <t>NORRBOTTENS LÄN</t>
        </is>
      </c>
      <c r="G248" t="inlineStr">
        <is>
          <t>BODEN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49357-2025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45938</v>
      </c>
      <c r="E249" s="1" t="n">
        <v>46234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46234</v>
      </c>
      <c r="F250" t="inlineStr">
        <is>
          <t>NORRBOTTENS LÄN</t>
        </is>
      </c>
      <c r="G250" t="inlineStr">
        <is>
          <t>BODEN</t>
        </is>
      </c>
      <c r="I250" t="n">
        <v>10.2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60466-2024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45643</v>
      </c>
      <c r="E251" s="1" t="n">
        <v>46234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46234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49124-2023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46234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46234</v>
      </c>
      <c r="F254" t="inlineStr">
        <is>
          <t>NORRBOTTENS LÄN</t>
        </is>
      </c>
      <c r="G254" t="inlineStr">
        <is>
          <t>BODEN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45125</v>
      </c>
      <c r="E255" s="1" t="n">
        <v>46234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49215-2025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45938</v>
      </c>
      <c r="E256" s="1" t="n">
        <v>46234</v>
      </c>
      <c r="F256" t="inlineStr">
        <is>
          <t>NORRBOTTENS LÄN</t>
        </is>
      </c>
      <c r="G256" t="inlineStr">
        <is>
          <t>BODEN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58877-2021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44489</v>
      </c>
      <c r="E257" s="1" t="n">
        <v>46234</v>
      </c>
      <c r="F257" t="inlineStr">
        <is>
          <t>NORRBOTTENS LÄN</t>
        </is>
      </c>
      <c r="G257" t="inlineStr">
        <is>
          <t>BODEN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45600</v>
      </c>
      <c r="E258" s="1" t="n">
        <v>46234</v>
      </c>
      <c r="F258" t="inlineStr">
        <is>
          <t>NORRBOTTENS LÄN</t>
        </is>
      </c>
      <c r="G258" t="inlineStr">
        <is>
          <t>BODEN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50107-2024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45600</v>
      </c>
      <c r="E259" s="1" t="n">
        <v>46234</v>
      </c>
      <c r="F259" t="inlineStr">
        <is>
          <t>NORRBOTTENS LÄN</t>
        </is>
      </c>
      <c r="G259" t="inlineStr">
        <is>
          <t>BODEN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58504-2024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45635</v>
      </c>
      <c r="E260" s="1" t="n">
        <v>46234</v>
      </c>
      <c r="F260" t="inlineStr">
        <is>
          <t>NORRBOTTENS LÄN</t>
        </is>
      </c>
      <c r="G260" t="inlineStr">
        <is>
          <t>BODEN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46234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45939</v>
      </c>
      <c r="E262" s="1" t="n">
        <v>46234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17962-2024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45419</v>
      </c>
      <c r="E263" s="1" t="n">
        <v>46234</v>
      </c>
      <c r="F263" t="inlineStr">
        <is>
          <t>NORRBOTTENS LÄN</t>
        </is>
      </c>
      <c r="G263" t="inlineStr">
        <is>
          <t>BODEN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46234</v>
      </c>
      <c r="F264" t="inlineStr">
        <is>
          <t>NORRBOTTENS LÄN</t>
        </is>
      </c>
      <c r="G264" t="inlineStr">
        <is>
          <t>BODEN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45945</v>
      </c>
      <c r="E265" s="1" t="n">
        <v>46234</v>
      </c>
      <c r="F265" t="inlineStr">
        <is>
          <t>NORRBOTTENS LÄN</t>
        </is>
      </c>
      <c r="G265" t="inlineStr">
        <is>
          <t>BODEN</t>
        </is>
      </c>
      <c r="H265" t="inlineStr">
        <is>
          <t>Sveaskog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50479-2025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46234</v>
      </c>
      <c r="F266" t="inlineStr">
        <is>
          <t>NORRBOTTENS LÄN</t>
        </is>
      </c>
      <c r="G266" t="inlineStr">
        <is>
          <t>BODEN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46234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50419-2025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45944</v>
      </c>
      <c r="E268" s="1" t="n">
        <v>46234</v>
      </c>
      <c r="F268" t="inlineStr">
        <is>
          <t>NORRBOTTENS LÄN</t>
        </is>
      </c>
      <c r="G268" t="inlineStr">
        <is>
          <t>BODEN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45149</v>
      </c>
      <c r="E269" s="1" t="n">
        <v>46234</v>
      </c>
      <c r="F269" t="inlineStr">
        <is>
          <t>NORRBOTTENS LÄN</t>
        </is>
      </c>
      <c r="G269" t="inlineStr">
        <is>
          <t>BODEN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59584-2023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45254</v>
      </c>
      <c r="E270" s="1" t="n">
        <v>46234</v>
      </c>
      <c r="F270" t="inlineStr">
        <is>
          <t>NORRBOTTENS LÄN</t>
        </is>
      </c>
      <c r="G270" t="inlineStr">
        <is>
          <t>BODEN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46234</v>
      </c>
      <c r="F271" t="inlineStr">
        <is>
          <t>NORRBOTTENS LÄN</t>
        </is>
      </c>
      <c r="G271" t="inlineStr">
        <is>
          <t>BODEN</t>
        </is>
      </c>
      <c r="H271" t="inlineStr">
        <is>
          <t>Sveaskog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50410-2025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45944</v>
      </c>
      <c r="E272" s="1" t="n">
        <v>46234</v>
      </c>
      <c r="F272" t="inlineStr">
        <is>
          <t>NORRBOTTENS LÄN</t>
        </is>
      </c>
      <c r="G272" t="inlineStr">
        <is>
          <t>BODEN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54236-2022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44881</v>
      </c>
      <c r="E273" s="1" t="n">
        <v>46234</v>
      </c>
      <c r="F273" t="inlineStr">
        <is>
          <t>NORRBOTTENS LÄN</t>
        </is>
      </c>
      <c r="G273" t="inlineStr">
        <is>
          <t>BODEN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50471-2025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46234</v>
      </c>
      <c r="F274" t="inlineStr">
        <is>
          <t>NORRBOTTENS LÄN</t>
        </is>
      </c>
      <c r="G274" t="inlineStr">
        <is>
          <t>BODEN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22372-2025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45786</v>
      </c>
      <c r="E275" s="1" t="n">
        <v>46234</v>
      </c>
      <c r="F275" t="inlineStr">
        <is>
          <t>NORRBOTTENS LÄN</t>
        </is>
      </c>
      <c r="G275" t="inlineStr">
        <is>
          <t>BODEN</t>
        </is>
      </c>
      <c r="H275" t="inlineStr">
        <is>
          <t>Kommuner</t>
        </is>
      </c>
      <c r="I275" t="n">
        <v>16.3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18915-2025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46234</v>
      </c>
      <c r="F276" t="inlineStr">
        <is>
          <t>NORRBOTTENS LÄN</t>
        </is>
      </c>
      <c r="G276" t="inlineStr">
        <is>
          <t>BODEN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61770-2024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45649</v>
      </c>
      <c r="E277" s="1" t="n">
        <v>46234</v>
      </c>
      <c r="F277" t="inlineStr">
        <is>
          <t>NORRBOTTENS LÄN</t>
        </is>
      </c>
      <c r="G277" t="inlineStr">
        <is>
          <t>BODEN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45944</v>
      </c>
      <c r="E278" s="1" t="n">
        <v>46234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46234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36438-2024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45537</v>
      </c>
      <c r="E280" s="1" t="n">
        <v>46234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39717-2025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45891</v>
      </c>
      <c r="E281" s="1" t="n">
        <v>46234</v>
      </c>
      <c r="F281" t="inlineStr">
        <is>
          <t>NORRBOTTENS LÄN</t>
        </is>
      </c>
      <c r="G281" t="inlineStr">
        <is>
          <t>BODEN</t>
        </is>
      </c>
      <c r="I281" t="n">
        <v>13.9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40183-2025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46234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10.7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45791</v>
      </c>
      <c r="E283" s="1" t="n">
        <v>46234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46234</v>
      </c>
      <c r="F284" t="inlineStr">
        <is>
          <t>NORRBOTTENS LÄN</t>
        </is>
      </c>
      <c r="G284" t="inlineStr">
        <is>
          <t>BODEN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45764</v>
      </c>
      <c r="E285" s="1" t="n">
        <v>46234</v>
      </c>
      <c r="F285" t="inlineStr">
        <is>
          <t>NORRBOTTENS LÄN</t>
        </is>
      </c>
      <c r="G285" t="inlineStr">
        <is>
          <t>BODEN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46234</v>
      </c>
      <c r="F286" t="inlineStr">
        <is>
          <t>NORRBOTTENS LÄN</t>
        </is>
      </c>
      <c r="G286" t="inlineStr">
        <is>
          <t>BODEN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46234</v>
      </c>
      <c r="F287" t="inlineStr">
        <is>
          <t>NORRBOTTENS LÄN</t>
        </is>
      </c>
      <c r="G287" t="inlineStr">
        <is>
          <t>BODEN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45237</v>
      </c>
      <c r="E288" s="1" t="n">
        <v>46234</v>
      </c>
      <c r="F288" t="inlineStr">
        <is>
          <t>NORRBOTTENS LÄN</t>
        </is>
      </c>
      <c r="G288" t="inlineStr">
        <is>
          <t>BODEN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45897</v>
      </c>
      <c r="E289" s="1" t="n">
        <v>46234</v>
      </c>
      <c r="F289" t="inlineStr">
        <is>
          <t>NORRBOTTENS LÄN</t>
        </is>
      </c>
      <c r="G289" t="inlineStr">
        <is>
          <t>BODEN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7442-2024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45345</v>
      </c>
      <c r="E290" s="1" t="n">
        <v>46234</v>
      </c>
      <c r="F290" t="inlineStr">
        <is>
          <t>NORRBOTTENS LÄN</t>
        </is>
      </c>
      <c r="G290" t="inlineStr">
        <is>
          <t>BODEN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45793</v>
      </c>
      <c r="E291" s="1" t="n">
        <v>46234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23763-2025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45793</v>
      </c>
      <c r="E292" s="1" t="n">
        <v>46234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45793</v>
      </c>
      <c r="E293" s="1" t="n">
        <v>46234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48420-2024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45590</v>
      </c>
      <c r="E294" s="1" t="n">
        <v>46234</v>
      </c>
      <c r="F294" t="inlineStr">
        <is>
          <t>NORRBOTTENS LÄN</t>
        </is>
      </c>
      <c r="G294" t="inlineStr">
        <is>
          <t>BODEN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48427-2024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45590</v>
      </c>
      <c r="E295" s="1" t="n">
        <v>46234</v>
      </c>
      <c r="F295" t="inlineStr">
        <is>
          <t>NORRBOTTENS LÄN</t>
        </is>
      </c>
      <c r="G295" t="inlineStr">
        <is>
          <t>BODEN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46234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32347-2024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45512</v>
      </c>
      <c r="E297" s="1" t="n">
        <v>46234</v>
      </c>
      <c r="F297" t="inlineStr">
        <is>
          <t>NORRBOTTENS LÄN</t>
        </is>
      </c>
      <c r="G297" t="inlineStr">
        <is>
          <t>BODEN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74264-2021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44558</v>
      </c>
      <c r="E298" s="1" t="n">
        <v>46234</v>
      </c>
      <c r="F298" t="inlineStr">
        <is>
          <t>NORRBOTTENS LÄN</t>
        </is>
      </c>
      <c r="G298" t="inlineStr">
        <is>
          <t>BODEN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41691-2025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45902</v>
      </c>
      <c r="E299" s="1" t="n">
        <v>46234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19082-2025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45766</v>
      </c>
      <c r="E300" s="1" t="n">
        <v>46234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45947</v>
      </c>
      <c r="E301" s="1" t="n">
        <v>46234</v>
      </c>
      <c r="F301" t="inlineStr">
        <is>
          <t>NORRBOTTENS LÄN</t>
        </is>
      </c>
      <c r="G301" t="inlineStr">
        <is>
          <t>BODEN</t>
        </is>
      </c>
      <c r="H301" t="inlineStr">
        <is>
          <t>Sveaskog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45539</v>
      </c>
      <c r="E302" s="1" t="n">
        <v>46234</v>
      </c>
      <c r="F302" t="inlineStr">
        <is>
          <t>NORRBOTTENS LÄN</t>
        </is>
      </c>
      <c r="G302" t="inlineStr">
        <is>
          <t>BODEN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46234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24358-2025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45797</v>
      </c>
      <c r="E304" s="1" t="n">
        <v>46234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46234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68565-2021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44529</v>
      </c>
      <c r="E306" s="1" t="n">
        <v>46234</v>
      </c>
      <c r="F306" t="inlineStr">
        <is>
          <t>NORRBOTTENS LÄN</t>
        </is>
      </c>
      <c r="G306" t="inlineStr">
        <is>
          <t>BODEN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45907</v>
      </c>
      <c r="E307" s="1" t="n">
        <v>46234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9.6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45911</v>
      </c>
      <c r="E308" s="1" t="n">
        <v>46234</v>
      </c>
      <c r="F308" t="inlineStr">
        <is>
          <t>NORRBOTTENS LÄN</t>
        </is>
      </c>
      <c r="G308" t="inlineStr">
        <is>
          <t>BODEN</t>
        </is>
      </c>
      <c r="I308" t="n">
        <v>9.699999999999999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46234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43299-2025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45910</v>
      </c>
      <c r="E310" s="1" t="n">
        <v>46234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46234</v>
      </c>
      <c r="F311" t="inlineStr">
        <is>
          <t>NORRBOTTENS LÄN</t>
        </is>
      </c>
      <c r="G311" t="inlineStr">
        <is>
          <t>BODEN</t>
        </is>
      </c>
      <c r="H311" t="inlineStr">
        <is>
          <t>Sveaskog</t>
        </is>
      </c>
      <c r="I311" t="n">
        <v>15.8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45910</v>
      </c>
      <c r="E312" s="1" t="n">
        <v>46234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50434-2025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45944</v>
      </c>
      <c r="E313" s="1" t="n">
        <v>46234</v>
      </c>
      <c r="F313" t="inlineStr">
        <is>
          <t>NORRBOTTENS LÄN</t>
        </is>
      </c>
      <c r="G313" t="inlineStr">
        <is>
          <t>BODEN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44862</v>
      </c>
      <c r="E314" s="1" t="n">
        <v>46234</v>
      </c>
      <c r="F314" t="inlineStr">
        <is>
          <t>NORRBOTTENS LÄN</t>
        </is>
      </c>
      <c r="G314" t="inlineStr">
        <is>
          <t>BODEN</t>
        </is>
      </c>
      <c r="I314" t="n">
        <v>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43838-2025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46234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46234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11.8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43973-2025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46234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43993-2025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46234</v>
      </c>
      <c r="F318" t="inlineStr">
        <is>
          <t>NORRBOTTENS LÄN</t>
        </is>
      </c>
      <c r="G318" t="inlineStr">
        <is>
          <t>BODEN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43711-2025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46234</v>
      </c>
      <c r="F319" t="inlineStr">
        <is>
          <t>NORRBOTTENS LÄN</t>
        </is>
      </c>
      <c r="G319" t="inlineStr">
        <is>
          <t>BODEN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45912</v>
      </c>
      <c r="E320" s="1" t="n">
        <v>46234</v>
      </c>
      <c r="F320" t="inlineStr">
        <is>
          <t>NORRBOTTENS LÄN</t>
        </is>
      </c>
      <c r="G320" t="inlineStr">
        <is>
          <t>BODEN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44249-2025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46234</v>
      </c>
      <c r="F321" t="inlineStr">
        <is>
          <t>NORRBOTTENS LÄN</t>
        </is>
      </c>
      <c r="G321" t="inlineStr">
        <is>
          <t>BODEN</t>
        </is>
      </c>
      <c r="H321" t="inlineStr">
        <is>
          <t>Sveaskog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45803</v>
      </c>
      <c r="E322" s="1" t="n">
        <v>46234</v>
      </c>
      <c r="F322" t="inlineStr">
        <is>
          <t>NORRBOTTENS LÄN</t>
        </is>
      </c>
      <c r="G322" t="inlineStr">
        <is>
          <t>BODEN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44970</v>
      </c>
      <c r="E323" s="1" t="n">
        <v>46234</v>
      </c>
      <c r="F323" t="inlineStr">
        <is>
          <t>NORRBOTTENS LÄN</t>
        </is>
      </c>
      <c r="G323" t="inlineStr">
        <is>
          <t>BODEN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45919</v>
      </c>
      <c r="E324" s="1" t="n">
        <v>46234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45919</v>
      </c>
      <c r="E325" s="1" t="n">
        <v>46234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52247-2024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46234</v>
      </c>
      <c r="F326" t="inlineStr">
        <is>
          <t>NORRBOTTENS LÄN</t>
        </is>
      </c>
      <c r="G326" t="inlineStr">
        <is>
          <t>BODEN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45608</v>
      </c>
      <c r="E327" s="1" t="n">
        <v>46234</v>
      </c>
      <c r="F327" t="inlineStr">
        <is>
          <t>NORRBOTTENS LÄN</t>
        </is>
      </c>
      <c r="G327" t="inlineStr">
        <is>
          <t>BODEN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48431-2024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45590</v>
      </c>
      <c r="E328" s="1" t="n">
        <v>46234</v>
      </c>
      <c r="F328" t="inlineStr">
        <is>
          <t>NORRBOTTENS LÄN</t>
        </is>
      </c>
      <c r="G328" t="inlineStr">
        <is>
          <t>BODEN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51460-2025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45950</v>
      </c>
      <c r="E329" s="1" t="n">
        <v>46234</v>
      </c>
      <c r="F329" t="inlineStr">
        <is>
          <t>NORRBOTTENS LÄN</t>
        </is>
      </c>
      <c r="G329" t="inlineStr">
        <is>
          <t>BODEN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45922</v>
      </c>
      <c r="E330" s="1" t="n">
        <v>46234</v>
      </c>
      <c r="F330" t="inlineStr">
        <is>
          <t>NORRBOTTENS LÄN</t>
        </is>
      </c>
      <c r="G330" t="inlineStr">
        <is>
          <t>BODEN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45616-2025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46234</v>
      </c>
      <c r="F331" t="inlineStr">
        <is>
          <t>NORRBOTTENS LÄN</t>
        </is>
      </c>
      <c r="G331" t="inlineStr">
        <is>
          <t>BODEN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45617-2025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45922</v>
      </c>
      <c r="E332" s="1" t="n">
        <v>46234</v>
      </c>
      <c r="F332" t="inlineStr">
        <is>
          <t>NORRBOTTENS LÄN</t>
        </is>
      </c>
      <c r="G332" t="inlineStr">
        <is>
          <t>BODEN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64975-2023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45285</v>
      </c>
      <c r="E333" s="1" t="n">
        <v>46234</v>
      </c>
      <c r="F333" t="inlineStr">
        <is>
          <t>NORRBOTTENS LÄN</t>
        </is>
      </c>
      <c r="G333" t="inlineStr">
        <is>
          <t>BODEN</t>
        </is>
      </c>
      <c r="I333" t="n">
        <v>9.4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19564-2024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45429</v>
      </c>
      <c r="E334" s="1" t="n">
        <v>46234</v>
      </c>
      <c r="F334" t="inlineStr">
        <is>
          <t>NORRBOTTENS LÄN</t>
        </is>
      </c>
      <c r="G334" t="inlineStr">
        <is>
          <t>BODEN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46234</v>
      </c>
      <c r="F335" t="inlineStr">
        <is>
          <t>NORRBOTTENS LÄN</t>
        </is>
      </c>
      <c r="G335" t="inlineStr">
        <is>
          <t>BODEN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46234</v>
      </c>
      <c r="F336" t="inlineStr">
        <is>
          <t>NORRBOTTENS LÄN</t>
        </is>
      </c>
      <c r="G336" t="inlineStr">
        <is>
          <t>BODEN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25735-2024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45464</v>
      </c>
      <c r="E337" s="1" t="n">
        <v>46234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46234</v>
      </c>
      <c r="F338" t="inlineStr">
        <is>
          <t>NORRBOTTENS LÄN</t>
        </is>
      </c>
      <c r="G338" t="inlineStr">
        <is>
          <t>BODEN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46234</v>
      </c>
      <c r="F339" t="inlineStr">
        <is>
          <t>NORRBOTTENS LÄN</t>
        </is>
      </c>
      <c r="G339" t="inlineStr">
        <is>
          <t>BODEN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51614-2024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45604</v>
      </c>
      <c r="E340" s="1" t="n">
        <v>46234</v>
      </c>
      <c r="F340" t="inlineStr">
        <is>
          <t>NORRBOTTENS LÄN</t>
        </is>
      </c>
      <c r="G340" t="inlineStr">
        <is>
          <t>BODEN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18671-2025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45763</v>
      </c>
      <c r="E341" s="1" t="n">
        <v>46234</v>
      </c>
      <c r="F341" t="inlineStr">
        <is>
          <t>NORRBOTTENS LÄN</t>
        </is>
      </c>
      <c r="G341" t="inlineStr">
        <is>
          <t>BODEN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46234</v>
      </c>
      <c r="F342" t="inlineStr">
        <is>
          <t>NORRBOTTENS LÄN</t>
        </is>
      </c>
      <c r="G342" t="inlineStr">
        <is>
          <t>BODEN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45969-2025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45924</v>
      </c>
      <c r="E343" s="1" t="n">
        <v>46234</v>
      </c>
      <c r="F343" t="inlineStr">
        <is>
          <t>NORRBOTTENS LÄN</t>
        </is>
      </c>
      <c r="G343" t="inlineStr">
        <is>
          <t>BODEN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45677-2021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44441</v>
      </c>
      <c r="E344" s="1" t="n">
        <v>46234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45546</v>
      </c>
      <c r="E345" s="1" t="n">
        <v>46234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45397</v>
      </c>
      <c r="E346" s="1" t="n">
        <v>46234</v>
      </c>
      <c r="F346" t="inlineStr">
        <is>
          <t>NORRBOTTENS LÄN</t>
        </is>
      </c>
      <c r="G346" t="inlineStr">
        <is>
          <t>BODEN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14802-2024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45397</v>
      </c>
      <c r="E347" s="1" t="n">
        <v>46234</v>
      </c>
      <c r="F347" t="inlineStr">
        <is>
          <t>NORRBOTTENS LÄN</t>
        </is>
      </c>
      <c r="G347" t="inlineStr">
        <is>
          <t>BODEN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46234</v>
      </c>
      <c r="F348" t="inlineStr">
        <is>
          <t>NORRBOTTENS LÄN</t>
        </is>
      </c>
      <c r="G348" t="inlineStr">
        <is>
          <t>BODEN</t>
        </is>
      </c>
      <c r="H348" t="inlineStr">
        <is>
          <t>Övriga Aktiebolag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46234</v>
      </c>
      <c r="F349" t="inlineStr">
        <is>
          <t>NORRBOTTENS LÄN</t>
        </is>
      </c>
      <c r="G349" t="inlineStr">
        <is>
          <t>BODEN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46234</v>
      </c>
      <c r="F350" t="inlineStr">
        <is>
          <t>NORRBOTTENS LÄN</t>
        </is>
      </c>
      <c r="G350" t="inlineStr">
        <is>
          <t>BODEN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56474-2023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45243</v>
      </c>
      <c r="E351" s="1" t="n">
        <v>46234</v>
      </c>
      <c r="F351" t="inlineStr">
        <is>
          <t>NORRBOTTENS LÄN</t>
        </is>
      </c>
      <c r="G351" t="inlineStr">
        <is>
          <t>BODEN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46234</v>
      </c>
      <c r="F352" t="inlineStr">
        <is>
          <t>NORRBOTTENS LÄN</t>
        </is>
      </c>
      <c r="G352" t="inlineStr">
        <is>
          <t>BODEN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45764</v>
      </c>
      <c r="E353" s="1" t="n">
        <v>46234</v>
      </c>
      <c r="F353" t="inlineStr">
        <is>
          <t>NORRBOTTENS LÄN</t>
        </is>
      </c>
      <c r="G353" t="inlineStr">
        <is>
          <t>BODEN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45813</v>
      </c>
      <c r="E354" s="1" t="n">
        <v>46234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45813</v>
      </c>
      <c r="E355" s="1" t="n">
        <v>46234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13.9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59331-2021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44490</v>
      </c>
      <c r="E356" s="1" t="n">
        <v>46234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45953</v>
      </c>
      <c r="E357" s="1" t="n">
        <v>46234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46234</v>
      </c>
      <c r="F358" t="inlineStr">
        <is>
          <t>NORRBOTTENS LÄN</t>
        </is>
      </c>
      <c r="G358" t="inlineStr">
        <is>
          <t>BODEN</t>
        </is>
      </c>
      <c r="H358" t="inlineStr">
        <is>
          <t>Övriga Aktiebolag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45316</v>
      </c>
      <c r="E359" s="1" t="n">
        <v>46234</v>
      </c>
      <c r="F359" t="inlineStr">
        <is>
          <t>NORRBOTTENS LÄN</t>
        </is>
      </c>
      <c r="G359" t="inlineStr">
        <is>
          <t>BODEN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29109-2024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45481</v>
      </c>
      <c r="E360" s="1" t="n">
        <v>46234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44983</v>
      </c>
      <c r="E361" s="1" t="n">
        <v>46234</v>
      </c>
      <c r="F361" t="inlineStr">
        <is>
          <t>NORRBOTTENS LÄN</t>
        </is>
      </c>
      <c r="G361" t="inlineStr">
        <is>
          <t>BODEN</t>
        </is>
      </c>
      <c r="I361" t="n">
        <v>37.1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47204-2025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46234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45766</v>
      </c>
      <c r="E363" s="1" t="n">
        <v>46234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46234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45953</v>
      </c>
      <c r="E365" s="1" t="n">
        <v>46234</v>
      </c>
      <c r="F365" t="inlineStr">
        <is>
          <t>NORRBOTTENS LÄN</t>
        </is>
      </c>
      <c r="G365" t="inlineStr">
        <is>
          <t>BODEN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28297-2025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45818</v>
      </c>
      <c r="E366" s="1" t="n">
        <v>46234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19060-2024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45427</v>
      </c>
      <c r="E367" s="1" t="n">
        <v>46234</v>
      </c>
      <c r="F367" t="inlineStr">
        <is>
          <t>NORRBOTTENS LÄN</t>
        </is>
      </c>
      <c r="G367" t="inlineStr">
        <is>
          <t>BODEN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52166-2025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45953</v>
      </c>
      <c r="E368" s="1" t="n">
        <v>46234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45818</v>
      </c>
      <c r="E369" s="1" t="n">
        <v>46234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44625-2024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45574</v>
      </c>
      <c r="E370" s="1" t="n">
        <v>46234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28270-2025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45818</v>
      </c>
      <c r="E371" s="1" t="n">
        <v>46234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55080-2021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44474</v>
      </c>
      <c r="E372" s="1" t="n">
        <v>46234</v>
      </c>
      <c r="F372" t="inlineStr">
        <is>
          <t>NORRBOTTENS LÄN</t>
        </is>
      </c>
      <c r="G372" t="inlineStr">
        <is>
          <t>BODEN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45758</v>
      </c>
      <c r="E373" s="1" t="n">
        <v>46234</v>
      </c>
      <c r="F373" t="inlineStr">
        <is>
          <t>NORRBOTTENS LÄN</t>
        </is>
      </c>
      <c r="G373" t="inlineStr">
        <is>
          <t>BODEN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52763-2025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45957</v>
      </c>
      <c r="E374" s="1" t="n">
        <v>46234</v>
      </c>
      <c r="F374" t="inlineStr">
        <is>
          <t>NORRBOTTENS LÄN</t>
        </is>
      </c>
      <c r="G374" t="inlineStr">
        <is>
          <t>BODEN</t>
        </is>
      </c>
      <c r="H374" t="inlineStr">
        <is>
          <t>Sveaskog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51525-2025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45950</v>
      </c>
      <c r="E375" s="1" t="n">
        <v>46234</v>
      </c>
      <c r="F375" t="inlineStr">
        <is>
          <t>NORRBOTTENS LÄN</t>
        </is>
      </c>
      <c r="G375" t="inlineStr">
        <is>
          <t>BODEN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52645-2025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45955</v>
      </c>
      <c r="E376" s="1" t="n">
        <v>46234</v>
      </c>
      <c r="F376" t="inlineStr">
        <is>
          <t>NORRBOTTENS LÄN</t>
        </is>
      </c>
      <c r="G376" t="inlineStr">
        <is>
          <t>BODEN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52646-2025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45955</v>
      </c>
      <c r="E377" s="1" t="n">
        <v>46234</v>
      </c>
      <c r="F377" t="inlineStr">
        <is>
          <t>NORRBOTTENS LÄN</t>
        </is>
      </c>
      <c r="G377" t="inlineStr">
        <is>
          <t>BODEN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45826</v>
      </c>
      <c r="E378" s="1" t="n">
        <v>46234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45260</v>
      </c>
      <c r="E379" s="1" t="n">
        <v>46234</v>
      </c>
      <c r="F379" t="inlineStr">
        <is>
          <t>NORRBOTTENS LÄN</t>
        </is>
      </c>
      <c r="G379" t="inlineStr">
        <is>
          <t>BODEN</t>
        </is>
      </c>
      <c r="I379" t="n">
        <v>33.9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34969-2024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45527</v>
      </c>
      <c r="E380" s="1" t="n">
        <v>46234</v>
      </c>
      <c r="F380" t="inlineStr">
        <is>
          <t>NORRBOTTENS LÄN</t>
        </is>
      </c>
      <c r="G380" t="inlineStr">
        <is>
          <t>BODEN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57873-2021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44484</v>
      </c>
      <c r="E381" s="1" t="n">
        <v>46234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45832</v>
      </c>
      <c r="E382" s="1" t="n">
        <v>46234</v>
      </c>
      <c r="F382" t="inlineStr">
        <is>
          <t>NORRBOTTENS LÄN</t>
        </is>
      </c>
      <c r="G382" t="inlineStr">
        <is>
          <t>BODEN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31200-2025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45832</v>
      </c>
      <c r="E383" s="1" t="n">
        <v>46234</v>
      </c>
      <c r="F383" t="inlineStr">
        <is>
          <t>NORRBOTTENS LÄN</t>
        </is>
      </c>
      <c r="G383" t="inlineStr">
        <is>
          <t>BODEN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53623-2025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45960</v>
      </c>
      <c r="E384" s="1" t="n">
        <v>46234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61487-2023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45264</v>
      </c>
      <c r="E385" s="1" t="n">
        <v>46234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31487-2025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45833</v>
      </c>
      <c r="E386" s="1" t="n">
        <v>46234</v>
      </c>
      <c r="F386" t="inlineStr">
        <is>
          <t>NORRBOTTENS LÄN</t>
        </is>
      </c>
      <c r="G386" t="inlineStr">
        <is>
          <t>BODEN</t>
        </is>
      </c>
      <c r="H386" t="inlineStr">
        <is>
          <t>Övriga Aktiebolag</t>
        </is>
      </c>
      <c r="I386" t="n">
        <v>9.800000000000001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46234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31531-2025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45833</v>
      </c>
      <c r="E388" s="1" t="n">
        <v>46234</v>
      </c>
      <c r="F388" t="inlineStr">
        <is>
          <t>NORRBOTTENS LÄN</t>
        </is>
      </c>
      <c r="G388" t="inlineStr">
        <is>
          <t>BODEN</t>
        </is>
      </c>
      <c r="H388" t="inlineStr">
        <is>
          <t>Övriga Aktiebolag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46234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25926-2025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45803</v>
      </c>
      <c r="E390" s="1" t="n">
        <v>46234</v>
      </c>
      <c r="F390" t="inlineStr">
        <is>
          <t>NORRBOTTENS LÄN</t>
        </is>
      </c>
      <c r="G390" t="inlineStr">
        <is>
          <t>BODEN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32906-2024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45516</v>
      </c>
      <c r="E391" s="1" t="n">
        <v>46234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32913-2024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45516</v>
      </c>
      <c r="E392" s="1" t="n">
        <v>46234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53893-2025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45961</v>
      </c>
      <c r="E393" s="1" t="n">
        <v>46234</v>
      </c>
      <c r="F393" t="inlineStr">
        <is>
          <t>NORRBOTTENS LÄN</t>
        </is>
      </c>
      <c r="G393" t="inlineStr">
        <is>
          <t>BODEN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44935</v>
      </c>
      <c r="E394" s="1" t="n">
        <v>46234</v>
      </c>
      <c r="F394" t="inlineStr">
        <is>
          <t>NORRBOTTENS LÄN</t>
        </is>
      </c>
      <c r="G394" t="inlineStr">
        <is>
          <t>BODEN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33130-2025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45840</v>
      </c>
      <c r="E395" s="1" t="n">
        <v>46234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54416-2025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45965</v>
      </c>
      <c r="E396" s="1" t="n">
        <v>46234</v>
      </c>
      <c r="F396" t="inlineStr">
        <is>
          <t>NORRBOTTENS LÄN</t>
        </is>
      </c>
      <c r="G396" t="inlineStr">
        <is>
          <t>BODEN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47920-2024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45589</v>
      </c>
      <c r="E397" s="1" t="n">
        <v>46234</v>
      </c>
      <c r="F397" t="inlineStr">
        <is>
          <t>NORRBOTTENS LÄN</t>
        </is>
      </c>
      <c r="G397" t="inlineStr">
        <is>
          <t>BODEN</t>
        </is>
      </c>
      <c r="H397" t="inlineStr">
        <is>
          <t>Naturvårdsverket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33276-2025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45840</v>
      </c>
      <c r="E398" s="1" t="n">
        <v>46234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54417-2025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45965</v>
      </c>
      <c r="E399" s="1" t="n">
        <v>46234</v>
      </c>
      <c r="F399" t="inlineStr">
        <is>
          <t>NORRBOTTENS LÄN</t>
        </is>
      </c>
      <c r="G399" t="inlineStr">
        <is>
          <t>BODEN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54578-2025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45965</v>
      </c>
      <c r="E400" s="1" t="n">
        <v>46234</v>
      </c>
      <c r="F400" t="inlineStr">
        <is>
          <t>NORRBOTTENS LÄN</t>
        </is>
      </c>
      <c r="G400" t="inlineStr">
        <is>
          <t>BODEN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45747</v>
      </c>
      <c r="E401" s="1" t="n">
        <v>46234</v>
      </c>
      <c r="F401" t="inlineStr">
        <is>
          <t>NORRBOTTENS LÄN</t>
        </is>
      </c>
      <c r="G401" t="inlineStr">
        <is>
          <t>BODEN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33981-2025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45843</v>
      </c>
      <c r="E402" s="1" t="n">
        <v>46234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54523-2025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46234</v>
      </c>
      <c r="F403" t="inlineStr">
        <is>
          <t>NORRBOTTENS LÄN</t>
        </is>
      </c>
      <c r="G403" t="inlineStr">
        <is>
          <t>BODEN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37791-2024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45543</v>
      </c>
      <c r="E404" s="1" t="n">
        <v>46234</v>
      </c>
      <c r="F404" t="inlineStr">
        <is>
          <t>NORRBOTTENS LÄN</t>
        </is>
      </c>
      <c r="G404" t="inlineStr">
        <is>
          <t>BODEN</t>
        </is>
      </c>
      <c r="I404" t="n">
        <v>9.1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45709</v>
      </c>
      <c r="E405" s="1" t="n">
        <v>46234</v>
      </c>
      <c r="F405" t="inlineStr">
        <is>
          <t>NORRBOTTENS LÄN</t>
        </is>
      </c>
      <c r="G405" t="inlineStr">
        <is>
          <t>BODEN</t>
        </is>
      </c>
      <c r="H405" t="inlineStr">
        <is>
          <t>Övriga Aktiebolag</t>
        </is>
      </c>
      <c r="I405" t="n">
        <v>14.3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54172-2025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45964</v>
      </c>
      <c r="E406" s="1" t="n">
        <v>46234</v>
      </c>
      <c r="F406" t="inlineStr">
        <is>
          <t>NORRBOTTENS LÄN</t>
        </is>
      </c>
      <c r="G406" t="inlineStr">
        <is>
          <t>BODEN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54834-2025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45966</v>
      </c>
      <c r="E407" s="1" t="n">
        <v>46234</v>
      </c>
      <c r="F407" t="inlineStr">
        <is>
          <t>NORRBOTTENS LÄN</t>
        </is>
      </c>
      <c r="G407" t="inlineStr">
        <is>
          <t>BODEN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41487-2024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45560</v>
      </c>
      <c r="E408" s="1" t="n">
        <v>46234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54845-2025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45966</v>
      </c>
      <c r="E409" s="1" t="n">
        <v>46234</v>
      </c>
      <c r="F409" t="inlineStr">
        <is>
          <t>NORRBOTTENS LÄN</t>
        </is>
      </c>
      <c r="G409" t="inlineStr">
        <is>
          <t>BODEN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57563-2023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45246</v>
      </c>
      <c r="E410" s="1" t="n">
        <v>46234</v>
      </c>
      <c r="F410" t="inlineStr">
        <is>
          <t>NORRBOTTENS LÄN</t>
        </is>
      </c>
      <c r="G410" t="inlineStr">
        <is>
          <t>BODEN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54833-2025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45966</v>
      </c>
      <c r="E411" s="1" t="n">
        <v>46234</v>
      </c>
      <c r="F411" t="inlineStr">
        <is>
          <t>NORRBOTTENS LÄN</t>
        </is>
      </c>
      <c r="G411" t="inlineStr">
        <is>
          <t>BODEN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51280-2024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45603</v>
      </c>
      <c r="E412" s="1" t="n">
        <v>46234</v>
      </c>
      <c r="F412" t="inlineStr">
        <is>
          <t>NORRBOTTENS LÄN</t>
        </is>
      </c>
      <c r="G412" t="inlineStr">
        <is>
          <t>BODEN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45446-2023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45194</v>
      </c>
      <c r="E413" s="1" t="n">
        <v>46234</v>
      </c>
      <c r="F413" t="inlineStr">
        <is>
          <t>NORRBOTTENS LÄN</t>
        </is>
      </c>
      <c r="G413" t="inlineStr">
        <is>
          <t>BODEN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35561-2025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45856</v>
      </c>
      <c r="E414" s="1" t="n">
        <v>46234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10.8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56837-2023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45244</v>
      </c>
      <c r="E415" s="1" t="n">
        <v>46234</v>
      </c>
      <c r="F415" t="inlineStr">
        <is>
          <t>NORRBOTTENS LÄN</t>
        </is>
      </c>
      <c r="G415" t="inlineStr">
        <is>
          <t>BODEN</t>
        </is>
      </c>
      <c r="H415" t="inlineStr">
        <is>
          <t>Övriga statliga verk och myndigheter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45796</v>
      </c>
      <c r="E416" s="1" t="n">
        <v>46234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2601-2025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45674</v>
      </c>
      <c r="E417" s="1" t="n">
        <v>46234</v>
      </c>
      <c r="F417" t="inlineStr">
        <is>
          <t>NORRBOTTENS LÄN</t>
        </is>
      </c>
      <c r="G417" t="inlineStr">
        <is>
          <t>BODEN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16020-2025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45748</v>
      </c>
      <c r="E418" s="1" t="n">
        <v>46234</v>
      </c>
      <c r="F418" t="inlineStr">
        <is>
          <t>NORRBOTTENS LÄN</t>
        </is>
      </c>
      <c r="G418" t="inlineStr">
        <is>
          <t>BODEN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49728-2024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45596</v>
      </c>
      <c r="E419" s="1" t="n">
        <v>46234</v>
      </c>
      <c r="F419" t="inlineStr">
        <is>
          <t>NORRBOTTENS LÄN</t>
        </is>
      </c>
      <c r="G419" t="inlineStr">
        <is>
          <t>BODEN</t>
        </is>
      </c>
      <c r="I419" t="n">
        <v>22.7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36019-2025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45863</v>
      </c>
      <c r="E420" s="1" t="n">
        <v>46234</v>
      </c>
      <c r="F420" t="inlineStr">
        <is>
          <t>NORRBOTTENS LÄN</t>
        </is>
      </c>
      <c r="G420" t="inlineStr">
        <is>
          <t>BODEN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55562-2025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45971</v>
      </c>
      <c r="E421" s="1" t="n">
        <v>46234</v>
      </c>
      <c r="F421" t="inlineStr">
        <is>
          <t>NORRBOTTENS LÄN</t>
        </is>
      </c>
      <c r="G421" t="inlineStr">
        <is>
          <t>BODEN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30299-2023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45110</v>
      </c>
      <c r="E422" s="1" t="n">
        <v>46234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24193-2024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45456</v>
      </c>
      <c r="E423" s="1" t="n">
        <v>46234</v>
      </c>
      <c r="F423" t="inlineStr">
        <is>
          <t>NORRBOTTENS LÄN</t>
        </is>
      </c>
      <c r="G423" t="inlineStr">
        <is>
          <t>BODEN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10730-2024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45369</v>
      </c>
      <c r="E424" s="1" t="n">
        <v>46234</v>
      </c>
      <c r="F424" t="inlineStr">
        <is>
          <t>NORRBOTTENS LÄN</t>
        </is>
      </c>
      <c r="G424" t="inlineStr">
        <is>
          <t>BODEN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32582-2025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45838</v>
      </c>
      <c r="E425" s="1" t="n">
        <v>46234</v>
      </c>
      <c r="F425" t="inlineStr">
        <is>
          <t>NORRBOTTENS LÄN</t>
        </is>
      </c>
      <c r="G425" t="inlineStr">
        <is>
          <t>BODEN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28745-2023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45103</v>
      </c>
      <c r="E426" s="1" t="n">
        <v>46234</v>
      </c>
      <c r="F426" t="inlineStr">
        <is>
          <t>NORRBOTTENS LÄN</t>
        </is>
      </c>
      <c r="G426" t="inlineStr">
        <is>
          <t>BODEN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45972</v>
      </c>
      <c r="E427" s="1" t="n">
        <v>46234</v>
      </c>
      <c r="F427" t="inlineStr">
        <is>
          <t>NORRBOTTENS LÄN</t>
        </is>
      </c>
      <c r="G427" t="inlineStr">
        <is>
          <t>BODEN</t>
        </is>
      </c>
      <c r="I427" t="n">
        <v>11.9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36310-2025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45868</v>
      </c>
      <c r="E428" s="1" t="n">
        <v>46234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22460-2023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45070</v>
      </c>
      <c r="E429" s="1" t="n">
        <v>46234</v>
      </c>
      <c r="F429" t="inlineStr">
        <is>
          <t>NORRBOTTENS LÄN</t>
        </is>
      </c>
      <c r="G429" t="inlineStr">
        <is>
          <t>BODEN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36926-2025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45874</v>
      </c>
      <c r="E430" s="1" t="n">
        <v>46234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37404-2025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45877</v>
      </c>
      <c r="E431" s="1" t="n">
        <v>46234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45880</v>
      </c>
      <c r="E432" s="1" t="n">
        <v>46234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45672</v>
      </c>
      <c r="E433" s="1" t="n">
        <v>46234</v>
      </c>
      <c r="F433" t="inlineStr">
        <is>
          <t>NORRBOTTENS LÄN</t>
        </is>
      </c>
      <c r="G433" t="inlineStr">
        <is>
          <t>BODEN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37854-2025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45881</v>
      </c>
      <c r="E434" s="1" t="n">
        <v>46234</v>
      </c>
      <c r="F434" t="inlineStr">
        <is>
          <t>NORRBOTTENS LÄN</t>
        </is>
      </c>
      <c r="G434" t="inlineStr">
        <is>
          <t>BODEN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18871-2025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45764</v>
      </c>
      <c r="E435" s="1" t="n">
        <v>46234</v>
      </c>
      <c r="F435" t="inlineStr">
        <is>
          <t>NORRBOTTENS LÄN</t>
        </is>
      </c>
      <c r="G435" t="inlineStr">
        <is>
          <t>BODEN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56439-2025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45975</v>
      </c>
      <c r="E436" s="1" t="n">
        <v>46234</v>
      </c>
      <c r="F436" t="inlineStr">
        <is>
          <t>NORRBOTTENS LÄN</t>
        </is>
      </c>
      <c r="G436" t="inlineStr">
        <is>
          <t>BODEN</t>
        </is>
      </c>
      <c r="H436" t="inlineStr">
        <is>
          <t>SCA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45882</v>
      </c>
      <c r="E437" s="1" t="n">
        <v>46234</v>
      </c>
      <c r="F437" t="inlineStr">
        <is>
          <t>NORRBOTTENS LÄN</t>
        </is>
      </c>
      <c r="G437" t="inlineStr">
        <is>
          <t>BODEN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38288-2025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45882</v>
      </c>
      <c r="E438" s="1" t="n">
        <v>46234</v>
      </c>
      <c r="F438" t="inlineStr">
        <is>
          <t>NORRBOTTENS LÄN</t>
        </is>
      </c>
      <c r="G438" t="inlineStr">
        <is>
          <t>BODEN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59890-2023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45254</v>
      </c>
      <c r="E439" s="1" t="n">
        <v>46234</v>
      </c>
      <c r="F439" t="inlineStr">
        <is>
          <t>NORRBOTTENS LÄN</t>
        </is>
      </c>
      <c r="G439" t="inlineStr">
        <is>
          <t>BODEN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56560-2025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46234</v>
      </c>
      <c r="F440" t="inlineStr">
        <is>
          <t>NORRBOTTENS LÄN</t>
        </is>
      </c>
      <c r="G440" t="inlineStr">
        <is>
          <t>BODEN</t>
        </is>
      </c>
      <c r="H440" t="inlineStr">
        <is>
          <t>Naturvårdsverket</t>
        </is>
      </c>
      <c r="I440" t="n">
        <v>9.800000000000001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56440-2025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45975</v>
      </c>
      <c r="E441" s="1" t="n">
        <v>46234</v>
      </c>
      <c r="F441" t="inlineStr">
        <is>
          <t>NORRBOTTENS LÄN</t>
        </is>
      </c>
      <c r="G441" t="inlineStr">
        <is>
          <t>BODEN</t>
        </is>
      </c>
      <c r="H441" t="inlineStr">
        <is>
          <t>SCA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18900-2025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45764</v>
      </c>
      <c r="E442" s="1" t="n">
        <v>46234</v>
      </c>
      <c r="F442" t="inlineStr">
        <is>
          <t>NORRBOTTENS LÄN</t>
        </is>
      </c>
      <c r="G442" t="inlineStr">
        <is>
          <t>BODEN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25575-2024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45463</v>
      </c>
      <c r="E443" s="1" t="n">
        <v>46234</v>
      </c>
      <c r="F443" t="inlineStr">
        <is>
          <t>NORRBOTTENS LÄN</t>
        </is>
      </c>
      <c r="G443" t="inlineStr">
        <is>
          <t>BODEN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56867-2025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45978</v>
      </c>
      <c r="E444" s="1" t="n">
        <v>46234</v>
      </c>
      <c r="F444" t="inlineStr">
        <is>
          <t>NORRBOTTENS LÄN</t>
        </is>
      </c>
      <c r="G444" t="inlineStr">
        <is>
          <t>BODEN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45722</v>
      </c>
      <c r="E445" s="1" t="n">
        <v>46234</v>
      </c>
      <c r="F445" t="inlineStr">
        <is>
          <t>NORRBOTTENS LÄN</t>
        </is>
      </c>
      <c r="G445" t="inlineStr">
        <is>
          <t>BODEN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56947-2025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45978</v>
      </c>
      <c r="E446" s="1" t="n">
        <v>46234</v>
      </c>
      <c r="F446" t="inlineStr">
        <is>
          <t>NORRBOTTENS LÄN</t>
        </is>
      </c>
      <c r="G446" t="inlineStr">
        <is>
          <t>BODEN</t>
        </is>
      </c>
      <c r="H446" t="inlineStr">
        <is>
          <t>Naturvårdsverket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38584-2025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45884</v>
      </c>
      <c r="E447" s="1" t="n">
        <v>46234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1205-2025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45667</v>
      </c>
      <c r="E448" s="1" t="n">
        <v>46234</v>
      </c>
      <c r="F448" t="inlineStr">
        <is>
          <t>NORRBOTTENS LÄN</t>
        </is>
      </c>
      <c r="G448" t="inlineStr">
        <is>
          <t>BODEN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57777-2025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45981</v>
      </c>
      <c r="E449" s="1" t="n">
        <v>46234</v>
      </c>
      <c r="F449" t="inlineStr">
        <is>
          <t>NORRBOTTENS LÄN</t>
        </is>
      </c>
      <c r="G449" t="inlineStr">
        <is>
          <t>BODEN</t>
        </is>
      </c>
      <c r="H449" t="inlineStr">
        <is>
          <t>Sveaskog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57778-2025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45981</v>
      </c>
      <c r="E450" s="1" t="n">
        <v>46234</v>
      </c>
      <c r="F450" t="inlineStr">
        <is>
          <t>NORRBOTTENS LÄN</t>
        </is>
      </c>
      <c r="G450" t="inlineStr">
        <is>
          <t>BODEN</t>
        </is>
      </c>
      <c r="H450" t="inlineStr">
        <is>
          <t>Sveaskog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22447-2024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45446</v>
      </c>
      <c r="E451" s="1" t="n">
        <v>46234</v>
      </c>
      <c r="F451" t="inlineStr">
        <is>
          <t>NORRBOTTENS LÄN</t>
        </is>
      </c>
      <c r="G451" t="inlineStr">
        <is>
          <t>BODEN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58203-2025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45984</v>
      </c>
      <c r="E452" s="1" t="n">
        <v>46234</v>
      </c>
      <c r="F452" t="inlineStr">
        <is>
          <t>NORRBOTTENS LÄN</t>
        </is>
      </c>
      <c r="G452" t="inlineStr">
        <is>
          <t>BODEN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46234</v>
      </c>
      <c r="F453" t="inlineStr">
        <is>
          <t>NORRBOTTENS LÄN</t>
        </is>
      </c>
      <c r="G453" t="inlineStr">
        <is>
          <t>BODEN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58294-2025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46234</v>
      </c>
      <c r="F454" t="inlineStr">
        <is>
          <t>NORRBOTTENS LÄN</t>
        </is>
      </c>
      <c r="G454" t="inlineStr">
        <is>
          <t>BODEN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11092-2022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44628</v>
      </c>
      <c r="E455" s="1" t="n">
        <v>46234</v>
      </c>
      <c r="F455" t="inlineStr">
        <is>
          <t>NORRBOTTENS LÄN</t>
        </is>
      </c>
      <c r="G455" t="inlineStr">
        <is>
          <t>BODEN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38371-2023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46234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45161</v>
      </c>
      <c r="E457" s="1" t="n">
        <v>46234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7.9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9940-2025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45718</v>
      </c>
      <c r="E458" s="1" t="n">
        <v>46234</v>
      </c>
      <c r="F458" t="inlineStr">
        <is>
          <t>NORRBOTTENS LÄN</t>
        </is>
      </c>
      <c r="G458" t="inlineStr">
        <is>
          <t>BODEN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57579-2023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45246</v>
      </c>
      <c r="E459" s="1" t="n">
        <v>46234</v>
      </c>
      <c r="F459" t="inlineStr">
        <is>
          <t>NORRBOTTENS LÄN</t>
        </is>
      </c>
      <c r="G459" t="inlineStr">
        <is>
          <t>BODEN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40781-2021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44421</v>
      </c>
      <c r="E460" s="1" t="n">
        <v>46234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46234</v>
      </c>
      <c r="F461" t="inlineStr">
        <is>
          <t>NORRBOTTENS LÄN</t>
        </is>
      </c>
      <c r="G461" t="inlineStr">
        <is>
          <t>BODEN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45988</v>
      </c>
      <c r="E462" s="1" t="n">
        <v>46234</v>
      </c>
      <c r="F462" t="inlineStr">
        <is>
          <t>NORRBOTTENS LÄN</t>
        </is>
      </c>
      <c r="G462" t="inlineStr">
        <is>
          <t>BODEN</t>
        </is>
      </c>
      <c r="I462" t="n">
        <v>6.7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45356</v>
      </c>
      <c r="E463" s="1" t="n">
        <v>46234</v>
      </c>
      <c r="F463" t="inlineStr">
        <is>
          <t>NORRBOTTENS LÄN</t>
        </is>
      </c>
      <c r="G463" t="inlineStr">
        <is>
          <t>BODEN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9322-2024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45358</v>
      </c>
      <c r="E464" s="1" t="n">
        <v>46234</v>
      </c>
      <c r="F464" t="inlineStr">
        <is>
          <t>NORRBOTTENS LÄN</t>
        </is>
      </c>
      <c r="G464" t="inlineStr">
        <is>
          <t>BODEN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59264-2025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46234</v>
      </c>
      <c r="F465" t="inlineStr">
        <is>
          <t>NORRBOTTENS LÄN</t>
        </is>
      </c>
      <c r="G465" t="inlineStr">
        <is>
          <t>BODEN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28444-2023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45102</v>
      </c>
      <c r="E466" s="1" t="n">
        <v>46234</v>
      </c>
      <c r="F466" t="inlineStr">
        <is>
          <t>NORRBOTTENS LÄN</t>
        </is>
      </c>
      <c r="G466" t="inlineStr">
        <is>
          <t>BODEN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46234</v>
      </c>
      <c r="F467" t="inlineStr">
        <is>
          <t>NORRBOTTENS LÄN</t>
        </is>
      </c>
      <c r="G467" t="inlineStr">
        <is>
          <t>BODEN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61771-2024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45649</v>
      </c>
      <c r="E468" s="1" t="n">
        <v>46234</v>
      </c>
      <c r="F468" t="inlineStr">
        <is>
          <t>NORRBOTTENS LÄN</t>
        </is>
      </c>
      <c r="G468" t="inlineStr">
        <is>
          <t>BODEN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46234</v>
      </c>
      <c r="F469" t="inlineStr">
        <is>
          <t>NORRBOTTENS LÄN</t>
        </is>
      </c>
      <c r="G469" t="inlineStr">
        <is>
          <t>BODEN</t>
        </is>
      </c>
      <c r="I469" t="n">
        <v>8.800000000000001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45988</v>
      </c>
      <c r="E470" s="1" t="n">
        <v>46234</v>
      </c>
      <c r="F470" t="inlineStr">
        <is>
          <t>NORRBOTTENS LÄN</t>
        </is>
      </c>
      <c r="G470" t="inlineStr">
        <is>
          <t>BODEN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19590-2025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45770</v>
      </c>
      <c r="E471" s="1" t="n">
        <v>46234</v>
      </c>
      <c r="F471" t="inlineStr">
        <is>
          <t>NORRBOTTENS LÄN</t>
        </is>
      </c>
      <c r="G471" t="inlineStr">
        <is>
          <t>BODEN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68611-2021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44529</v>
      </c>
      <c r="E472" s="1" t="n">
        <v>46234</v>
      </c>
      <c r="F472" t="inlineStr">
        <is>
          <t>NORRBOTTENS LÄN</t>
        </is>
      </c>
      <c r="G472" t="inlineStr">
        <is>
          <t>BODEN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13556-2022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44648</v>
      </c>
      <c r="E473" s="1" t="n">
        <v>46234</v>
      </c>
      <c r="F473" t="inlineStr">
        <is>
          <t>NORRBOTTENS LÄN</t>
        </is>
      </c>
      <c r="G473" t="inlineStr">
        <is>
          <t>BODEN</t>
        </is>
      </c>
      <c r="H473" t="inlineStr">
        <is>
          <t>Sveaskog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51193-2023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45212</v>
      </c>
      <c r="E474" s="1" t="n">
        <v>46234</v>
      </c>
      <c r="F474" t="inlineStr">
        <is>
          <t>NORRBOTTENS LÄN</t>
        </is>
      </c>
      <c r="G474" t="inlineStr">
        <is>
          <t>BODEN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60429-2025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45995</v>
      </c>
      <c r="E475" s="1" t="n">
        <v>46234</v>
      </c>
      <c r="F475" t="inlineStr">
        <is>
          <t>NORRBOTTENS LÄN</t>
        </is>
      </c>
      <c r="G475" t="inlineStr">
        <is>
          <t>BODEN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60397-2025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46234</v>
      </c>
      <c r="F476" t="inlineStr">
        <is>
          <t>NORRBOTTENS LÄN</t>
        </is>
      </c>
      <c r="G476" t="inlineStr">
        <is>
          <t>BODEN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45994</v>
      </c>
      <c r="E477" s="1" t="n">
        <v>46234</v>
      </c>
      <c r="F477" t="inlineStr">
        <is>
          <t>NORRBOTTENS LÄN</t>
        </is>
      </c>
      <c r="G477" t="inlineStr">
        <is>
          <t>BODEN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45994</v>
      </c>
      <c r="E478" s="1" t="n">
        <v>46234</v>
      </c>
      <c r="F478" t="inlineStr">
        <is>
          <t>NORRBOTTENS LÄN</t>
        </is>
      </c>
      <c r="G478" t="inlineStr">
        <is>
          <t>BODEN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60395-2025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45995</v>
      </c>
      <c r="E479" s="1" t="n">
        <v>46234</v>
      </c>
      <c r="F479" t="inlineStr">
        <is>
          <t>NORRBOTTENS LÄN</t>
        </is>
      </c>
      <c r="G479" t="inlineStr">
        <is>
          <t>BODEN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60423-2025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46234</v>
      </c>
      <c r="F480" t="inlineStr">
        <is>
          <t>NORRBOTTENS LÄN</t>
        </is>
      </c>
      <c r="G480" t="inlineStr">
        <is>
          <t>BODEN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46234</v>
      </c>
      <c r="F481" t="inlineStr">
        <is>
          <t>NORRBOTTENS LÄN</t>
        </is>
      </c>
      <c r="G481" t="inlineStr">
        <is>
          <t>BODEN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28079-2024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45476</v>
      </c>
      <c r="E482" s="1" t="n">
        <v>46234</v>
      </c>
      <c r="F482" t="inlineStr">
        <is>
          <t>NORRBOTTENS LÄN</t>
        </is>
      </c>
      <c r="G482" t="inlineStr">
        <is>
          <t>BODEN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45994</v>
      </c>
      <c r="E483" s="1" t="n">
        <v>46234</v>
      </c>
      <c r="F483" t="inlineStr">
        <is>
          <t>NORRBOTTENS LÄN</t>
        </is>
      </c>
      <c r="G483" t="inlineStr">
        <is>
          <t>BODEN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45994</v>
      </c>
      <c r="E484" s="1" t="n">
        <v>46234</v>
      </c>
      <c r="F484" t="inlineStr">
        <is>
          <t>NORRBOTTENS LÄN</t>
        </is>
      </c>
      <c r="G484" t="inlineStr">
        <is>
          <t>BODEN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60236-2025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45994</v>
      </c>
      <c r="E485" s="1" t="n">
        <v>46234</v>
      </c>
      <c r="F485" t="inlineStr">
        <is>
          <t>NORRBOTTENS LÄN</t>
        </is>
      </c>
      <c r="G485" t="inlineStr">
        <is>
          <t>BODEN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60613-2025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45996</v>
      </c>
      <c r="E486" s="1" t="n">
        <v>46234</v>
      </c>
      <c r="F486" t="inlineStr">
        <is>
          <t>NORRBOTTENS LÄN</t>
        </is>
      </c>
      <c r="G486" t="inlineStr">
        <is>
          <t>BODEN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54935-2021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44474</v>
      </c>
      <c r="E487" s="1" t="n">
        <v>46234</v>
      </c>
      <c r="F487" t="inlineStr">
        <is>
          <t>NORRBOTTENS LÄN</t>
        </is>
      </c>
      <c r="G487" t="inlineStr">
        <is>
          <t>BODEN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708-2022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44566</v>
      </c>
      <c r="E488" s="1" t="n">
        <v>46234</v>
      </c>
      <c r="F488" t="inlineStr">
        <is>
          <t>NORRBOTTENS LÄN</t>
        </is>
      </c>
      <c r="G488" t="inlineStr">
        <is>
          <t>BODEN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39272-2024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45551</v>
      </c>
      <c r="E489" s="1" t="n">
        <v>46234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8008-2025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45707</v>
      </c>
      <c r="E490" s="1" t="n">
        <v>46234</v>
      </c>
      <c r="F490" t="inlineStr">
        <is>
          <t>NORRBOTTENS LÄN</t>
        </is>
      </c>
      <c r="G490" t="inlineStr">
        <is>
          <t>BODEN</t>
        </is>
      </c>
      <c r="I490" t="n">
        <v>11.3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61034-2025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45999</v>
      </c>
      <c r="E491" s="1" t="n">
        <v>46234</v>
      </c>
      <c r="F491" t="inlineStr">
        <is>
          <t>NORRBOTTENS LÄN</t>
        </is>
      </c>
      <c r="G491" t="inlineStr">
        <is>
          <t>BODEN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56111-2021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44477</v>
      </c>
      <c r="E492" s="1" t="n">
        <v>46234</v>
      </c>
      <c r="F492" t="inlineStr">
        <is>
          <t>NORRBOTTENS LÄN</t>
        </is>
      </c>
      <c r="G492" t="inlineStr">
        <is>
          <t>BODEN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42652-2025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45906</v>
      </c>
      <c r="E493" s="1" t="n">
        <v>46234</v>
      </c>
      <c r="F493" t="inlineStr">
        <is>
          <t>NORRBOTTENS LÄN</t>
        </is>
      </c>
      <c r="G493" t="inlineStr">
        <is>
          <t>BODEN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61227-2025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46234</v>
      </c>
      <c r="F494" t="inlineStr">
        <is>
          <t>NORRBOTTENS LÄN</t>
        </is>
      </c>
      <c r="G494" t="inlineStr">
        <is>
          <t>BODEN</t>
        </is>
      </c>
      <c r="I494" t="n">
        <v>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61384-2025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46001</v>
      </c>
      <c r="E495" s="1" t="n">
        <v>46234</v>
      </c>
      <c r="F495" t="inlineStr">
        <is>
          <t>NORRBOTTENS LÄN</t>
        </is>
      </c>
      <c r="G495" t="inlineStr">
        <is>
          <t>BODEN</t>
        </is>
      </c>
      <c r="I495" t="n">
        <v>17.1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33697-2023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45132</v>
      </c>
      <c r="E496" s="1" t="n">
        <v>46234</v>
      </c>
      <c r="F496" t="inlineStr">
        <is>
          <t>NORRBOTTENS LÄN</t>
        </is>
      </c>
      <c r="G496" t="inlineStr">
        <is>
          <t>BODEN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61748-2024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45649</v>
      </c>
      <c r="E497" s="1" t="n">
        <v>46234</v>
      </c>
      <c r="F497" t="inlineStr">
        <is>
          <t>NORRBOTTENS LÄN</t>
        </is>
      </c>
      <c r="G497" t="inlineStr">
        <is>
          <t>BODEN</t>
        </is>
      </c>
      <c r="I497" t="n">
        <v>7.3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61757-2024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45649</v>
      </c>
      <c r="E498" s="1" t="n">
        <v>46234</v>
      </c>
      <c r="F498" t="inlineStr">
        <is>
          <t>NORRBOTTENS LÄN</t>
        </is>
      </c>
      <c r="G498" t="inlineStr">
        <is>
          <t>BODEN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61560-2025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46001</v>
      </c>
      <c r="E499" s="1" t="n">
        <v>46234</v>
      </c>
      <c r="F499" t="inlineStr">
        <is>
          <t>NORRBOTTENS LÄN</t>
        </is>
      </c>
      <c r="G499" t="inlineStr">
        <is>
          <t>BODEN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61959-2025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46003</v>
      </c>
      <c r="E500" s="1" t="n">
        <v>46234</v>
      </c>
      <c r="F500" t="inlineStr">
        <is>
          <t>NORRBOTTENS LÄN</t>
        </is>
      </c>
      <c r="G500" t="inlineStr">
        <is>
          <t>BODEN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61949-2025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46003</v>
      </c>
      <c r="E501" s="1" t="n">
        <v>46234</v>
      </c>
      <c r="F501" t="inlineStr">
        <is>
          <t>NORRBOTTENS LÄN</t>
        </is>
      </c>
      <c r="G501" t="inlineStr">
        <is>
          <t>BODEN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61559-2025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46001</v>
      </c>
      <c r="E502" s="1" t="n">
        <v>46234</v>
      </c>
      <c r="F502" t="inlineStr">
        <is>
          <t>NORRBOTTENS LÄN</t>
        </is>
      </c>
      <c r="G502" t="inlineStr">
        <is>
          <t>BODEN</t>
        </is>
      </c>
      <c r="I502" t="n">
        <v>6.7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45105</v>
      </c>
      <c r="E503" s="1" t="n">
        <v>46234</v>
      </c>
      <c r="F503" t="inlineStr">
        <is>
          <t>NORRBOTTENS LÄN</t>
        </is>
      </c>
      <c r="G503" t="inlineStr">
        <is>
          <t>BODEN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63329-2025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46009</v>
      </c>
      <c r="E504" s="1" t="n">
        <v>46234</v>
      </c>
      <c r="F504" t="inlineStr">
        <is>
          <t>NORRBOTTENS LÄN</t>
        </is>
      </c>
      <c r="G504" t="inlineStr">
        <is>
          <t>BODEN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63333-2025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46234</v>
      </c>
      <c r="F505" t="inlineStr">
        <is>
          <t>NORRBOTTENS LÄN</t>
        </is>
      </c>
      <c r="G505" t="inlineStr">
        <is>
          <t>BODEN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46234</v>
      </c>
      <c r="F506" t="inlineStr">
        <is>
          <t>NORRBOTTENS LÄN</t>
        </is>
      </c>
      <c r="G506" t="inlineStr">
        <is>
          <t>BODEN</t>
        </is>
      </c>
      <c r="I506" t="n">
        <v>10.1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60237-2025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46234</v>
      </c>
      <c r="F507" t="inlineStr">
        <is>
          <t>NORRBOTTENS LÄN</t>
        </is>
      </c>
      <c r="G507" t="inlineStr">
        <is>
          <t>BODEN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45201</v>
      </c>
      <c r="E508" s="1" t="n">
        <v>46234</v>
      </c>
      <c r="F508" t="inlineStr">
        <is>
          <t>NORRBOTTENS LÄN</t>
        </is>
      </c>
      <c r="G508" t="inlineStr">
        <is>
          <t>BODEN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45099</v>
      </c>
      <c r="E509" s="1" t="n">
        <v>46234</v>
      </c>
      <c r="F509" t="inlineStr">
        <is>
          <t>NORRBOTTENS LÄN</t>
        </is>
      </c>
      <c r="G509" t="inlineStr">
        <is>
          <t>BODEN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62994-2025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46009</v>
      </c>
      <c r="E510" s="1" t="n">
        <v>46234</v>
      </c>
      <c r="F510" t="inlineStr">
        <is>
          <t>NORRBOTTENS LÄN</t>
        </is>
      </c>
      <c r="G510" t="inlineStr">
        <is>
          <t>BODEN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62673-2025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46008</v>
      </c>
      <c r="E511" s="1" t="n">
        <v>46234</v>
      </c>
      <c r="F511" t="inlineStr">
        <is>
          <t>NORRBOTTENS LÄN</t>
        </is>
      </c>
      <c r="G511" t="inlineStr">
        <is>
          <t>BODEN</t>
        </is>
      </c>
      <c r="I511" t="n">
        <v>18.6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11647-2023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44994</v>
      </c>
      <c r="E512" s="1" t="n">
        <v>46234</v>
      </c>
      <c r="F512" t="inlineStr">
        <is>
          <t>NORRBOTTENS LÄN</t>
        </is>
      </c>
      <c r="G512" t="inlineStr">
        <is>
          <t>BODEN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57895-2021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44486</v>
      </c>
      <c r="E513" s="1" t="n">
        <v>46234</v>
      </c>
      <c r="F513" t="inlineStr">
        <is>
          <t>NORRBOTTENS LÄN</t>
        </is>
      </c>
      <c r="G513" t="inlineStr">
        <is>
          <t>BODEN</t>
        </is>
      </c>
      <c r="I513" t="n">
        <v>9.199999999999999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11865-2025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45728</v>
      </c>
      <c r="E514" s="1" t="n">
        <v>46234</v>
      </c>
      <c r="F514" t="inlineStr">
        <is>
          <t>NORRBOTTENS LÄN</t>
        </is>
      </c>
      <c r="G514" t="inlineStr">
        <is>
          <t>BODEN</t>
        </is>
      </c>
      <c r="H514" t="inlineStr">
        <is>
          <t>Övriga Aktiebolag</t>
        </is>
      </c>
      <c r="I514" t="n">
        <v>10.6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62992-2025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46234</v>
      </c>
      <c r="F515" t="inlineStr">
        <is>
          <t>NORRBOTTENS LÄN</t>
        </is>
      </c>
      <c r="G515" t="inlineStr">
        <is>
          <t>BODEN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42173-2025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45902</v>
      </c>
      <c r="E516" s="1" t="n">
        <v>46234</v>
      </c>
      <c r="F516" t="inlineStr">
        <is>
          <t>NORRBOTTENS LÄN</t>
        </is>
      </c>
      <c r="G516" t="inlineStr">
        <is>
          <t>BODEN</t>
        </is>
      </c>
      <c r="H516" t="inlineStr">
        <is>
          <t>Övriga statliga verk och myndigheter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63399-2025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46012</v>
      </c>
      <c r="E517" s="1" t="n">
        <v>46234</v>
      </c>
      <c r="F517" t="inlineStr">
        <is>
          <t>NORRBOTTENS LÄN</t>
        </is>
      </c>
      <c r="G517" t="inlineStr">
        <is>
          <t>BODEN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63400-2025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46012</v>
      </c>
      <c r="E518" s="1" t="n">
        <v>46234</v>
      </c>
      <c r="F518" t="inlineStr">
        <is>
          <t>NORRBOTTENS LÄN</t>
        </is>
      </c>
      <c r="G518" t="inlineStr">
        <is>
          <t>BODEN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63398-2025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46012</v>
      </c>
      <c r="E519" s="1" t="n">
        <v>46234</v>
      </c>
      <c r="F519" t="inlineStr">
        <is>
          <t>NORRBOTTENS LÄN</t>
        </is>
      </c>
      <c r="G519" t="inlineStr">
        <is>
          <t>BODEN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46901-2024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45583</v>
      </c>
      <c r="E520" s="1" t="n">
        <v>46234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46541-2021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44445</v>
      </c>
      <c r="E521" s="1" t="n">
        <v>46234</v>
      </c>
      <c r="F521" t="inlineStr">
        <is>
          <t>NORRBOTTENS LÄN</t>
        </is>
      </c>
      <c r="G521" t="inlineStr">
        <is>
          <t>BODEN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6638-2024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45341</v>
      </c>
      <c r="E522" s="1" t="n">
        <v>46234</v>
      </c>
      <c r="F522" t="inlineStr">
        <is>
          <t>NORRBOTTENS LÄN</t>
        </is>
      </c>
      <c r="G522" t="inlineStr">
        <is>
          <t>BODEN</t>
        </is>
      </c>
      <c r="H522" t="inlineStr">
        <is>
          <t>Övriga statliga verk och myndigheter</t>
        </is>
      </c>
      <c r="I522" t="n">
        <v>12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41957-2024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45561</v>
      </c>
      <c r="E523" s="1" t="n">
        <v>46234</v>
      </c>
      <c r="F523" t="inlineStr">
        <is>
          <t>NORRBOTTENS LÄN</t>
        </is>
      </c>
      <c r="G523" t="inlineStr">
        <is>
          <t>BODEN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59983-2023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45257</v>
      </c>
      <c r="E524" s="1" t="n">
        <v>46234</v>
      </c>
      <c r="F524" t="inlineStr">
        <is>
          <t>NORRBOTTENS LÄN</t>
        </is>
      </c>
      <c r="G524" t="inlineStr">
        <is>
          <t>BODEN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63891-2025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46020</v>
      </c>
      <c r="E525" s="1" t="n">
        <v>46234</v>
      </c>
      <c r="F525" t="inlineStr">
        <is>
          <t>NORRBOTTENS LÄN</t>
        </is>
      </c>
      <c r="G525" t="inlineStr">
        <is>
          <t>BODEN</t>
        </is>
      </c>
      <c r="I525" t="n">
        <v>12.5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67068-2021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44522</v>
      </c>
      <c r="E526" s="1" t="n">
        <v>46234</v>
      </c>
      <c r="F526" t="inlineStr">
        <is>
          <t>NORRBOTTENS LÄN</t>
        </is>
      </c>
      <c r="G526" t="inlineStr">
        <is>
          <t>BODEN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8701-2026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46066</v>
      </c>
      <c r="E527" s="1" t="n">
        <v>46234</v>
      </c>
      <c r="F527" t="inlineStr">
        <is>
          <t>NORRBOTTENS LÄN</t>
        </is>
      </c>
      <c r="G527" t="inlineStr">
        <is>
          <t>BODEN</t>
        </is>
      </c>
      <c r="I527" t="n">
        <v>9.6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8752-2026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46066</v>
      </c>
      <c r="E528" s="1" t="n">
        <v>46234</v>
      </c>
      <c r="F528" t="inlineStr">
        <is>
          <t>NORRBOTTENS LÄN</t>
        </is>
      </c>
      <c r="G528" t="inlineStr">
        <is>
          <t>BODEN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49730-2024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45596</v>
      </c>
      <c r="E529" s="1" t="n">
        <v>46234</v>
      </c>
      <c r="F529" t="inlineStr">
        <is>
          <t>NORRBOTTENS LÄN</t>
        </is>
      </c>
      <c r="G529" t="inlineStr">
        <is>
          <t>BODEN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47424-2024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45587</v>
      </c>
      <c r="E530" s="1" t="n">
        <v>46234</v>
      </c>
      <c r="F530" t="inlineStr">
        <is>
          <t>NORRBOTTENS LÄN</t>
        </is>
      </c>
      <c r="G530" t="inlineStr">
        <is>
          <t>BODEN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46029</v>
      </c>
      <c r="E531" s="1" t="n">
        <v>46234</v>
      </c>
      <c r="F531" t="inlineStr">
        <is>
          <t>NORRBOTTENS LÄN</t>
        </is>
      </c>
      <c r="G531" t="inlineStr">
        <is>
          <t>BODEN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46234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31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46234</v>
      </c>
      <c r="F533" t="inlineStr">
        <is>
          <t>NORRBOTTENS LÄN</t>
        </is>
      </c>
      <c r="G533" t="inlineStr">
        <is>
          <t>BODEN</t>
        </is>
      </c>
      <c r="H533" t="inlineStr">
        <is>
          <t>SCA</t>
        </is>
      </c>
      <c r="I533" t="n">
        <v>10.3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4254-2025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45685</v>
      </c>
      <c r="E534" s="1" t="n">
        <v>46234</v>
      </c>
      <c r="F534" t="inlineStr">
        <is>
          <t>NORRBOTTENS LÄN</t>
        </is>
      </c>
      <c r="G534" t="inlineStr">
        <is>
          <t>BODEN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46234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6.8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63841-2025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46020</v>
      </c>
      <c r="E536" s="1" t="n">
        <v>46234</v>
      </c>
      <c r="F536" t="inlineStr">
        <is>
          <t>NORRBOTTENS LÄN</t>
        </is>
      </c>
      <c r="G536" t="inlineStr">
        <is>
          <t>BODEN</t>
        </is>
      </c>
      <c r="I536" t="n">
        <v>10.9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44994</v>
      </c>
      <c r="E537" s="1" t="n">
        <v>46234</v>
      </c>
      <c r="F537" t="inlineStr">
        <is>
          <t>NORRBOTTENS LÄN</t>
        </is>
      </c>
      <c r="G537" t="inlineStr">
        <is>
          <t>BODEN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2771-2026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46036</v>
      </c>
      <c r="E538" s="1" t="n">
        <v>46234</v>
      </c>
      <c r="F538" t="inlineStr">
        <is>
          <t>NORRBOTTENS LÄN</t>
        </is>
      </c>
      <c r="G538" t="inlineStr">
        <is>
          <t>BODEN</t>
        </is>
      </c>
      <c r="H538" t="inlineStr">
        <is>
          <t>Kommuner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32276-2024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45512</v>
      </c>
      <c r="E539" s="1" t="n">
        <v>46234</v>
      </c>
      <c r="F539" t="inlineStr">
        <is>
          <t>NORRBOTTENS LÄN</t>
        </is>
      </c>
      <c r="G539" t="inlineStr">
        <is>
          <t>BODEN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56163-2022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44889</v>
      </c>
      <c r="E540" s="1" t="n">
        <v>46234</v>
      </c>
      <c r="F540" t="inlineStr">
        <is>
          <t>NORRBOTTENS LÄN</t>
        </is>
      </c>
      <c r="G540" t="inlineStr">
        <is>
          <t>BODEN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16222-2024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45406</v>
      </c>
      <c r="E541" s="1" t="n">
        <v>46234</v>
      </c>
      <c r="F541" t="inlineStr">
        <is>
          <t>NORRBOTTENS LÄN</t>
        </is>
      </c>
      <c r="G541" t="inlineStr">
        <is>
          <t>BODEN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46042</v>
      </c>
      <c r="E542" s="1" t="n">
        <v>46234</v>
      </c>
      <c r="F542" t="inlineStr">
        <is>
          <t>NORRBOTTENS LÄN</t>
        </is>
      </c>
      <c r="G542" t="inlineStr">
        <is>
          <t>BODEN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19968-2025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45771</v>
      </c>
      <c r="E543" s="1" t="n">
        <v>46234</v>
      </c>
      <c r="F543" t="inlineStr">
        <is>
          <t>NORRBOTTENS LÄN</t>
        </is>
      </c>
      <c r="G543" t="inlineStr">
        <is>
          <t>BODEN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46234</v>
      </c>
      <c r="F544" t="inlineStr">
        <is>
          <t>NORRBOTTENS LÄN</t>
        </is>
      </c>
      <c r="G544" t="inlineStr">
        <is>
          <t>BODEN</t>
        </is>
      </c>
      <c r="I544" t="n">
        <v>7.8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54104-2022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44881</v>
      </c>
      <c r="E545" s="1" t="n">
        <v>46234</v>
      </c>
      <c r="F545" t="inlineStr">
        <is>
          <t>NORRBOTTENS LÄN</t>
        </is>
      </c>
      <c r="G545" t="inlineStr">
        <is>
          <t>BODEN</t>
        </is>
      </c>
      <c r="H545" t="inlineStr">
        <is>
          <t>Sveaskog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47423-2024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45587</v>
      </c>
      <c r="E546" s="1" t="n">
        <v>46234</v>
      </c>
      <c r="F546" t="inlineStr">
        <is>
          <t>NORRBOTTENS LÄN</t>
        </is>
      </c>
      <c r="G546" t="inlineStr">
        <is>
          <t>BODEN</t>
        </is>
      </c>
      <c r="I546" t="n">
        <v>17.2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58099-2023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45248</v>
      </c>
      <c r="E547" s="1" t="n">
        <v>46234</v>
      </c>
      <c r="F547" t="inlineStr">
        <is>
          <t>NORRBOTTENS LÄN</t>
        </is>
      </c>
      <c r="G547" t="inlineStr">
        <is>
          <t>BODEN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46234</v>
      </c>
      <c r="F548" t="inlineStr">
        <is>
          <t>NORRBOTTENS LÄN</t>
        </is>
      </c>
      <c r="G548" t="inlineStr">
        <is>
          <t>BODEN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45691</v>
      </c>
      <c r="E549" s="1" t="n">
        <v>46234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13714-2022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44648</v>
      </c>
      <c r="E550" s="1" t="n">
        <v>46234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46050</v>
      </c>
      <c r="E551" s="1" t="n">
        <v>46234</v>
      </c>
      <c r="F551" t="inlineStr">
        <is>
          <t>NORRBOTTENS LÄN</t>
        </is>
      </c>
      <c r="G551" t="inlineStr">
        <is>
          <t>BODEN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467-2022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44565</v>
      </c>
      <c r="E552" s="1" t="n">
        <v>46234</v>
      </c>
      <c r="F552" t="inlineStr">
        <is>
          <t>NORRBOTTENS LÄN</t>
        </is>
      </c>
      <c r="G552" t="inlineStr">
        <is>
          <t>BODEN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61743-2024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45649</v>
      </c>
      <c r="E553" s="1" t="n">
        <v>46234</v>
      </c>
      <c r="F553" t="inlineStr">
        <is>
          <t>NORRBOTTENS LÄN</t>
        </is>
      </c>
      <c r="G553" t="inlineStr">
        <is>
          <t>BODEN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46234</v>
      </c>
      <c r="F554" t="inlineStr">
        <is>
          <t>NORRBOTTENS LÄN</t>
        </is>
      </c>
      <c r="G554" t="inlineStr">
        <is>
          <t>BODEN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44553-2024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46234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46056</v>
      </c>
      <c r="E556" s="1" t="n">
        <v>46234</v>
      </c>
      <c r="F556" t="inlineStr">
        <is>
          <t>NORRBOTTENS LÄN</t>
        </is>
      </c>
      <c r="G556" t="inlineStr">
        <is>
          <t>BODEN</t>
        </is>
      </c>
      <c r="I556" t="n">
        <v>9.800000000000001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1081-2024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45301</v>
      </c>
      <c r="E557" s="1" t="n">
        <v>46234</v>
      </c>
      <c r="F557" t="inlineStr">
        <is>
          <t>NORRBOTTENS LÄN</t>
        </is>
      </c>
      <c r="G557" t="inlineStr">
        <is>
          <t>BODEN</t>
        </is>
      </c>
      <c r="H557" t="inlineStr">
        <is>
          <t>Övriga statliga verk och myndigheter</t>
        </is>
      </c>
      <c r="I557" t="n">
        <v>10.4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6708-2026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46056</v>
      </c>
      <c r="E558" s="1" t="n">
        <v>46234</v>
      </c>
      <c r="F558" t="inlineStr">
        <is>
          <t>NORRBOTTENS LÄN</t>
        </is>
      </c>
      <c r="G558" t="inlineStr">
        <is>
          <t>BODEN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18173-2025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45761</v>
      </c>
      <c r="E559" s="1" t="n">
        <v>46234</v>
      </c>
      <c r="F559" t="inlineStr">
        <is>
          <t>NORRBOTTENS LÄN</t>
        </is>
      </c>
      <c r="G559" t="inlineStr">
        <is>
          <t>BODEN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16180-2025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45750</v>
      </c>
      <c r="E560" s="1" t="n">
        <v>46234</v>
      </c>
      <c r="F560" t="inlineStr">
        <is>
          <t>NORRBOTTENS LÄN</t>
        </is>
      </c>
      <c r="G560" t="inlineStr">
        <is>
          <t>BODEN</t>
        </is>
      </c>
      <c r="H560" t="inlineStr">
        <is>
          <t>Övriga Aktiebolag</t>
        </is>
      </c>
      <c r="I560" t="n">
        <v>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7004-2026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46057</v>
      </c>
      <c r="E561" s="1" t="n">
        <v>46234</v>
      </c>
      <c r="F561" t="inlineStr">
        <is>
          <t>NORRBOTTENS LÄN</t>
        </is>
      </c>
      <c r="G561" t="inlineStr">
        <is>
          <t>BODEN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7370-2026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46234</v>
      </c>
      <c r="F562" t="inlineStr">
        <is>
          <t>NORRBOTTENS LÄN</t>
        </is>
      </c>
      <c r="G562" t="inlineStr">
        <is>
          <t>BODEN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46029</v>
      </c>
      <c r="E563" s="1" t="n">
        <v>46234</v>
      </c>
      <c r="F563" t="inlineStr">
        <is>
          <t>NORRBOTTENS LÄN</t>
        </is>
      </c>
      <c r="G563" t="inlineStr">
        <is>
          <t>BODEN</t>
        </is>
      </c>
      <c r="H563" t="inlineStr">
        <is>
          <t>Naturvårdsverket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46234</v>
      </c>
      <c r="F564" t="inlineStr">
        <is>
          <t>NORRBOTTENS LÄN</t>
        </is>
      </c>
      <c r="G564" t="inlineStr">
        <is>
          <t>BODEN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38511-2025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45884</v>
      </c>
      <c r="E565" s="1" t="n">
        <v>46234</v>
      </c>
      <c r="F565" t="inlineStr">
        <is>
          <t>NORRBOTTENS LÄN</t>
        </is>
      </c>
      <c r="G565" t="inlineStr">
        <is>
          <t>BODEN</t>
        </is>
      </c>
      <c r="H565" t="inlineStr">
        <is>
          <t>Sveaskog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7669-2026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46234</v>
      </c>
      <c r="F566" t="inlineStr">
        <is>
          <t>NORRBOTTENS LÄN</t>
        </is>
      </c>
      <c r="G566" t="inlineStr">
        <is>
          <t>BODEN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46234</v>
      </c>
      <c r="F567" t="inlineStr">
        <is>
          <t>NORRBOTTENS LÄN</t>
        </is>
      </c>
      <c r="G567" t="inlineStr">
        <is>
          <t>BODEN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46234</v>
      </c>
      <c r="F568" t="inlineStr">
        <is>
          <t>NORRBOTTENS LÄN</t>
        </is>
      </c>
      <c r="G568" t="inlineStr">
        <is>
          <t>BODEN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7923-2026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46234</v>
      </c>
      <c r="F569" t="inlineStr">
        <is>
          <t>NORRBOTTENS LÄN</t>
        </is>
      </c>
      <c r="G569" t="inlineStr">
        <is>
          <t>BODEN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8433-2026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46065</v>
      </c>
      <c r="E570" s="1" t="n">
        <v>46234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9.699999999999999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5452-2025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45692</v>
      </c>
      <c r="E571" s="1" t="n">
        <v>46234</v>
      </c>
      <c r="F571" t="inlineStr">
        <is>
          <t>NORRBOTTENS LÄN</t>
        </is>
      </c>
      <c r="G571" t="inlineStr">
        <is>
          <t>BODEN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59029-2022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44903</v>
      </c>
      <c r="E572" s="1" t="n">
        <v>46234</v>
      </c>
      <c r="F572" t="inlineStr">
        <is>
          <t>NORRBOTTENS LÄN</t>
        </is>
      </c>
      <c r="G572" t="inlineStr">
        <is>
          <t>BODEN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19757-2025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45770</v>
      </c>
      <c r="E573" s="1" t="n">
        <v>46234</v>
      </c>
      <c r="F573" t="inlineStr">
        <is>
          <t>NORRBOTTENS LÄN</t>
        </is>
      </c>
      <c r="G573" t="inlineStr">
        <is>
          <t>BODEN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1962-2025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45672</v>
      </c>
      <c r="E574" s="1" t="n">
        <v>46234</v>
      </c>
      <c r="F574" t="inlineStr">
        <is>
          <t>NORRBOTTENS LÄN</t>
        </is>
      </c>
      <c r="G574" t="inlineStr">
        <is>
          <t>BODEN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48415-2024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45590</v>
      </c>
      <c r="E575" s="1" t="n">
        <v>46234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48471-2024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45591</v>
      </c>
      <c r="E576" s="1" t="n">
        <v>46234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48472-2024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45591</v>
      </c>
      <c r="E577" s="1" t="n">
        <v>46234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10694-2026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46078</v>
      </c>
      <c r="E578" s="1" t="n">
        <v>46234</v>
      </c>
      <c r="F578" t="inlineStr">
        <is>
          <t>NORRBOTTENS LÄN</t>
        </is>
      </c>
      <c r="G578" t="inlineStr">
        <is>
          <t>BODEN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46076</v>
      </c>
      <c r="E579" s="1" t="n">
        <v>46234</v>
      </c>
      <c r="F579" t="inlineStr">
        <is>
          <t>NORRBOTTENS LÄN</t>
        </is>
      </c>
      <c r="G579" t="inlineStr">
        <is>
          <t>BODEN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10231-2026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46234</v>
      </c>
      <c r="F580" t="inlineStr">
        <is>
          <t>NORRBOTTENS LÄN</t>
        </is>
      </c>
      <c r="G580" t="inlineStr">
        <is>
          <t>BODEN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18569-2024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45425</v>
      </c>
      <c r="E581" s="1" t="n">
        <v>46234</v>
      </c>
      <c r="F581" t="inlineStr">
        <is>
          <t>NORRBOTTENS LÄN</t>
        </is>
      </c>
      <c r="G581" t="inlineStr">
        <is>
          <t>BODEN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10234-2026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46076</v>
      </c>
      <c r="E582" s="1" t="n">
        <v>46234</v>
      </c>
      <c r="F582" t="inlineStr">
        <is>
          <t>NORRBOTTENS LÄN</t>
        </is>
      </c>
      <c r="G582" t="inlineStr">
        <is>
          <t>BODEN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15017-2022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44657</v>
      </c>
      <c r="E583" s="1" t="n">
        <v>46234</v>
      </c>
      <c r="F583" t="inlineStr">
        <is>
          <t>NORRBOTTENS LÄN</t>
        </is>
      </c>
      <c r="G583" t="inlineStr">
        <is>
          <t>BODEN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11632-2026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46084</v>
      </c>
      <c r="E584" s="1" t="n">
        <v>46234</v>
      </c>
      <c r="F584" t="inlineStr">
        <is>
          <t>NORRBOTTENS LÄN</t>
        </is>
      </c>
      <c r="G584" t="inlineStr">
        <is>
          <t>BODEN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46234</v>
      </c>
      <c r="F585" t="inlineStr">
        <is>
          <t>NORRBOTTENS LÄN</t>
        </is>
      </c>
      <c r="G585" t="inlineStr">
        <is>
          <t>BODEN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11569-2026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46084</v>
      </c>
      <c r="E586" s="1" t="n">
        <v>46234</v>
      </c>
      <c r="F586" t="inlineStr">
        <is>
          <t>NORRBOTTENS LÄN</t>
        </is>
      </c>
      <c r="G586" t="inlineStr">
        <is>
          <t>BODEN</t>
        </is>
      </c>
      <c r="I586" t="n">
        <v>9.199999999999999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46564-2022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44847</v>
      </c>
      <c r="E587" s="1" t="n">
        <v>46234</v>
      </c>
      <c r="F587" t="inlineStr">
        <is>
          <t>NORRBOTTENS LÄN</t>
        </is>
      </c>
      <c r="G587" t="inlineStr">
        <is>
          <t>BODEN</t>
        </is>
      </c>
      <c r="I587" t="n">
        <v>28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49162-2023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45210</v>
      </c>
      <c r="E588" s="1" t="n">
        <v>46234</v>
      </c>
      <c r="F588" t="inlineStr">
        <is>
          <t>NORRBOTTENS LÄN</t>
        </is>
      </c>
      <c r="G588" t="inlineStr">
        <is>
          <t>BODEN</t>
        </is>
      </c>
      <c r="H588" t="inlineStr">
        <is>
          <t>Sveaskog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46234</v>
      </c>
      <c r="F589" t="inlineStr">
        <is>
          <t>NORRBOTTENS LÄN</t>
        </is>
      </c>
      <c r="G589" t="inlineStr">
        <is>
          <t>BODEN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11631-2026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46234</v>
      </c>
      <c r="F590" t="inlineStr">
        <is>
          <t>NORRBOTTENS LÄN</t>
        </is>
      </c>
      <c r="G590" t="inlineStr">
        <is>
          <t>BODEN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46086</v>
      </c>
      <c r="E591" s="1" t="n">
        <v>46234</v>
      </c>
      <c r="F591" t="inlineStr">
        <is>
          <t>NORRBOTTENS LÄN</t>
        </is>
      </c>
      <c r="G591" t="inlineStr">
        <is>
          <t>BODEN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1497-2022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44573</v>
      </c>
      <c r="E592" s="1" t="n">
        <v>46234</v>
      </c>
      <c r="F592" t="inlineStr">
        <is>
          <t>NORRBOTTENS LÄN</t>
        </is>
      </c>
      <c r="G592" t="inlineStr">
        <is>
          <t>BODEN</t>
        </is>
      </c>
      <c r="H592" t="inlineStr">
        <is>
          <t>Övriga statliga verk och myndigheter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46087</v>
      </c>
      <c r="E593" s="1" t="n">
        <v>46234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48950-2022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44859</v>
      </c>
      <c r="E594" s="1" t="n">
        <v>46234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37984-2024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46234</v>
      </c>
      <c r="F595" t="inlineStr">
        <is>
          <t>NORRBOTTENS LÄN</t>
        </is>
      </c>
      <c r="G595" t="inlineStr">
        <is>
          <t>BODEN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45314</v>
      </c>
      <c r="E596" s="1" t="n">
        <v>46234</v>
      </c>
      <c r="F596" t="inlineStr">
        <is>
          <t>NORRBOTTENS LÄN</t>
        </is>
      </c>
      <c r="G596" t="inlineStr">
        <is>
          <t>BODEN</t>
        </is>
      </c>
      <c r="I596" t="n">
        <v>17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19563-2024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45429</v>
      </c>
      <c r="E597" s="1" t="n">
        <v>46234</v>
      </c>
      <c r="F597" t="inlineStr">
        <is>
          <t>NORRBOTTENS LÄN</t>
        </is>
      </c>
      <c r="G597" t="inlineStr">
        <is>
          <t>BODEN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12875-2026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46234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6693-2023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44963</v>
      </c>
      <c r="E599" s="1" t="n">
        <v>46234</v>
      </c>
      <c r="F599" t="inlineStr">
        <is>
          <t>NORRBOTTENS LÄN</t>
        </is>
      </c>
      <c r="G599" t="inlineStr">
        <is>
          <t>BODEN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46183-2021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44441</v>
      </c>
      <c r="E600" s="1" t="n">
        <v>46234</v>
      </c>
      <c r="F600" t="inlineStr">
        <is>
          <t>NORRBOTTENS LÄN</t>
        </is>
      </c>
      <c r="G600" t="inlineStr">
        <is>
          <t>BODEN</t>
        </is>
      </c>
      <c r="I600" t="n">
        <v>13.6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31456-2024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45505</v>
      </c>
      <c r="E601" s="1" t="n">
        <v>46234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9969-2023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44979</v>
      </c>
      <c r="E602" s="1" t="n">
        <v>46234</v>
      </c>
      <c r="F602" t="inlineStr">
        <is>
          <t>NORRBOTTENS LÄN</t>
        </is>
      </c>
      <c r="G602" t="inlineStr">
        <is>
          <t>BODEN</t>
        </is>
      </c>
      <c r="H602" t="inlineStr">
        <is>
          <t>Övriga statliga verk och myndigheter</t>
        </is>
      </c>
      <c r="I602" t="n">
        <v>18.8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13717-2026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46097</v>
      </c>
      <c r="E603" s="1" t="n">
        <v>46234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45376-2025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45922</v>
      </c>
      <c r="E604" s="1" t="n">
        <v>46234</v>
      </c>
      <c r="F604" t="inlineStr">
        <is>
          <t>NORRBOTTENS LÄN</t>
        </is>
      </c>
      <c r="G604" t="inlineStr">
        <is>
          <t>BODEN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26806-2024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45470</v>
      </c>
      <c r="E605" s="1" t="n">
        <v>46234</v>
      </c>
      <c r="F605" t="inlineStr">
        <is>
          <t>NORRBOTTENS LÄN</t>
        </is>
      </c>
      <c r="G605" t="inlineStr">
        <is>
          <t>BODEN</t>
        </is>
      </c>
      <c r="H605" t="inlineStr">
        <is>
          <t>Övriga Aktiebolag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14325-2026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46100</v>
      </c>
      <c r="E606" s="1" t="n">
        <v>46234</v>
      </c>
      <c r="F606" t="inlineStr">
        <is>
          <t>NORRBOTTENS LÄN</t>
        </is>
      </c>
      <c r="G606" t="inlineStr">
        <is>
          <t>BODEN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18002-2025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45761</v>
      </c>
      <c r="E607" s="1" t="n">
        <v>46234</v>
      </c>
      <c r="F607" t="inlineStr">
        <is>
          <t>NORRBOTTENS LÄN</t>
        </is>
      </c>
      <c r="G607" t="inlineStr">
        <is>
          <t>BODEN</t>
        </is>
      </c>
      <c r="H607" t="inlineStr">
        <is>
          <t>Övriga statliga verk och myndigheter</t>
        </is>
      </c>
      <c r="I607" t="n">
        <v>11.5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14245-2026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46099</v>
      </c>
      <c r="E608" s="1" t="n">
        <v>46234</v>
      </c>
      <c r="F608" t="inlineStr">
        <is>
          <t>NORRBOTTENS LÄN</t>
        </is>
      </c>
      <c r="G608" t="inlineStr">
        <is>
          <t>BODEN</t>
        </is>
      </c>
      <c r="H608" t="inlineStr">
        <is>
          <t>Sveaskog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14984-2026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46234</v>
      </c>
      <c r="F609" t="inlineStr">
        <is>
          <t>NORRBOTTENS LÄN</t>
        </is>
      </c>
      <c r="G609" t="inlineStr">
        <is>
          <t>BODEN</t>
        </is>
      </c>
      <c r="I609" t="n">
        <v>5.6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68591-2021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44529</v>
      </c>
      <c r="E610" s="1" t="n">
        <v>46234</v>
      </c>
      <c r="F610" t="inlineStr">
        <is>
          <t>NORRBOTTENS LÄN</t>
        </is>
      </c>
      <c r="G610" t="inlineStr">
        <is>
          <t>BODEN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44567-2024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45574</v>
      </c>
      <c r="E611" s="1" t="n">
        <v>46234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15342-2026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46105</v>
      </c>
      <c r="E612" s="1" t="n">
        <v>46234</v>
      </c>
      <c r="F612" t="inlineStr">
        <is>
          <t>NORRBOTTENS LÄN</t>
        </is>
      </c>
      <c r="G612" t="inlineStr">
        <is>
          <t>BODEN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19051-2025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45764</v>
      </c>
      <c r="E613" s="1" t="n">
        <v>46234</v>
      </c>
      <c r="F613" t="inlineStr">
        <is>
          <t>NORRBOTTENS LÄN</t>
        </is>
      </c>
      <c r="G613" t="inlineStr">
        <is>
          <t>BODEN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14757-2023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45014</v>
      </c>
      <c r="E614" s="1" t="n">
        <v>46234</v>
      </c>
      <c r="F614" t="inlineStr">
        <is>
          <t>NORRBOTTENS LÄN</t>
        </is>
      </c>
      <c r="G614" t="inlineStr">
        <is>
          <t>BODEN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44964</v>
      </c>
      <c r="E615" s="1" t="n">
        <v>46234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19624-2025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45770</v>
      </c>
      <c r="E616" s="1" t="n">
        <v>46234</v>
      </c>
      <c r="F616" t="inlineStr">
        <is>
          <t>NORRBOTTENS LÄN</t>
        </is>
      </c>
      <c r="G616" t="inlineStr">
        <is>
          <t>BODEN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59893-2023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45254</v>
      </c>
      <c r="E617" s="1" t="n">
        <v>46234</v>
      </c>
      <c r="F617" t="inlineStr">
        <is>
          <t>NORRBOTTENS LÄN</t>
        </is>
      </c>
      <c r="G617" t="inlineStr">
        <is>
          <t>BODEN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57575-2025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45980</v>
      </c>
      <c r="E618" s="1" t="n">
        <v>46234</v>
      </c>
      <c r="F618" t="inlineStr">
        <is>
          <t>NORRBOTTENS LÄN</t>
        </is>
      </c>
      <c r="G618" t="inlineStr">
        <is>
          <t>BODEN</t>
        </is>
      </c>
      <c r="I618" t="n">
        <v>19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35040-2022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44796</v>
      </c>
      <c r="E619" s="1" t="n">
        <v>46234</v>
      </c>
      <c r="F619" t="inlineStr">
        <is>
          <t>NORRBOTTENS LÄN</t>
        </is>
      </c>
      <c r="G619" t="inlineStr">
        <is>
          <t>BODEN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17909-2026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46122</v>
      </c>
      <c r="E620" s="1" t="n">
        <v>46234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6.6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17810-2026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46122</v>
      </c>
      <c r="E621" s="1" t="n">
        <v>46234</v>
      </c>
      <c r="F621" t="inlineStr">
        <is>
          <t>NORRBOTTENS LÄN</t>
        </is>
      </c>
      <c r="G621" t="inlineStr">
        <is>
          <t>BODEN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5792-2025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45694</v>
      </c>
      <c r="E622" s="1" t="n">
        <v>46234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18221-2026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46126</v>
      </c>
      <c r="E623" s="1" t="n">
        <v>46234</v>
      </c>
      <c r="F623" t="inlineStr">
        <is>
          <t>NORRBOTTENS LÄN</t>
        </is>
      </c>
      <c r="G623" t="inlineStr">
        <is>
          <t>BODEN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18401-2026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46126</v>
      </c>
      <c r="E624" s="1" t="n">
        <v>46234</v>
      </c>
      <c r="F624" t="inlineStr">
        <is>
          <t>NORRBOTTENS LÄN</t>
        </is>
      </c>
      <c r="G624" t="inlineStr">
        <is>
          <t>BODEN</t>
        </is>
      </c>
      <c r="I624" t="n">
        <v>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33915-2024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45523</v>
      </c>
      <c r="E625" s="1" t="n">
        <v>46234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36112-2023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45149</v>
      </c>
      <c r="E626" s="1" t="n">
        <v>46234</v>
      </c>
      <c r="F626" t="inlineStr">
        <is>
          <t>NORRBOTTENS LÄN</t>
        </is>
      </c>
      <c r="G626" t="inlineStr">
        <is>
          <t>BODEN</t>
        </is>
      </c>
      <c r="I626" t="n">
        <v>16.1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20505-2023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45054</v>
      </c>
      <c r="E627" s="1" t="n">
        <v>46234</v>
      </c>
      <c r="F627" t="inlineStr">
        <is>
          <t>NORRBOTTENS LÄN</t>
        </is>
      </c>
      <c r="G627" t="inlineStr">
        <is>
          <t>BODEN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21335-2024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45429</v>
      </c>
      <c r="E628" s="1" t="n">
        <v>46234</v>
      </c>
      <c r="F628" t="inlineStr">
        <is>
          <t>NORRBOTTENS LÄN</t>
        </is>
      </c>
      <c r="G628" t="inlineStr">
        <is>
          <t>BODEN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46127</v>
      </c>
      <c r="E629" s="1" t="n">
        <v>46234</v>
      </c>
      <c r="F629" t="inlineStr">
        <is>
          <t>NORRBOTTENS LÄN</t>
        </is>
      </c>
      <c r="G629" t="inlineStr">
        <is>
          <t>BODEN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25916-2023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45085</v>
      </c>
      <c r="E630" s="1" t="n">
        <v>46234</v>
      </c>
      <c r="F630" t="inlineStr">
        <is>
          <t>NORRBOTTENS LÄN</t>
        </is>
      </c>
      <c r="G630" t="inlineStr">
        <is>
          <t>BODEN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19050-2026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46132</v>
      </c>
      <c r="E631" s="1" t="n">
        <v>46234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64649-2023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45281</v>
      </c>
      <c r="E632" s="1" t="n">
        <v>46234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19091-2026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46132</v>
      </c>
      <c r="E633" s="1" t="n">
        <v>46234</v>
      </c>
      <c r="F633" t="inlineStr">
        <is>
          <t>NORRBOTTENS LÄN</t>
        </is>
      </c>
      <c r="G633" t="inlineStr">
        <is>
          <t>BODEN</t>
        </is>
      </c>
      <c r="I633" t="n">
        <v>11.7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19200-2026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46234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19049-2026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46132</v>
      </c>
      <c r="E635" s="1" t="n">
        <v>46234</v>
      </c>
      <c r="F635" t="inlineStr">
        <is>
          <t>NORRBOTTENS LÄN</t>
        </is>
      </c>
      <c r="G635" t="inlineStr">
        <is>
          <t>BODEN</t>
        </is>
      </c>
      <c r="H635" t="inlineStr">
        <is>
          <t>SCA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62589-2025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46007</v>
      </c>
      <c r="E636" s="1" t="n">
        <v>46234</v>
      </c>
      <c r="F636" t="inlineStr">
        <is>
          <t>NORRBOTTENS LÄN</t>
        </is>
      </c>
      <c r="G636" t="inlineStr">
        <is>
          <t>BODEN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59028-2022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44903</v>
      </c>
      <c r="E637" s="1" t="n">
        <v>46234</v>
      </c>
      <c r="F637" t="inlineStr">
        <is>
          <t>NORRBOTTENS LÄN</t>
        </is>
      </c>
      <c r="G637" t="inlineStr">
        <is>
          <t>BODEN</t>
        </is>
      </c>
      <c r="I637" t="n">
        <v>16.1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49127-2023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45210</v>
      </c>
      <c r="E638" s="1" t="n">
        <v>46234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43007-2022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44833</v>
      </c>
      <c r="E639" s="1" t="n">
        <v>46234</v>
      </c>
      <c r="F639" t="inlineStr">
        <is>
          <t>NORRBOTTENS LÄN</t>
        </is>
      </c>
      <c r="G639" t="inlineStr">
        <is>
          <t>BODEN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20069-2026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46136</v>
      </c>
      <c r="E640" s="1" t="n">
        <v>46234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4.2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10254-2026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46234</v>
      </c>
      <c r="F641" t="inlineStr">
        <is>
          <t>NORRBOTTENS LÄN</t>
        </is>
      </c>
      <c r="G641" t="inlineStr">
        <is>
          <t>BODEN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67438-2021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44524</v>
      </c>
      <c r="E642" s="1" t="n">
        <v>46234</v>
      </c>
      <c r="F642" t="inlineStr">
        <is>
          <t>NORRBOTTENS LÄN</t>
        </is>
      </c>
      <c r="G642" t="inlineStr">
        <is>
          <t>BODEN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46512-2021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44445</v>
      </c>
      <c r="E643" s="1" t="n">
        <v>46234</v>
      </c>
      <c r="F643" t="inlineStr">
        <is>
          <t>NORRBOTTENS LÄN</t>
        </is>
      </c>
      <c r="G643" t="inlineStr">
        <is>
          <t>BODEN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49859-2023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45212</v>
      </c>
      <c r="E644" s="1" t="n">
        <v>46234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62017-2025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46003</v>
      </c>
      <c r="E645" s="1" t="n">
        <v>46234</v>
      </c>
      <c r="F645" t="inlineStr">
        <is>
          <t>NORRBOTTENS LÄN</t>
        </is>
      </c>
      <c r="G645" t="inlineStr">
        <is>
          <t>BODEN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57600-2021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44484</v>
      </c>
      <c r="E646" s="1" t="n">
        <v>46234</v>
      </c>
      <c r="F646" t="inlineStr">
        <is>
          <t>NORRBOTTENS LÄN</t>
        </is>
      </c>
      <c r="G646" t="inlineStr">
        <is>
          <t>BODEN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46029</v>
      </c>
      <c r="E647" s="1" t="n">
        <v>46234</v>
      </c>
      <c r="F647" t="inlineStr">
        <is>
          <t>NORRBOTTENS LÄN</t>
        </is>
      </c>
      <c r="G647" t="inlineStr">
        <is>
          <t>BODEN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21421-2022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44706</v>
      </c>
      <c r="E648" s="1" t="n">
        <v>46234</v>
      </c>
      <c r="F648" t="inlineStr">
        <is>
          <t>NORRBOTTENS LÄN</t>
        </is>
      </c>
      <c r="G648" t="inlineStr">
        <is>
          <t>BODEN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28432-2022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44747</v>
      </c>
      <c r="E649" s="1" t="n">
        <v>46234</v>
      </c>
      <c r="F649" t="inlineStr">
        <is>
          <t>NORRBOTTENS LÄN</t>
        </is>
      </c>
      <c r="G649" t="inlineStr">
        <is>
          <t>BODEN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16741-2022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44673</v>
      </c>
      <c r="E650" s="1" t="n">
        <v>46234</v>
      </c>
      <c r="F650" t="inlineStr">
        <is>
          <t>NORRBOTTENS LÄN</t>
        </is>
      </c>
      <c r="G650" t="inlineStr">
        <is>
          <t>BODEN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60776-2025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45999</v>
      </c>
      <c r="E651" s="1" t="n">
        <v>46234</v>
      </c>
      <c r="F651" t="inlineStr">
        <is>
          <t>NORRBOTTENS LÄN</t>
        </is>
      </c>
      <c r="G651" t="inlineStr">
        <is>
          <t>BODEN</t>
        </is>
      </c>
      <c r="I651" t="n">
        <v>9.6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38994-2024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45548</v>
      </c>
      <c r="E652" s="1" t="n">
        <v>46234</v>
      </c>
      <c r="F652" t="inlineStr">
        <is>
          <t>NORRBOTTENS LÄN</t>
        </is>
      </c>
      <c r="G652" t="inlineStr">
        <is>
          <t>BODEN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46003</v>
      </c>
      <c r="E653" s="1" t="n">
        <v>46234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14995-2022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44657</v>
      </c>
      <c r="E654" s="1" t="n">
        <v>46234</v>
      </c>
      <c r="F654" t="inlineStr">
        <is>
          <t>NORRBOTTENS LÄN</t>
        </is>
      </c>
      <c r="G654" t="inlineStr">
        <is>
          <t>BODEN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15000-2022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44657</v>
      </c>
      <c r="E655" s="1" t="n">
        <v>46234</v>
      </c>
      <c r="F655" t="inlineStr">
        <is>
          <t>NORRBOTTENS LÄN</t>
        </is>
      </c>
      <c r="G655" t="inlineStr">
        <is>
          <t>BODEN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16700-2024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45408</v>
      </c>
      <c r="E656" s="1" t="n">
        <v>46234</v>
      </c>
      <c r="F656" t="inlineStr">
        <is>
          <t>NORRBOTTENS LÄN</t>
        </is>
      </c>
      <c r="G656" t="inlineStr">
        <is>
          <t>BODEN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6776-2023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46234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50561-2025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45944</v>
      </c>
      <c r="E658" s="1" t="n">
        <v>46234</v>
      </c>
      <c r="F658" t="inlineStr">
        <is>
          <t>NORRBOTTENS LÄN</t>
        </is>
      </c>
      <c r="G658" t="inlineStr">
        <is>
          <t>BODEN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35755-2025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45860</v>
      </c>
      <c r="E659" s="1" t="n">
        <v>46234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48592-2024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45593</v>
      </c>
      <c r="E660" s="1" t="n">
        <v>46234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48459-2025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45935</v>
      </c>
      <c r="E661" s="1" t="n">
        <v>46234</v>
      </c>
      <c r="F661" t="inlineStr">
        <is>
          <t>NORRBOTTENS LÄN</t>
        </is>
      </c>
      <c r="G661" t="inlineStr">
        <is>
          <t>BODEN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19528-2024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45429</v>
      </c>
      <c r="E662" s="1" t="n">
        <v>46234</v>
      </c>
      <c r="F662" t="inlineStr">
        <is>
          <t>NORRBOTTENS LÄN</t>
        </is>
      </c>
      <c r="G662" t="inlineStr">
        <is>
          <t>BODEN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19533-2024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45429</v>
      </c>
      <c r="E663" s="1" t="n">
        <v>46234</v>
      </c>
      <c r="F663" t="inlineStr">
        <is>
          <t>NORRBOTTENS LÄN</t>
        </is>
      </c>
      <c r="G663" t="inlineStr">
        <is>
          <t>BODEN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25920-2023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45085</v>
      </c>
      <c r="E664" s="1" t="n">
        <v>46234</v>
      </c>
      <c r="F664" t="inlineStr">
        <is>
          <t>NORRBOTTENS LÄN</t>
        </is>
      </c>
      <c r="G664" t="inlineStr">
        <is>
          <t>BODEN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32775-2025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45839</v>
      </c>
      <c r="E665" s="1" t="n">
        <v>46234</v>
      </c>
      <c r="F665" t="inlineStr">
        <is>
          <t>NORRBOTTENS LÄN</t>
        </is>
      </c>
      <c r="G665" t="inlineStr">
        <is>
          <t>BODEN</t>
        </is>
      </c>
      <c r="I665" t="n">
        <v>13.6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29377-2024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45483</v>
      </c>
      <c r="E666" s="1" t="n">
        <v>46234</v>
      </c>
      <c r="F666" t="inlineStr">
        <is>
          <t>NORRBOTTENS LÄN</t>
        </is>
      </c>
      <c r="G666" t="inlineStr">
        <is>
          <t>BODEN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36915-2023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45153</v>
      </c>
      <c r="E667" s="1" t="n">
        <v>46234</v>
      </c>
      <c r="F667" t="inlineStr">
        <is>
          <t>NORRBOTTENS LÄN</t>
        </is>
      </c>
      <c r="G667" t="inlineStr">
        <is>
          <t>BODEN</t>
        </is>
      </c>
      <c r="I667" t="n">
        <v>7.5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46029</v>
      </c>
      <c r="E668" s="1" t="n">
        <v>46234</v>
      </c>
      <c r="F668" t="inlineStr">
        <is>
          <t>NORRBOTTENS LÄN</t>
        </is>
      </c>
      <c r="G668" t="inlineStr">
        <is>
          <t>BODEN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31754-2024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45509</v>
      </c>
      <c r="E669" s="1" t="n">
        <v>46234</v>
      </c>
      <c r="F669" t="inlineStr">
        <is>
          <t>NORRBOTTENS LÄN</t>
        </is>
      </c>
      <c r="G669" t="inlineStr">
        <is>
          <t>BODEN</t>
        </is>
      </c>
      <c r="I669" t="n">
        <v>11.1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47024-2024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45586</v>
      </c>
      <c r="E670" s="1" t="n">
        <v>46234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12.8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59688-2023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45256</v>
      </c>
      <c r="E671" s="1" t="n">
        <v>46234</v>
      </c>
      <c r="F671" t="inlineStr">
        <is>
          <t>NORRBOTTENS LÄN</t>
        </is>
      </c>
      <c r="G671" t="inlineStr">
        <is>
          <t>BODEN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42196-2024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45562</v>
      </c>
      <c r="E672" s="1" t="n">
        <v>46234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61932-2024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45653</v>
      </c>
      <c r="E673" s="1" t="n">
        <v>46234</v>
      </c>
      <c r="F673" t="inlineStr">
        <is>
          <t>NORRBOTTENS LÄN</t>
        </is>
      </c>
      <c r="G673" t="inlineStr">
        <is>
          <t>BODEN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57968-2023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45247</v>
      </c>
      <c r="E674" s="1" t="n">
        <v>46234</v>
      </c>
      <c r="F674" t="inlineStr">
        <is>
          <t>NORRBOTTENS LÄN</t>
        </is>
      </c>
      <c r="G674" t="inlineStr">
        <is>
          <t>BODEN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31007-2024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45499</v>
      </c>
      <c r="E675" s="1" t="n">
        <v>46234</v>
      </c>
      <c r="F675" t="inlineStr">
        <is>
          <t>NORRBOTTENS LÄN</t>
        </is>
      </c>
      <c r="G675" t="inlineStr">
        <is>
          <t>BODEN</t>
        </is>
      </c>
      <c r="I675" t="n">
        <v>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11634-2026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46084</v>
      </c>
      <c r="E676" s="1" t="n">
        <v>46234</v>
      </c>
      <c r="F676" t="inlineStr">
        <is>
          <t>NORRBOTTENS LÄN</t>
        </is>
      </c>
      <c r="G676" t="inlineStr">
        <is>
          <t>BODEN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37384-2023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45156</v>
      </c>
      <c r="E677" s="1" t="n">
        <v>46234</v>
      </c>
      <c r="F677" t="inlineStr">
        <is>
          <t>NORRBOTTENS LÄN</t>
        </is>
      </c>
      <c r="G677" t="inlineStr">
        <is>
          <t>BODEN</t>
        </is>
      </c>
      <c r="I677" t="n">
        <v>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10240-2026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46076</v>
      </c>
      <c r="E678" s="1" t="n">
        <v>46234</v>
      </c>
      <c r="F678" t="inlineStr">
        <is>
          <t>NORRBOTTENS LÄN</t>
        </is>
      </c>
      <c r="G678" t="inlineStr">
        <is>
          <t>BODEN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31195-2025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45832</v>
      </c>
      <c r="E679" s="1" t="n">
        <v>46234</v>
      </c>
      <c r="F679" t="inlineStr">
        <is>
          <t>NORRBOTTENS LÄN</t>
        </is>
      </c>
      <c r="G679" t="inlineStr">
        <is>
          <t>BODEN</t>
        </is>
      </c>
      <c r="I679" t="n">
        <v>8.9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28248-2025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45818</v>
      </c>
      <c r="E680" s="1" t="n">
        <v>46234</v>
      </c>
      <c r="F680" t="inlineStr">
        <is>
          <t>NORRBOTTENS LÄN</t>
        </is>
      </c>
      <c r="G680" t="inlineStr">
        <is>
          <t>BODEN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61214-2024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45645</v>
      </c>
      <c r="E681" s="1" t="n">
        <v>46234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12893-2022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44642</v>
      </c>
      <c r="E682" s="1" t="n">
        <v>46234</v>
      </c>
      <c r="F682" t="inlineStr">
        <is>
          <t>NORRBOTTENS LÄN</t>
        </is>
      </c>
      <c r="G682" t="inlineStr">
        <is>
          <t>BODEN</t>
        </is>
      </c>
      <c r="H682" t="inlineStr">
        <is>
          <t>Övriga statliga verk och myndigheter</t>
        </is>
      </c>
      <c r="I682" t="n">
        <v>15.8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22458-2023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45070</v>
      </c>
      <c r="E683" s="1" t="n">
        <v>46234</v>
      </c>
      <c r="F683" t="inlineStr">
        <is>
          <t>NORRBOTTENS LÄN</t>
        </is>
      </c>
      <c r="G683" t="inlineStr">
        <is>
          <t>BODEN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58373-2022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44901</v>
      </c>
      <c r="E684" s="1" t="n">
        <v>46234</v>
      </c>
      <c r="F684" t="inlineStr">
        <is>
          <t>NORRBOTTENS LÄN</t>
        </is>
      </c>
      <c r="G684" t="inlineStr">
        <is>
          <t>BODEN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45929-2023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45195</v>
      </c>
      <c r="E685" s="1" t="n">
        <v>46234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21279-2026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46234</v>
      </c>
      <c r="F686" t="inlineStr">
        <is>
          <t>NORRBOTTENS LÄN</t>
        </is>
      </c>
      <c r="G686" t="inlineStr">
        <is>
          <t>BODEN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40115-2025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45893</v>
      </c>
      <c r="E687" s="1" t="n">
        <v>46234</v>
      </c>
      <c r="F687" t="inlineStr">
        <is>
          <t>NORRBOTTENS LÄN</t>
        </is>
      </c>
      <c r="G687" t="inlineStr">
        <is>
          <t>BODEN</t>
        </is>
      </c>
      <c r="H687" t="inlineStr">
        <is>
          <t>Övriga statliga verk och myndigheter</t>
        </is>
      </c>
      <c r="I687" t="n">
        <v>5.1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61750-2024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45649</v>
      </c>
      <c r="E688" s="1" t="n">
        <v>46234</v>
      </c>
      <c r="F688" t="inlineStr">
        <is>
          <t>NORRBOTTENS LÄN</t>
        </is>
      </c>
      <c r="G688" t="inlineStr">
        <is>
          <t>BODEN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33511-2025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45841</v>
      </c>
      <c r="E689" s="1" t="n">
        <v>46234</v>
      </c>
      <c r="F689" t="inlineStr">
        <is>
          <t>NORRBOTTENS LÄN</t>
        </is>
      </c>
      <c r="G689" t="inlineStr">
        <is>
          <t>BODEN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47922-2024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45589</v>
      </c>
      <c r="E690" s="1" t="n">
        <v>46234</v>
      </c>
      <c r="F690" t="inlineStr">
        <is>
          <t>NORRBOTTENS LÄN</t>
        </is>
      </c>
      <c r="G690" t="inlineStr">
        <is>
          <t>BODEN</t>
        </is>
      </c>
      <c r="H690" t="inlineStr">
        <is>
          <t>Naturvårdsverket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47924-2024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45589</v>
      </c>
      <c r="E691" s="1" t="n">
        <v>46234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46148</v>
      </c>
      <c r="E692" s="1" t="n">
        <v>46234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21688-2026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46149</v>
      </c>
      <c r="E693" s="1" t="n">
        <v>46234</v>
      </c>
      <c r="F693" t="inlineStr">
        <is>
          <t>NORRBOTTENS LÄN</t>
        </is>
      </c>
      <c r="G693" t="inlineStr">
        <is>
          <t>BODEN</t>
        </is>
      </c>
      <c r="I693" t="n">
        <v>11.6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24744-2024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45460</v>
      </c>
      <c r="E694" s="1" t="n">
        <v>46234</v>
      </c>
      <c r="F694" t="inlineStr">
        <is>
          <t>NORRBOTTENS LÄN</t>
        </is>
      </c>
      <c r="G694" t="inlineStr">
        <is>
          <t>BODEN</t>
        </is>
      </c>
      <c r="H694" t="inlineStr">
        <is>
          <t>Övriga Aktiebolag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21610-2026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46149</v>
      </c>
      <c r="E695" s="1" t="n">
        <v>46234</v>
      </c>
      <c r="F695" t="inlineStr">
        <is>
          <t>NORRBOTTENS LÄN</t>
        </is>
      </c>
      <c r="G695" t="inlineStr">
        <is>
          <t>BODEN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21703-2026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46149</v>
      </c>
      <c r="E696" s="1" t="n">
        <v>46234</v>
      </c>
      <c r="F696" t="inlineStr">
        <is>
          <t>NORRBOTTENS LÄN</t>
        </is>
      </c>
      <c r="G696" t="inlineStr">
        <is>
          <t>BODEN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27749-2026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46191</v>
      </c>
      <c r="E697" s="1" t="n">
        <v>46234</v>
      </c>
      <c r="F697" t="inlineStr">
        <is>
          <t>NORRBOTTENS LÄN</t>
        </is>
      </c>
      <c r="G697" t="inlineStr">
        <is>
          <t>BODEN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22264-2026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46150</v>
      </c>
      <c r="E698" s="1" t="n">
        <v>46234</v>
      </c>
      <c r="F698" t="inlineStr">
        <is>
          <t>NORRBOTTENS LÄN</t>
        </is>
      </c>
      <c r="G698" t="inlineStr">
        <is>
          <t>BODEN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8028-2024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45350</v>
      </c>
      <c r="E699" s="1" t="n">
        <v>46234</v>
      </c>
      <c r="F699" t="inlineStr">
        <is>
          <t>NORRBOTTENS LÄN</t>
        </is>
      </c>
      <c r="G699" t="inlineStr">
        <is>
          <t>BODEN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22259-2026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46150</v>
      </c>
      <c r="E700" s="1" t="n">
        <v>46234</v>
      </c>
      <c r="F700" t="inlineStr">
        <is>
          <t>NORRBOTTENS LÄN</t>
        </is>
      </c>
      <c r="G700" t="inlineStr">
        <is>
          <t>BODEN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25627-2022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44732</v>
      </c>
      <c r="E701" s="1" t="n">
        <v>46234</v>
      </c>
      <c r="F701" t="inlineStr">
        <is>
          <t>NORRBOTTENS LÄN</t>
        </is>
      </c>
      <c r="G701" t="inlineStr">
        <is>
          <t>BODEN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2732-2025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45677</v>
      </c>
      <c r="E702" s="1" t="n">
        <v>46234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61107-2022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44908</v>
      </c>
      <c r="E703" s="1" t="n">
        <v>46234</v>
      </c>
      <c r="F703" t="inlineStr">
        <is>
          <t>NORRBOTTENS LÄN</t>
        </is>
      </c>
      <c r="G703" t="inlineStr">
        <is>
          <t>BODEN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50327-2023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45216</v>
      </c>
      <c r="E704" s="1" t="n">
        <v>46234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4.3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24400-2022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44726</v>
      </c>
      <c r="E705" s="1" t="n">
        <v>46234</v>
      </c>
      <c r="F705" t="inlineStr">
        <is>
          <t>NORRBOTTENS LÄN</t>
        </is>
      </c>
      <c r="G705" t="inlineStr">
        <is>
          <t>BODEN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706-2022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44566</v>
      </c>
      <c r="E706" s="1" t="n">
        <v>46234</v>
      </c>
      <c r="F706" t="inlineStr">
        <is>
          <t>NORRBOTTENS LÄN</t>
        </is>
      </c>
      <c r="G706" t="inlineStr">
        <is>
          <t>BODEN</t>
        </is>
      </c>
      <c r="I706" t="n">
        <v>12.4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21784-2026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46150</v>
      </c>
      <c r="E707" s="1" t="n">
        <v>46234</v>
      </c>
      <c r="F707" t="inlineStr">
        <is>
          <t>NORRBOTTENS LÄN</t>
        </is>
      </c>
      <c r="G707" t="inlineStr">
        <is>
          <t>BODEN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45035-2022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44841</v>
      </c>
      <c r="E708" s="1" t="n">
        <v>46234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16699-2024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45408</v>
      </c>
      <c r="E709" s="1" t="n">
        <v>46234</v>
      </c>
      <c r="F709" t="inlineStr">
        <is>
          <t>NORRBOTTENS LÄN</t>
        </is>
      </c>
      <c r="G709" t="inlineStr">
        <is>
          <t>BODEN</t>
        </is>
      </c>
      <c r="I709" t="n">
        <v>14.9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22373-2026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46154</v>
      </c>
      <c r="E710" s="1" t="n">
        <v>46234</v>
      </c>
      <c r="F710" t="inlineStr">
        <is>
          <t>NORRBOTTENS LÄN</t>
        </is>
      </c>
      <c r="G710" t="inlineStr">
        <is>
          <t>BODEN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61587-2024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45646</v>
      </c>
      <c r="E711" s="1" t="n">
        <v>46234</v>
      </c>
      <c r="F711" t="inlineStr">
        <is>
          <t>NORRBOTTENS LÄN</t>
        </is>
      </c>
      <c r="G711" t="inlineStr">
        <is>
          <t>BODEN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8873-2024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45356</v>
      </c>
      <c r="E712" s="1" t="n">
        <v>46234</v>
      </c>
      <c r="F712" t="inlineStr">
        <is>
          <t>NORRBOTTENS LÄN</t>
        </is>
      </c>
      <c r="G712" t="inlineStr">
        <is>
          <t>BODEN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22560-2026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46234</v>
      </c>
      <c r="F713" t="inlineStr">
        <is>
          <t>NORRBOTTENS LÄN</t>
        </is>
      </c>
      <c r="G713" t="inlineStr">
        <is>
          <t>BODEN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60085-2024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45639</v>
      </c>
      <c r="E714" s="1" t="n">
        <v>46234</v>
      </c>
      <c r="F714" t="inlineStr">
        <is>
          <t>NORRBOTTENS LÄN</t>
        </is>
      </c>
      <c r="G714" t="inlineStr">
        <is>
          <t>BODEN</t>
        </is>
      </c>
      <c r="I714" t="n">
        <v>9.5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22239-2026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46154</v>
      </c>
      <c r="E715" s="1" t="n">
        <v>46234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28496-2026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46197</v>
      </c>
      <c r="E716" s="1" t="n">
        <v>46234</v>
      </c>
      <c r="F716" t="inlineStr">
        <is>
          <t>NORRBOTTENS LÄN</t>
        </is>
      </c>
      <c r="G716" t="inlineStr">
        <is>
          <t>BODEN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28509-2026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46234</v>
      </c>
      <c r="F717" t="inlineStr">
        <is>
          <t>NORRBOTTENS LÄN</t>
        </is>
      </c>
      <c r="G717" t="inlineStr">
        <is>
          <t>BODEN</t>
        </is>
      </c>
      <c r="I717" t="n">
        <v>8.9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45115-2021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44438</v>
      </c>
      <c r="E718" s="1" t="n">
        <v>46234</v>
      </c>
      <c r="F718" t="inlineStr">
        <is>
          <t>NORRBOTTENS LÄN</t>
        </is>
      </c>
      <c r="G718" t="inlineStr">
        <is>
          <t>BODEN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59035-2025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45988</v>
      </c>
      <c r="E719" s="1" t="n">
        <v>46234</v>
      </c>
      <c r="F719" t="inlineStr">
        <is>
          <t>NORRBOTTENS LÄN</t>
        </is>
      </c>
      <c r="G719" t="inlineStr">
        <is>
          <t>BODEN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28566-2026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46197</v>
      </c>
      <c r="E720" s="1" t="n">
        <v>46234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19068-2024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45427</v>
      </c>
      <c r="E721" s="1" t="n">
        <v>46234</v>
      </c>
      <c r="F721" t="inlineStr">
        <is>
          <t>NORRBOTTENS LÄN</t>
        </is>
      </c>
      <c r="G721" t="inlineStr">
        <is>
          <t>BODEN</t>
        </is>
      </c>
      <c r="I721" t="n">
        <v>22.1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26022-2022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44734</v>
      </c>
      <c r="E722" s="1" t="n">
        <v>46234</v>
      </c>
      <c r="F722" t="inlineStr">
        <is>
          <t>NORRBOTTENS LÄN</t>
        </is>
      </c>
      <c r="G722" t="inlineStr">
        <is>
          <t>BODEN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28512-2026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46197</v>
      </c>
      <c r="E723" s="1" t="n">
        <v>46234</v>
      </c>
      <c r="F723" t="inlineStr">
        <is>
          <t>NORRBOTTENS LÄN</t>
        </is>
      </c>
      <c r="G723" t="inlineStr">
        <is>
          <t>BODEN</t>
        </is>
      </c>
      <c r="I723" t="n">
        <v>10.8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61969-2024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45653</v>
      </c>
      <c r="E724" s="1" t="n">
        <v>46234</v>
      </c>
      <c r="F724" t="inlineStr">
        <is>
          <t>NORRBOTTENS LÄN</t>
        </is>
      </c>
      <c r="G724" t="inlineStr">
        <is>
          <t>BODEN</t>
        </is>
      </c>
      <c r="I724" t="n">
        <v>9.699999999999999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21329-2024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45440</v>
      </c>
      <c r="E725" s="1" t="n">
        <v>46234</v>
      </c>
      <c r="F725" t="inlineStr">
        <is>
          <t>NORRBOTTENS LÄN</t>
        </is>
      </c>
      <c r="G725" t="inlineStr">
        <is>
          <t>BODEN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19584-2025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45770</v>
      </c>
      <c r="E726" s="1" t="n">
        <v>46234</v>
      </c>
      <c r="F726" t="inlineStr">
        <is>
          <t>NORRBOTTENS LÄN</t>
        </is>
      </c>
      <c r="G726" t="inlineStr">
        <is>
          <t>BODEN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37866-2024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45544</v>
      </c>
      <c r="E727" s="1" t="n">
        <v>46234</v>
      </c>
      <c r="F727" t="inlineStr">
        <is>
          <t>NORRBOTTENS LÄN</t>
        </is>
      </c>
      <c r="G727" t="inlineStr">
        <is>
          <t>BODEN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46029</v>
      </c>
      <c r="E728" s="1" t="n">
        <v>46234</v>
      </c>
      <c r="F728" t="inlineStr">
        <is>
          <t>NORRBOTTENS LÄN</t>
        </is>
      </c>
      <c r="G728" t="inlineStr">
        <is>
          <t>BODEN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28490-2026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46197</v>
      </c>
      <c r="E729" s="1" t="n">
        <v>46234</v>
      </c>
      <c r="F729" t="inlineStr">
        <is>
          <t>NORRBOTTENS LÄN</t>
        </is>
      </c>
      <c r="G729" t="inlineStr">
        <is>
          <t>BODEN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34760-2022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44795</v>
      </c>
      <c r="E730" s="1" t="n">
        <v>46234</v>
      </c>
      <c r="F730" t="inlineStr">
        <is>
          <t>NORRBOTTENS LÄN</t>
        </is>
      </c>
      <c r="G730" t="inlineStr">
        <is>
          <t>BODEN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28241-2026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46196</v>
      </c>
      <c r="E731" s="1" t="n">
        <v>46234</v>
      </c>
      <c r="F731" t="inlineStr">
        <is>
          <t>NORRBOTTENS LÄN</t>
        </is>
      </c>
      <c r="G731" t="inlineStr">
        <is>
          <t>BODEN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38874-2023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45161</v>
      </c>
      <c r="E732" s="1" t="n">
        <v>46234</v>
      </c>
      <c r="F732" t="inlineStr">
        <is>
          <t>NORRBOTTENS LÄN</t>
        </is>
      </c>
      <c r="G732" t="inlineStr">
        <is>
          <t>BODEN</t>
        </is>
      </c>
      <c r="I732" t="n">
        <v>15.5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28615-2026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46197</v>
      </c>
      <c r="E733" s="1" t="n">
        <v>46234</v>
      </c>
      <c r="F733" t="inlineStr">
        <is>
          <t>NORRBOTTENS LÄN</t>
        </is>
      </c>
      <c r="G733" t="inlineStr">
        <is>
          <t>BODEN</t>
        </is>
      </c>
      <c r="I733" t="n">
        <v>6.1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60337-2024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45643</v>
      </c>
      <c r="E734" s="1" t="n">
        <v>46234</v>
      </c>
      <c r="F734" t="inlineStr">
        <is>
          <t>NORRBOTTENS LÄN</t>
        </is>
      </c>
      <c r="G734" t="inlineStr">
        <is>
          <t>BODEN</t>
        </is>
      </c>
      <c r="I734" t="n">
        <v>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29183-2026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46202</v>
      </c>
      <c r="E735" s="1" t="n">
        <v>46234</v>
      </c>
      <c r="F735" t="inlineStr">
        <is>
          <t>NORRBOTTENS LÄN</t>
        </is>
      </c>
      <c r="G735" t="inlineStr">
        <is>
          <t>BODEN</t>
        </is>
      </c>
      <c r="I735" t="n">
        <v>5.5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28139-2025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45818</v>
      </c>
      <c r="E736" s="1" t="n">
        <v>46234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11.3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15157-2025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45744</v>
      </c>
      <c r="E737" s="1" t="n">
        <v>46234</v>
      </c>
      <c r="F737" t="inlineStr">
        <is>
          <t>NORRBOTTENS LÄN</t>
        </is>
      </c>
      <c r="G737" t="inlineStr">
        <is>
          <t>BODEN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45691</v>
      </c>
      <c r="E738" s="1" t="n">
        <v>46234</v>
      </c>
      <c r="F738" t="inlineStr">
        <is>
          <t>NORRBOTTENS LÄN</t>
        </is>
      </c>
      <c r="G738" t="inlineStr">
        <is>
          <t>BODEN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29394-2026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46203</v>
      </c>
      <c r="E739" s="1" t="n">
        <v>46234</v>
      </c>
      <c r="F739" t="inlineStr">
        <is>
          <t>NORRBOTTENS LÄN</t>
        </is>
      </c>
      <c r="G739" t="inlineStr">
        <is>
          <t>BODEN</t>
        </is>
      </c>
      <c r="I739" t="n">
        <v>6.2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45448-2023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45194</v>
      </c>
      <c r="E740" s="1" t="n">
        <v>46234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61103-2022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44908</v>
      </c>
      <c r="E741" s="1" t="n">
        <v>46234</v>
      </c>
      <c r="F741" t="inlineStr">
        <is>
          <t>NORRBOTTENS LÄN</t>
        </is>
      </c>
      <c r="G741" t="inlineStr">
        <is>
          <t>BODEN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29393-2026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46203</v>
      </c>
      <c r="E742" s="1" t="n">
        <v>46234</v>
      </c>
      <c r="F742" t="inlineStr">
        <is>
          <t>NORRBOTTENS LÄN</t>
        </is>
      </c>
      <c r="G742" t="inlineStr">
        <is>
          <t>BODEN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9319-2024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45358</v>
      </c>
      <c r="E743" s="1" t="n">
        <v>46234</v>
      </c>
      <c r="F743" t="inlineStr">
        <is>
          <t>NORRBOTTENS LÄN</t>
        </is>
      </c>
      <c r="G743" t="inlineStr">
        <is>
          <t>BODEN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37212-2025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45875</v>
      </c>
      <c r="E744" s="1" t="n">
        <v>46234</v>
      </c>
      <c r="F744" t="inlineStr">
        <is>
          <t>NORRBOTTENS LÄN</t>
        </is>
      </c>
      <c r="G744" t="inlineStr">
        <is>
          <t>BODEN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29152-2026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46202</v>
      </c>
      <c r="E745" s="1" t="n">
        <v>46234</v>
      </c>
      <c r="F745" t="inlineStr">
        <is>
          <t>NORRBOTTENS LÄN</t>
        </is>
      </c>
      <c r="G745" t="inlineStr">
        <is>
          <t>BODEN</t>
        </is>
      </c>
      <c r="H745" t="inlineStr">
        <is>
          <t>Sveaskog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29155-2026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46202</v>
      </c>
      <c r="E746" s="1" t="n">
        <v>46234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29147-2026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46202</v>
      </c>
      <c r="E747" s="1" t="n">
        <v>46234</v>
      </c>
      <c r="F747" t="inlineStr">
        <is>
          <t>NORRBOTTENS LÄN</t>
        </is>
      </c>
      <c r="G747" t="inlineStr">
        <is>
          <t>BODEN</t>
        </is>
      </c>
      <c r="H747" t="inlineStr">
        <is>
          <t>Sveaskog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3459-2025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45680</v>
      </c>
      <c r="E748" s="1" t="n">
        <v>46234</v>
      </c>
      <c r="F748" t="inlineStr">
        <is>
          <t>NORRBOTTENS LÄN</t>
        </is>
      </c>
      <c r="G748" t="inlineStr">
        <is>
          <t>BODEN</t>
        </is>
      </c>
      <c r="H748" t="inlineStr">
        <is>
          <t>Naturvårdsverket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29746-2026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46204</v>
      </c>
      <c r="E749" s="1" t="n">
        <v>46234</v>
      </c>
      <c r="F749" t="inlineStr">
        <is>
          <t>NORRBOTTENS LÄN</t>
        </is>
      </c>
      <c r="G749" t="inlineStr">
        <is>
          <t>BODEN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43648-2023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45187</v>
      </c>
      <c r="E750" s="1" t="n">
        <v>46234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29555-2026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46204</v>
      </c>
      <c r="E751" s="1" t="n">
        <v>46234</v>
      </c>
      <c r="F751" t="inlineStr">
        <is>
          <t>NORRBOTTENS LÄN</t>
        </is>
      </c>
      <c r="G751" t="inlineStr">
        <is>
          <t>BODEN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55540-2022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44887</v>
      </c>
      <c r="E752" s="1" t="n">
        <v>46234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39463-2023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45166</v>
      </c>
      <c r="E753" s="1" t="n">
        <v>46234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29759-2026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46204</v>
      </c>
      <c r="E754" s="1" t="n">
        <v>46234</v>
      </c>
      <c r="F754" t="inlineStr">
        <is>
          <t>NORRBOTTENS LÄN</t>
        </is>
      </c>
      <c r="G754" t="inlineStr">
        <is>
          <t>BODEN</t>
        </is>
      </c>
      <c r="I754" t="n">
        <v>38.7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61921-2024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45653</v>
      </c>
      <c r="E755" s="1" t="n">
        <v>46234</v>
      </c>
      <c r="F755" t="inlineStr">
        <is>
          <t>NORRBOTTENS LÄN</t>
        </is>
      </c>
      <c r="G755" t="inlineStr">
        <is>
          <t>BODEN</t>
        </is>
      </c>
      <c r="I755" t="n">
        <v>47.3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41212-2023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45174</v>
      </c>
      <c r="E756" s="1" t="n">
        <v>46234</v>
      </c>
      <c r="F756" t="inlineStr">
        <is>
          <t>NORRBOTTENS LÄN</t>
        </is>
      </c>
      <c r="G756" t="inlineStr">
        <is>
          <t>BODEN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29568-2026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46204</v>
      </c>
      <c r="E757" s="1" t="n">
        <v>46234</v>
      </c>
      <c r="F757" t="inlineStr">
        <is>
          <t>NORRBOTTENS LÄN</t>
        </is>
      </c>
      <c r="G757" t="inlineStr">
        <is>
          <t>BODEN</t>
        </is>
      </c>
      <c r="I757" t="n">
        <v>12.2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4055-2024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45323</v>
      </c>
      <c r="E758" s="1" t="n">
        <v>46234</v>
      </c>
      <c r="F758" t="inlineStr">
        <is>
          <t>NORRBOTTENS LÄN</t>
        </is>
      </c>
      <c r="G758" t="inlineStr">
        <is>
          <t>BODEN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877-2023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44931</v>
      </c>
      <c r="E759" s="1" t="n">
        <v>46234</v>
      </c>
      <c r="F759" t="inlineStr">
        <is>
          <t>NORRBOTTENS LÄN</t>
        </is>
      </c>
      <c r="G759" t="inlineStr">
        <is>
          <t>BODEN</t>
        </is>
      </c>
      <c r="I759" t="n">
        <v>8.699999999999999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12801-2023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45001</v>
      </c>
      <c r="E760" s="1" t="n">
        <v>46234</v>
      </c>
      <c r="F760" t="inlineStr">
        <is>
          <t>NORRBOTTENS LÄN</t>
        </is>
      </c>
      <c r="G760" t="inlineStr">
        <is>
          <t>BODEN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20041-2025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45772</v>
      </c>
      <c r="E761" s="1" t="n">
        <v>46234</v>
      </c>
      <c r="F761" t="inlineStr">
        <is>
          <t>NORRBOTTENS LÄN</t>
        </is>
      </c>
      <c r="G761" t="inlineStr">
        <is>
          <t>BODEN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19582-2025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45770</v>
      </c>
      <c r="E762" s="1" t="n">
        <v>46234</v>
      </c>
      <c r="F762" t="inlineStr">
        <is>
          <t>NORRBOTTENS LÄN</t>
        </is>
      </c>
      <c r="G762" t="inlineStr">
        <is>
          <t>BODEN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8170-2025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45708</v>
      </c>
      <c r="E763" s="1" t="n">
        <v>46234</v>
      </c>
      <c r="F763" t="inlineStr">
        <is>
          <t>NORRBOTTENS LÄN</t>
        </is>
      </c>
      <c r="G763" t="inlineStr">
        <is>
          <t>BODEN</t>
        </is>
      </c>
      <c r="H763" t="inlineStr">
        <is>
          <t>Övriga Aktiebolag</t>
        </is>
      </c>
      <c r="I763" t="n">
        <v>15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2547-2025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45674</v>
      </c>
      <c r="E764" s="1" t="n">
        <v>46234</v>
      </c>
      <c r="F764" t="inlineStr">
        <is>
          <t>NORRBOTTENS LÄN</t>
        </is>
      </c>
      <c r="G764" t="inlineStr">
        <is>
          <t>BODEN</t>
        </is>
      </c>
      <c r="I764" t="n">
        <v>7.2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30077-2026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46206</v>
      </c>
      <c r="E765" s="1" t="n">
        <v>46234</v>
      </c>
      <c r="F765" t="inlineStr">
        <is>
          <t>NORRBOTTENS LÄN</t>
        </is>
      </c>
      <c r="G765" t="inlineStr">
        <is>
          <t>BODEN</t>
        </is>
      </c>
      <c r="H765" t="inlineStr">
        <is>
          <t>SCA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6242-2023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44964</v>
      </c>
      <c r="E766" s="1" t="n">
        <v>46234</v>
      </c>
      <c r="F766" t="inlineStr">
        <is>
          <t>NORRBOTTENS LÄN</t>
        </is>
      </c>
      <c r="G766" t="inlineStr">
        <is>
          <t>BODEN</t>
        </is>
      </c>
      <c r="H766" t="inlineStr">
        <is>
          <t>SCA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40157-2025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45894</v>
      </c>
      <c r="E767" s="1" t="n">
        <v>46234</v>
      </c>
      <c r="F767" t="inlineStr">
        <is>
          <t>NORRBOTTENS LÄN</t>
        </is>
      </c>
      <c r="G767" t="inlineStr">
        <is>
          <t>BODEN</t>
        </is>
      </c>
      <c r="H767" t="inlineStr">
        <is>
          <t>Övriga statliga verk och myndigheter</t>
        </is>
      </c>
      <c r="I767" t="n">
        <v>17.6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30426-2026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46209</v>
      </c>
      <c r="E768" s="1" t="n">
        <v>46234</v>
      </c>
      <c r="F768" t="inlineStr">
        <is>
          <t>NORRBOTTENS LÄN</t>
        </is>
      </c>
      <c r="G768" t="inlineStr">
        <is>
          <t>BODEN</t>
        </is>
      </c>
      <c r="H768" t="inlineStr">
        <is>
          <t>Kommuner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30432-2026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46234</v>
      </c>
      <c r="F769" t="inlineStr">
        <is>
          <t>NORRBOTTENS LÄN</t>
        </is>
      </c>
      <c r="G769" t="inlineStr">
        <is>
          <t>BODEN</t>
        </is>
      </c>
      <c r="H769" t="inlineStr">
        <is>
          <t>Kommuner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23790-2026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46164</v>
      </c>
      <c r="E770" s="1" t="n">
        <v>46234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23792-2026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46164</v>
      </c>
      <c r="E771" s="1" t="n">
        <v>46234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30023-2026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46206</v>
      </c>
      <c r="E772" s="1" t="n">
        <v>46234</v>
      </c>
      <c r="F772" t="inlineStr">
        <is>
          <t>NORRBOTTENS LÄN</t>
        </is>
      </c>
      <c r="G772" t="inlineStr">
        <is>
          <t>BODEN</t>
        </is>
      </c>
      <c r="H772" t="inlineStr">
        <is>
          <t>SCA</t>
        </is>
      </c>
      <c r="I772" t="n">
        <v>15.2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17417-2023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45035</v>
      </c>
      <c r="E773" s="1" t="n">
        <v>46234</v>
      </c>
      <c r="F773" t="inlineStr">
        <is>
          <t>NORRBOTTENS LÄN</t>
        </is>
      </c>
      <c r="G773" t="inlineStr">
        <is>
          <t>BODEN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23788-2026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46164</v>
      </c>
      <c r="E774" s="1" t="n">
        <v>46234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7.1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28074-2024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45476</v>
      </c>
      <c r="E775" s="1" t="n">
        <v>46234</v>
      </c>
      <c r="F775" t="inlineStr">
        <is>
          <t>NORRBOTTENS LÄN</t>
        </is>
      </c>
      <c r="G775" t="inlineStr">
        <is>
          <t>BODEN</t>
        </is>
      </c>
      <c r="I775" t="n">
        <v>5.6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26964-2023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45093</v>
      </c>
      <c r="E776" s="1" t="n">
        <v>46234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30332-2026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46208</v>
      </c>
      <c r="E777" s="1" t="n">
        <v>46234</v>
      </c>
      <c r="F777" t="inlineStr">
        <is>
          <t>NORRBOTTENS LÄN</t>
        </is>
      </c>
      <c r="G777" t="inlineStr">
        <is>
          <t>BODEN</t>
        </is>
      </c>
      <c r="I777" t="n">
        <v>9.800000000000001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54590-2022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44883</v>
      </c>
      <c r="E778" s="1" t="n">
        <v>46234</v>
      </c>
      <c r="F778" t="inlineStr">
        <is>
          <t>NORRBOTTENS LÄN</t>
        </is>
      </c>
      <c r="G778" t="inlineStr">
        <is>
          <t>BODEN</t>
        </is>
      </c>
      <c r="H778" t="inlineStr">
        <is>
          <t>Sveaskog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30430-2026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46209</v>
      </c>
      <c r="E779" s="1" t="n">
        <v>46234</v>
      </c>
      <c r="F779" t="inlineStr">
        <is>
          <t>NORRBOTTENS LÄN</t>
        </is>
      </c>
      <c r="G779" t="inlineStr">
        <is>
          <t>BODEN</t>
        </is>
      </c>
      <c r="H779" t="inlineStr">
        <is>
          <t>Kommuner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23789-2026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46164</v>
      </c>
      <c r="E780" s="1" t="n">
        <v>46234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30025-2026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46234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16336-2026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46111</v>
      </c>
      <c r="E782" s="1" t="n">
        <v>46234</v>
      </c>
      <c r="F782" t="inlineStr">
        <is>
          <t>NORRBOTTENS LÄN</t>
        </is>
      </c>
      <c r="G782" t="inlineStr">
        <is>
          <t>BODEN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35115-2024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45529</v>
      </c>
      <c r="E783" s="1" t="n">
        <v>46234</v>
      </c>
      <c r="F783" t="inlineStr">
        <is>
          <t>NORRBOTTENS LÄN</t>
        </is>
      </c>
      <c r="G783" t="inlineStr">
        <is>
          <t>BODEN</t>
        </is>
      </c>
      <c r="I783" t="n">
        <v>6.3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30105-2023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45099</v>
      </c>
      <c r="E784" s="1" t="n">
        <v>46234</v>
      </c>
      <c r="F784" t="inlineStr">
        <is>
          <t>NORRBOTTENS LÄN</t>
        </is>
      </c>
      <c r="G784" t="inlineStr">
        <is>
          <t>BODEN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57604-2021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44484</v>
      </c>
      <c r="E785" s="1" t="n">
        <v>46234</v>
      </c>
      <c r="F785" t="inlineStr">
        <is>
          <t>NORRBOTTENS LÄN</t>
        </is>
      </c>
      <c r="G785" t="inlineStr">
        <is>
          <t>BODEN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24428-2026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46168</v>
      </c>
      <c r="E786" s="1" t="n">
        <v>46234</v>
      </c>
      <c r="F786" t="inlineStr">
        <is>
          <t>NORRBOTTENS LÄN</t>
        </is>
      </c>
      <c r="G786" t="inlineStr">
        <is>
          <t>BODEN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24427-2026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46168</v>
      </c>
      <c r="E787" s="1" t="n">
        <v>46234</v>
      </c>
      <c r="F787" t="inlineStr">
        <is>
          <t>NORRBOTTENS LÄN</t>
        </is>
      </c>
      <c r="G787" t="inlineStr">
        <is>
          <t>BODEN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24431-2026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46168</v>
      </c>
      <c r="E788" s="1" t="n">
        <v>46234</v>
      </c>
      <c r="F788" t="inlineStr">
        <is>
          <t>NORRBOTTENS LÄN</t>
        </is>
      </c>
      <c r="G788" t="inlineStr">
        <is>
          <t>BODEN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24235-2026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46168</v>
      </c>
      <c r="E789" s="1" t="n">
        <v>46234</v>
      </c>
      <c r="F789" t="inlineStr">
        <is>
          <t>NORRBOTTENS LÄN</t>
        </is>
      </c>
      <c r="G789" t="inlineStr">
        <is>
          <t>BODEN</t>
        </is>
      </c>
      <c r="I789" t="n">
        <v>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23706-2024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45454</v>
      </c>
      <c r="E790" s="1" t="n">
        <v>46234</v>
      </c>
      <c r="F790" t="inlineStr">
        <is>
          <t>NORRBOTTENS LÄN</t>
        </is>
      </c>
      <c r="G790" t="inlineStr">
        <is>
          <t>BODEN</t>
        </is>
      </c>
      <c r="I790" t="n">
        <v>10.9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8776-2022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44614</v>
      </c>
      <c r="E791" s="1" t="n">
        <v>46234</v>
      </c>
      <c r="F791" t="inlineStr">
        <is>
          <t>NORRBOTTENS LÄN</t>
        </is>
      </c>
      <c r="G791" t="inlineStr">
        <is>
          <t>BODEN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25387-2023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45079</v>
      </c>
      <c r="E792" s="1" t="n">
        <v>46234</v>
      </c>
      <c r="F792" t="inlineStr">
        <is>
          <t>NORRBOTTENS LÄN</t>
        </is>
      </c>
      <c r="G792" t="inlineStr">
        <is>
          <t>BODEN</t>
        </is>
      </c>
      <c r="I792" t="n">
        <v>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24430-2026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46168</v>
      </c>
      <c r="E793" s="1" t="n">
        <v>46234</v>
      </c>
      <c r="F793" t="inlineStr">
        <is>
          <t>NORRBOTTENS LÄN</t>
        </is>
      </c>
      <c r="G793" t="inlineStr">
        <is>
          <t>BODEN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24234-2026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46168</v>
      </c>
      <c r="E794" s="1" t="n">
        <v>46234</v>
      </c>
      <c r="F794" t="inlineStr">
        <is>
          <t>NORRBOTTENS LÄN</t>
        </is>
      </c>
      <c r="G794" t="inlineStr">
        <is>
          <t>BODEN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18428-2025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45762</v>
      </c>
      <c r="E795" s="1" t="n">
        <v>46234</v>
      </c>
      <c r="F795" t="inlineStr">
        <is>
          <t>NORRBOTTENS LÄN</t>
        </is>
      </c>
      <c r="G795" t="inlineStr">
        <is>
          <t>BODEN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24221-2026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46168</v>
      </c>
      <c r="E796" s="1" t="n">
        <v>46234</v>
      </c>
      <c r="F796" t="inlineStr">
        <is>
          <t>NORRBOTTENS LÄN</t>
        </is>
      </c>
      <c r="G796" t="inlineStr">
        <is>
          <t>BODEN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24227-2026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46234</v>
      </c>
      <c r="F797" t="inlineStr">
        <is>
          <t>NORRBOTTENS LÄN</t>
        </is>
      </c>
      <c r="G797" t="inlineStr">
        <is>
          <t>BODEN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30745-2026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46211</v>
      </c>
      <c r="E798" s="1" t="n">
        <v>46234</v>
      </c>
      <c r="F798" t="inlineStr">
        <is>
          <t>NORRBOTTENS LÄN</t>
        </is>
      </c>
      <c r="G798" t="inlineStr">
        <is>
          <t>BODEN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62140-2024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45646</v>
      </c>
      <c r="E799" s="1" t="n">
        <v>46234</v>
      </c>
      <c r="F799" t="inlineStr">
        <is>
          <t>NORRBOTTENS LÄN</t>
        </is>
      </c>
      <c r="G799" t="inlineStr">
        <is>
          <t>BODEN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48129-2023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45205</v>
      </c>
      <c r="E800" s="1" t="n">
        <v>46234</v>
      </c>
      <c r="F800" t="inlineStr">
        <is>
          <t>NORRBOTTENS LÄN</t>
        </is>
      </c>
      <c r="G800" t="inlineStr">
        <is>
          <t>BODEN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54616-2023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45233</v>
      </c>
      <c r="E801" s="1" t="n">
        <v>46234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24225-2026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46168</v>
      </c>
      <c r="E802" s="1" t="n">
        <v>46234</v>
      </c>
      <c r="F802" t="inlineStr">
        <is>
          <t>NORRBOTTENS LÄN</t>
        </is>
      </c>
      <c r="G802" t="inlineStr">
        <is>
          <t>BODEN</t>
        </is>
      </c>
      <c r="I802" t="n">
        <v>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12562-2024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45379</v>
      </c>
      <c r="E803" s="1" t="n">
        <v>46234</v>
      </c>
      <c r="F803" t="inlineStr">
        <is>
          <t>NORRBOTTENS LÄN</t>
        </is>
      </c>
      <c r="G803" t="inlineStr">
        <is>
          <t>BODEN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20260-2025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45773</v>
      </c>
      <c r="E804" s="1" t="n">
        <v>46234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24805-2026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46172</v>
      </c>
      <c r="E805" s="1" t="n">
        <v>46234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11651-2023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44994</v>
      </c>
      <c r="E806" s="1" t="n">
        <v>46234</v>
      </c>
      <c r="F806" t="inlineStr">
        <is>
          <t>NORRBOTTENS LÄN</t>
        </is>
      </c>
      <c r="G806" t="inlineStr">
        <is>
          <t>BODEN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24717-2026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46171</v>
      </c>
      <c r="E807" s="1" t="n">
        <v>46234</v>
      </c>
      <c r="F807" t="inlineStr">
        <is>
          <t>NORRBOTTENS LÄN</t>
        </is>
      </c>
      <c r="G807" t="inlineStr">
        <is>
          <t>BODEN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718-2022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44568</v>
      </c>
      <c r="E808" s="1" t="n">
        <v>46234</v>
      </c>
      <c r="F808" t="inlineStr">
        <is>
          <t>NORRBOTTENS LÄN</t>
        </is>
      </c>
      <c r="G808" t="inlineStr">
        <is>
          <t>BODEN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43969-2024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45572</v>
      </c>
      <c r="E809" s="1" t="n">
        <v>46234</v>
      </c>
      <c r="F809" t="inlineStr">
        <is>
          <t>NORRBOTTENS LÄN</t>
        </is>
      </c>
      <c r="G809" t="inlineStr">
        <is>
          <t>BODEN</t>
        </is>
      </c>
      <c r="H809" t="inlineStr">
        <is>
          <t>Sveaskog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31226-2026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46217</v>
      </c>
      <c r="E810" s="1" t="n">
        <v>46234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46217</v>
      </c>
      <c r="E811" s="1" t="n">
        <v>46234</v>
      </c>
      <c r="F811" t="inlineStr">
        <is>
          <t>NORRBOTTENS LÄN</t>
        </is>
      </c>
      <c r="G811" t="inlineStr">
        <is>
          <t>BODEN</t>
        </is>
      </c>
      <c r="H811" t="inlineStr">
        <is>
          <t>Sveaskog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19048-2025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45764</v>
      </c>
      <c r="E812" s="1" t="n">
        <v>46234</v>
      </c>
      <c r="F812" t="inlineStr">
        <is>
          <t>NORRBOTTENS LÄN</t>
        </is>
      </c>
      <c r="G812" t="inlineStr">
        <is>
          <t>BODEN</t>
        </is>
      </c>
      <c r="I812" t="n">
        <v>5.7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19050-2025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45764</v>
      </c>
      <c r="E813" s="1" t="n">
        <v>46234</v>
      </c>
      <c r="F813" t="inlineStr">
        <is>
          <t>NORRBOTTENS LÄN</t>
        </is>
      </c>
      <c r="G813" t="inlineStr">
        <is>
          <t>BODEN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25042-2026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46174</v>
      </c>
      <c r="E814" s="1" t="n">
        <v>46234</v>
      </c>
      <c r="F814" t="inlineStr">
        <is>
          <t>NORRBOTTENS LÄN</t>
        </is>
      </c>
      <c r="G814" t="inlineStr">
        <is>
          <t>BODEN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54718-2024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45618</v>
      </c>
      <c r="E815" s="1" t="n">
        <v>46234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29467-2026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46198</v>
      </c>
      <c r="E816" s="1" t="n">
        <v>46234</v>
      </c>
      <c r="F816" t="inlineStr">
        <is>
          <t>NORRBOTTENS LÄN</t>
        </is>
      </c>
      <c r="G816" t="inlineStr">
        <is>
          <t>BODEN</t>
        </is>
      </c>
      <c r="I816" t="n">
        <v>14.5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28357-2023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45099</v>
      </c>
      <c r="E817" s="1" t="n">
        <v>46234</v>
      </c>
      <c r="F817" t="inlineStr">
        <is>
          <t>NORRBOTTENS LÄN</t>
        </is>
      </c>
      <c r="G817" t="inlineStr">
        <is>
          <t>BODEN</t>
        </is>
      </c>
      <c r="I817" t="n">
        <v>4.5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38219-2022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44812</v>
      </c>
      <c r="E818" s="1" t="n">
        <v>46234</v>
      </c>
      <c r="F818" t="inlineStr">
        <is>
          <t>NORRBOTTENS LÄN</t>
        </is>
      </c>
      <c r="G818" t="inlineStr">
        <is>
          <t>BODEN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31211-2026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46217</v>
      </c>
      <c r="E819" s="1" t="n">
        <v>46234</v>
      </c>
      <c r="F819" t="inlineStr">
        <is>
          <t>NORRBOTTENS LÄN</t>
        </is>
      </c>
      <c r="G819" t="inlineStr">
        <is>
          <t>BODEN</t>
        </is>
      </c>
      <c r="H819" t="inlineStr">
        <is>
          <t>Sveaskog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40624-2022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44823</v>
      </c>
      <c r="E820" s="1" t="n">
        <v>46234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56457-2024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45625</v>
      </c>
      <c r="E821" s="1" t="n">
        <v>46234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48107-2022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44856</v>
      </c>
      <c r="E822" s="1" t="n">
        <v>46234</v>
      </c>
      <c r="F822" t="inlineStr">
        <is>
          <t>NORRBOTTENS LÄN</t>
        </is>
      </c>
      <c r="G822" t="inlineStr">
        <is>
          <t>BODEN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14743-2023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45013</v>
      </c>
      <c r="E823" s="1" t="n">
        <v>46234</v>
      </c>
      <c r="F823" t="inlineStr">
        <is>
          <t>NORRBOTTENS LÄN</t>
        </is>
      </c>
      <c r="G823" t="inlineStr">
        <is>
          <t>BODEN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3462-2022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44585</v>
      </c>
      <c r="E824" s="1" t="n">
        <v>46234</v>
      </c>
      <c r="F824" t="inlineStr">
        <is>
          <t>NORRBOTTENS LÄN</t>
        </is>
      </c>
      <c r="G824" t="inlineStr">
        <is>
          <t>BODEN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25240-2026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46175</v>
      </c>
      <c r="E825" s="1" t="n">
        <v>46234</v>
      </c>
      <c r="F825" t="inlineStr">
        <is>
          <t>NORRBOTTENS LÄN</t>
        </is>
      </c>
      <c r="G825" t="inlineStr">
        <is>
          <t>BODEN</t>
        </is>
      </c>
      <c r="I825" t="n">
        <v>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25817-2026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46178</v>
      </c>
      <c r="E826" s="1" t="n">
        <v>46234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7.5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49113-2023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45204</v>
      </c>
      <c r="E827" s="1" t="n">
        <v>46234</v>
      </c>
      <c r="F827" t="inlineStr">
        <is>
          <t>NORRBOTTENS LÄN</t>
        </is>
      </c>
      <c r="G827" t="inlineStr">
        <is>
          <t>BODEN</t>
        </is>
      </c>
      <c r="I827" t="n">
        <v>5.6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4630-2025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45687</v>
      </c>
      <c r="E828" s="1" t="n">
        <v>46234</v>
      </c>
      <c r="F828" t="inlineStr">
        <is>
          <t>NORRBOTTENS LÄN</t>
        </is>
      </c>
      <c r="G828" t="inlineStr">
        <is>
          <t>BODEN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8869-2024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45356</v>
      </c>
      <c r="E829" s="1" t="n">
        <v>46234</v>
      </c>
      <c r="F829" t="inlineStr">
        <is>
          <t>NORRBOTTENS LÄN</t>
        </is>
      </c>
      <c r="G829" t="inlineStr">
        <is>
          <t>BODEN</t>
        </is>
      </c>
      <c r="I829" t="n">
        <v>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25536-2026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46177</v>
      </c>
      <c r="E830" s="1" t="n">
        <v>46234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25571-2026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46177</v>
      </c>
      <c r="E831" s="1" t="n">
        <v>46234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24498-2026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46170</v>
      </c>
      <c r="E832" s="1" t="n">
        <v>46234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31652-2026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46225</v>
      </c>
      <c r="E833" s="1" t="n">
        <v>46234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31655-2026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46225</v>
      </c>
      <c r="E834" s="1" t="n">
        <v>46234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26122-2026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46181</v>
      </c>
      <c r="E835" s="1" t="n">
        <v>46234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26182-2026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46182</v>
      </c>
      <c r="E836" s="1" t="n">
        <v>46234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8.5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26056-2026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46181</v>
      </c>
      <c r="E837" s="1" t="n">
        <v>46234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26448-2026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46183</v>
      </c>
      <c r="E838" s="1" t="n">
        <v>46234</v>
      </c>
      <c r="F838" t="inlineStr">
        <is>
          <t>NORRBOTTENS LÄN</t>
        </is>
      </c>
      <c r="G838" t="inlineStr">
        <is>
          <t>BODEN</t>
        </is>
      </c>
      <c r="I838" t="n">
        <v>7.7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26714-2026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46184</v>
      </c>
      <c r="E839" s="1" t="n">
        <v>46234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7.2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26776-2026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46184</v>
      </c>
      <c r="E840" s="1" t="n">
        <v>46234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5.7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  <c r="Z840">
        <f>HYPERLINK("https://klasma.github.io/Logging_2582/knärot/A 26776-2026 karta knärot.png", "A 26776-2026")</f>
        <v/>
      </c>
      <c r="AA840">
        <f>HYPERLINK("https://klasma.github.io/Logging_2582/klagomål/A 26776-2026 FSC-klagomål.docx", "A 26776-2026")</f>
        <v/>
      </c>
      <c r="AB840">
        <f>HYPERLINK("https://klasma.github.io/Logging_2582/klagomålsmail/A 26776-2026 FSC-klagomål mail.docx", "A 26776-2026")</f>
        <v/>
      </c>
      <c r="AC840">
        <f>HYPERLINK("https://klasma.github.io/Logging_2582/tillsyn/A 26776-2026 tillsynsbegäran.docx", "A 26776-2026")</f>
        <v/>
      </c>
      <c r="AD840">
        <f>HYPERLINK("https://klasma.github.io/Logging_2582/tillsynsmail/A 26776-2026 tillsynsbegäran mail.docx", "A 26776-2026")</f>
        <v/>
      </c>
    </row>
    <row r="841" ht="15" customHeight="1">
      <c r="A841" t="inlineStr">
        <is>
          <t>A 26375-2026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46183</v>
      </c>
      <c r="E841" s="1" t="n">
        <v>46234</v>
      </c>
      <c r="F841" t="inlineStr">
        <is>
          <t>NORRBOTTENS LÄN</t>
        </is>
      </c>
      <c r="G841" t="inlineStr">
        <is>
          <t>BODEN</t>
        </is>
      </c>
      <c r="I841" t="n">
        <v>18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26386-2026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46183</v>
      </c>
      <c r="E842" s="1" t="n">
        <v>46234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26662-2026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46184</v>
      </c>
      <c r="E843" s="1" t="n">
        <v>46234</v>
      </c>
      <c r="F843" t="inlineStr">
        <is>
          <t>NORRBOTTENS LÄN</t>
        </is>
      </c>
      <c r="G843" t="inlineStr">
        <is>
          <t>BODEN</t>
        </is>
      </c>
      <c r="H843" t="inlineStr">
        <is>
          <t>Sveaskog</t>
        </is>
      </c>
      <c r="I843" t="n">
        <v>42.2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31209-2026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46217</v>
      </c>
      <c r="E844" s="1" t="n">
        <v>46234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8.800000000000001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26996-2026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46185</v>
      </c>
      <c r="E845" s="1" t="n">
        <v>46234</v>
      </c>
      <c r="F845" t="inlineStr">
        <is>
          <t>NORRBOTTENS LÄN</t>
        </is>
      </c>
      <c r="G845" t="inlineStr">
        <is>
          <t>BODEN</t>
        </is>
      </c>
      <c r="I845" t="n">
        <v>5.8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27698-2026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46190</v>
      </c>
      <c r="E846" s="1" t="n">
        <v>46234</v>
      </c>
      <c r="F846" t="inlineStr">
        <is>
          <t>NORRBOTTENS LÄN</t>
        </is>
      </c>
      <c r="G846" t="inlineStr">
        <is>
          <t>BODEN</t>
        </is>
      </c>
      <c r="I846" t="n">
        <v>22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885-2024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45376</v>
      </c>
      <c r="E847" s="1" t="n">
        <v>46234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5.7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1063-2023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45013</v>
      </c>
      <c r="E848" s="1" t="n">
        <v>46234</v>
      </c>
      <c r="F848" t="inlineStr">
        <is>
          <t>NORRBOTTENS LÄN</t>
        </is>
      </c>
      <c r="G848" t="inlineStr">
        <is>
          <t>BODEN</t>
        </is>
      </c>
      <c r="I848" t="n">
        <v>4.8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883-2024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45376</v>
      </c>
      <c r="E849" s="1" t="n">
        <v>46234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52-2025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45667</v>
      </c>
      <c r="E850" s="1" t="n">
        <v>46234</v>
      </c>
      <c r="F850" t="inlineStr">
        <is>
          <t>NORRBOTTENS LÄN</t>
        </is>
      </c>
      <c r="G850" t="inlineStr">
        <is>
          <t>BODEN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190-2023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44945</v>
      </c>
      <c r="E851" s="1" t="n">
        <v>46234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6.8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977-2025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45743</v>
      </c>
      <c r="E852" s="1" t="n">
        <v>46234</v>
      </c>
      <c r="F852" t="inlineStr">
        <is>
          <t>NORRBOTTENS LÄN</t>
        </is>
      </c>
      <c r="G852" t="inlineStr">
        <is>
          <t>BODEN</t>
        </is>
      </c>
      <c r="I852" t="n">
        <v>11.1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978-2025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45743</v>
      </c>
      <c r="E853" s="1" t="n">
        <v>46234</v>
      </c>
      <c r="F853" t="inlineStr">
        <is>
          <t>NORRBOTTENS LÄN</t>
        </is>
      </c>
      <c r="G853" t="inlineStr">
        <is>
          <t>BODEN</t>
        </is>
      </c>
      <c r="I853" t="n">
        <v>19.5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1498-2025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45789</v>
      </c>
      <c r="E854" s="1" t="n">
        <v>46234</v>
      </c>
      <c r="F854" t="inlineStr">
        <is>
          <t>NORRBOTTENS LÄN</t>
        </is>
      </c>
      <c r="G854" t="inlineStr">
        <is>
          <t>BODEN</t>
        </is>
      </c>
      <c r="H854" t="inlineStr">
        <is>
          <t>Övriga Aktiebolag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1572-2025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45792</v>
      </c>
      <c r="E855" s="1" t="n">
        <v>46234</v>
      </c>
      <c r="F855" t="inlineStr">
        <is>
          <t>NORRBOTTENS LÄN</t>
        </is>
      </c>
      <c r="G855" t="inlineStr">
        <is>
          <t>BODEN</t>
        </is>
      </c>
      <c r="I855" t="n">
        <v>8.6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1631-2025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45799</v>
      </c>
      <c r="E856" s="1" t="n">
        <v>46234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1633-2025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46234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0.2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1632-2025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45799</v>
      </c>
      <c r="E858" s="1" t="n">
        <v>46234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1734-2025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45810</v>
      </c>
      <c r="E859" s="1" t="n">
        <v>46234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1811-2025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45818</v>
      </c>
      <c r="E860" s="1" t="n">
        <v>46234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2072-2025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45840</v>
      </c>
      <c r="E861" s="1" t="n">
        <v>46234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3580-2025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46018</v>
      </c>
      <c r="E862" s="1" t="n">
        <v>46234</v>
      </c>
      <c r="F862" t="inlineStr">
        <is>
          <t>NORRBOTTENS LÄN</t>
        </is>
      </c>
      <c r="G862" t="inlineStr">
        <is>
          <t>BODEN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1267-2026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46147</v>
      </c>
      <c r="E863" s="1" t="n">
        <v>46234</v>
      </c>
      <c r="F863" t="inlineStr">
        <is>
          <t>NORRBOTTENS LÄN</t>
        </is>
      </c>
      <c r="G863" t="inlineStr">
        <is>
          <t>BODEN</t>
        </is>
      </c>
      <c r="I863" t="n">
        <v>57.4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1261-2026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46234</v>
      </c>
      <c r="F864" t="inlineStr">
        <is>
          <t>NORRBOTTENS LÄN</t>
        </is>
      </c>
      <c r="G864" t="inlineStr">
        <is>
          <t>BODEN</t>
        </is>
      </c>
      <c r="I864" t="n">
        <v>16.9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1262-2026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46147</v>
      </c>
      <c r="E865" s="1" t="n">
        <v>46234</v>
      </c>
      <c r="F865" t="inlineStr">
        <is>
          <t>NORRBOTTENS LÄN</t>
        </is>
      </c>
      <c r="G865" t="inlineStr">
        <is>
          <t>BODEN</t>
        </is>
      </c>
      <c r="H865" t="inlineStr">
        <is>
          <t>Kommuner</t>
        </is>
      </c>
      <c r="I865" t="n">
        <v>16.2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1356-2026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46152</v>
      </c>
      <c r="E866" s="1" t="n">
        <v>46234</v>
      </c>
      <c r="F866" t="inlineStr">
        <is>
          <t>NORRBOTTENS LÄN</t>
        </is>
      </c>
      <c r="G866" t="inlineStr">
        <is>
          <t>BODEN</t>
        </is>
      </c>
      <c r="I866" t="n">
        <v>124.7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1357-2026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46152</v>
      </c>
      <c r="E867" s="1" t="n">
        <v>46234</v>
      </c>
      <c r="F867" t="inlineStr">
        <is>
          <t>NORRBOTTENS LÄN</t>
        </is>
      </c>
      <c r="G867" t="inlineStr">
        <is>
          <t>BODEN</t>
        </is>
      </c>
      <c r="I867" t="n">
        <v>38.2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>
      <c r="A868" t="inlineStr">
        <is>
          <t>S 1297-2026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46148</v>
      </c>
      <c r="E868" s="1" t="n">
        <v>46234</v>
      </c>
      <c r="F868" t="inlineStr">
        <is>
          <t>NORRBOTTENS LÄN</t>
        </is>
      </c>
      <c r="G868" t="inlineStr">
        <is>
          <t>BODEN</t>
        </is>
      </c>
      <c r="I868" t="n">
        <v>20.5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2026-07-31T01:53:38Z</dcterms:created>
  <dcterms:modified xmlns:dcterms="http://purl.org/dc/terms/" xmlns:xsi="http://www.w3.org/2001/XMLSchema-instance" xsi:type="dcterms:W3CDTF">2026-07-31T01:53:39Z</dcterms:modified>
</cp:coreProperties>
</file>